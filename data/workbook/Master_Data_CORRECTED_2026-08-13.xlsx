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6940" tabRatio="500" firstSheet="1" activeTab="5" autoFilterDateGrouping="1"/>
  </bookViews>
  <sheets>
    <sheet xmlns:r="http://schemas.openxmlformats.org/officeDocument/2006/relationships" name="Human_Data_Entry" sheetId="1" state="visible" r:id="rId1"/>
    <sheet xmlns:r="http://schemas.openxmlformats.org/officeDocument/2006/relationships" name="LLM_Data_Entry" sheetId="2" state="visible" r:id="rId2"/>
    <sheet xmlns:r="http://schemas.openxmlformats.org/officeDocument/2006/relationships" name="Summary" sheetId="3" state="visible" r:id="rId3"/>
    <sheet xmlns:r="http://schemas.openxmlformats.org/officeDocument/2006/relationships" name="Charts" sheetId="4" state="visible" r:id="rId4"/>
    <sheet xmlns:r="http://schemas.openxmlformats.org/officeDocument/2006/relationships" name="Efficiency" sheetId="5" state="visible" r:id="rId5"/>
    <sheet xmlns:r="http://schemas.openxmlformats.org/officeDocument/2006/relationships" name="Company_List" sheetId="6" state="visible" r:id="rId6"/>
    <sheet xmlns:r="http://schemas.openxmlformats.org/officeDocument/2006/relationships" name="Settings" sheetId="7" state="visible" r:id="rId7"/>
    <sheet xmlns:r="http://schemas.openxmlformats.org/officeDocument/2006/relationships" name="Corrections_Log" sheetId="8" state="visible" r:id="rId8"/>
    <sheet xmlns:r="http://schemas.openxmlformats.org/officeDocument/2006/relationships" name="Corrected_Metrics" sheetId="9" state="visible" r:id="rId9"/>
    <sheet xmlns:r="http://schemas.openxmlformats.org/officeDocument/2006/relationships" name="Findings" sheetId="10" state="visible" r:id="rId10"/>
    <sheet xmlns:r="http://schemas.openxmlformats.org/officeDocument/2006/relationships" name="Confusion_Matrices" sheetId="11" state="visible" r:id="rId11"/>
    <sheet xmlns:r="http://schemas.openxmlformats.org/officeDocument/2006/relationships" name="Anchor_Audit" sheetId="12" state="visible" r:id="rId12"/>
    <sheet xmlns:r="http://schemas.openxmlformats.org/officeDocument/2006/relationships" name="Item_C_Ablation" sheetId="13" state="visible" r:id="rId13"/>
    <sheet xmlns:r="http://schemas.openxmlformats.org/officeDocument/2006/relationships" name="Walk_Forward" sheetId="14" state="visible" r:id="rId14"/>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8"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0">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b val="1"/>
      <sz val="12"/>
    </font>
    <font>
      <b val="1"/>
    </font>
  </fonts>
  <fills count="15">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5">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1" fillId="13" borderId="0" applyAlignment="1" pivotButton="0" quotePrefix="0" xfId="1">
      <alignment horizontal="center"/>
    </xf>
    <xf numFmtId="0" fontId="11" fillId="13" borderId="0" pivotButton="0" quotePrefix="0" xfId="1"/>
    <xf numFmtId="0" fontId="18" fillId="0" borderId="0" applyAlignment="1" pivotButton="0" quotePrefix="0" xfId="0">
      <alignment horizontal="left" vertical="center"/>
    </xf>
    <xf numFmtId="165" fontId="6" fillId="12" borderId="3" applyAlignment="1" pivotButton="0" quotePrefix="0" xfId="0">
      <alignment horizontal="center"/>
    </xf>
    <xf numFmtId="166" fontId="6" fillId="11"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68"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67" fontId="5" fillId="0" borderId="2" applyAlignment="1" pivotButton="0" quotePrefix="0" xfId="0">
      <alignment horizontal="center"/>
    </xf>
    <xf numFmtId="168" fontId="5" fillId="0" borderId="3" applyAlignment="1" pivotButton="0" quotePrefix="0" xfId="0">
      <alignment horizontal="center" vertical="center"/>
    </xf>
    <xf numFmtId="0" fontId="19" fillId="0" borderId="0" pivotButton="0" quotePrefix="0" xfId="0"/>
  </cellXfs>
  <cellStyles count="2">
    <cellStyle name="Normal" xfId="0" builtinId="0"/>
    <cellStyle name="Warning Text" xfId="1" builtinId="11"/>
  </cellStyles>
  <dxfs count="49">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
      <numFmt numFmtId="0" formatCode="General"/>
    </dxf>
    <dxf>
      <numFmt numFmtId="0" formatCode="General"/>
    </dxf>
    <dxf>
      <numFmt numFmtId="164" formatCode="0.0%"/>
    </dxf>
    <dxf>
      <font>
        <name val="Calibri"/>
        <color rgb="FF9C0006"/>
        <sz val="10"/>
      </font>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0.4347826086956522</v>
                </pt>
                <pt idx="1">
                  <v>0.4736842105263158</v>
                </pt>
                <pt idx="2">
                  <v>0.2741935483870968</v>
                </pt>
                <pt idx="3">
                  <v>0.3725490196078431</v>
                </pt>
                <pt idx="4">
                  <v>0.4069767441860465</v>
                </pt>
                <pt idx="5">
                  <v>0.4</v>
                </pt>
                <pt idx="6">
                  <v>0.4141791044776119</v>
                </pt>
                <pt idx="7">
                  <v>0.3952380952380952</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xmlns:a="http://schemas.openxmlformats.org/drawingml/2006/main" w="20000">
              <a:solidFill>
                <a:srgbClr val="C00000"/>
              </a:solidFill>
              <a:prstDash val="dash"/>
            </a:ln>
          </spPr>
          <marker>
            <symbol val="none"/>
            <spPr>
              <a:ln xmlns:a="http://schemas.openxmlformats.org/drawingml/2006/main">
                <a:prstDash val="solid"/>
              </a:ln>
            </spPr>
          </marker>
          <val>
            <numRef>
              <f>Charts!$D$6:$D$13</f>
              <numCache>
                <formatCode>0.0%</formatCode>
                <ptCount val="8"/>
                <pt idx="0">
                  <v>0.5095238095238095</v>
                </pt>
                <pt idx="1">
                  <v>0.5095238095238095</v>
                </pt>
                <pt idx="2">
                  <v>0.5095238095238095</v>
                </pt>
                <pt idx="3">
                  <v>0.5095238095238095</v>
                </pt>
                <pt idx="4">
                  <v>0.5095238095238095</v>
                </pt>
                <pt idx="5">
                  <v>0.5095238095238095</v>
                </pt>
                <pt idx="6">
                  <v>0.5095238095238095</v>
                </pt>
                <pt idx="7">
                  <v>0.5095238095238095</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0.2521008403361344</v>
                </pt>
                <pt idx="1">
                  <v>0.6754385964912281</v>
                </pt>
                <pt idx="2">
                  <v>0.4264705882352941</v>
                </pt>
              </numCache>
            </numRef>
          </val>
        </ser>
        <ser>
          <idx val="1"/>
          <order val="1"/>
          <tx>
            <strRef>
              <f>Charts!$H$5</f>
              <strCache>
                <ptCount val="1"/>
                <pt idx="0">
                  <v>LLM %</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0.3863636363636364</v>
                </pt>
                <pt idx="1">
                  <v>0.5154639175257731</v>
                </pt>
                <pt idx="2">
                  <v>0.3253012048192771</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xmlns:a="http://schemas.openxmlformats.org/drawingml/2006/main" w="25000">
              <a:solidFill>
                <a:srgbClr val="4472C4"/>
              </a:solidFill>
              <a:prstDash val="solid"/>
            </a:ln>
          </spPr>
          <marker>
            <symbol val="circl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0.1894736842105263</v>
                </pt>
                <pt idx="1">
                  <v>0.249766355140187</v>
                </pt>
                <pt idx="2">
                  <v>0.2918478260869566</v>
                </pt>
              </numCache>
            </numRef>
          </val>
          <smooth val="1"/>
        </ser>
        <ser>
          <idx val="1"/>
          <order val="1"/>
          <tx>
            <strRef>
              <f>Charts!$Q$5</f>
              <strCache>
                <ptCount val="1"/>
                <pt idx="0">
                  <v>LLM</v>
                </pt>
              </strCache>
            </strRef>
          </tx>
          <spPr>
            <a:ln xmlns:a="http://schemas.openxmlformats.org/drawingml/2006/main" w="25000">
              <a:solidFill>
                <a:srgbClr val="ED7D31"/>
              </a:solidFill>
              <a:prstDash val="solid"/>
            </a:ln>
          </spPr>
          <marker>
            <symbol val="squar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0.06135416666666663</v>
                </pt>
                <pt idx="1">
                  <v>0.06680451127819546</v>
                </pt>
                <pt idx="2">
                  <v>0.2025396825396825</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0.01982448979591836</v>
                </pt>
                <pt idx="1">
                  <v>0.02036666666666667</v>
                </pt>
                <pt idx="2">
                  <v>0.003171153846153847</v>
                </pt>
                <pt idx="3">
                  <v>0.01403611111111111</v>
                </pt>
                <pt idx="4">
                  <v>-0.002090769230769231</v>
                </pt>
                <pt idx="5">
                  <v>-0.02509107142857143</v>
                </pt>
                <pt idx="6">
                  <v>0.0172891052631579</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42</v>
                </pt>
                <pt idx="1">
                  <v>71</v>
                </pt>
                <pt idx="2">
                  <v>80</v>
                </pt>
                <pt idx="3">
                  <v>102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0.33</v>
                </pt>
                <pt idx="1">
                  <v>0.4285714285714285</v>
                </pt>
                <pt idx="2">
                  <v>0.4705882352941176</v>
                </pt>
                <pt idx="3">
                  <v>0.2619047619047619</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xmlns:a="http://schemas.openxmlformats.org/drawingml/2006/main" w="20000">
              <a:solidFill>
                <a:srgbClr val="A5A5A5"/>
              </a:solidFill>
              <a:prstDash val="solid"/>
            </a:ln>
          </spPr>
          <marker>
            <symbol val="circle"/>
            <size val="6"/>
            <spPr>
              <a:ln xmlns:a="http://schemas.openxmlformats.org/drawingml/2006/mai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xmlns:a="http://schemas.openxmlformats.org/drawingml/2006/main"/>
              <a:lstStyle xmlns:a="http://schemas.openxmlformats.org/drawingml/2006/main"/>
              <a:p xmlns:a="http://schemas.openxmlformats.org/drawingml/2006/main">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xmlns:a="http://schemas.openxmlformats.org/drawingml/2006/mai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xmlns:a="http://schemas.openxmlformats.org/drawingml/2006/main">
              <a:srgbClr val="FFC000"/>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0.005520737327188935</v>
                </pt>
                <pt idx="1">
                  <v>4.964166604477612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s>
</file>

<file path=xl/drawings/drawing1.xml><?xml version="1.0" encoding="utf-8"?>
<wsDr xmlns="http://schemas.openxmlformats.org/drawingml/2006/spreadsheetDrawing">
  <oneCellAnchor>
    <from>
      <col>26</col>
      <colOff>254000</colOff>
      <row>26</row>
      <rowOff>127000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26</col>
      <colOff>254000</colOff>
      <row>48</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49</row>
      <rowOff>0</rowOff>
    </from>
    <ext cx="720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13</col>
      <colOff>444500</colOff>
      <row>128</row>
      <rowOff>152400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190500</colOff>
      <row>71</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609600</colOff>
      <row>155</row>
      <rowOff>38100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419100</colOff>
      <row>110</row>
      <rowOff>0</rowOff>
    </from>
    <ext cx="72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2"/>
    <tableColumn id="2" name="Ticker" dataDxfId="41"/>
    <tableColumn id="3" name="Year" dataDxfId="40"/>
    <tableColumn id="4" name="Quarter" dataDxfId="39"/>
    <tableColumn id="22" name="Document" dataDxfId="38"/>
    <tableColumn id="23" name="Section" dataDxfId="37"/>
    <tableColumn id="5" name="Rater" dataDxfId="36"/>
    <tableColumn id="6" name="Type (Human/LLM)" dataDxfId="35"/>
    <tableColumn id="7" name="Sentiment Score (−1 to +1)" dataDxfId="34"/>
    <tableColumn id="8" name="Decision (BUY/HOLD/SELL)" dataDxfId="33">
      <calculatedColumnFormula>IF(OR(I3="",Settings!$B$6=""),"",IF(I3&gt;Settings!$B$6,"BUY",IF(I3&lt;-Settings!$B$6,"SELL","HOLD")))</calculatedColumnFormula>
    </tableColumn>
    <tableColumn id="9" name="Time (mins)_x000a_" dataDxfId="32"/>
    <tableColumn id="20" name="Document Date" dataDxfId="31"/>
    <tableColumn id="10" name="Prior Closing Date" dataDxfId="30"/>
    <tableColumn id="11" name="Prior_x000a_Close ($)" dataDxfId="29"/>
    <tableColumn id="12" name="Next Opening Date" dataDxfId="28"/>
    <tableColumn id="13" name="Next Day_x000a_Open ($)" dataDxfId="27"/>
    <tableColumn id="14" name="Actual % Change" dataDxfId="26"/>
    <tableColumn id="15" name="Actual Direction" dataDxfId="25"/>
    <tableColumn id="16" name="Prediction Correct?" dataDxfId="24"/>
    <tableColumn id="17" name="Position" dataDxfId="23"/>
    <tableColumn id="18" name="Net P&amp;L" dataDxfId="22"/>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15"/>
    <tableColumn id="2" name="Ticker" dataDxfId="14"/>
    <tableColumn id="3" name="Year"/>
    <tableColumn id="4" name="Quarter"/>
    <tableColumn id="5" name="Rater"/>
    <tableColumn id="6" name="Type (Human/LLM)"/>
    <tableColumn id="7" name="Sentiment Score (−1 to +1)"/>
    <tableColumn id="8" name="Decision (BUY/HOLD/SELL)"/>
    <tableColumn id="9" name="Time (seconds)_x000a_" dataDxfId="13"/>
    <tableColumn id="20" name="Document Date" dataDxfId="12"/>
    <tableColumn id="10" name="Closing Date" dataDxfId="11"/>
    <tableColumn id="11" name="Prior_x000a_Close ($)"/>
    <tableColumn id="12" name="Opening Date" dataDxfId="10"/>
    <tableColumn id="13" name="Next Day_x000a_Open ($)"/>
    <tableColumn id="21" name="Token Cost ($)" dataDxfId="9"/>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7">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6">
      <calculatedColumnFormula array="1">_xlfn._xlws.SORT(_xlfn.UNIQUE(_xlfn._xlws.FILTER($C$3:$C$200,$C$3:$C$200&lt;&gt;"")))</calculatedColumnFormula>
    </tableColumn>
    <tableColumn id="2" name="Company Count" dataDxfId="5">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3">
  <autoFilter ref="D7:D10"/>
  <tableColumns count="1">
    <tableColumn id="4" name="Decision" dataDxfId="2"/>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1"/>
    <tableColumn id="2" name="Document"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7.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sheet1.xml><?xml version="1.0" encoding="utf-8"?>
<worksheet xmlns="http://schemas.openxmlformats.org/spreadsheetml/2006/main">
  <sheetPr>
    <outlinePr summaryBelow="1" summaryRight="1"/>
    <pageSetUpPr/>
  </sheetPr>
  <dimension ref="A1:BR524"/>
  <sheetViews>
    <sheetView zoomScale="86" zoomScaleNormal="100" workbookViewId="0">
      <pane xSplit="2" ySplit="2" topLeftCell="C3" activePane="bottomRight" state="frozen"/>
      <selection pane="bottomRight" activeCell="V205" sqref="V205"/>
      <selection pane="bottomLeft" activeCell="A3" sqref="A3"/>
      <selection pane="topRight" activeCell="F1" sqref="F1"/>
    </sheetView>
  </sheetViews>
  <sheetFormatPr baseColWidth="8" defaultColWidth="8.7109375" defaultRowHeight="15"/>
  <cols>
    <col width="20" customWidth="1" style="97" min="1" max="1"/>
    <col width="9" customWidth="1" style="141" min="2" max="2"/>
    <col width="7" customWidth="1" style="143" min="3" max="3"/>
    <col width="8" customWidth="1" style="143" min="4" max="4"/>
    <col width="19.28515625" bestFit="1" customWidth="1" style="144" min="5" max="5"/>
    <col width="14.4257812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7109375" bestFit="1" customWidth="1" style="7" min="22" max="22"/>
    <col width="40.7109375" bestFit="1" customWidth="1" min="23" max="23"/>
    <col width="26" customWidth="1" style="92" min="24" max="24"/>
    <col width="13" customWidth="1" style="92" min="25" max="26"/>
    <col width="48" customWidth="1" min="27" max="27"/>
    <col width="10" customWidth="1" min="28" max="28"/>
    <col width="23.28515625" customWidth="1" min="64" max="64"/>
  </cols>
  <sheetData>
    <row r="1" ht="22.35" customHeight="1">
      <c r="A1" s="154" t="inlineStr">
        <is>
          <t>HUMAN ARM FROZEN. Prices and derived accuracy on the original report_date basis, superseded 2026-08-12. Net P&amp;L in column U is a formula deriving from those prices and therefore remains on the superseded basis by design. Corrected figures are in Corrections_Log and Corrected_Metrics.</t>
        </is>
      </c>
      <c r="W1" t="inlineStr">
        <is>
          <t>Derived from Time (mins). Do not type here.</t>
        </is>
      </c>
      <c r="X1" s="152"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t="inlineStr">
        <is>
          <t>Source URL</t>
        </is>
      </c>
      <c r="AO2" t="inlineStr">
        <is>
          <t>Source Basis</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row>
    <row r="3" ht="16.35" customHeight="1">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O3" t="inlineStr">
        <is>
          <t>unique filename match</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row>
    <row r="4" ht="16.35" customHeight="1">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https://www.sec.gov/Archives/edgar/data/1065280/000106528025000322/ex991_q225.htm</t>
        </is>
      </c>
      <c r="AO4" t="inlineStr">
        <is>
          <t>manifest</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row>
    <row r="5" ht="16.35" customHeight="1">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https://www.sec.gov/Archives/edgar/data/1065280/000106528025000404/ex991_q325.htm</t>
        </is>
      </c>
      <c r="AO5" t="inlineStr">
        <is>
          <t>manifest</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row>
    <row r="6" ht="16.35" customHeight="1">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https://www.sec.gov/Archives/edgar/data/1065280/000106528026000033/ex991_q425.htm</t>
        </is>
      </c>
      <c r="AO6" t="inlineStr">
        <is>
          <t>manifest</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row>
    <row r="7" ht="16.35" customHeight="1">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O7" t="inlineStr">
        <is>
          <t>unique filename match</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row>
    <row r="8" ht="16.35" customHeight="1">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is>
          <t xml:space="preserve"> </t>
        </is>
      </c>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https://www.sec.gov/Archives/edgar/data/1065280/000106528025000322/ex991_q225.htm</t>
        </is>
      </c>
      <c r="AO8" t="inlineStr">
        <is>
          <t>manifest</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row>
    <row r="9" ht="16.35" customHeight="1">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https://www.sec.gov/Archives/edgar/data/1065280/000106528025000404/ex991_q325.htm</t>
        </is>
      </c>
      <c r="AO9" t="inlineStr">
        <is>
          <t>manifest</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row>
    <row r="10" ht="16.35" customHeight="1">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https://www.sec.gov/Archives/edgar/data/1065280/000106528026000033/ex991_q425.htm</t>
        </is>
      </c>
      <c r="AO10" t="inlineStr">
        <is>
          <t>manifest</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row>
    <row r="11" ht="16.35" customHeight="1">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https://www.sec.gov/Archives/edgar/data/1065280/000106528025000175/ex991_q125.htm</t>
        </is>
      </c>
      <c r="AO11" t="inlineStr">
        <is>
          <t>manifest</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row>
    <row r="12" ht="16.35" customHeight="1">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https://www.sec.gov/Archives/edgar/data/1065280/000106528025000322/ex991_q225.htm</t>
        </is>
      </c>
      <c r="AO12" t="inlineStr">
        <is>
          <t>manifest</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row>
    <row r="13" ht="16.35" customHeight="1">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https://www.sec.gov/Archives/edgar/data/1065280/000106528025000404/ex991_q325.htm</t>
        </is>
      </c>
      <c r="AO13" t="inlineStr">
        <is>
          <t>manifest</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row>
    <row r="14" ht="16.35" customHeight="1">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https://www.sec.gov/Archives/edgar/data/1065280/000106528026000033/ex991_q425.htm</t>
        </is>
      </c>
      <c r="AO14" t="inlineStr">
        <is>
          <t>manifest</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row>
    <row r="15" ht="16.35" customHeight="1">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O15" t="inlineStr">
        <is>
          <t>whole bundle (Document = All)</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row>
    <row r="16" ht="16.35" customHeight="1">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O16" t="inlineStr">
        <is>
          <t>whole bundle (Document = All)</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row>
    <row r="17" ht="16.35" customHeight="1">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O17" t="inlineStr">
        <is>
          <t>whole bundle (Document = All)</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row>
    <row r="18" ht="16.35" customHeight="1">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O18" t="inlineStr">
        <is>
          <t>whole bundle (Document = All)</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row>
    <row r="19" ht="16.35" customHeight="1">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O19" t="inlineStr">
        <is>
          <t>unique filename match</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row>
    <row r="20" ht="16.35" customHeight="1">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https://www.sec.gov/Archives/edgar/data/12927/000001292725000058/a202506jun308kprex991.htm</t>
        </is>
      </c>
      <c r="AO20" t="inlineStr">
        <is>
          <t>manifest</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row>
    <row r="21" ht="16.35" customHeight="1">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https://www.sec.gov/Archives/edgar/data/12927/000162828025046915/a202509sep308kprex991.htm</t>
        </is>
      </c>
      <c r="AO21" t="inlineStr">
        <is>
          <t>manifest</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row>
    <row r="22" ht="16.35" customHeight="1">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https://www.sec.gov/Archives/edgar/data/12927/000162828026003518/a202512dec318kprex991.htm</t>
        </is>
      </c>
      <c r="AO22" t="inlineStr">
        <is>
          <t>manifest</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row>
    <row r="23" ht="16.35" customHeight="1">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O23" t="inlineStr">
        <is>
          <t>unique filename match</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row>
    <row r="24" ht="16.35" customHeight="1">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O24" t="inlineStr">
        <is>
          <t>unique filename match</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row>
    <row r="25" ht="16.35" customHeight="1">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O25" t="inlineStr">
        <is>
          <t>unique filename match</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row>
    <row r="26" ht="16.35" customHeight="1">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https://www.sec.gov/Archives/edgar/data/1065280/000106528025000404/ex991_q325.htm</t>
        </is>
      </c>
      <c r="AO26" t="inlineStr">
        <is>
          <t>manifest</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row>
    <row r="27" ht="16.35" customHeight="1">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https://www.sec.gov/Archives/edgar/data/1065280/000106528026000033/ex991_q425.htm</t>
        </is>
      </c>
      <c r="AO27" t="inlineStr">
        <is>
          <t>manifest</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row>
    <row r="28" ht="16.35" customHeight="1">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https://www.sec.gov/Archives/edgar/data/1065280/000106528025000033/ex991_q424.htm</t>
        </is>
      </c>
      <c r="AO28" t="inlineStr">
        <is>
          <t>manifest</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row>
    <row r="29" ht="16.35" customHeight="1">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https://www.sec.gov/Archives/edgar/data/1018724/000101872426000012/amzn-20260331xex991.htm</t>
        </is>
      </c>
      <c r="AO29" t="inlineStr">
        <is>
          <t>manifest</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row>
    <row r="30" ht="16.35" customHeight="1">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https://www.sec.gov/Archives/edgar/data/1018724/000101872425000121/amzn-20250930xex991.htm</t>
        </is>
      </c>
      <c r="AO30" t="inlineStr">
        <is>
          <t>manifest</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row>
    <row r="31" ht="16.35" customHeight="1">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https://www.sec.gov/Archives/edgar/data/1018724/000101872426000002/amzn-20251231xex991.htm</t>
        </is>
      </c>
      <c r="AO31" t="inlineStr">
        <is>
          <t>manifest</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row>
    <row r="32" ht="16.35" customHeight="1">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O32" t="inlineStr">
        <is>
          <t>whole bundle (Document = All)</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row>
    <row r="33" ht="16.35" customHeight="1">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O33" t="inlineStr">
        <is>
          <t>whole bundle (Document = All)</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row>
    <row r="34" ht="16.35" customHeight="1">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O34" t="inlineStr">
        <is>
          <t>whole bundle (Document = All)</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row>
    <row r="35" ht="16.35" customHeight="1">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O35" t="inlineStr">
        <is>
          <t>whole bundle (Document = All)</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row>
    <row r="36" ht="16.35" customHeight="1">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O36" t="inlineStr">
        <is>
          <t>whole bundle (Document = All)</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row>
    <row r="37" ht="16.35" customHeight="1">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O37" t="inlineStr">
        <is>
          <t>whole bundle (Document = All)</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row>
    <row r="38" ht="16.35" customHeight="1">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O38" t="inlineStr">
        <is>
          <t>unique filename match</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row>
    <row r="39" ht="16.35" customHeight="1">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O39" t="inlineStr">
        <is>
          <t>unique filename match</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row>
    <row r="40" ht="16.35" customHeight="1">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O40" t="inlineStr">
        <is>
          <t>unique filename match</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row>
    <row r="41" ht="16.35" customHeight="1">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roic.ai API /v2/company/earnings-calls/transcript/BAC?year=2025&amp;quarter=1</t>
        </is>
      </c>
      <c r="AO41" t="inlineStr">
        <is>
          <t>manifest</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row>
    <row r="42" ht="16.35" customHeight="1">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https://news.alphastreet.com/bank-of-america-corporation-bac-q2-2025-earnings-call-transcript/</t>
        </is>
      </c>
      <c r="AO42" t="inlineStr">
        <is>
          <t>manifest</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row>
    <row r="43" ht="16.35" customHeight="1">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is>
          <t xml:space="preserve"> </t>
        </is>
      </c>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https://news.alphastreet.com/bank-of-america-corporation-bac-q3-2025-earnings-call-transcript/</t>
        </is>
      </c>
      <c r="AO43" t="inlineStr">
        <is>
          <t>manifest</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row>
    <row r="44" ht="16.35" customHeight="1">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is>
          <t xml:space="preserve"> </t>
        </is>
      </c>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https://news.alphastreet.com/bank-of-america-corporation-bac-q4-2025-earnings-call-transcript/</t>
        </is>
      </c>
      <c r="AO44" t="inlineStr">
        <is>
          <t>manifest</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row>
    <row r="45" ht="16.35" customHeight="1">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https://www.sec.gov/Archives/edgar/data/2488/000000248826000072/q12026991.htm</t>
        </is>
      </c>
      <c r="AO45" t="inlineStr">
        <is>
          <t>manifest</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row>
    <row r="46" ht="16.35" customHeight="1">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https://www.sec.gov/Archives/edgar/data/2488/000000248825000106/q22025991.htm</t>
        </is>
      </c>
      <c r="AO46" t="inlineStr">
        <is>
          <t>manifest</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row>
    <row r="47" ht="16.35" customHeight="1">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https://www.sec.gov/Archives/edgar/data/2488/000000248826000014/q42025991.htm</t>
        </is>
      </c>
      <c r="AO47" t="inlineStr">
        <is>
          <t>manifest</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row>
    <row r="48" ht="16.35" customHeight="1">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O48" t="inlineStr">
        <is>
          <t>unique filename match</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row>
    <row r="49" ht="16.35" customHeight="1">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O49" t="inlineStr">
        <is>
          <t>unique filename match</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row>
    <row r="50" ht="16.35" customHeight="1">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https://www.jpmorganchase.com/content/dam/jpmc/jpmorgan-chase-and-co/investor-relations/documents/quarterly-earnings/2025/1st-quarter/1q25-earnings-transcript.pdf; https://www.sec.gov/Archives/edgar/data/19617/000001961725000332/a1q25erfexhibit991narrative.htm</t>
        </is>
      </c>
      <c r="AO50" t="inlineStr">
        <is>
          <t>manifest (whole bundle)</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row>
    <row r="51" ht="16.35" customHeight="1">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O51" t="inlineStr">
        <is>
          <t>unique filename match</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row>
    <row r="52" ht="16.35" customHeight="1">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is>
          <t xml:space="preserve"> </t>
        </is>
      </c>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https://www.jpmorganchase.com/content/dam/jpmc/jpmorgan-chase-and-co/investor-relations/documents/quarterly-earnings/2025/3rd-quarter/jpm-3q25-earnings-call-transcript.pdf; https://www.sec.gov/Archives/edgar/data/19617/000162828025044845/a3q25erfexhibit991narrative.htm</t>
        </is>
      </c>
      <c r="AO52" t="inlineStr">
        <is>
          <t>manifest (whole bundle)</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row>
    <row r="53" ht="16.35" customHeight="1">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is>
          <t xml:space="preserve"> </t>
        </is>
      </c>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O53" t="inlineStr">
        <is>
          <t>unique filename match</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row>
    <row r="54" ht="16.35" customHeight="1">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https://www.jpmorganchase.com/content/dam/jpmc/jpmorgan-chase-and-co/investor-relations/documents/quarterly-earnings/2025/1st-quarter/1q25-earnings-transcript.pdf</t>
        </is>
      </c>
      <c r="AO54" t="inlineStr">
        <is>
          <t>manifest</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row>
    <row r="55" ht="16.35" customHeight="1">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https://www.jpmorganchase.com/content/dam/jpmc/jpmorgan-chase-and-co/investor-relations/documents/quarterly-earnings/2025/3rd-quarter/jpm-3q25-earnings-call-transcript.pdf</t>
        </is>
      </c>
      <c r="AO55" t="inlineStr">
        <is>
          <t>manifest</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row>
    <row r="56" ht="16.35" customHeight="1">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https://www.jpmorganchase.com/content/dam/jpmc/jpmorgan-chase-and-co/investor-relations/documents/quarterly-earnings/2026/1st-quarter/1q26-earnings-transcript.pdf</t>
        </is>
      </c>
      <c r="AO56" t="inlineStr">
        <is>
          <t>manifest</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row>
    <row r="57" ht="16.35" customHeight="1">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O57" t="inlineStr">
        <is>
          <t>whole bundle (Document = All)</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row>
    <row r="58" ht="16.35" customHeight="1">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O58" t="inlineStr">
        <is>
          <t>whole bundle (Document = All)</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row>
    <row r="59" ht="16.35" customHeight="1">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O59" t="inlineStr">
        <is>
          <t>whole bundle (Document = All)</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row>
    <row r="60" ht="16.35" customHeight="1">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https://corporate.target.com/getmedia/c5751599-850d-4bb0-b599-d8ac55a91156/2025-august-20-tgt-transcript.pdf</t>
        </is>
      </c>
      <c r="AO60" t="inlineStr">
        <is>
          <t>manifest</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row>
    <row r="61" ht="16.35" customHeight="1">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https://corporate.target.com/getmedia/9c383747-166d-4310-b91f-cd77b7d06433/2025-May-21-TGT-Transcript.pdf%C2%A0%C2%A0</t>
        </is>
      </c>
      <c r="AO61" t="inlineStr">
        <is>
          <t>manifest</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row>
    <row r="62" ht="16.35" customHeight="1">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https://corporate.target.com/getmedia/1b701222-ff3c-4f65-b4b7-d0de5511f9a4/TGT-Transcript-2025-11-19.pdf</t>
        </is>
      </c>
      <c r="AO62" t="inlineStr">
        <is>
          <t>manifest</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row>
    <row r="63" ht="16.35" customHeight="1">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https://www.fool.com/earnings/call-transcripts/2026/05/20/target-tgt-q1-2026-earnings-call-transcript/</t>
        </is>
      </c>
      <c r="AO63" t="inlineStr">
        <is>
          <t>manifest</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row>
    <row r="64" ht="16.35" customHeight="1">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O64" t="inlineStr">
        <is>
          <t>whole bundle (Document = All)</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row>
    <row r="65" ht="16.35" customHeight="1">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O65" t="inlineStr">
        <is>
          <t>whole bundle (Document = All)</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row>
    <row r="66" ht="16.35" customHeight="1">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O66" t="inlineStr">
        <is>
          <t>whole bundle (Document = All)</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row>
    <row r="67" ht="16.35" customHeight="1">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O67" t="inlineStr">
        <is>
          <t>unique filename match</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row>
    <row r="68" ht="16.35" customHeight="1">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O68" t="inlineStr">
        <is>
          <t>unique filename match</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row>
    <row r="69" ht="16.35" customHeight="1">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O69" t="inlineStr">
        <is>
          <t>unique filename match</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row>
    <row r="70" ht="16.35" customHeight="1">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https://www.sec.gov/Archives/edgar/data/1559720/000119312526211816/d23351dex991.htm</t>
        </is>
      </c>
      <c r="AO70" t="inlineStr">
        <is>
          <t>manifest</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row>
    <row r="71" ht="16.35" customHeight="1">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O71" t="inlineStr">
        <is>
          <t>unique filename match</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row>
    <row r="72" ht="16.35" customHeight="1">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O72" t="inlineStr">
        <is>
          <t>unique filename match</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row>
    <row r="73" ht="16.35" customHeight="1">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O73" t="inlineStr">
        <is>
          <t>unique filename match</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row>
    <row r="74" ht="16.35" customHeight="1">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O74" t="inlineStr">
        <is>
          <t>unique filename match</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row>
    <row r="75" ht="16.35" customHeight="1">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O75" t="inlineStr">
        <is>
          <t>unique filename match</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row>
    <row r="76" ht="16.35" customHeight="1">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O76" t="inlineStr">
        <is>
          <t>unique filename match</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row>
    <row r="77" ht="16.35" customHeight="1">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O77" t="inlineStr">
        <is>
          <t>whole bundle (Document = All)</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row>
    <row r="78" ht="16.35" customHeight="1">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O78" t="inlineStr">
        <is>
          <t>whole bundle (Document = All)</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row>
    <row r="79" ht="16.35" customHeight="1">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O79" t="inlineStr">
        <is>
          <t>whole bundle (Document = All)</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row>
    <row r="80" ht="16.35" customHeight="1">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O80" t="inlineStr">
        <is>
          <t>whole bundle (Document = All)</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row>
    <row r="81" ht="16.35" customHeight="1">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O81" t="inlineStr">
        <is>
          <t>whole bundle (Document = All)</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row>
    <row r="82" ht="16.35" customHeight="1">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O82" t="inlineStr">
        <is>
          <t>whole bundle (Document = All)</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row>
    <row r="83" ht="16.35" customHeight="1">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O83" t="inlineStr">
        <is>
          <t>whole bundle (Document = All)</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row>
    <row r="84" ht="16.35" customHeight="1">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O84" t="inlineStr">
        <is>
          <t>whole bundle (Document = All)</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row>
    <row r="85" ht="16.35" customHeight="1">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https://www.insidermonkey.com/blog/the-goldman-sachs-group-inc-nysegs-q1-2025-earnings-call-transcript-1508363/; https://www.sec.gov/Archives/edgar/data/886982/000119312525079625/d750054dex991.htm; https://www.sec.gov/Archives/edgar/data/886982/000119312525079625/d750054dex992.htm</t>
        </is>
      </c>
      <c r="AO85" t="inlineStr">
        <is>
          <t>manifest (whole bundle)</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row>
    <row r="86" ht="16.35" customHeight="1">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https://www.fool.com/earnings/call-transcripts/2025/07/16/goldman-sachs-gs-q2-2025-earnings-call-transcript/; https://www.sec.gov/Archives/edgar/data/886982/000119312525159560/d41877dex991.htm; https://www.sec.gov/Archives/edgar/data/886982/000119312525159560/d41877dex992.htm</t>
        </is>
      </c>
      <c r="AO86" t="inlineStr">
        <is>
          <t>manifest (whole bundle)</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row>
    <row r="87" ht="16.35" customHeight="1">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https://www.insidermonkey.com/blog/the-goldman-sachs-group-inc-nysegs-q3-2025-earnings-call-transcript-1628253/; https://www.sec.gov/Archives/edgar/data/886982/000119312525238058/d899312dex991.htm; https://www.sec.gov/Archives/edgar/data/886982/000119312525238058/d899312dex992.htm</t>
        </is>
      </c>
      <c r="AO87" t="inlineStr">
        <is>
          <t>manifest (whole bundle)</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row>
    <row r="88" ht="16.35" customHeight="1">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https://www.fool.com/earnings/call-transcripts/2026/01/15/goldman-sachs-gs-q4-2025-earnings-transcript/; https://www.sec.gov/Archives/edgar/data/886982/000088698226000008/a4q25gsearningsresults.htm; https://www.sec.gov/Archives/edgar/data/886982/000088698226000008/a4q25gsearningsresultspr.htm</t>
        </is>
      </c>
      <c r="AO88" t="inlineStr">
        <is>
          <t>manifest (whole bundle)</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row>
    <row r="89" ht="16.35" customHeight="1">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https://www.fool.com/earnings/call-transcripts/2026/04/13/goldman-sachs-gs-q1-2026-earnings-transcript/; https://www.sec.gov/Archives/edgar/data/886982/000088698226000096/a1q26gsearningsresults.htm; https://www.sec.gov/Archives/edgar/data/886982/000088698226000096/a1q26gsearningsresultspr.htm</t>
        </is>
      </c>
      <c r="AO89" t="inlineStr">
        <is>
          <t>manifest (whole bundle)</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row>
    <row r="90" ht="16.35" customHeight="1">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https://news.alphastreet.com/goldman-sachs-group-inc-gs-q2-2026-earnings-call-transcript/; https://www.sec.gov/Archives/edgar/data/886982/000088698226000294/a2q26gsearningsresults.htm; https://www.sec.gov/Archives/edgar/data/886982/000088698226000294/a2q26gsearningsresultspr.htm</t>
        </is>
      </c>
      <c r="AO90" t="inlineStr">
        <is>
          <t>manifest (whole bundle)</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row>
    <row r="91" ht="16.35" customHeight="1">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https://www.insidermonkey.com/blog/the-charles-schwab-corporation-nyseschw-q1-2025-earnings-call-transcript-1511418/; https://www.sec.gov/Archives/edgar/data/316709/000031670925000019/a1q25exhibit991.htm</t>
        </is>
      </c>
      <c r="AO91" t="inlineStr">
        <is>
          <t>manifest (whole bundle)</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row>
    <row r="92" ht="16.35" customHeight="1">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https://www.insidermonkey.com/blog/the-charles-schwab-corporation-nyseschw-q2-2025-earnings-call-transcript-1573625/; https://www.sec.gov/Archives/edgar/data/316709/000031670925000033/a2q25exhibit991.htm</t>
        </is>
      </c>
      <c r="AO92" t="inlineStr">
        <is>
          <t>manifest (whole bundle)</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row>
    <row r="93" ht="16.35" customHeight="1">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https://www.insidermonkey.com/blog/the-charles-schwab-corporation-nyseschw-q3-2025-earnings-call-transcript-1631368/; https://www.sec.gov/Archives/edgar/data/316709/000031670925000046/a3q25exhibit991.htm</t>
        </is>
      </c>
      <c r="AO93" t="inlineStr">
        <is>
          <t>manifest (whole bundle)</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row>
    <row r="94" ht="16.35" customHeight="1">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https://www.fool.com/earnings/call-transcripts/2026/03/24/schwab-schw-q4-2025-earnings-call-transcript/; https://www.sec.gov/Archives/edgar/data/316709/000031670926000004/a4q25exhibit991.htm</t>
        </is>
      </c>
      <c r="AO94" t="inlineStr">
        <is>
          <t>manifest (whole bundle)</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row>
    <row r="95" ht="16.35" customHeight="1">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https://www.insidermonkey.com/blog/the-charles-schwab-corporation-nyseschw-q1-2026-earnings-call-transcript-1740197/; https://www.sec.gov/Archives/edgar/data/316709/000031670926000016/a1q26exhibit991.htm</t>
        </is>
      </c>
      <c r="AO95" t="inlineStr">
        <is>
          <t>manifest (whole bundle)</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row>
    <row r="96" ht="16.35" customHeight="1">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O96" t="inlineStr">
        <is>
          <t>unique filename match</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row>
    <row r="97" ht="16.35" customHeight="1">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O97" t="inlineStr">
        <is>
          <t>unique filename match</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row>
    <row r="98" ht="16.35" customHeight="1">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O98" t="inlineStr">
        <is>
          <t>unique filename match</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row>
    <row r="99" ht="16.35" customHeight="1">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O99" t="inlineStr">
        <is>
          <t>unique filename match</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row>
    <row r="100" ht="16.35" customHeight="1">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https://corporate.lowes.com/sites/lowes-corp/files/low-usq-transcript-2026-05-20-1.pdf</t>
        </is>
      </c>
      <c r="AO100" t="inlineStr">
        <is>
          <t>manifest</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row>
    <row r="101" ht="16.35" customHeight="1">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O101" t="inlineStr">
        <is>
          <t>unique filename match</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row>
    <row r="102" ht="16.35" customHeight="1">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O102" t="inlineStr">
        <is>
          <t>unique filename match</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row>
    <row r="103" ht="16.35" customHeight="1">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O103" t="inlineStr">
        <is>
          <t>unique filename match</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row>
    <row r="104" ht="16.35" customHeight="1">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O104" t="inlineStr">
        <is>
          <t>unique filename match</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row>
    <row r="105" ht="16.35" customHeight="1">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O105" t="inlineStr">
        <is>
          <t>unique filename match</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row>
    <row r="106" ht="16.35" customHeight="1">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https://www.sec.gov/Archives/edgar/data/1679788/000167978826000053/q126earningsdeck-finalse.htm</t>
        </is>
      </c>
      <c r="AO106" t="inlineStr">
        <is>
          <t>manifest</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row>
    <row r="107" ht="16.35" customHeight="1">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https://www.sec.gov/Archives/edgar/data/1679788/000167978825000207/q325shareholderletter.htm</t>
        </is>
      </c>
      <c r="AO107" t="inlineStr">
        <is>
          <t>manifest</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row>
    <row r="108" ht="16.35" customHeight="1">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https://www.sec.gov/Archives/edgar/data/1679788/000167978826000011/q425shareholderletter.htm</t>
        </is>
      </c>
      <c r="AO108" t="inlineStr">
        <is>
          <t>manifest</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row>
    <row r="109" ht="16.35" customHeight="1">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https://www.sec.gov/Archives/edgar/data/59478/000005947826000043/q126lillysalesandearningsp.htm</t>
        </is>
      </c>
      <c r="AO109" t="inlineStr">
        <is>
          <t>manifest</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row>
    <row r="110" ht="16.35" customHeight="1">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https://www.sec.gov/Archives/edgar/data/59478/000005947825000251/q325lillysalesandearningsp.htm</t>
        </is>
      </c>
      <c r="AO110" t="inlineStr">
        <is>
          <t>manifest</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row>
    <row r="111" ht="16.35" customHeight="1">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https://www.sec.gov/Archives/edgar/data/59478/000005947826000008/q425lillysalesandearningsp.htm</t>
        </is>
      </c>
      <c r="AO111" t="inlineStr">
        <is>
          <t>manifest</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row>
    <row r="112" ht="16.35" customHeight="1">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https://www.sec.gov/Archives/edgar/data/1326801/000162828026028364/meta-03312026xexhibit991.htm</t>
        </is>
      </c>
      <c r="AO112" t="inlineStr">
        <is>
          <t>manifest</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row>
    <row r="113" ht="16.35" customHeight="1">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https://www.sec.gov/Archives/edgar/data/1326801/000162828025047114/meta-09302025xexhibit991.htm</t>
        </is>
      </c>
      <c r="AO113" t="inlineStr">
        <is>
          <t>manifest</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row>
    <row r="114" ht="16.35" customHeight="1">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https://www.sec.gov/Archives/edgar/data/1326801/000162828026003832/meta-12312025xexhibit991.htm</t>
        </is>
      </c>
      <c r="AO114" t="inlineStr">
        <is>
          <t>manifest</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row>
    <row r="115" ht="16.35" customHeight="1">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https://www.sec.gov/Archives/edgar/data/1318605/000162828026026551/exhibit991.htm</t>
        </is>
      </c>
      <c r="AO115" t="inlineStr">
        <is>
          <t>manifest</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row>
    <row r="116" ht="16.35" customHeight="1">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https://www.sec.gov/Archives/edgar/data/1318605/000162828025045861/exhibit991.htm</t>
        </is>
      </c>
      <c r="AO116" t="inlineStr">
        <is>
          <t>manifest</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row>
    <row r="117" ht="16.35" customHeight="1">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https://www.sec.gov/Archives/edgar/data/1318605/000162828026003837/exhibit991.htm</t>
        </is>
      </c>
      <c r="AO117" t="inlineStr">
        <is>
          <t>manifest</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row>
    <row r="118" ht="16.35" customHeight="1">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O118" t="inlineStr">
        <is>
          <t>unique filename match</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row>
    <row r="119" ht="16.35" customHeight="1">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O119" t="inlineStr">
        <is>
          <t>unique filename match</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row>
    <row r="120" ht="16.35" customHeight="1">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O120" t="inlineStr">
        <is>
          <t>unique filename match</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row>
    <row r="121" ht="16.35" customHeight="1">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O121" t="inlineStr">
        <is>
          <t>unique filename match</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row>
    <row r="122" ht="16.35" customHeight="1">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https://www.microsoft.com/en-us/investor/events/fy-2025/earnings-fy-2025-q1</t>
        </is>
      </c>
      <c r="AO122" t="inlineStr">
        <is>
          <t>manifest</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row>
    <row r="123" ht="16.35" customHeight="1">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https://www.fool.com/earnings/call-transcripts/2025/01/29/microsoft-msft-q2-2025-earnings-call-transcript/</t>
        </is>
      </c>
      <c r="AO123" t="inlineStr">
        <is>
          <t>manifest</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row>
    <row r="124" ht="16.35" customHeight="1">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https://www.microsoft.com/en-us/investor/events/fy-2026/earnings-fy-2026-q1</t>
        </is>
      </c>
      <c r="AO124" t="inlineStr">
        <is>
          <t>manifest</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row>
    <row r="125" ht="16.35" customHeight="1">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O125" t="inlineStr">
        <is>
          <t>unique filename match</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row>
    <row r="126" ht="16.35" customHeight="1">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O126" t="inlineStr">
        <is>
          <t>unique filename match</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row>
    <row r="127" ht="16.35" customHeight="1">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O127" t="inlineStr">
        <is>
          <t>unique filename match</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row>
    <row r="128" ht="16.35" customHeight="1">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https://home.barclays/content/dam/home-barclays/documents/investor-relations/ResultAnnouncements/H12025Results/Q225-Q&amp;A-Transcript.pdf</t>
        </is>
      </c>
      <c r="AO128" t="inlineStr">
        <is>
          <t>manifest</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row>
    <row r="129" ht="16.35" customHeight="1">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https://www.fool.com/earnings/call-transcripts/2026/04/28/barclays-bcs-q3-2025-earnings-call-transcript/</t>
        </is>
      </c>
      <c r="AO129" t="inlineStr">
        <is>
          <t>manifest</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row>
    <row r="130" ht="16.35" customHeight="1">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https://home.barclays/content/dam/home-barclays/documents/investor-relations/ResultAnnouncements/Q12026Results/Q126%20Results%20QA%20transcript.pdf</t>
        </is>
      </c>
      <c r="AO130" t="inlineStr">
        <is>
          <t>manifest</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row>
    <row r="131" ht="16.35" customHeight="1">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O131" t="inlineStr">
        <is>
          <t>whole bundle (Document = All)</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row>
    <row r="132" ht="16.35" customHeight="1">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O132" t="inlineStr">
        <is>
          <t>whole bundle (Document = All)</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row>
    <row r="133" ht="16.35" customHeight="1">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O133" t="inlineStr">
        <is>
          <t>unique filename match</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row>
    <row r="134" ht="16.35" customHeight="1">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O134" t="inlineStr">
        <is>
          <t>whole bundle (Document = All)</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row>
    <row r="135" ht="16.35" customHeight="1">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O135" t="inlineStr">
        <is>
          <t>whole bundle (Document = All)</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row>
    <row r="136" ht="16.35" customHeight="1">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O136" t="inlineStr">
        <is>
          <t>whole bundle (Document = All)</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row>
    <row r="137" ht="16.35" customHeight="1">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O137" t="inlineStr">
        <is>
          <t>whole bundle (Document = All)</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row>
    <row r="138" ht="16.35" customHeight="1">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O138" t="inlineStr">
        <is>
          <t>whole bundle (Document = All)</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row>
    <row r="139" ht="16.35" customHeight="1">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O139" t="inlineStr">
        <is>
          <t>whole bundle (Document = All)</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row>
    <row r="140" ht="16.35" customHeight="1">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O140" t="inlineStr">
        <is>
          <t>whole bundle (Document = All)</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row>
    <row r="141" ht="16.35" customHeight="1">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O141" t="inlineStr">
        <is>
          <t>whole bundle (Document = All)</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row>
    <row r="142" ht="16.35" customHeight="1">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O142" t="inlineStr">
        <is>
          <t>whole bundle (Document = All)</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row>
    <row r="143" ht="16.35" customHeight="1">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O143" t="inlineStr">
        <is>
          <t>manifest</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row>
    <row r="144" ht="16.35" customHeight="1">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O144" t="inlineStr">
        <is>
          <t>manifest</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row>
    <row r="145" ht="16.35" customHeight="1">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O145" t="inlineStr">
        <is>
          <t>unique filename match</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row>
    <row r="146" ht="16.35" customHeight="1">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O146" t="inlineStr">
        <is>
          <t>unique filename match</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row>
    <row r="147" ht="16.35" customHeight="1">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O147" t="inlineStr">
        <is>
          <t>unique filename match</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row>
    <row r="148" ht="16.35" customHeight="1">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O148" t="inlineStr">
        <is>
          <t>unique filename match</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row>
    <row r="149" ht="16.35" customHeight="1">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O149" t="inlineStr">
        <is>
          <t>unique filename match</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row>
    <row r="150" ht="16.35" customHeight="1">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O150" t="inlineStr">
        <is>
          <t>unique filename match</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row>
    <row r="151" ht="16.35" customHeight="1">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O151" t="inlineStr">
        <is>
          <t>unique filename match</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row>
    <row r="152" ht="16.35" customHeight="1">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O152" t="inlineStr">
        <is>
          <t>unique filename match</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row>
    <row r="153" ht="16.35" customHeight="1">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O153" t="inlineStr">
        <is>
          <t>unique filename match</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row>
    <row r="154" ht="16.35" customHeight="1">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O154" t="inlineStr">
        <is>
          <t>unique filename match</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row>
    <row r="155" ht="16.35" customHeight="1">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O155" t="inlineStr">
        <is>
          <t>unique filename match</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row>
    <row r="156" ht="16.35" customHeight="1">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O156" t="inlineStr">
        <is>
          <t>unique filename match</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row>
    <row r="157" ht="16.35" customHeight="1">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O157" t="inlineStr">
        <is>
          <t>unique filename match</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row>
    <row r="158" ht="16.35" customHeight="1">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O158" t="inlineStr">
        <is>
          <t>unique filename match</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row>
    <row r="159" ht="16.35" customHeight="1">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https://www.fool.com/earnings/call-transcripts/2026/02/10/marriott-mar-q4-2025-earnings-call-transcript/</t>
        </is>
      </c>
      <c r="AO159" t="inlineStr">
        <is>
          <t>manifest</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row>
    <row r="160" ht="16.35" customHeight="1">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O160" t="inlineStr">
        <is>
          <t>unique filename match</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row>
    <row r="161" ht="16.35" customHeight="1">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https://corporate.target.com/getmedia/9c383747-166d-4310-b91f-cd77b7d06433/2025-May-21-TGT-Transcript.pdf%C2%A0%C2%A0</t>
        </is>
      </c>
      <c r="AO161" t="inlineStr">
        <is>
          <t>manifest</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https://corporate.target.com/getmedia/c5751599-850d-4bb0-b599-d8ac55a91156/2025-august-20-tgt-transcript.pdf</t>
        </is>
      </c>
      <c r="AO162" t="inlineStr">
        <is>
          <t>manifest</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https://corporate.target.com/getmedia/1b701222-ff3c-4f65-b4b7-d0de5511f9a4/TGT-Transcript-2025-11-19.pdf</t>
        </is>
      </c>
      <c r="AO163" t="inlineStr">
        <is>
          <t>manifest</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https://www.fool.com/earnings/call-transcripts/2026/05/20/target-tgt-q1-2026-earnings-call-transcript/</t>
        </is>
      </c>
      <c r="AO164" t="inlineStr">
        <is>
          <t>manifest</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O165" t="inlineStr">
        <is>
          <t>unique filename match</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O166" t="inlineStr">
        <is>
          <t>unique filename match</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O167" t="inlineStr">
        <is>
          <t>unique filename match</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O168" t="inlineStr">
        <is>
          <t>unique filename match</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O169" t="inlineStr">
        <is>
          <t>unique filename match</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O170" t="inlineStr">
        <is>
          <t>unique filename match</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O171" t="inlineStr">
        <is>
          <t>unique filename match</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O172" t="inlineStr">
        <is>
          <t>unique filename match</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O173" t="inlineStr">
        <is>
          <t>unique filename match</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O174" t="inlineStr">
        <is>
          <t>unique filename match</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O175" t="inlineStr">
        <is>
          <t>unique filename match</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O176" t="inlineStr">
        <is>
          <t>unique filename match</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O177" t="inlineStr">
        <is>
          <t>unique filename match</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O178" t="inlineStr">
        <is>
          <t>unique filename match</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O179" t="inlineStr">
        <is>
          <t>unique filename match</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O180" t="inlineStr">
        <is>
          <t>unique filename match</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O181" t="inlineStr">
        <is>
          <t>unique filename match</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O182" t="inlineStr">
        <is>
          <t>unique filename match</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O183" t="inlineStr">
        <is>
          <t>unique filename match</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O184" t="inlineStr">
        <is>
          <t>unique filename match</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O185" t="inlineStr">
        <is>
          <t>unique filename match</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O186" t="inlineStr">
        <is>
          <t>unique filename match</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https://www.fool.com/earnings/call-transcripts/2026/01/29/comcast-cmcsa-q4-2025-earnings-call-transcript/</t>
        </is>
      </c>
      <c r="AO187" t="inlineStr">
        <is>
          <t>manifest</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O188" t="inlineStr">
        <is>
          <t>unique filename match</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O189" t="inlineStr">
        <is>
          <t>unique filename match</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O190" t="inlineStr">
        <is>
          <t>unique filename match</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O191" t="inlineStr">
        <is>
          <t>unique filename match</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O192" t="inlineStr">
        <is>
          <t>unique filename match</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46064</v>
      </c>
      <c r="N193" s="147" t="n">
        <v>24.99</v>
      </c>
      <c r="O193" s="126" t="n">
        <v>46065</v>
      </c>
      <c r="P193" s="145" t="n">
        <v>24.47</v>
      </c>
      <c r="Q193" s="150">
        <f>IF(OR(N193="",P193=""),"",ROUND((P193-N193)/N193,4))</f>
        <v/>
      </c>
      <c r="R193" s="106">
        <f>IF(OR(N193="",P193=""),"",IF(Q193&gt;Settings!$B$3/100,"UP",IF(Q193&lt;-Settings!$B$3/100,"DOWN","FLAT")))</f>
        <v/>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O193" t="inlineStr">
        <is>
          <t>unique filename match</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O194" t="inlineStr">
        <is>
          <t>unique filename match</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https://assets.linde.com/-/media/global/corporate/corporate/documents/investors/quarterly-earnings/linde2q25teleconferenceslides.pdf</t>
        </is>
      </c>
      <c r="AO195" t="inlineStr">
        <is>
          <t>manifest</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O196" t="inlineStr">
        <is>
          <t>unique filename match</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O197" t="inlineStr">
        <is>
          <t>unique filename match</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O198" t="inlineStr">
        <is>
          <t>unique filename match</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O199" t="inlineStr">
        <is>
          <t>unique filename match</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O200" t="inlineStr">
        <is>
          <t>unique filename match</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O201" t="inlineStr">
        <is>
          <t>unique filename match</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O202" t="inlineStr">
        <is>
          <t>unique filename match</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O203" t="inlineStr">
        <is>
          <t>unique filename match</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O204" t="inlineStr">
        <is>
          <t>unique filename match</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O205" t="inlineStr">
        <is>
          <t>unique filename match</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O206" t="inlineStr">
        <is>
          <t>unique filename match</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O207" t="inlineStr">
        <is>
          <t>unique filename match</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O208" t="inlineStr">
        <is>
          <t>unique filename match</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O209" t="inlineStr">
        <is>
          <t>unique filename match</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O210" t="inlineStr">
        <is>
          <t>unique filename match</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O211" t="inlineStr">
        <is>
          <t>unique filename match</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O212" t="inlineStr">
        <is>
          <t>unique filename match</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O213" t="inlineStr">
        <is>
          <t>unique filename match</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O214" t="inlineStr">
        <is>
          <t>unique filename match</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https://www.sec.gov/Archives/edgar/data/1058090/000105809025000086/cmg-20251029xex991.htm</t>
        </is>
      </c>
      <c r="AO215" t="inlineStr">
        <is>
          <t>manifest</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https://www.sec.gov/Archives/edgar/data/1058090/000105809025000055/cmg-20250723xex991.htm</t>
        </is>
      </c>
      <c r="AO216" t="inlineStr">
        <is>
          <t>manifest</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https://www.sec.gov/Archives/edgar/data/1058090/000105809025000028/cmg-20250423xex991.htm</t>
        </is>
      </c>
      <c r="AO217" t="inlineStr">
        <is>
          <t>manifest</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O218" t="inlineStr">
        <is>
          <t>unique filename match</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O219" t="inlineStr">
        <is>
          <t>unique filename match</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Heineken N.V. investor relations, supplied by the group (original filename hy-24-results-presentation.pdf)</t>
        </is>
      </c>
      <c r="AO220" t="inlineStr">
        <is>
          <t>manifest</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O221" t="inlineStr">
        <is>
          <t>unique filename match</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https://www.sec.gov/Archives/edgar/data/1561550/000162828026031677/ex-991x20260331x8k.htm</t>
        </is>
      </c>
      <c r="AO222" t="inlineStr">
        <is>
          <t>manifest</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https://www.sec.gov/Archives/edgar/data/1561550/000156155025000310/ex-991x20250930x8k.htm</t>
        </is>
      </c>
      <c r="AO223" t="inlineStr">
        <is>
          <t>manifest</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O224" t="inlineStr">
        <is>
          <t>unique filename match</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https://www.sec.gov/Archives/edgar/data/1561550/000156155025000216/ex-991x20250630x8k.htm</t>
        </is>
      </c>
      <c r="AO225" t="inlineStr">
        <is>
          <t>manifest</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O226" t="inlineStr">
        <is>
          <t>unique filename match</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O227" t="inlineStr">
        <is>
          <t>unique filename match</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O228" t="inlineStr">
        <is>
          <t>unique filename match</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O229" t="inlineStr">
        <is>
          <t>unique filename match</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O230" t="inlineStr">
        <is>
          <t>unique filename match</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O231" t="inlineStr">
        <is>
          <t>unique filename match</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O232" t="inlineStr">
        <is>
          <t>unique filename match</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O233" t="inlineStr">
        <is>
          <t>unique filename match</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O234" t="inlineStr">
        <is>
          <t>whole bundle (Document = All)</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O235" t="inlineStr">
        <is>
          <t>unique filename match</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O236" t="inlineStr">
        <is>
          <t>whole bundle (Document = All)</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https://www.sec.gov/Archives/edgar/data/27904/000168316825002353/delta_ex9901.htm</t>
        </is>
      </c>
      <c r="AO237" t="inlineStr">
        <is>
          <t>manifest</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O238" t="inlineStr">
        <is>
          <t>unique filename match</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O239" t="inlineStr">
        <is>
          <t>unique filename match</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O240" t="inlineStr">
        <is>
          <t>whole bundle (Document = All)</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O241" t="inlineStr">
        <is>
          <t>unique filename match</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O242" t="inlineStr">
        <is>
          <t>unique filename match</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O243" t="inlineStr">
        <is>
          <t>unique filename match</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O244" t="inlineStr">
        <is>
          <t>whole bundle (Document = All)</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O245" t="inlineStr">
        <is>
          <t>unique filename match</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O246" t="inlineStr">
        <is>
          <t>unique filename match</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O247" t="inlineStr">
        <is>
          <t>unique filename match</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O248" t="inlineStr">
        <is>
          <t>unique filename match</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O249" t="inlineStr">
        <is>
          <t>whole bundle (Document = All)</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O250" t="inlineStr">
        <is>
          <t>whole bundle (Document = All)</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O251" t="inlineStr">
        <is>
          <t>whole bundle (Document = All)</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O252" t="inlineStr">
        <is>
          <t>whole bundle (Document = All)</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O253" t="inlineStr">
        <is>
          <t>whole bundle (Document = All)</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O254" t="inlineStr">
        <is>
          <t>whole bundle (Document = All)</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O255" t="inlineStr">
        <is>
          <t>whole bundle (Document = All)</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O256" t="inlineStr">
        <is>
          <t>whole bundle (Document = All)</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O257" t="inlineStr">
        <is>
          <t>whole bundle (Document = All)</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O258" t="inlineStr">
        <is>
          <t>whole bundle (Document = All)</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O259" t="inlineStr">
        <is>
          <t>whole bundle (Document = All)</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O260" t="inlineStr">
        <is>
          <t>whole bundle (Document = All)</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O261" t="inlineStr">
        <is>
          <t>whole bundle (Document = All)</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O262" t="inlineStr">
        <is>
          <t>whole bundle (Document = All)</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O263" t="inlineStr">
        <is>
          <t>whole bundle (Document = All)</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O264" t="inlineStr">
        <is>
          <t>whole bundle (Document = All)</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https://www.insidermonkey.com/blog/metlife-inc-nysemet-q1-2025-earnings-call-transcript-1523164/; https://www.sec.gov/Archives/edgar/data/1099219/000109921925000133/ex991earningsreleasetables.htm; https://www.sec.gov/Archives/edgar/data/1099219/000109921925000133/ex992qfsq125.htm</t>
        </is>
      </c>
      <c r="AO265" t="inlineStr">
        <is>
          <t>manifest (whole bundle)</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https://www.insidermonkey.com/blog/metlife-inc-nysemet-q2-2025-earnings-call-transcript-1587127/; https://www.sec.gov/Archives/edgar/data/1099219/000109921925000191/ex991earningsreleasetables.htm; https://www.sec.gov/Archives/edgar/data/1099219/000109921925000191/ex992qfsq225.htm</t>
        </is>
      </c>
      <c r="AO266" t="inlineStr">
        <is>
          <t>manifest (whole bundle)</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https://news.alphastreet.com/metlife-inc-met-q3-2025-earnings-call-transcript/; https://www.sec.gov/Archives/edgar/data/1099219/000109921925000227/ex991earningsreleasetables.htm; https://www.sec.gov/Archives/edgar/data/1099219/000109921925000227/ex992qfsq325.htm</t>
        </is>
      </c>
      <c r="AO267" t="inlineStr">
        <is>
          <t>manifest (whole bundle)</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https://www.insidermonkey.com/blog/metlife-inc-nysemet-q4-2025-earnings-call-transcript-1690172/; https://www.sec.gov/Archives/edgar/data/1099219/000109921926000008/ex991earningsreleasetables.htm; https://www.sec.gov/Archives/edgar/data/1099219/000109921926000008/ex992qfsq425.htm</t>
        </is>
      </c>
      <c r="AO268" t="inlineStr">
        <is>
          <t>manifest (whole bundle)</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https://www.insidermonkey.com/blog/metlife-inc-nysemet-q1-2026-earnings-call-transcript-1756889/; https://www.sec.gov/Archives/edgar/data/1099219/000109921926000032/ex991earningsreleasetables.htm; https://www.sec.gov/Archives/edgar/data/1099219/000109921926000032/ex992qfsq126.htm</t>
        </is>
      </c>
      <c r="AO269" t="inlineStr">
        <is>
          <t>manifest (whole bundle)</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https://news.alphastreet.com/metlife-inc-met-q1-2023-earnings-call-transcript/; https://www.sec.gov/Archives/edgar/data/1099219/000109921923000156/ex991earningsreleasetables.htm; https://www.sec.gov/Archives/edgar/data/1099219/000109921923000156/ex992qfsq123doc-ldti.htm</t>
        </is>
      </c>
      <c r="AO270" t="inlineStr">
        <is>
          <t>manifest (whole bundle)</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https://www.insidermonkey.com/blog/metlife-inc-nysemet-q2-2023-earnings-call-transcript-1176871/; https://www.sec.gov/Archives/edgar/data/1099219/000109921923000207/ex991earningsreleasetables.htm; https://www.sec.gov/Archives/edgar/data/1099219/000109921923000207/ex992qfsq223doc.htm</t>
        </is>
      </c>
      <c r="AO271" t="inlineStr">
        <is>
          <t>manifest (whole bundle)</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https://www.insidermonkey.com/blog/metlife-inc-nysemet-q3-2023-earnings-call-transcript-1216220/; https://www.sec.gov/Archives/edgar/data/1099219/000109921923000266/ex991earningsreleasetables.htm; https://www.sec.gov/Archives/edgar/data/1099219/000109921923000266/ex992qfsq323doc.htm</t>
        </is>
      </c>
      <c r="AO272" t="inlineStr">
        <is>
          <t>manifest (whole bundle)</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https://www.insidermonkey.com/blog/metlife-inc-nysemet-q4-2023-earnings-call-transcript-1252835/; https://www.sec.gov/Archives/edgar/data/1099219/000109921924000028/ex991earningsreleasetables.htm; https://www.sec.gov/Archives/edgar/data/1099219/000109921924000028/ex992qfsq423doc.htm</t>
        </is>
      </c>
      <c r="AO273" t="inlineStr">
        <is>
          <t>manifest (whole bundle)</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https://www.insidermonkey.com/blog/metlife-inc-nysemet-q1-2024-earnings-call-transcript-1296279/; https://www.sec.gov/Archives/edgar/data/1099219/000109921924000139/ex991earningsreleasetables.htm; https://www.sec.gov/Archives/edgar/data/1099219/000109921924000139/ex992qfsq124.htm</t>
        </is>
      </c>
      <c r="AO274" t="inlineStr">
        <is>
          <t>manifest (whole bundle)</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https://stockanalysis.com/stocks/met/transcripts/190195-q2-2024/; https://www.sec.gov/Archives/edgar/data/1099219/000109921924000196/ex991earningsreleasetables.htm; https://www.sec.gov/Archives/edgar/data/1099219/000109921924000196/ex992qfsq224.htm</t>
        </is>
      </c>
      <c r="AO275" t="inlineStr">
        <is>
          <t>manifest (whole bundle)</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https://www.insidermonkey.com/blog/metlife-inc-nysemet-q3-2024-earnings-call-transcript-1383939/; https://www.sec.gov/Archives/edgar/data/1099219/000109921924000255/ex991earningsreleasetables.htm; https://www.sec.gov/Archives/edgar/data/1099219/000109921924000255/ex992qfsq324.htm</t>
        </is>
      </c>
      <c r="AO276" t="inlineStr">
        <is>
          <t>manifest (whole bundle)</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https://www.insidermonkey.com/blog/metlife-inc-nysemet-q4-2024-earnings-call-transcript-1445993/; https://www.sec.gov/Archives/edgar/data/1099219/000109921925000039/ex991earningsreleasetables.htm; https://www.sec.gov/Archives/edgar/data/1099219/000109921925000039/ex992qfsq424.htm</t>
        </is>
      </c>
      <c r="AO277" t="inlineStr">
        <is>
          <t>manifest (whole bundle)</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O278" t="inlineStr">
        <is>
          <t>unique filename match</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O279" t="inlineStr">
        <is>
          <t>unique filename match</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O280" t="inlineStr">
        <is>
          <t>unique filename match</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O281" t="inlineStr">
        <is>
          <t>unique filename match</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O282" t="inlineStr">
        <is>
          <t>unique filename match</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O283" t="inlineStr">
        <is>
          <t>unique filename match</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O284" t="inlineStr">
        <is>
          <t>whole bundle (Document = All)</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https://www.sec.gov/Archives/edgar/data/909832/000090983226000025/costex9918-k3526.htm</t>
        </is>
      </c>
      <c r="AO285" t="inlineStr">
        <is>
          <t>manifest</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O286" t="inlineStr">
        <is>
          <t>unique filename match</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O287" t="inlineStr">
        <is>
          <t>whole bundle (Document = All)</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O288" t="inlineStr">
        <is>
          <t>whole bundle (Document = All)</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O289" t="inlineStr">
        <is>
          <t>unique filename match</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https://www.sec.gov/Archives/edgar/data/313838/000110465925109537/tm2530473d2_6k.htm</t>
        </is>
      </c>
      <c r="AO290" t="inlineStr">
        <is>
          <t>manifest</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https://www.sec.gov/Archives/edgar/data/313838/000110465926010560/tm264796d5_6k.htm</t>
        </is>
      </c>
      <c r="AO291" t="inlineStr">
        <is>
          <t>manifest</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https://www.sec.gov/Archives/edgar/data/313838/000110465926088922/tm2621477d2_6k.htm</t>
        </is>
      </c>
      <c r="AO292" t="inlineStr">
        <is>
          <t>manifest</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O293" t="inlineStr">
        <is>
          <t>whole bundle (Document = All)</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O294" t="inlineStr">
        <is>
          <t>whole bundle (Document = All)</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https://www.fool.com/earnings/call-transcripts/2026/04/29/alphabet-googl-q1-2026-earnings-call-transcript/</t>
        </is>
      </c>
      <c r="AO295" t="inlineStr">
        <is>
          <t>manifest</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https://www.fool.com/earnings/call-transcripts/2025/10/30/alphabet-goog-q3-2025-earnings-call-transcript/</t>
        </is>
      </c>
      <c r="AO296" t="inlineStr">
        <is>
          <t>manifest</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https://www.sec.gov/Archives/edgar/data/1652044/000165204426000012/googexhibit991q42025.htm</t>
        </is>
      </c>
      <c r="AO297" t="inlineStr">
        <is>
          <t>manifest</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O298" t="inlineStr">
        <is>
          <t>unique filename match</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O299" t="inlineStr">
        <is>
          <t>unique filename match</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O300" t="inlineStr">
        <is>
          <t>unique filename match</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https://www.fool.com/earnings/call-transcripts/2026/03/04/broadcom-avgo-q1-2026-earnings-call-transcript/</t>
        </is>
      </c>
      <c r="AO301" t="inlineStr">
        <is>
          <t>manifest</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https://www.sec.gov/Archives/edgar/data/1730168/000173016825000094/avgo-08032025x8kxex99.htm</t>
        </is>
      </c>
      <c r="AO302" t="inlineStr">
        <is>
          <t>manifest</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https://www.fool.com/earnings/call-transcripts/2025/12/12/broadcom-avgo-q4-2025-earnings-call-transcript/</t>
        </is>
      </c>
      <c r="AO303" t="inlineStr">
        <is>
          <t>manifest</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O304" t="inlineStr">
        <is>
          <t>unique filename match</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https://www.sec.gov/Archives/edgar/data/909832/000090983226000025/costex9918-k3526.htm</t>
        </is>
      </c>
      <c r="AO305" t="inlineStr">
        <is>
          <t>manifest</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https://news.alphastreet.com/costco-wholesale-corporation-cost-q4-2025-earnings-call-transcript/</t>
        </is>
      </c>
      <c r="AO306" t="inlineStr">
        <is>
          <t>manifest</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https://news.alphastreet.com/oracle-corporation-orcl-q1-2026-earnings-call-transcript/</t>
        </is>
      </c>
      <c r="AO307" t="inlineStr">
        <is>
          <t>manifest</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https://www.sec.gov/Archives/edgar/data/1341439/000119312525314207/orcl-ex99_1.htm</t>
        </is>
      </c>
      <c r="AO308" t="inlineStr">
        <is>
          <t>manifest</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https://www.fool.com/earnings/call-transcripts/2026/03/10/oracle-orcl-q3-2026-earnings-call-transcript/</t>
        </is>
      </c>
      <c r="AO309" t="inlineStr">
        <is>
          <t>manifest</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https://www.sec.gov/Archives/edgar/data/829224/000082922426000010/sbux-12282025xearningsrele.htm</t>
        </is>
      </c>
      <c r="AO310" t="inlineStr">
        <is>
          <t>manifest</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https://www.fool.com/earnings/call-transcripts/2025/08/05/starbucks-sbux-q3-2025-earnings-call-transcript/</t>
        </is>
      </c>
      <c r="AO311" t="inlineStr">
        <is>
          <t>manifest</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https://www.fool.com/earnings/call-transcripts/2025/10/29/starbucks-sbux-q4-2025-earnings-call-transcript/</t>
        </is>
      </c>
      <c r="AO312" t="inlineStr">
        <is>
          <t>manifest</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https://www.sec.gov/Archives/edgar/data/18230/000001823025000040/cat-20250630.htm</t>
        </is>
      </c>
      <c r="AO313" t="inlineStr">
        <is>
          <t>manifest</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https://s25.q4cdn.com/358376879/files/doc_financials/2025/q3/3Q-2025-Caterpillar-Inc-Earnings-Call-Transcript_-10-29-2025.pdf</t>
        </is>
      </c>
      <c r="AO314" t="inlineStr">
        <is>
          <t>manifest</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https://www.fool.com/earnings/call-transcripts/2026/01/29/caterpillar-cat-q4-2025-earnings-call-transcript/</t>
        </is>
      </c>
      <c r="AO315" t="inlineStr">
        <is>
          <t>manifest</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https://news.alphastreet.com/micron-technology-inc-mu-q1-2026-earnings-call-transcript/</t>
        </is>
      </c>
      <c r="AO316" t="inlineStr">
        <is>
          <t>manifest</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https://www.sec.gov/Archives/edgar/data/723125/000072312526000006/mu-20260226.htm</t>
        </is>
      </c>
      <c r="AO317" t="inlineStr">
        <is>
          <t>manifest</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https://news.alphastreet.com/micron-technology-inc-mu-q4-2025-earnings-call-transcript/</t>
        </is>
      </c>
      <c r="AO318" t="inlineStr">
        <is>
          <t>manifest</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https://www.sec.gov/Archives/edgar/data/1108524/000110852425000088/crm-20250731.htm</t>
        </is>
      </c>
      <c r="AO319" t="inlineStr">
        <is>
          <t>manifest</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https://s205.q4cdn.com/626266368/files/doc_financials/2026/q3/Transcript-Salesforce-Inc-Q3-FY26-Earnings-Conference-Call-12-3-25.pdf</t>
        </is>
      </c>
      <c r="AO320" t="inlineStr">
        <is>
          <t>manifest</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https://news.alphastreet.com/salesforce-inc-crm-q4-2026-earnings-call-transcript/</t>
        </is>
      </c>
      <c r="AO321" t="inlineStr">
        <is>
          <t>manifest</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https://www.unitedhealthgroup.com/content/dam/UHG/PDF/investors/2025/UNH-Q2-2025-Remarks.pdf</t>
        </is>
      </c>
      <c r="AO322" t="inlineStr">
        <is>
          <t>manifest</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https://www.sec.gov/Archives/edgar/data/731766/000073176625000305/unh-20250930.htm</t>
        </is>
      </c>
      <c r="AO323" t="inlineStr">
        <is>
          <t>manifest</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https://www.unitedhealthgroup.com/content/dam/UHG/PDF/investors/2025/unh-q4-2025-remarks.pdf</t>
        </is>
      </c>
      <c r="AO324" t="inlineStr">
        <is>
          <t>manifest</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https://www.fool.com/earnings/call-transcripts/2025/07/23/freeport-fcx-q2-2025-earnings-call-transcript/</t>
        </is>
      </c>
      <c r="AO325" t="inlineStr">
        <is>
          <t>manifest</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https://www.fool.com/earnings/call-transcripts/2026/01/26/union-pacific-unp-q2-2025-earnings-transcript/</t>
        </is>
      </c>
      <c r="AO326" t="inlineStr">
        <is>
          <t>manifest</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https://www.unitedhealthgroup.com/content/dam/UHG/PDF/investors/2025/UNH-Q2-2025-Remarks.pdf</t>
        </is>
      </c>
      <c r="AO327" t="inlineStr">
        <is>
          <t>manifest</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https://news.alphastreet.com/caterpillar-inc-cat-q2-2025-earnings-call-transcript/</t>
        </is>
      </c>
      <c r="AO328" t="inlineStr">
        <is>
          <t>manifest</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https://ir.homedepot.com/~/media/Files/H/HomeDepot-IR/reports-and-presentations/quarterly-earnings/2025/hd-2q25-transcript-vf.pdf</t>
        </is>
      </c>
      <c r="AO329" t="inlineStr">
        <is>
          <t>manifest</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https://news.alphastreet.com/adobe-inc-adbe-q3-2025-earnings-call-transcript/</t>
        </is>
      </c>
      <c r="AO330" t="inlineStr">
        <is>
          <t>manifest</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https://www.fool.com/earnings/call-transcripts/2026/01/26/union-pacific-unp-q3-2025-earnings-transcript/</t>
        </is>
      </c>
      <c r="AO331" t="inlineStr">
        <is>
          <t>manifest</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https://news.alphastreet.com/unitedhealth-group-incorporated-unh-q3-2025-earnings-call-transcript/</t>
        </is>
      </c>
      <c r="AO332" t="inlineStr">
        <is>
          <t>manifest</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https://s25.q4cdn.com/358376879/files/doc_financials/2025/q3/3Q-2025-Caterpillar-Inc-Earnings-Call-Transcript_-10-29-2025.pdf</t>
        </is>
      </c>
      <c r="AO333" t="inlineStr">
        <is>
          <t>manifest</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https://ir.homedepot.com/~/media/Files/H/HomeDepot-IR/2025/the-home-depot-inc-hd-us-q3-2025-earnings-call-v1.pdf</t>
        </is>
      </c>
      <c r="AO334" t="inlineStr">
        <is>
          <t>manifest</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https://www.fool.com/earnings/call-transcripts/2025/12/10/adobe-adbe-q4-2025-earnings-call-transcript/</t>
        </is>
      </c>
      <c r="AO335" t="inlineStr">
        <is>
          <t>manifest</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https://www.fool.com/earnings/call-transcripts/2026/01/22/freeport-mcmoran-fcx-q4-2025-earnings-transcript/</t>
        </is>
      </c>
      <c r="AO336" t="inlineStr">
        <is>
          <t>manifest</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https://www.unitedhealthgroup.com/content/dam/UHG/PDF/investors/2025/unh-q4-2025-remarks.pdf</t>
        </is>
      </c>
      <c r="AO337" t="inlineStr">
        <is>
          <t>manifest</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https://www.fool.com/earnings/call-transcripts/2026/01/27/union-pacific-unp-q4-2025-earnings-transcript/</t>
        </is>
      </c>
      <c r="AO338" t="inlineStr">
        <is>
          <t>manifest</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https://www.fool.com/earnings/call-transcripts/2026/01/29/caterpillar-cat-q4-2025-earnings-call-transcript/</t>
        </is>
      </c>
      <c r="AO339" t="inlineStr">
        <is>
          <t>manifest</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https://ir.homedepot.com/~/media/Files/H/HomeDepot-IR/reports-and-presentations/quarterly-earnings/hd-4q25-transcript.pdf</t>
        </is>
      </c>
      <c r="AO340" t="inlineStr">
        <is>
          <t>manifest</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https://www.fool.com/earnings/call-transcripts/2026/03/12/adobe-adbe-q1-2026-earnings-call-transcript/</t>
        </is>
      </c>
      <c r="AO341" t="inlineStr">
        <is>
          <t>manifest</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https://www.unitedhealthgroup.com/content/dam/UHG/PDF/investors/2026/unh-q1-2026-remarks.pdf</t>
        </is>
      </c>
      <c r="AO342" t="inlineStr">
        <is>
          <t>manifest</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https://www.fool.com/earnings/call-transcripts/2026/04/23/freeport-fcx-q1-2026-earnings-transcript/</t>
        </is>
      </c>
      <c r="AO343" t="inlineStr">
        <is>
          <t>manifest</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https://www.fool.com/earnings/call-transcripts/2026/04/23/union-pacific-unp-q1-2026-earnings-transcript/</t>
        </is>
      </c>
      <c r="AO344" t="inlineStr">
        <is>
          <t>manifest</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https://www.fool.com/earnings/call-transcripts/2026/04/30/caterpillar-cat-q1-2026-earnings-transcript/</t>
        </is>
      </c>
      <c r="AO345" t="inlineStr">
        <is>
          <t>manifest</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https://ir.homedepot.com/~/media/Files/H/HomeDepot-IR/2026/hd-1q26-transcript.pdf</t>
        </is>
      </c>
      <c r="AO346" t="inlineStr">
        <is>
          <t>manifest</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https://www.fool.com/earnings/call-transcripts/2026/06/11/adobe-adbe-q2-2026-earnings-transcript/</t>
        </is>
      </c>
      <c r="AO347" t="inlineStr">
        <is>
          <t>manifest</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https://www.insidermonkey.com/blog/pepsico-inc-nasdaqpep-q1-2023-earnings-call-transcript-1143519/; https://www.sec.gov/Archives/edgar/data/77476/000007747623000025/q120238-kxexhibit991.htm</t>
        </is>
      </c>
      <c r="AO348" t="inlineStr">
        <is>
          <t>manifest (whole bundle)</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https://www.insidermonkey.com/blog/pepsico-inc-nasdaqpep-q2-2023-earnings-call-transcript-1168148/; https://www.sec.gov/Archives/edgar/data/77476/000007747623000048/q220238-kxexhibit991.htm</t>
        </is>
      </c>
      <c r="AO349" t="inlineStr">
        <is>
          <t>manifest (whole bundle)</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https://www.insidermonkey.com/blog/pepsico-inc-nasdaqpep-q3-2023-earnings-call-transcript-1203808/; https://www.sec.gov/Archives/edgar/data/77476/000007747623000060/q320238-kxexhibit991.htm</t>
        </is>
      </c>
      <c r="AO350" t="inlineStr">
        <is>
          <t>manifest (whole bundle)</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https://www.insidermonkey.com/blog/pepsico-inc-nasdaqpep-q4-2023-earnings-call-transcript-1256907/; https://www.sec.gov/Archives/edgar/data/77476/000007747624000010/q420238-kxexhibit991.htm</t>
        </is>
      </c>
      <c r="AO351" t="inlineStr">
        <is>
          <t>manifest (whole bundle)</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https://www.insidermonkey.com/blog/pepsico-inc-nasdaqpep-q1-2024-earnings-call-transcript-1291655/; https://www.sec.gov/Archives/edgar/data/77476/000007747624000019/q120248-kxexhibit991.htm</t>
        </is>
      </c>
      <c r="AO352" t="inlineStr">
        <is>
          <t>manifest (whole bundle)</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https://www.insidermonkey.com/blog/pepsico-inc-nasdaqpep-q2-2024-earnings-call-transcript-1322618/; https://www.sec.gov/Archives/edgar/data/77476/000007747624000043/q220248-kxexhibit991.htm</t>
        </is>
      </c>
      <c r="AO353" t="inlineStr">
        <is>
          <t>manifest (whole bundle)</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https://www.insidermonkey.com/blog/pepsico-inc-nasdaqpep-q3-2024-earnings-call-transcript-1369843/; https://www.sec.gov/Archives/edgar/data/77476/000007747624000054/q320248-kxexhibit991.htm</t>
        </is>
      </c>
      <c r="AO354" t="inlineStr">
        <is>
          <t>manifest (whole bundle)</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https://www.insidermonkey.com/blog/pepsico-inc-nasdaqpep-q4-2024-earnings-call-transcript-1443383/; https://www.sec.gov/Archives/edgar/data/77476/000007747625000008/q420248-kxexhibit991.htm</t>
        </is>
      </c>
      <c r="AO355" t="inlineStr">
        <is>
          <t>manifest (whole bundle)</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https://www.insidermonkey.com/blog/pepsico-inc-nasdaqpep-q1-2025-earnings-call-transcript-1519470/; https://www.sec.gov/Archives/edgar/data/77476/000007747625000022/q120258-kxexhibit991.htm</t>
        </is>
      </c>
      <c r="AO356" t="inlineStr">
        <is>
          <t>manifest (whole bundle)</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https://www.insidermonkey.com/blog/pepsico-inc-nasdaqpep-q2-2025-earnings-call-transcript-1571054/; https://www.sec.gov/Archives/edgar/data/77476/000007747625000046/q220258-kxexhibit991.htm</t>
        </is>
      </c>
      <c r="AO357" t="inlineStr">
        <is>
          <t>manifest (whole bundle)</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https://www.insidermonkey.com/blog/pepsico-inc-nasdaqpep-q3-2025-earnings-call-transcript-1625709/; https://www.sec.gov/Archives/edgar/data/77476/000007747625000055/q320258-kxexhibit991.htm</t>
        </is>
      </c>
      <c r="AO358" t="inlineStr">
        <is>
          <t>manifest (whole bundle)</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https://www.insidermonkey.com/blog/pepsico-inc-nasdaqpep-q4-2025-earnings-call-transcript-1688541/; https://www.sec.gov/Archives/edgar/data/77476/000007747626000009/q420258-kxexhibit991.htm</t>
        </is>
      </c>
      <c r="AO359" t="inlineStr">
        <is>
          <t>manifest (whole bundle)</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https://www.fool.com/earnings/call-transcripts/2026/04/16/pepsico-pep-q1-2026-earnings-call-transcript/; https://www.sec.gov/Archives/edgar/data/77476/000007747626000019/q120268-kxexhibit991.htm</t>
        </is>
      </c>
      <c r="AO360" t="inlineStr">
        <is>
          <t>manifest (whole bundle)</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https://news.alphastreet.com/pepsico-inc-pep-q2-2026-earnings-call-transcript/; https://www.sec.gov/Archives/edgar/data/77476/000007747626000037/q220268-kxexhibit991.htm</t>
        </is>
      </c>
      <c r="AO361" t="inlineStr">
        <is>
          <t>manifest (whole bundle)</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https://stockanalysis.com/stocks/duk/transcripts/53031-q1-2023/; https://www.sec.gov/Archives/edgar/data/1326160/000132616023000146/er-20230331xearningsreleas.htm</t>
        </is>
      </c>
      <c r="AO362" t="inlineStr">
        <is>
          <t>manifest (whole bundle)</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https://www.insidermonkey.com/blog/duke-energy-corporation-nyseduk-q2-2023-earnings-call-transcript-1181159/; https://www.sec.gov/Archives/edgar/data/1326160/000132616023000171/er-20230630xearningsreleas.htm</t>
        </is>
      </c>
      <c r="AO363" t="inlineStr">
        <is>
          <t>manifest (whole bundle)</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https://www.insidermonkey.com/blog/duke-energy-corporation-nyseduk-q3-2023-earnings-call-transcript-1216310/; https://www.sec.gov/Archives/edgar/data/1326160/000132616023000188/er-20230930xearningsreleas.htm</t>
        </is>
      </c>
      <c r="AO364" t="inlineStr">
        <is>
          <t>manifest (whole bundle)</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https://www.insidermonkey.com/blog/duke-energy-corporation-nyseduk-q4-2023-earnings-call-transcript-1256282/; https://www.sec.gov/Archives/edgar/data/1326160/000132616024000031/er-20231231xearningsreleas.htm</t>
        </is>
      </c>
      <c r="AO365" t="inlineStr">
        <is>
          <t>manifest (whole bundle)</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https://www.insidermonkey.com/blog/duke-energy-corporation-nyseduk-q1-2024-earnings-call-transcript-1298999/; https://www.sec.gov/Archives/edgar/data/1326160/000132616024000103/er-20240331xearningsreleas.htm</t>
        </is>
      </c>
      <c r="AO366" t="inlineStr">
        <is>
          <t>manifest (whole bundle)</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https://stockanalysis.com/stocks/duk/transcripts/166263-q2-2024/; https://www.sec.gov/Archives/edgar/data/1326160/000132616024000164/er-20240630xearningsreleas.htm</t>
        </is>
      </c>
      <c r="AO367" t="inlineStr">
        <is>
          <t>manifest (whole bundle)</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https://www.insidermonkey.com/blog/duke-energy-corporation-nyseduk-q3-2024-earnings-call-transcript-1388047/; https://www.sec.gov/Archives/edgar/data/1326160/000132616024000179/er-20240930xearningsreleas.htm</t>
        </is>
      </c>
      <c r="AO368" t="inlineStr">
        <is>
          <t>manifest (whole bundle)</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https://www.insidermonkey.com/blog/duke-energy-corporation-nyseduk-q4-2024-earnings-call-transcript-1452880/; https://www.sec.gov/Archives/edgar/data/1326160/000132616025000040/er-20241231xearningsreleas.htm</t>
        </is>
      </c>
      <c r="AO369" t="inlineStr">
        <is>
          <t>manifest (whole bundle)</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https://www.insidermonkey.com/blog/duke-energy-corporation-nyseduk-q1-2025-earnings-call-transcript-1526857/; https://www.sec.gov/Archives/edgar/data/1326160/000132616025000148/er-20250331xearningsreleas.htm</t>
        </is>
      </c>
      <c r="AO370" t="inlineStr">
        <is>
          <t>manifest (whole bundle)</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https://www.insidermonkey.com/blog/duke-energy-corporation-nyseduk-q2-2025-earnings-call-transcript-1584673/; https://www.sec.gov/Archives/edgar/data/1326160/000132616025000165/er-20250630xearningsreleas.htm</t>
        </is>
      </c>
      <c r="AO371" t="inlineStr">
        <is>
          <t>manifest (whole bundle)</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https://www.insidermonkey.com/blog/duke-energy-corporation-nyseduk-q3-2025-earnings-call-transcript-1642437/; https://www.sec.gov/Archives/edgar/data/1326160/000132616025000190/er-20250930xearningsreleas.htm</t>
        </is>
      </c>
      <c r="AO372" t="inlineStr">
        <is>
          <t>manifest (whole bundle)</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https://www.insidermonkey.com/blog/duke-energy-corporation-nyseduk-q4-2025-earnings-call-transcript-1693381/; https://www.sec.gov/Archives/edgar/data/1326160/000132616026000007/er-20251231xearningsreleas.htm</t>
        </is>
      </c>
      <c r="AO373" t="inlineStr">
        <is>
          <t>manifest (whole bundle)</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https://www.fool.com/earnings/call-transcripts/2026/05/05/duke-energy-duk-q1-2026-earnings-transcript/; https://www.sec.gov/Archives/edgar/data/1326160/000132616026000022/er-20260331xearningsreleas.htm</t>
        </is>
      </c>
      <c r="AO374" t="inlineStr">
        <is>
          <t>manifest (whole bundle)</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https://www.fool.com/earnings/call-transcripts/2023/04/28/exxonmobil-xom-q1-2023-earnings-call-transcript/; https://www.sec.gov/Archives/edgar/data/34088/000003408823000028/f8k1q23991.htm; https://www.sec.gov/Archives/edgar/data/34088/000003408823000028/f8k1q23992.htm</t>
        </is>
      </c>
      <c r="AO375" t="inlineStr">
        <is>
          <t>manifest (whole bundle)</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https://www.insidermonkey.com/blog/exxon-mobil-corporation-nysexom-q2-2023-earnings-call-transcript-1173871/; https://www.sec.gov/Archives/edgar/data/34088/000003408823000046/f8k2q23991.htm; https://www.sec.gov/Archives/edgar/data/34088/000003408823000046/f8k2q23992.htm</t>
        </is>
      </c>
      <c r="AO376" t="inlineStr">
        <is>
          <t>manifest (whole bundle)</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https://www.fool.com/earnings/call-transcripts/2023/10/27/exxonmobil-xom-q3-2023-earnings-call-transcript/; https://www.sec.gov/Archives/edgar/data/34088/000003408823000054/f8k3q23991.htm; https://www.sec.gov/Archives/edgar/data/34088/000003408823000054/f8k3q23992.htm</t>
        </is>
      </c>
      <c r="AO377" t="inlineStr">
        <is>
          <t>manifest (whole bundle)</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https://www.insidermonkey.com/blog/exxon-mobil-corporation-nysexom-q4-2023-earnings-call-transcript-1253330/; https://www.sec.gov/Archives/edgar/data/34088/000003408824000007/f8k4q23991.htm; https://www.sec.gov/Archives/edgar/data/34088/000003408824000007/f8k4q23992.htm</t>
        </is>
      </c>
      <c r="AO378" t="inlineStr">
        <is>
          <t>manifest (whole bundle)</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https://www.fool.com/earnings/call-transcripts/2024/04/26/exxonmobil-xom-q1-2024-earnings-call-transcript/; https://www.sec.gov/Archives/edgar/data/34088/000003408824000025/f8k1q24991.htm; https://www.sec.gov/Archives/edgar/data/34088/000003408824000025/f8k1q24992.htm</t>
        </is>
      </c>
      <c r="AO379" t="inlineStr">
        <is>
          <t>manifest (whole bundle)</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https://news.alphastreet.com/exxon-mobil-corporation-xom-q2-2024-earnings-call-transcript/; https://www.sec.gov/Archives/edgar/data/34088/000003408824000048/f8k2q24991.htm; https://www.sec.gov/Archives/edgar/data/34088/000003408824000048/f8k2q24992.htm</t>
        </is>
      </c>
      <c r="AO380" t="inlineStr">
        <is>
          <t>manifest (whole bundle)</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https://www.insidermonkey.com/blog/exxon-mobil-corporation-nysexom-q3-2024-earnings-call-transcript-1384592/; https://www.sec.gov/Archives/edgar/data/34088/000003408824000066/f8k3q24991.htm; https://www.sec.gov/Archives/edgar/data/34088/000003408824000066/f8k3q24992.htm</t>
        </is>
      </c>
      <c r="AO381" t="inlineStr">
        <is>
          <t>manifest (whole bundle)</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https://www.insidermonkey.com/blog/exxon-mobil-corporation-nysexom-q4-2024-earnings-call-transcript-1440191/; https://www.sec.gov/Archives/edgar/data/34088/000003408825000006/f8k4q24991.htm; https://www.sec.gov/Archives/edgar/data/34088/000003408825000006/f8k4q24992.htm</t>
        </is>
      </c>
      <c r="AO382" t="inlineStr">
        <is>
          <t>manifest (whole bundle)</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https://www.insidermonkey.com/blog/exxon-mobil-corporation-nysexom-q1-2025-earnings-call-transcript-1523928/; https://www.sec.gov/Archives/edgar/data/34088/000003408825000022/livef8k1q25991.htm; https://www.sec.gov/Archives/edgar/data/34088/000003408825000022/livef8k1q25992.htm</t>
        </is>
      </c>
      <c r="AO383" t="inlineStr">
        <is>
          <t>manifest (whole bundle)</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https://www.insidermonkey.com/blog/exxon-mobil-corporation-nysexom-q2-2025-earnings-call-transcript-1582775/; https://www.sec.gov/Archives/edgar/data/34088/000003408825000040/livef8k2q25991.htm; https://www.sec.gov/Archives/edgar/data/34088/000003408825000040/livef8k2q25992.htm</t>
        </is>
      </c>
      <c r="AO384" t="inlineStr">
        <is>
          <t>manifest (whole bundle)</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https://www.insidermonkey.com/blog/exxon-mobil-corporation-nysexom-q3-2025-earnings-call-transcript-1638821/; https://www.sec.gov/Archives/edgar/data/34088/000003408825000059/livef8k3q25991.htm; https://www.sec.gov/Archives/edgar/data/34088/000003408825000059/livef8k3q25992.htm</t>
        </is>
      </c>
      <c r="AO385" t="inlineStr">
        <is>
          <t>manifest (whole bundle)</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https://www.insidermonkey.com/blog/exxon-mobil-corporation-nysexom-q4-2025-earnings-call-transcript-1686033/; https://www.sec.gov/Archives/edgar/data/34088/000003408826000033/livef8k4q25991.htm; https://www.sec.gov/Archives/edgar/data/34088/000003408826000033/livef8k4q25992.htm</t>
        </is>
      </c>
      <c r="AO386" t="inlineStr">
        <is>
          <t>manifest (whole bundle)</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https://www.insidermonkey.com/blog/exxon-mobil-corporation-nysexom-q1-2026-earnings-call-transcript-1752603/; https://www.sec.gov/Archives/edgar/data/34088/000003408826000065/livef8k1q26991.htm; https://www.sec.gov/Archives/edgar/data/34088/000003408826000065/livef8k1q26992.htm</t>
        </is>
      </c>
      <c r="AO387" t="inlineStr">
        <is>
          <t>manifest (whole bundle)</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https://www.sec.gov/Archives/edgar/data/4962/ (10-Q, Q2 2025)</t>
        </is>
      </c>
      <c r="AO388" t="inlineStr">
        <is>
          <t>manifest</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https://www.sec.gov/Archives/edgar/data/4962/ (10-Q, Q2 2025); https://www.sec.gov/Archives/edgar/data/4962/000000496225000082/q225exhibit991.htm</t>
        </is>
      </c>
      <c r="AO389" t="inlineStr">
        <is>
          <t>manifest (whole bundle)</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https://www.fool.com/earnings/call-transcripts/2025/10/17/amex-axp-q3-2025-earnings-call-transcript/</t>
        </is>
      </c>
      <c r="AO390" t="inlineStr">
        <is>
          <t>manifest</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https://www.fool.com/earnings/call-transcripts/2025/10/17/amex-axp-q3-2025-earnings-call-transcript/; https://www.sec.gov/Archives/edgar/data/4962/000000496225000218/q325exhibit991v2.htm</t>
        </is>
      </c>
      <c r="AO391" t="inlineStr">
        <is>
          <t>manifest (whole bundle)</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https://www.fool.com/earnings/call-transcripts/2026/01/30/american-express-axp-q4-2025-earnings-call-transcript/</t>
        </is>
      </c>
      <c r="AO392" t="inlineStr">
        <is>
          <t>manifest</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https://www.fool.com/earnings/call-transcripts/2026/01/30/american-express-axp-q4-2025-earnings-call-transcript/; https://www.sec.gov/Archives/edgar/data/4962/000000496226000037/q425exhibit991.htm</t>
        </is>
      </c>
      <c r="AO393" t="inlineStr">
        <is>
          <t>manifest (whole bundle)</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https://www.sec.gov/Archives/edgar/data/4962/000000496226000188/q126exhibit991.htm</t>
        </is>
      </c>
      <c r="AO394" t="inlineStr">
        <is>
          <t>manifest</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https://www.sec.gov/Archives/edgar/data/93410/ (10-Q, Q2 2025)</t>
        </is>
      </c>
      <c r="AO395" t="inlineStr">
        <is>
          <t>manifest</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https://www.sec.gov/Archives/edgar/data/93410/ (10-Q, Q2 2025); https://www.sec.gov/Archives/edgar/data/93410/000009341025000058/a06302025ex9918-k.htm</t>
        </is>
      </c>
      <c r="AO396" t="inlineStr">
        <is>
          <t>manifest (whole bundle)</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https://www.fool.com/earnings/call-transcripts/2025/10/31/chevron-cvx-q3-2025-earnings-call-transcript/</t>
        </is>
      </c>
      <c r="AO397" t="inlineStr">
        <is>
          <t>manifest</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https://www.fool.com/earnings/call-transcripts/2025/10/31/chevron-cvx-q3-2025-earnings-call-transcript/; https://www.sec.gov/Archives/edgar/data/93410/000009341025000103/a09302025ex9918-k.htm</t>
        </is>
      </c>
      <c r="AO398" t="inlineStr">
        <is>
          <t>manifest (whole bundle)</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https://www.fool.com/earnings/call-transcripts/2026/01/30/chevron-cvx-q4-2025-earnings-call-transcript/</t>
        </is>
      </c>
      <c r="AO399" t="inlineStr">
        <is>
          <t>manifest</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https://www.fool.com/earnings/call-transcripts/2026/01/30/chevron-cvx-q4-2025-earnings-call-transcript/; https://www.sec.gov/Archives/edgar/data/93410/000009341026000019/a12312025ex9918-k.htm</t>
        </is>
      </c>
      <c r="AO400" t="inlineStr">
        <is>
          <t>manifest (whole bundle)</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https://www.sec.gov/Archives/edgar/data/93410/000009341026000110/a03312026ex9918-k.htm</t>
        </is>
      </c>
      <c r="AO401" t="inlineStr">
        <is>
          <t>manifest</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https://www.sec.gov/Archives/edgar/data/50863/ (10-Q, Q2 2025)</t>
        </is>
      </c>
      <c r="AO402" t="inlineStr">
        <is>
          <t>manifest</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https://www.sec.gov/Archives/edgar/data/50863/ (10-Q, Q2 2025); https://www.sec.gov/Archives/edgar/data/50863/000005086325000107/q225_earningsrelease.htm</t>
        </is>
      </c>
      <c r="AO403" t="inlineStr">
        <is>
          <t>manifest (whole bundle)</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https://www.fool.com/earnings/call-transcripts/2025/10/24/intel-intc-q3-2025-earnings-call-transcript/</t>
        </is>
      </c>
      <c r="AO404" t="inlineStr">
        <is>
          <t>manifest</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https://www.fool.com/earnings/call-transcripts/2025/10/24/intel-intc-q3-2025-earnings-call-transcript/; https://www.sec.gov/Archives/edgar/data/50863/000005086325000169/q325earningsrelease.htm</t>
        </is>
      </c>
      <c r="AO405" t="inlineStr">
        <is>
          <t>manifest (whole bundle)</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https://www.fool.com/earnings/call-transcripts/2026/01/23/intel-intc-q4-2025-earnings-call-transcript/</t>
        </is>
      </c>
      <c r="AO406" t="inlineStr">
        <is>
          <t>manifest</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https://www.fool.com/earnings/call-transcripts/2026/01/23/intel-intc-q4-2025-earnings-call-transcript/; https://www.sec.gov/Archives/edgar/data/50863/000005086326000009/q425earningsrelease.htm</t>
        </is>
      </c>
      <c r="AO407" t="inlineStr">
        <is>
          <t>manifest (whole bundle)</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https://www.sec.gov/Archives/edgar/data/50863/000005086326000077/q126earningsrelease.htm</t>
        </is>
      </c>
      <c r="AO408" t="inlineStr">
        <is>
          <t>manifest</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https://www.sec.gov/Archives/edgar/data/1141391/ (10-Q, Q2 2025)</t>
        </is>
      </c>
      <c r="AO409" t="inlineStr">
        <is>
          <t>manifest</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https://www.sec.gov/Archives/edgar/data/1141391/ (10-Q, Q2 2025); https://www.sec.gov/Archives/edgar/data/1141391/000114139125000170/ma06302025-exx991xearnings.htm</t>
        </is>
      </c>
      <c r="AO410" t="inlineStr">
        <is>
          <t>manifest (whole bundle)</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https://www.fool.com/earnings/call-transcripts/2025/10/30/mastercard-q3-2025-earnings-call-transcript/</t>
        </is>
      </c>
      <c r="AO411" t="inlineStr">
        <is>
          <t>manifest</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https://www.fool.com/earnings/call-transcripts/2025/10/30/mastercard-q3-2025-earnings-call-transcript/; https://www.sec.gov/Archives/edgar/data/1141391/000114139125000191/ma09302025-exx991xearnings.htm</t>
        </is>
      </c>
      <c r="AO412" t="inlineStr">
        <is>
          <t>manifest (whole bundle)</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https://www.fool.com/earnings/call-transcripts/2026/01/29/mastercard-ma-q4-2025-earnings-call-transcript/</t>
        </is>
      </c>
      <c r="AO413" t="inlineStr">
        <is>
          <t>manifest</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https://www.fool.com/earnings/call-transcripts/2026/01/29/mastercard-ma-q4-2025-earnings-call-transcript/; https://www.sec.gov/Archives/edgar/data/1141391/000114139126000003/ma12312025-exx991xearnings.htm</t>
        </is>
      </c>
      <c r="AO414" t="inlineStr">
        <is>
          <t>manifest (whole bundle)</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https://www.sec.gov/Archives/edgar/data/1141391/000114139126000029/ma03312026-exx991xearnings.htm</t>
        </is>
      </c>
      <c r="AO415" t="inlineStr">
        <is>
          <t>manifest</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https://www.shell.com/ (Q2 2025 quarterly results announcement)</t>
        </is>
      </c>
      <c r="AO416" t="inlineStr">
        <is>
          <t>manifest</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https://www.sec.gov/Archives/edgar/data/1306965/000130696525000031/q22025exhibit991.htm; https://www.shell.com/ (Q2 2025 quarterly results announcement)</t>
        </is>
      </c>
      <c r="AO417" t="inlineStr">
        <is>
          <t>manifest (whole bundle)</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https://www.shell.com/.../q3-2025-speech-transcript.pdf</t>
        </is>
      </c>
      <c r="AO418" t="inlineStr">
        <is>
          <t>manifest</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https://www.sec.gov/Archives/edgar/data/1306965/000162828025047312/q32025exhibit991.htm; https://www.shell.com/.../q3-2025-speech-transcript.pdf</t>
        </is>
      </c>
      <c r="AO419" t="inlineStr">
        <is>
          <t>manifest (whole bundle)</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https://www.shell.com/.../q4-2025-speech-transcript.pdf</t>
        </is>
      </c>
      <c r="AO420" t="inlineStr">
        <is>
          <t>manifest</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https://www.sec.gov/Archives/edgar/data/1306965/000162828026005600/q42025exhibit991.htm; https://www.shell.com/.../q4-2025-speech-transcript.pdf</t>
        </is>
      </c>
      <c r="AO421" t="inlineStr">
        <is>
          <t>manifest (whole bundle)</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https://www.sec.gov/Archives/edgar/data/1306965/000162828026031628/q12026exhibit991.htm</t>
        </is>
      </c>
      <c r="AO422" t="inlineStr">
        <is>
          <t>manifest</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19">
      <formula>0</formula>
    </cfRule>
    <cfRule type="cellIs" priority="6" operator="lessThan" dxfId="18">
      <formula>0</formula>
    </cfRule>
  </conditionalFormatting>
  <conditionalFormatting sqref="R3:R524">
    <cfRule type="cellIs" priority="7" operator="equal" dxfId="19">
      <formula>"UP"</formula>
    </cfRule>
    <cfRule type="cellIs" priority="8" operator="equal" dxfId="18">
      <formula>"DOWN"</formula>
    </cfRule>
  </conditionalFormatting>
  <conditionalFormatting sqref="S3:S524">
    <cfRule type="cellIs" priority="1" operator="equal" dxfId="17">
      <formula>"YES"</formula>
    </cfRule>
    <cfRule type="cellIs" priority="2" operator="equal" dxfId="16">
      <formula>"NO"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430"/>
  <sheetViews>
    <sheetView showGridLines="0" zoomScale="86" zoomScaleNormal="100" workbookViewId="0">
      <pane xSplit="2" ySplit="2" topLeftCell="C3" activePane="bottomRight" state="frozen"/>
      <selection pane="bottomRight" activeCell="AY20" sqref="AY20"/>
      <selection pane="bottomLeft" activeCell="A4" sqref="A4"/>
      <selection pane="topRight" activeCell="C1" sqref="C1"/>
    </sheetView>
  </sheetViews>
  <sheetFormatPr baseColWidth="8" defaultColWidth="8.7109375" defaultRowHeight="15"/>
  <cols>
    <col width="20" customWidth="1" style="97" min="1" max="1"/>
    <col width="9" customWidth="1" style="94" min="2" max="2"/>
    <col width="7" customWidth="1" min="3" max="3"/>
    <col width="8" customWidth="1" min="4" max="4"/>
    <col width="15" customWidth="1" min="5" max="5"/>
    <col width="10" customWidth="1" min="6" max="7"/>
    <col width="12" customWidth="1" min="8" max="8"/>
    <col width="9" customWidth="1" style="16" min="9" max="9"/>
    <col width="14" customWidth="1" style="121" min="10" max="10"/>
    <col width="12" customWidth="1" style="121" min="11" max="11"/>
    <col width="12" customWidth="1" min="12" max="12"/>
    <col width="12" customWidth="1" style="121" min="13" max="13"/>
    <col width="12" customWidth="1" min="14" max="14"/>
    <col width="13" customWidth="1" min="15" max="15"/>
    <col width="11" customWidth="1" min="16" max="18"/>
    <col width="9" customWidth="1" min="19" max="19"/>
    <col width="11" customWidth="1" min="20" max="20"/>
    <col width="179" bestFit="1" customWidth="1" style="7" min="21" max="21"/>
  </cols>
  <sheetData>
    <row r="1" ht="22.35" customHeight="1">
      <c r="A1" s="8" t="inlineStr">
        <is>
          <t>LLM Readings — Data Entry</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c r="K202" s="126" t="n"/>
      <c r="L202" s="129" t="n">
        <v>24.14</v>
      </c>
      <c r="M202" s="126" t="n"/>
      <c r="N202" s="129" t="n"/>
      <c r="O202" s="132" t="n"/>
      <c r="P202" s="107" t="n">
        <v>0</v>
      </c>
      <c r="Q202" s="106" t="inlineStr">
        <is>
          <t>FLAT</t>
        </is>
      </c>
      <c r="R202" s="106" t="inlineStr">
        <is>
          <t>NO</t>
        </is>
      </c>
      <c r="S202" s="105" t="n">
        <v>-1</v>
      </c>
      <c r="T202" s="107" t="n">
        <v>-0.001</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is>
          <t xml:space="preserve"> </t>
        </is>
      </c>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19">
      <formula>0</formula>
    </cfRule>
    <cfRule type="cellIs" priority="6" operator="lessThan" dxfId="18">
      <formula>0</formula>
    </cfRule>
  </conditionalFormatting>
  <conditionalFormatting sqref="Q3:Q270">
    <cfRule type="cellIs" priority="7" operator="equal" dxfId="19">
      <formula>"UP"</formula>
    </cfRule>
    <cfRule type="cellIs" priority="8" operator="equal" dxfId="18">
      <formula>"DOWN"</formula>
    </cfRule>
  </conditionalFormatting>
  <conditionalFormatting sqref="R3:R270">
    <cfRule type="cellIs" priority="1" operator="equal" dxfId="17">
      <formula>"YES"</formula>
    </cfRule>
    <cfRule type="cellIs" priority="2" operator="equal" dxfId="16">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8" defaultColWidth="8.7109375" defaultRowHeight="15"/>
  <cols>
    <col width="24" customWidth="1" min="1" max="1"/>
    <col width="11" bestFit="1" customWidth="1" min="2" max="2"/>
    <col width="14.7109375" bestFit="1" customWidth="1" min="3" max="3"/>
    <col width="12.7109375" bestFit="1" customWidth="1" min="4" max="4"/>
    <col width="10" customWidth="1" min="5" max="7"/>
    <col width="3" customWidth="1" min="8" max="8"/>
    <col width="22" bestFit="1" customWidth="1"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min="18" max="18"/>
  </cols>
  <sheetData>
    <row r="1" ht="24" customHeight="1">
      <c r="A1" s="9" t="inlineStr">
        <is>
          <t>Results Summary</t>
        </is>
      </c>
    </row>
    <row r="2" ht="8.1" customHeight="1"/>
    <row r="3" ht="20.1" customHeight="1">
      <c r="A3" s="10" t="inlineStr">
        <is>
          <t>Accuracy by Rater</t>
        </is>
      </c>
      <c r="I3" s="10" t="inlineStr">
        <is>
          <t>P&amp;L by Rater</t>
        </is>
      </c>
      <c r="M3" s="2" t="n"/>
      <c r="O3" s="6" t="n"/>
    </row>
    <row r="4" ht="30" customHeight="1">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35" customHeight="1">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35" customHeight="1">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35" customHeight="1">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35" customHeight="1">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35" customHeight="1">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35" customHeight="1">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35" customHeight="1">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35" customHeight="1">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35" customHeight="1">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1" customHeight="1">
      <c r="A16" s="10" t="inlineStr">
        <is>
          <t>Accuracy by Company</t>
        </is>
      </c>
      <c r="I16" s="10" t="inlineStr">
        <is>
          <t>P&amp;L by Company</t>
        </is>
      </c>
    </row>
    <row r="17" ht="30" customHeight="1">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is>
          <t xml:space="preserve"> </t>
        </is>
      </c>
    </row>
    <row r="18" ht="16.35" customHeight="1">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35" customHeight="1">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35" customHeight="1">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35" customHeight="1">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35" customHeight="1">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35" customHeight="1">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35" customHeight="1">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35" customHeight="1">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35" customHeight="1">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35" customHeight="1">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35" customHeight="1">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35" customHeight="1">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35" customHeight="1">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35" customHeight="1">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35" customHeight="1">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35" customHeight="1">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35" customHeight="1">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35" customHeight="1">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35" customHeight="1">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35" customHeight="1">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35" customHeight="1">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35" customHeight="1">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35" customHeight="1">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35" customHeight="1">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35" customHeight="1">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35" customHeight="1">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35" customHeight="1">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35" customHeight="1">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35" customHeight="1">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35" customHeight="1">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35" customHeight="1">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35" customHeight="1">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35" customHeight="1">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35" customHeight="1">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35" customHeight="1">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35" customHeight="1">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35" customHeight="1">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35" customHeight="1">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8.95" customHeight="1">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A124" t="inlineStr"/>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8">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8" defaultColWidth="8.7109375" defaultRowHeight="15"/>
  <cols>
    <col width="24" customWidth="1" min="1" max="1"/>
    <col width="11" customWidth="1" min="2" max="3"/>
    <col width="12" customWidth="1" min="4" max="4"/>
    <col width="2" customWidth="1" min="5" max="5"/>
    <col width="11" customWidth="1" min="6" max="8"/>
    <col width="12" customWidth="1" min="9" max="9"/>
    <col width="2" customWidth="1" min="10" max="10"/>
    <col width="11" customWidth="1" min="11" max="11"/>
    <col width="10" customWidth="1" min="12" max="13"/>
    <col width="2" customWidth="1" min="14" max="14"/>
    <col width="11" customWidth="1" min="15" max="15"/>
    <col width="10" customWidth="1" min="16" max="17"/>
  </cols>
  <sheetData>
    <row r="1" ht="24" customHeight="1">
      <c r="A1" s="59" t="inlineStr">
        <is>
          <t>Charts — Figures for the Write-up</t>
        </is>
      </c>
    </row>
    <row r="2">
      <c r="A2" s="18" t="inlineStr">
        <is>
          <t>All feeder tables below are live formulas. Add rows to the entry sheets and every chart updates automatically.</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8" defaultColWidth="8.7109375" defaultRowHeight="15"/>
  <cols>
    <col width="30" customWidth="1" min="1" max="1"/>
    <col width="15" customWidth="1" min="2" max="2"/>
    <col width="28.140625" bestFit="1" customWidth="1" min="3" max="3"/>
    <col width="32" customWidth="1" min="4" max="4"/>
    <col width="58" customWidth="1" min="5" max="5"/>
    <col width="26" customWidth="1" min="8" max="8"/>
    <col width="13" customWidth="1" min="9" max="10"/>
  </cols>
  <sheetData>
    <row r="1" ht="24" customHeight="1">
      <c r="A1" s="59" t="inlineStr">
        <is>
          <t>Efficiency — Return per Unit of Analyst Effort</t>
        </is>
      </c>
    </row>
    <row r="2" ht="39" customHeight="1">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1" customHeight="1">
      <c r="A6" s="67" t="inlineStr">
        <is>
          <t>Analyst cost ($/hour)</t>
        </is>
      </c>
      <c r="B6" s="155" t="n">
        <v>45</v>
      </c>
      <c r="C6" s="14" t="n"/>
      <c r="E6" s="14" t="inlineStr">
        <is>
          <t>Fully-loaded hourly cost of a junior analyst. Used for every human cost figure below.</t>
        </is>
      </c>
    </row>
    <row r="7" ht="30" customHeight="1">
      <c r="A7" s="67" t="inlineStr">
        <is>
          <t>LLM cost per document ($)</t>
        </is>
      </c>
      <c r="B7" s="156">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1" customHeight="1">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1" customHeight="1">
      <c r="A9" s="67" t="inlineStr">
        <is>
          <t>Notional position size ($)</t>
        </is>
      </c>
      <c r="B9" s="157" t="n">
        <v>10000</v>
      </c>
      <c r="C9" s="14" t="n"/>
      <c r="E9" s="14" t="inlineStr">
        <is>
          <t>Only used to express returns in cash terms. Does not affect any percentage figure.</t>
        </is>
      </c>
    </row>
    <row r="10" ht="26.1" customHeight="1">
      <c r="A10" s="67" t="inlineStr">
        <is>
          <t>Fallback LLM cost per doc ($)</t>
        </is>
      </c>
      <c r="B10" s="158" t="n">
        <v>0.02</v>
      </c>
      <c r="C10" s="70" t="n"/>
      <c r="E10" s="14" t="inlineStr">
        <is>
          <t>Only used while the Token Cost column is empty. Once Ben populates it, this value is ignored.</t>
        </is>
      </c>
    </row>
    <row r="11" ht="26.1" customHeight="1">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1" customHeight="1">
      <c r="A13" s="67" t="inlineStr">
        <is>
          <t>Documents read</t>
        </is>
      </c>
      <c r="B13" s="159">
        <f>COUNTIFS(Human_Data_Entry!$H$3:$H$524,"Human",Human_Data_Entry!$J$3:$J$524,"?*")</f>
        <v/>
      </c>
      <c r="C13" s="76">
        <f>COUNTIFS(LLM_Data_Entry!$F$3:$F$548,"LLM",LLM_Data_Entry!$H$3:$H$548,"&lt;&gt;")</f>
        <v/>
      </c>
      <c r="D13" s="160">
        <f>IFERROR(B13/C13,"")</f>
        <v/>
      </c>
      <c r="E13" s="14" t="inlineStr">
        <is>
          <t>Ratio shows how many times larger the human figure is. Blank where not meaningful.</t>
        </is>
      </c>
    </row>
    <row r="14">
      <c r="A14" s="67" t="inlineStr">
        <is>
          <t>Total effort (hours)</t>
        </is>
      </c>
      <c r="B14" s="159">
        <f>SUMIFS(Human_Data_Entry!$K$3:$K$524,Human_Data_Entry!$H$3:$H$524,"Human")/60</f>
        <v/>
      </c>
      <c r="C14" s="159">
        <f>IF(COUNT(LLM_Data_Entry!$I$3:$I$548)&gt;0,SUMIFS(LLM_Data_Entry!$I$3:$I$548,LLM_Data_Entry!$F$3:$F$548,"LLM")/3600,C13*$B$8/3600)</f>
        <v/>
      </c>
      <c r="D14" s="160">
        <f>IFERROR(B14/C14,"")</f>
        <v/>
      </c>
    </row>
    <row r="15">
      <c r="A15" s="67" t="inlineStr">
        <is>
          <t>Mean time per document (min)</t>
        </is>
      </c>
      <c r="B15" s="159">
        <f>IFERROR(AVERAGEIFS(Human_Data_Entry!$K$3:$K$524,Human_Data_Entry!$H$3:$H$524,"Human",Human_Data_Entry!$K$3:$K$524,"&gt;0"),"")</f>
        <v/>
      </c>
      <c r="C15" s="64">
        <f>IFERROR(IF(COUNT(LLM_Data_Entry!$I$3:$I$548)&gt;0,AVERAGEIFS(LLM_Data_Entry!$I$3:$I$548,LLM_Data_Entry!$F$3:$F$548,"LLM",LLM_Data_Entry!$I$3:$I$548,"&gt;0")/60,$B$8/60),"")</f>
        <v/>
      </c>
      <c r="D15" s="160">
        <f>IFERROR(B15/C15,"")</f>
        <v/>
      </c>
    </row>
    <row r="16">
      <c r="A16" s="67" t="inlineStr">
        <is>
          <t>Documents per hour</t>
        </is>
      </c>
      <c r="B16" s="159">
        <f>IFERROR(B13/B14,"")</f>
        <v/>
      </c>
      <c r="C16" s="159">
        <f>IFERROR(C13/C14,"")</f>
        <v/>
      </c>
      <c r="D16" s="160">
        <f>IFERROR(B16/C16,"")</f>
        <v/>
      </c>
    </row>
    <row r="17">
      <c r="A17" s="67" t="inlineStr">
        <is>
          <t>Total cost ($)</t>
        </is>
      </c>
      <c r="B17" s="161">
        <f>B14*$B$6</f>
        <v/>
      </c>
      <c r="C17" s="161">
        <f>IF(COUNT(LLM_Data_Entry!$O$3:$O$548)&gt;0,SUMIFS(LLM_Data_Entry!$O$3:$O$548,LLM_Data_Entry!$F$3:$F$548,"LLM"),C13*$B$7)</f>
        <v/>
      </c>
      <c r="D17" s="160">
        <f>IFERROR(B17/C17,"")</f>
        <v/>
      </c>
    </row>
    <row r="18">
      <c r="A18" s="67" t="inlineStr">
        <is>
          <t>Cost per document ($)</t>
        </is>
      </c>
      <c r="B18" s="79">
        <f>IFERROR(B17/B13,"")</f>
        <v/>
      </c>
      <c r="C18" s="79">
        <f>IFERROR(C17/IF($B$83&gt;0,$B$83,C13),"")</f>
        <v/>
      </c>
      <c r="D18" s="160">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160">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161">
        <f>IFERROR(B17/B22,"")</f>
        <v/>
      </c>
      <c r="C24" s="79">
        <f>IFERROR(C17/C22,"")</f>
        <v/>
      </c>
      <c r="D24" s="160">
        <f>IFERROR(B24/C24,"")</f>
        <v/>
      </c>
    </row>
    <row r="25">
      <c r="A25" s="67" t="inlineStr">
        <is>
          <t>Minutes per correct call</t>
        </is>
      </c>
      <c r="B25" s="159">
        <f>IFERROR(B14*60/B22,"")</f>
        <v/>
      </c>
      <c r="C25" s="64">
        <f>IFERROR(C14*60/C22,"")</f>
        <v/>
      </c>
      <c r="D25" s="160">
        <f>IFERROR(B25/C25,"")</f>
        <v/>
      </c>
    </row>
    <row r="26" ht="26.1" customHeight="1">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160">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160">
        <f>IFERROR(B31/C31,"")</f>
        <v/>
      </c>
    </row>
    <row r="32">
      <c r="A32" s="67" t="inlineStr">
        <is>
          <t>Avg return per trade (%)</t>
        </is>
      </c>
      <c r="B32" s="65">
        <f>IFERROR(B31/B30,"")</f>
        <v/>
      </c>
      <c r="C32" s="65">
        <f>IFERROR(C31/C30,"")</f>
        <v/>
      </c>
      <c r="D32" s="160">
        <f>IFERROR(B32/C32,"")</f>
        <v/>
      </c>
    </row>
    <row r="33">
      <c r="A33" s="67" t="inlineStr">
        <is>
          <t>Return per analyst hour (%)</t>
        </is>
      </c>
      <c r="B33" s="65">
        <f>IFERROR(B31/B14,"")</f>
        <v/>
      </c>
      <c r="C33" s="65">
        <f>IFERROR(C31/C14,"")</f>
        <v/>
      </c>
      <c r="D33" s="160">
        <f>IFERROR(B33/C33,"")</f>
        <v/>
      </c>
    </row>
    <row r="34">
      <c r="A34" s="67" t="inlineStr">
        <is>
          <t>Notional P&amp;L per hour ($)</t>
        </is>
      </c>
      <c r="B34" s="162">
        <f>IFERROR(B33*$B$9,"")</f>
        <v/>
      </c>
      <c r="C34" s="162">
        <f>IFERROR(C33*$B$9,"")</f>
        <v/>
      </c>
      <c r="D34" s="160">
        <f>IFERROR(B34/C34,"")</f>
        <v/>
      </c>
    </row>
    <row r="36" ht="52.35" customHeight="1">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1" customHeight="1">
      <c r="A47" s="67" t="inlineStr">
        <is>
          <t>Net calls gained by humans</t>
        </is>
      </c>
      <c r="B47" s="76">
        <f>B39-B40</f>
        <v/>
      </c>
      <c r="C47" s="14" t="inlineStr">
        <is>
          <t>Correct calls humans added, less the ones the LLM caught and humans missed.</t>
        </is>
      </c>
    </row>
    <row r="48" ht="26.1" customHeight="1">
      <c r="A48" s="67" t="inlineStr">
        <is>
          <t>Human hours on matched events</t>
        </is>
      </c>
      <c r="B48" s="159">
        <f>IFERROR($B$14*B43/$B$13,"")</f>
        <v/>
      </c>
      <c r="C48" s="14" t="inlineStr">
        <is>
          <t>Total human hours scaled to the matched subset only.</t>
        </is>
      </c>
      <c r="E48" s="18" t="inlineStr">
        <is>
          <t>Scales total human hours by the matched share of readings. Approximate, since time per reading varies.</t>
        </is>
      </c>
    </row>
    <row r="49" ht="26.1" customHeight="1">
      <c r="A49" s="67" t="inlineStr">
        <is>
          <t>Hours per net call gained</t>
        </is>
      </c>
      <c r="B49" s="159">
        <f>IFERROR(IF(B47&lt;=0,"n/a",B48/B47),"")</f>
        <v/>
      </c>
      <c r="C49" s="14" t="inlineStr">
        <is>
          <t>Blank or n/a if the human step produced no net gain.</t>
        </is>
      </c>
    </row>
    <row r="50" ht="26.1" customHeight="1">
      <c r="A50" s="67" t="inlineStr">
        <is>
          <t>Cost per net call gained ($)</t>
        </is>
      </c>
      <c r="B50" s="161">
        <f>IFERROR(IF(B47&lt;=0,"n/a",B48*$B$6/B47),"")</f>
        <v/>
      </c>
      <c r="C50" s="14" t="inlineStr">
        <is>
          <t>The honest price of the human-in-the-loop step at current accuracy.</t>
        </is>
      </c>
    </row>
    <row r="53" ht="26.1" customHeight="1">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1" customHeight="1">
      <c r="A55" s="67" t="inlineStr">
        <is>
          <t>Extra cost per doc, human vs LLM ($)</t>
        </is>
      </c>
      <c r="B55" s="161">
        <f>IFERROR(B18-C18,"")</f>
        <v/>
      </c>
      <c r="C55" s="14" t="inlineStr">
        <is>
          <t>Human cost per document minus LLM cost per document.</t>
        </is>
      </c>
    </row>
    <row r="56" ht="26.1" customHeight="1">
      <c r="A56" s="67" t="inlineStr">
        <is>
          <t>Value of one correct call ($)</t>
        </is>
      </c>
      <c r="B56" s="161">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1" customHeight="1">
      <c r="A57" s="67" t="inlineStr">
        <is>
          <t>Break-even accuracy gain needed</t>
        </is>
      </c>
      <c r="B57" s="62">
        <f>IFERROR(B55/B56,"")</f>
        <v/>
      </c>
      <c r="C57" s="14" t="inlineStr">
        <is>
          <t>Extra accuracy the human must deliver to justify the extra cost.</t>
        </is>
      </c>
    </row>
    <row r="58" ht="26.1" customHeight="1">
      <c r="A58" s="67" t="inlineStr">
        <is>
          <t>Observed accuracy gain (H - L)</t>
        </is>
      </c>
      <c r="B58" s="62">
        <f>IFERROR(B23-C23,"")</f>
        <v/>
      </c>
      <c r="C58" s="14" t="inlineStr">
        <is>
          <t>Negative means the LLM is currently more accurate.</t>
        </is>
      </c>
    </row>
    <row r="59" ht="26.1" customHeight="1">
      <c r="A59" s="67" t="inlineStr">
        <is>
          <t>Verdict</t>
        </is>
      </c>
      <c r="B59" s="83">
        <f>IFERROR(IF(B58&gt;=B57,"Human time justified","Human time not justified"),"")</f>
        <v/>
      </c>
      <c r="C59" s="14" t="inlineStr">
        <is>
          <t>Reads directly from the two rows above.</t>
        </is>
      </c>
    </row>
    <row r="61" ht="26.1" customHeight="1">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35" customHeight="1">
      <c r="A71" s="10" t="inlineStr">
        <is>
          <t>How to Update This Sheet</t>
        </is>
      </c>
    </row>
    <row r="72" ht="24" customHeight="1">
      <c r="A72" s="17" t="inlineStr">
        <is>
          <t>What to change</t>
        </is>
      </c>
      <c r="B72" s="17" t="n"/>
      <c r="C72" s="17" t="n"/>
      <c r="D72" s="17" t="inlineStr">
        <is>
          <t>Where</t>
        </is>
      </c>
      <c r="E72" s="17" t="inlineStr">
        <is>
          <t>Effect</t>
        </is>
      </c>
      <c r="H72" s="10" t="inlineStr">
        <is>
          <t>Chart feeders</t>
        </is>
      </c>
    </row>
    <row r="73" ht="42" customHeight="1">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159">
        <f>$B$16</f>
        <v/>
      </c>
      <c r="J74" s="159">
        <f>$C$16</f>
        <v/>
      </c>
    </row>
    <row r="75" ht="42" customHeight="1">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1" customHeight="1">
      <c r="A83" s="67" t="inlineStr">
        <is>
          <t>Rows with a token cost entered</t>
        </is>
      </c>
      <c r="B83" s="86">
        <f>COUNT(LLM_Data_Entry!$O$3:$O$548)</f>
        <v/>
      </c>
      <c r="C83" s="70" t="n"/>
      <c r="E83" s="14" t="inlineStr">
        <is>
          <t>Counts numeric entries in the Token Cost column on the LLM sheet.</t>
        </is>
      </c>
    </row>
    <row r="84" ht="20.1" customHeight="1">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tabSelected="1" workbookViewId="0">
      <pane ySplit="2" topLeftCell="D3" activePane="bottomLeft" state="frozen"/>
      <selection pane="bottomLeft" activeCell="C82" sqref="C82"/>
    </sheetView>
  </sheetViews>
  <sheetFormatPr baseColWidth="8" defaultColWidth="11.42578125" defaultRowHeight="15"/>
  <cols>
    <col width="24" bestFit="1" customWidth="1" min="1" max="1"/>
    <col width="10" customWidth="1" min="2" max="2"/>
    <col width="16" customWidth="1" min="3" max="3"/>
    <col width="15.85546875" bestFit="1" customWidth="1" min="6" max="6"/>
    <col width="16.85546875" customWidth="1" min="9" max="9"/>
  </cols>
  <sheetData>
    <row r="1" ht="22.35" customHeight="1">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35" customHeight="1">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35" customHeight="1">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35" customHeight="1">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35" customHeight="1">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35" customHeight="1">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35" customHeight="1">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35" customHeight="1">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35" customHeight="1">
      <c r="A9" s="19" t="inlineStr">
        <is>
          <t>Microsoft</t>
        </is>
      </c>
      <c r="B9" s="20" t="inlineStr">
        <is>
          <t>MSFT</t>
        </is>
      </c>
      <c r="C9" s="19" t="inlineStr">
        <is>
          <t>Abdul</t>
        </is>
      </c>
      <c r="G9" t="inlineStr">
        <is>
          <t>P2</t>
        </is>
      </c>
      <c r="H9" t="inlineStr">
        <is>
          <t>Information Technology</t>
        </is>
      </c>
      <c r="I9" t="inlineStr">
        <is>
          <t>Phase 2/Microsoft</t>
        </is>
      </c>
      <c r="J9" t="n">
        <v>9</v>
      </c>
    </row>
    <row r="10" ht="16.35" customHeight="1">
      <c r="A10" s="19" t="inlineStr">
        <is>
          <t>Alphabet</t>
        </is>
      </c>
      <c r="B10" s="20" t="inlineStr">
        <is>
          <t>GOOGL</t>
        </is>
      </c>
      <c r="C10" s="19" t="inlineStr">
        <is>
          <t>David</t>
        </is>
      </c>
      <c r="G10" t="inlineStr">
        <is>
          <t>P2</t>
        </is>
      </c>
      <c r="H10" t="inlineStr">
        <is>
          <t>Communication Services</t>
        </is>
      </c>
      <c r="I10" t="inlineStr">
        <is>
          <t>Phase 2/Alphabet</t>
        </is>
      </c>
      <c r="J10" t="n">
        <v>8</v>
      </c>
    </row>
    <row r="11" ht="16.35" customHeight="1">
      <c r="A11" s="19" t="inlineStr">
        <is>
          <t>Amazon</t>
        </is>
      </c>
      <c r="B11" s="20" t="inlineStr">
        <is>
          <t>AMZN</t>
        </is>
      </c>
      <c r="C11" s="19" t="inlineStr">
        <is>
          <t>David</t>
        </is>
      </c>
      <c r="G11" t="inlineStr">
        <is>
          <t>P2</t>
        </is>
      </c>
      <c r="H11" t="inlineStr">
        <is>
          <t>Consumer Discretionary</t>
        </is>
      </c>
      <c r="I11" t="inlineStr">
        <is>
          <t>Phase 2/Amazon</t>
        </is>
      </c>
      <c r="J11" t="n">
        <v>6</v>
      </c>
    </row>
    <row r="12" ht="16.35" customHeight="1">
      <c r="A12" s="19" t="inlineStr">
        <is>
          <t>Meta</t>
        </is>
      </c>
      <c r="B12" s="20" t="inlineStr">
        <is>
          <t>META</t>
        </is>
      </c>
      <c r="C12" s="19" t="inlineStr">
        <is>
          <t>David</t>
        </is>
      </c>
      <c r="G12" t="inlineStr">
        <is>
          <t>P2</t>
        </is>
      </c>
      <c r="H12" t="inlineStr">
        <is>
          <t>Communication Services</t>
        </is>
      </c>
      <c r="I12" t="inlineStr">
        <is>
          <t>Phase 2/META</t>
        </is>
      </c>
      <c r="J12" t="n">
        <v>6</v>
      </c>
    </row>
    <row r="13" ht="16.35" customHeight="1">
      <c r="A13" s="19" t="inlineStr">
        <is>
          <t>Tesla</t>
        </is>
      </c>
      <c r="B13" s="20" t="inlineStr">
        <is>
          <t>TSLA</t>
        </is>
      </c>
      <c r="C13" s="19" t="inlineStr">
        <is>
          <t>David</t>
        </is>
      </c>
      <c r="G13" t="inlineStr">
        <is>
          <t>P2</t>
        </is>
      </c>
      <c r="H13" t="inlineStr">
        <is>
          <t>Consumer Discretionary</t>
        </is>
      </c>
      <c r="I13" t="inlineStr">
        <is>
          <t>Phase 2/Tesla</t>
        </is>
      </c>
      <c r="J13" t="n">
        <v>6</v>
      </c>
    </row>
    <row r="14" ht="16.35" customHeight="1">
      <c r="A14" s="19" t="inlineStr">
        <is>
          <t>AMD</t>
        </is>
      </c>
      <c r="B14" s="20" t="inlineStr">
        <is>
          <t>AMD</t>
        </is>
      </c>
      <c r="C14" s="19" t="inlineStr">
        <is>
          <t>David</t>
        </is>
      </c>
      <c r="G14" t="inlineStr">
        <is>
          <t>P2</t>
        </is>
      </c>
      <c r="H14" t="inlineStr">
        <is>
          <t>Information Technology</t>
        </is>
      </c>
      <c r="I14" t="inlineStr">
        <is>
          <t>Phase 2/AMD</t>
        </is>
      </c>
      <c r="J14" t="n">
        <v>6</v>
      </c>
    </row>
    <row r="15" ht="16.35" customHeight="1">
      <c r="A15" s="19" t="inlineStr">
        <is>
          <t>Intel</t>
        </is>
      </c>
      <c r="B15" s="20" t="inlineStr">
        <is>
          <t>INTC</t>
        </is>
      </c>
      <c r="C15" s="19" t="inlineStr">
        <is>
          <t>David</t>
        </is>
      </c>
      <c r="G15" t="inlineStr">
        <is>
          <t>P2</t>
        </is>
      </c>
      <c r="H15" t="inlineStr">
        <is>
          <t>Information Technology</t>
        </is>
      </c>
      <c r="I15" t="inlineStr">
        <is>
          <t>Phase 2/Intel</t>
        </is>
      </c>
      <c r="J15" t="n">
        <v>11</v>
      </c>
    </row>
    <row r="16" ht="16.35" customHeight="1">
      <c r="A16" s="19" t="inlineStr">
        <is>
          <t>Qualcomm</t>
        </is>
      </c>
      <c r="B16" s="20" t="inlineStr">
        <is>
          <t>QCOM</t>
        </is>
      </c>
      <c r="C16" s="19" t="n"/>
      <c r="G16" t="inlineStr">
        <is>
          <t>unmapped</t>
        </is>
      </c>
      <c r="H16" t="inlineStr">
        <is>
          <t>Information Technology</t>
        </is>
      </c>
      <c r="I16" t="inlineStr">
        <is>
          <t>none</t>
        </is>
      </c>
      <c r="J16" t="n">
        <v>0</v>
      </c>
    </row>
    <row r="17" ht="16.35" customHeight="1">
      <c r="A17" s="19" t="inlineStr">
        <is>
          <t>Broadcom</t>
        </is>
      </c>
      <c r="B17" s="20" t="inlineStr">
        <is>
          <t>AVGO</t>
        </is>
      </c>
      <c r="C17" s="19" t="inlineStr">
        <is>
          <t>David</t>
        </is>
      </c>
      <c r="G17" t="inlineStr">
        <is>
          <t>P2</t>
        </is>
      </c>
      <c r="H17" t="inlineStr">
        <is>
          <t>Information Technology</t>
        </is>
      </c>
      <c r="I17" t="inlineStr">
        <is>
          <t>Phase 2/Broadcom</t>
        </is>
      </c>
      <c r="J17" t="n">
        <v>8</v>
      </c>
    </row>
    <row r="18" ht="16.35" customHeight="1">
      <c r="A18" s="19" t="inlineStr">
        <is>
          <t>Oracle</t>
        </is>
      </c>
      <c r="B18" s="20" t="inlineStr">
        <is>
          <t>ORCL</t>
        </is>
      </c>
      <c r="C18" s="19" t="inlineStr">
        <is>
          <t>David</t>
        </is>
      </c>
      <c r="G18" t="inlineStr">
        <is>
          <t>P2</t>
        </is>
      </c>
      <c r="H18" t="inlineStr">
        <is>
          <t>Information Technology</t>
        </is>
      </c>
      <c r="I18" t="inlineStr">
        <is>
          <t>Phase 2/Oracle</t>
        </is>
      </c>
      <c r="J18" t="n">
        <v>8</v>
      </c>
    </row>
    <row r="19" ht="16.35" customHeight="1">
      <c r="A19" s="19" t="inlineStr">
        <is>
          <t>Salesforce</t>
        </is>
      </c>
      <c r="B19" s="20" t="inlineStr">
        <is>
          <t>CRM</t>
        </is>
      </c>
      <c r="C19" s="19" t="inlineStr">
        <is>
          <t>David</t>
        </is>
      </c>
      <c r="G19" t="inlineStr">
        <is>
          <t>P2</t>
        </is>
      </c>
      <c r="H19" t="inlineStr">
        <is>
          <t>Information Technology</t>
        </is>
      </c>
      <c r="I19" t="inlineStr">
        <is>
          <t>Phase 2/SalesForce</t>
        </is>
      </c>
      <c r="J19" t="n">
        <v>7</v>
      </c>
    </row>
    <row r="20" ht="16.35" customHeight="1">
      <c r="A20" s="19" t="inlineStr">
        <is>
          <t>Adobe</t>
        </is>
      </c>
      <c r="B20" s="20" t="inlineStr">
        <is>
          <t>ADBE</t>
        </is>
      </c>
      <c r="C20" s="19" t="inlineStr">
        <is>
          <t>Dragos</t>
        </is>
      </c>
      <c r="G20" t="inlineStr">
        <is>
          <t>P3</t>
        </is>
      </c>
      <c r="H20" t="inlineStr">
        <is>
          <t>Information Technology</t>
        </is>
      </c>
      <c r="I20" t="inlineStr">
        <is>
          <t>Phase 3/Readings/Adobe</t>
        </is>
      </c>
      <c r="J20" t="n">
        <v>16</v>
      </c>
    </row>
    <row r="21" ht="16.35" customHeight="1">
      <c r="A21" s="19" t="inlineStr">
        <is>
          <t>Cisco</t>
        </is>
      </c>
      <c r="B21" s="20" t="inlineStr">
        <is>
          <t>CSCO</t>
        </is>
      </c>
      <c r="C21" s="19" t="n"/>
      <c r="G21" t="inlineStr">
        <is>
          <t>unmapped</t>
        </is>
      </c>
      <c r="H21" t="inlineStr">
        <is>
          <t>Information Technology</t>
        </is>
      </c>
      <c r="I21" t="inlineStr">
        <is>
          <t>none</t>
        </is>
      </c>
      <c r="J21" t="n">
        <v>0</v>
      </c>
    </row>
    <row r="22" ht="16.35" customHeight="1">
      <c r="A22" s="19" t="inlineStr">
        <is>
          <t>IBM</t>
        </is>
      </c>
      <c r="B22" s="20" t="inlineStr">
        <is>
          <t>IBM</t>
        </is>
      </c>
      <c r="C22" s="19" t="inlineStr">
        <is>
          <t>Meriem</t>
        </is>
      </c>
      <c r="G22" t="inlineStr">
        <is>
          <t>P2</t>
        </is>
      </c>
      <c r="H22" t="inlineStr">
        <is>
          <t>Information Technology</t>
        </is>
      </c>
      <c r="I22" t="inlineStr">
        <is>
          <t>Phase 2/IBM</t>
        </is>
      </c>
      <c r="J22" t="n">
        <v>6</v>
      </c>
    </row>
    <row r="23" ht="16.35" customHeight="1">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35" customHeight="1">
      <c r="A24" s="19" t="inlineStr">
        <is>
          <t>ServiceNow</t>
        </is>
      </c>
      <c r="B24" s="20" t="inlineStr">
        <is>
          <t>NOW</t>
        </is>
      </c>
      <c r="C24" s="19" t="n"/>
      <c r="G24" t="inlineStr">
        <is>
          <t>unmapped</t>
        </is>
      </c>
      <c r="H24" t="inlineStr">
        <is>
          <t>Information Technology</t>
        </is>
      </c>
      <c r="I24" t="inlineStr">
        <is>
          <t>none</t>
        </is>
      </c>
      <c r="J24" t="n">
        <v>0</v>
      </c>
    </row>
    <row r="25" ht="16.35" customHeight="1">
      <c r="A25" s="19" t="inlineStr">
        <is>
          <t>Snowflake</t>
        </is>
      </c>
      <c r="B25" s="20" t="inlineStr">
        <is>
          <t>SNOW</t>
        </is>
      </c>
      <c r="C25" s="19" t="n"/>
      <c r="G25" t="inlineStr">
        <is>
          <t>unmapped</t>
        </is>
      </c>
      <c r="H25" t="inlineStr">
        <is>
          <t>Information Technology</t>
        </is>
      </c>
      <c r="I25" t="inlineStr">
        <is>
          <t>none</t>
        </is>
      </c>
      <c r="J25" t="n">
        <v>0</v>
      </c>
    </row>
    <row r="26" ht="16.35" customHeight="1">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35" customHeight="1">
      <c r="A27" s="19" t="inlineStr">
        <is>
          <t>SAP</t>
        </is>
      </c>
      <c r="B27" s="20" t="inlineStr">
        <is>
          <t>SAP</t>
        </is>
      </c>
      <c r="C27" s="19" t="n"/>
      <c r="G27" t="inlineStr">
        <is>
          <t>unmapped</t>
        </is>
      </c>
      <c r="H27" t="inlineStr">
        <is>
          <t>Information Technology</t>
        </is>
      </c>
      <c r="I27" t="inlineStr">
        <is>
          <t>none</t>
        </is>
      </c>
      <c r="J27" t="n">
        <v>0</v>
      </c>
    </row>
    <row r="28" ht="16.35" customHeight="1">
      <c r="A28" s="19" t="inlineStr">
        <is>
          <t>ASML</t>
        </is>
      </c>
      <c r="B28" s="20" t="inlineStr">
        <is>
          <t>ASML</t>
        </is>
      </c>
      <c r="C28" s="19" t="n"/>
      <c r="G28" t="inlineStr">
        <is>
          <t>unmapped</t>
        </is>
      </c>
      <c r="H28" t="inlineStr">
        <is>
          <t>Information Technology</t>
        </is>
      </c>
      <c r="I28" t="inlineStr">
        <is>
          <t>none</t>
        </is>
      </c>
      <c r="J28" t="n">
        <v>0</v>
      </c>
    </row>
    <row r="29" ht="16.35" customHeight="1">
      <c r="A29" s="19" t="inlineStr">
        <is>
          <t>TSMC</t>
        </is>
      </c>
      <c r="B29" s="20" t="inlineStr">
        <is>
          <t>TSM</t>
        </is>
      </c>
      <c r="C29" s="19" t="n"/>
      <c r="G29" t="inlineStr">
        <is>
          <t>unmapped</t>
        </is>
      </c>
      <c r="H29" t="inlineStr">
        <is>
          <t>Information Technology</t>
        </is>
      </c>
      <c r="I29" t="inlineStr">
        <is>
          <t>none</t>
        </is>
      </c>
      <c r="J29" t="n">
        <v>0</v>
      </c>
    </row>
    <row r="30" ht="16.35" customHeight="1">
      <c r="A30" s="19" t="inlineStr">
        <is>
          <t>Samsung Electronics</t>
        </is>
      </c>
      <c r="B30" s="20" t="inlineStr">
        <is>
          <t>005930.KS</t>
        </is>
      </c>
      <c r="C30" s="19" t="n"/>
      <c r="G30" t="inlineStr">
        <is>
          <t>unmapped</t>
        </is>
      </c>
      <c r="H30" t="inlineStr">
        <is>
          <t>Information Technology</t>
        </is>
      </c>
      <c r="I30" t="inlineStr">
        <is>
          <t>none</t>
        </is>
      </c>
      <c r="J30" t="n">
        <v>0</v>
      </c>
    </row>
    <row r="31" ht="16.35" customHeight="1">
      <c r="A31" s="19" t="inlineStr">
        <is>
          <t>Sony</t>
        </is>
      </c>
      <c r="B31" s="20" t="inlineStr">
        <is>
          <t>SONY</t>
        </is>
      </c>
      <c r="C31" s="19" t="inlineStr">
        <is>
          <t>Meriem</t>
        </is>
      </c>
      <c r="G31" t="inlineStr">
        <is>
          <t>P3</t>
        </is>
      </c>
      <c r="H31" t="inlineStr">
        <is>
          <t>Consumer Discretionary</t>
        </is>
      </c>
      <c r="I31" t="inlineStr">
        <is>
          <t>Phase 3/Readings/Sony</t>
        </is>
      </c>
      <c r="J31" t="n">
        <v>12</v>
      </c>
    </row>
    <row r="32" ht="16.35" customHeight="1">
      <c r="A32" s="19" t="inlineStr">
        <is>
          <t>Uber</t>
        </is>
      </c>
      <c r="B32" s="20" t="inlineStr">
        <is>
          <t>UBER</t>
        </is>
      </c>
      <c r="C32" s="19" t="inlineStr">
        <is>
          <t>Abdul</t>
        </is>
      </c>
      <c r="G32" t="inlineStr">
        <is>
          <t>P2</t>
        </is>
      </c>
      <c r="H32" t="inlineStr">
        <is>
          <t>Industrials</t>
        </is>
      </c>
      <c r="I32" t="inlineStr">
        <is>
          <t>Phase 2/Uber</t>
        </is>
      </c>
      <c r="J32" t="n">
        <v>8</v>
      </c>
    </row>
    <row r="33" ht="16.35" customHeight="1">
      <c r="A33" s="19" t="inlineStr">
        <is>
          <t>Airbnb</t>
        </is>
      </c>
      <c r="B33" s="20" t="inlineStr">
        <is>
          <t>ABNB</t>
        </is>
      </c>
      <c r="C33" s="19" t="inlineStr">
        <is>
          <t>Anna</t>
        </is>
      </c>
      <c r="G33" t="inlineStr">
        <is>
          <t>P2</t>
        </is>
      </c>
      <c r="H33" t="inlineStr">
        <is>
          <t>Consumer Discretionary</t>
        </is>
      </c>
      <c r="I33" t="inlineStr">
        <is>
          <t>Phase 2/Airbnb</t>
        </is>
      </c>
      <c r="J33" t="n">
        <v>7</v>
      </c>
    </row>
    <row r="34" ht="16.35" customHeight="1">
      <c r="A34" s="19" t="inlineStr">
        <is>
          <t>PayPal</t>
        </is>
      </c>
      <c r="B34" s="20" t="inlineStr">
        <is>
          <t>PYPL</t>
        </is>
      </c>
      <c r="C34" s="19" t="inlineStr">
        <is>
          <t>Abdul</t>
        </is>
      </c>
      <c r="G34" t="inlineStr">
        <is>
          <t>P3</t>
        </is>
      </c>
      <c r="H34" t="inlineStr">
        <is>
          <t>Financials</t>
        </is>
      </c>
      <c r="I34" t="inlineStr">
        <is>
          <t>Phase 3/Readings/PayPal</t>
        </is>
      </c>
      <c r="J34" t="n">
        <v>6</v>
      </c>
    </row>
    <row r="35" ht="16.35" customHeight="1">
      <c r="A35" s="19" t="inlineStr">
        <is>
          <t>Block</t>
        </is>
      </c>
      <c r="B35" s="20" t="inlineStr">
        <is>
          <t>XYZ</t>
        </is>
      </c>
      <c r="C35" s="19" t="n"/>
      <c r="G35" t="inlineStr">
        <is>
          <t>unmapped</t>
        </is>
      </c>
      <c r="H35" t="inlineStr">
        <is>
          <t>Financials</t>
        </is>
      </c>
      <c r="I35" t="inlineStr">
        <is>
          <t>none</t>
        </is>
      </c>
      <c r="J35" t="n">
        <v>0</v>
      </c>
    </row>
    <row r="36" ht="16.35" customHeight="1">
      <c r="A36" s="19" t="inlineStr">
        <is>
          <t>Visa</t>
        </is>
      </c>
      <c r="B36" s="20" t="inlineStr">
        <is>
          <t>V</t>
        </is>
      </c>
      <c r="C36" s="19" t="inlineStr">
        <is>
          <t>Abdul</t>
        </is>
      </c>
      <c r="G36" t="inlineStr">
        <is>
          <t>P3</t>
        </is>
      </c>
      <c r="H36" t="inlineStr">
        <is>
          <t>Financials</t>
        </is>
      </c>
      <c r="I36" t="inlineStr">
        <is>
          <t>Phase 3/Readings/Visa</t>
        </is>
      </c>
      <c r="J36" t="n">
        <v>4</v>
      </c>
    </row>
    <row r="37" ht="16.35" customHeight="1">
      <c r="A37" s="19" t="inlineStr">
        <is>
          <t>Mastercard</t>
        </is>
      </c>
      <c r="B37" s="20" t="inlineStr">
        <is>
          <t>MA</t>
        </is>
      </c>
      <c r="C37" s="19" t="inlineStr">
        <is>
          <t>David</t>
        </is>
      </c>
      <c r="G37" t="inlineStr">
        <is>
          <t>P2</t>
        </is>
      </c>
      <c r="H37" t="inlineStr">
        <is>
          <t>Financials</t>
        </is>
      </c>
      <c r="I37" t="inlineStr">
        <is>
          <t>Phase 2/Mastercard</t>
        </is>
      </c>
      <c r="J37" t="n">
        <v>11</v>
      </c>
    </row>
    <row r="38" ht="16.35" customHeight="1">
      <c r="A38" s="19" t="inlineStr">
        <is>
          <t>American Express</t>
        </is>
      </c>
      <c r="B38" s="20" t="inlineStr">
        <is>
          <t>AXP</t>
        </is>
      </c>
      <c r="C38" s="19" t="inlineStr">
        <is>
          <t>David</t>
        </is>
      </c>
      <c r="G38" t="inlineStr">
        <is>
          <t>P2</t>
        </is>
      </c>
      <c r="H38" t="inlineStr">
        <is>
          <t>Financials</t>
        </is>
      </c>
      <c r="I38" t="inlineStr">
        <is>
          <t>Phase 2/American Express</t>
        </is>
      </c>
      <c r="J38" t="n">
        <v>7</v>
      </c>
    </row>
    <row r="39" ht="16.35" customHeight="1">
      <c r="A39" s="19" t="inlineStr">
        <is>
          <t>Goldman Sachs</t>
        </is>
      </c>
      <c r="B39" s="20" t="inlineStr">
        <is>
          <t>GS</t>
        </is>
      </c>
      <c r="C39" s="19" t="inlineStr">
        <is>
          <t>Dragos</t>
        </is>
      </c>
      <c r="G39" t="inlineStr">
        <is>
          <t>P2</t>
        </is>
      </c>
      <c r="H39" t="inlineStr">
        <is>
          <t>Financials</t>
        </is>
      </c>
      <c r="I39" t="inlineStr">
        <is>
          <t>Phase 2/Goldman Sachs</t>
        </is>
      </c>
      <c r="J39" t="n">
        <v>42</v>
      </c>
    </row>
    <row r="40" ht="16.35" customHeight="1">
      <c r="A40" s="19" t="inlineStr">
        <is>
          <t>Morgan Stanley</t>
        </is>
      </c>
      <c r="B40" s="20" t="inlineStr">
        <is>
          <t>MS</t>
        </is>
      </c>
      <c r="C40" s="19" t="n"/>
      <c r="G40" t="inlineStr">
        <is>
          <t>unmapped</t>
        </is>
      </c>
      <c r="H40" t="inlineStr">
        <is>
          <t>Financials</t>
        </is>
      </c>
      <c r="I40" t="inlineStr">
        <is>
          <t>none</t>
        </is>
      </c>
      <c r="J40" t="n">
        <v>0</v>
      </c>
    </row>
    <row r="41" ht="16.35" customHeight="1">
      <c r="A41" s="19" t="inlineStr">
        <is>
          <t>Citigroup</t>
        </is>
      </c>
      <c r="B41" s="20" t="inlineStr">
        <is>
          <t>C</t>
        </is>
      </c>
      <c r="C41" s="19" t="inlineStr">
        <is>
          <t>Nigel</t>
        </is>
      </c>
      <c r="G41" t="inlineStr">
        <is>
          <t>P2</t>
        </is>
      </c>
      <c r="H41" t="inlineStr">
        <is>
          <t>Financials</t>
        </is>
      </c>
      <c r="I41" t="inlineStr">
        <is>
          <t>Phase 2/Citigroup</t>
        </is>
      </c>
      <c r="J41" t="n">
        <v>18</v>
      </c>
    </row>
    <row r="42" ht="16.35" customHeight="1">
      <c r="A42" s="19" t="inlineStr">
        <is>
          <t>Wells Fargo</t>
        </is>
      </c>
      <c r="B42" s="20" t="inlineStr">
        <is>
          <t>WFC</t>
        </is>
      </c>
      <c r="C42" s="19" t="n"/>
      <c r="G42" t="inlineStr">
        <is>
          <t>unmapped</t>
        </is>
      </c>
      <c r="H42" t="inlineStr">
        <is>
          <t>Financials</t>
        </is>
      </c>
      <c r="I42" t="inlineStr">
        <is>
          <t>none</t>
        </is>
      </c>
      <c r="J42" t="n">
        <v>0</v>
      </c>
    </row>
    <row r="43" ht="16.35" customHeight="1">
      <c r="A43" s="19" t="inlineStr">
        <is>
          <t>Charles Schwab</t>
        </is>
      </c>
      <c r="B43" s="20" t="inlineStr">
        <is>
          <t>SCHW</t>
        </is>
      </c>
      <c r="C43" s="19" t="inlineStr">
        <is>
          <t>Dragos</t>
        </is>
      </c>
      <c r="G43" t="inlineStr">
        <is>
          <t>P2</t>
        </is>
      </c>
      <c r="H43" t="inlineStr">
        <is>
          <t>Financials</t>
        </is>
      </c>
      <c r="I43" t="inlineStr">
        <is>
          <t>Phase 2/Charles Schwab</t>
        </is>
      </c>
      <c r="J43" t="n">
        <v>26</v>
      </c>
    </row>
    <row r="44" ht="16.35" customHeight="1">
      <c r="A44" s="19" t="inlineStr">
        <is>
          <t>BlackRock</t>
        </is>
      </c>
      <c r="B44" s="20" t="inlineStr">
        <is>
          <t>BLK</t>
        </is>
      </c>
      <c r="C44" s="19" t="n"/>
      <c r="G44" t="inlineStr">
        <is>
          <t>unmapped</t>
        </is>
      </c>
      <c r="H44" t="inlineStr">
        <is>
          <t>Financials</t>
        </is>
      </c>
      <c r="I44" t="inlineStr">
        <is>
          <t>none</t>
        </is>
      </c>
      <c r="J44" t="n">
        <v>0</v>
      </c>
    </row>
    <row r="45" ht="16.35" customHeight="1">
      <c r="A45" s="19" t="inlineStr">
        <is>
          <t>KKR</t>
        </is>
      </c>
      <c r="B45" s="20" t="inlineStr">
        <is>
          <t>KKR</t>
        </is>
      </c>
      <c r="C45" s="19" t="n"/>
      <c r="G45" t="inlineStr">
        <is>
          <t>unmapped</t>
        </is>
      </c>
      <c r="H45" t="inlineStr">
        <is>
          <t>Financials</t>
        </is>
      </c>
      <c r="I45" t="inlineStr">
        <is>
          <t>none</t>
        </is>
      </c>
      <c r="J45" t="n">
        <v>0</v>
      </c>
    </row>
    <row r="46" ht="16.35" customHeight="1">
      <c r="A46" s="19" t="inlineStr">
        <is>
          <t>Apollo Global Management</t>
        </is>
      </c>
      <c r="B46" s="20" t="inlineStr">
        <is>
          <t>APO</t>
        </is>
      </c>
      <c r="C46" s="19" t="n"/>
      <c r="G46" t="inlineStr">
        <is>
          <t>unmapped</t>
        </is>
      </c>
      <c r="H46" t="inlineStr">
        <is>
          <t>Financials</t>
        </is>
      </c>
      <c r="I46" t="inlineStr">
        <is>
          <t>none</t>
        </is>
      </c>
      <c r="J46" t="n">
        <v>0</v>
      </c>
    </row>
    <row r="47" ht="16.35" customHeight="1">
      <c r="A47" s="19" t="inlineStr">
        <is>
          <t>Blackstone</t>
        </is>
      </c>
      <c r="B47" s="20" t="inlineStr">
        <is>
          <t>BX</t>
        </is>
      </c>
      <c r="C47" s="19" t="n"/>
      <c r="G47" t="inlineStr">
        <is>
          <t>unmapped</t>
        </is>
      </c>
      <c r="H47" t="inlineStr">
        <is>
          <t>Financials</t>
        </is>
      </c>
      <c r="I47" t="inlineStr">
        <is>
          <t>none</t>
        </is>
      </c>
      <c r="J47" t="n">
        <v>0</v>
      </c>
    </row>
    <row r="48" ht="16.35" customHeight="1">
      <c r="A48" s="19" t="inlineStr">
        <is>
          <t>Coca-Cola</t>
        </is>
      </c>
      <c r="B48" s="20" t="inlineStr">
        <is>
          <t>KO</t>
        </is>
      </c>
      <c r="C48" s="19" t="inlineStr">
        <is>
          <t>Meriem</t>
        </is>
      </c>
      <c r="G48" t="inlineStr">
        <is>
          <t>P2</t>
        </is>
      </c>
      <c r="H48" t="inlineStr">
        <is>
          <t>Consumer Staples</t>
        </is>
      </c>
      <c r="I48" t="inlineStr">
        <is>
          <t>Phase 2/Coca-Cola</t>
        </is>
      </c>
      <c r="J48" t="n">
        <v>3</v>
      </c>
    </row>
    <row r="49" ht="16.35" customHeight="1">
      <c r="A49" s="19" t="inlineStr">
        <is>
          <t>PepsiCo</t>
        </is>
      </c>
      <c r="B49" s="20" t="inlineStr">
        <is>
          <t>PEP</t>
        </is>
      </c>
      <c r="C49" s="19" t="inlineStr">
        <is>
          <t>Dragos</t>
        </is>
      </c>
      <c r="G49" t="inlineStr">
        <is>
          <t>P2</t>
        </is>
      </c>
      <c r="H49" t="inlineStr">
        <is>
          <t>Consumer Staples</t>
        </is>
      </c>
      <c r="I49" t="inlineStr">
        <is>
          <t>Phase 2/PepsiCo</t>
        </is>
      </c>
      <c r="J49" t="n">
        <v>28</v>
      </c>
    </row>
    <row r="50" ht="16.35" customHeight="1">
      <c r="A50" s="19" t="inlineStr">
        <is>
          <t>McDonald's</t>
        </is>
      </c>
      <c r="B50" s="20" t="inlineStr">
        <is>
          <t>MCD</t>
        </is>
      </c>
      <c r="C50" s="19" t="inlineStr">
        <is>
          <t>Meriem</t>
        </is>
      </c>
      <c r="G50" t="inlineStr">
        <is>
          <t>P2</t>
        </is>
      </c>
      <c r="H50" t="inlineStr">
        <is>
          <t>Consumer Discretionary</t>
        </is>
      </c>
      <c r="I50" t="inlineStr">
        <is>
          <t>Phase 2/McDonald's</t>
        </is>
      </c>
      <c r="J50" t="n">
        <v>6</v>
      </c>
    </row>
    <row r="51" ht="16.35" customHeight="1">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35" customHeight="1">
      <c r="A52" s="19" t="inlineStr">
        <is>
          <t>Walmart</t>
        </is>
      </c>
      <c r="B52" s="20" t="inlineStr">
        <is>
          <t>WMT</t>
        </is>
      </c>
      <c r="C52" s="19" t="inlineStr">
        <is>
          <t>Abdul</t>
        </is>
      </c>
      <c r="G52" t="inlineStr">
        <is>
          <t>P2</t>
        </is>
      </c>
      <c r="H52" t="inlineStr">
        <is>
          <t>Consumer Staples</t>
        </is>
      </c>
      <c r="I52" t="inlineStr">
        <is>
          <t>Phase 2/Walmart</t>
        </is>
      </c>
      <c r="J52" t="n">
        <v>15</v>
      </c>
    </row>
    <row r="53" ht="16.35" customHeight="1">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35" customHeight="1">
      <c r="A54" s="19" t="inlineStr">
        <is>
          <t>Lowe's</t>
        </is>
      </c>
      <c r="B54" s="20" t="inlineStr">
        <is>
          <t>LOW</t>
        </is>
      </c>
      <c r="C54" s="19" t="inlineStr">
        <is>
          <t>Anna</t>
        </is>
      </c>
      <c r="G54" t="inlineStr">
        <is>
          <t>P2</t>
        </is>
      </c>
      <c r="H54" t="inlineStr">
        <is>
          <t>Consumer Discretionary</t>
        </is>
      </c>
      <c r="I54" t="inlineStr">
        <is>
          <t>Phase 2/Lowe's</t>
        </is>
      </c>
      <c r="J54" t="n">
        <v>7</v>
      </c>
    </row>
    <row r="55" ht="16.35" customHeight="1">
      <c r="A55" s="19" t="inlineStr">
        <is>
          <t>Procter &amp; Gamble</t>
        </is>
      </c>
      <c r="B55" s="20" t="inlineStr">
        <is>
          <t>PG</t>
        </is>
      </c>
      <c r="C55" s="19" t="n"/>
      <c r="G55" t="inlineStr">
        <is>
          <t>unmapped</t>
        </is>
      </c>
      <c r="H55" t="inlineStr">
        <is>
          <t>Consumer Staples</t>
        </is>
      </c>
      <c r="I55" t="inlineStr">
        <is>
          <t>none</t>
        </is>
      </c>
      <c r="J55" t="n">
        <v>0</v>
      </c>
    </row>
    <row r="56" ht="16.35" customHeight="1">
      <c r="A56" s="19" t="inlineStr">
        <is>
          <t>Unilever</t>
        </is>
      </c>
      <c r="B56" s="20" t="inlineStr">
        <is>
          <t>UL</t>
        </is>
      </c>
      <c r="C56" s="19" t="n"/>
      <c r="G56" t="inlineStr">
        <is>
          <t>unmapped</t>
        </is>
      </c>
      <c r="H56" t="inlineStr">
        <is>
          <t>Consumer Staples</t>
        </is>
      </c>
      <c r="I56" t="inlineStr">
        <is>
          <t>none</t>
        </is>
      </c>
      <c r="J56" t="n">
        <v>0</v>
      </c>
    </row>
    <row r="57" ht="16.35" customHeight="1">
      <c r="A57" s="19" t="inlineStr">
        <is>
          <t>Nestle</t>
        </is>
      </c>
      <c r="B57" s="20" t="inlineStr">
        <is>
          <t>NSRGY</t>
        </is>
      </c>
      <c r="C57" s="19" t="inlineStr">
        <is>
          <t>Meriem</t>
        </is>
      </c>
      <c r="G57" t="inlineStr">
        <is>
          <t>P3</t>
        </is>
      </c>
      <c r="H57" t="inlineStr">
        <is>
          <t>Consumer Staples</t>
        </is>
      </c>
      <c r="I57" t="inlineStr">
        <is>
          <t>Phase 3/Readings/Nestlé</t>
        </is>
      </c>
      <c r="J57" t="n">
        <v>4</v>
      </c>
    </row>
    <row r="58" ht="16.35" customHeight="1">
      <c r="A58" s="19" t="inlineStr">
        <is>
          <t>Mondelez</t>
        </is>
      </c>
      <c r="B58" s="20" t="inlineStr">
        <is>
          <t>MDLZ</t>
        </is>
      </c>
      <c r="C58" s="19" t="n"/>
      <c r="G58" t="inlineStr">
        <is>
          <t>unmapped</t>
        </is>
      </c>
      <c r="H58" t="inlineStr">
        <is>
          <t>Consumer Staples</t>
        </is>
      </c>
      <c r="I58" t="inlineStr">
        <is>
          <t>none</t>
        </is>
      </c>
      <c r="J58" t="n">
        <v>0</v>
      </c>
    </row>
    <row r="59" ht="16.35" customHeight="1">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35" customHeight="1">
      <c r="A60" s="19" t="inlineStr">
        <is>
          <t>Kimberly-Clark</t>
        </is>
      </c>
      <c r="B60" s="20" t="inlineStr">
        <is>
          <t>KMB</t>
        </is>
      </c>
      <c r="C60" s="19" t="n"/>
      <c r="G60" t="inlineStr">
        <is>
          <t>unmapped</t>
        </is>
      </c>
      <c r="H60" t="inlineStr">
        <is>
          <t>Consumer Staples</t>
        </is>
      </c>
      <c r="I60" t="inlineStr">
        <is>
          <t>none</t>
        </is>
      </c>
      <c r="J60" t="n">
        <v>0</v>
      </c>
    </row>
    <row r="61" ht="16.35" customHeight="1">
      <c r="A61" s="19" t="inlineStr">
        <is>
          <t>Nike</t>
        </is>
      </c>
      <c r="B61" s="20" t="inlineStr">
        <is>
          <t>NKE</t>
        </is>
      </c>
      <c r="C61" s="19" t="inlineStr">
        <is>
          <t>Meriem</t>
        </is>
      </c>
      <c r="G61" t="inlineStr">
        <is>
          <t>P2</t>
        </is>
      </c>
      <c r="H61" t="inlineStr">
        <is>
          <t>Consumer Discretionary</t>
        </is>
      </c>
      <c r="I61" t="inlineStr">
        <is>
          <t>Phase 2/Nike</t>
        </is>
      </c>
      <c r="J61" t="n">
        <v>6</v>
      </c>
    </row>
    <row r="62" ht="16.35" customHeight="1">
      <c r="A62" s="19" t="inlineStr">
        <is>
          <t>Lululemon</t>
        </is>
      </c>
      <c r="B62" s="20" t="inlineStr">
        <is>
          <t>LULU</t>
        </is>
      </c>
      <c r="C62" s="19" t="inlineStr">
        <is>
          <t>Meriem</t>
        </is>
      </c>
      <c r="G62" t="inlineStr">
        <is>
          <t>P2</t>
        </is>
      </c>
      <c r="H62" t="inlineStr">
        <is>
          <t>Consumer Discretionary</t>
        </is>
      </c>
      <c r="I62" t="inlineStr">
        <is>
          <t>Phase 2/Lululemon</t>
        </is>
      </c>
      <c r="J62" t="n">
        <v>3</v>
      </c>
    </row>
    <row r="63" ht="16.35" customHeight="1">
      <c r="A63" s="19" t="inlineStr">
        <is>
          <t>Puma</t>
        </is>
      </c>
      <c r="B63" s="20" t="inlineStr">
        <is>
          <t>PUM.DE</t>
        </is>
      </c>
      <c r="C63" s="19" t="inlineStr">
        <is>
          <t>Anna</t>
        </is>
      </c>
      <c r="G63" t="inlineStr">
        <is>
          <t>P3</t>
        </is>
      </c>
      <c r="H63" t="inlineStr">
        <is>
          <t>Consumer Discretionary</t>
        </is>
      </c>
      <c r="I63" t="inlineStr">
        <is>
          <t>Phase 3/Readings/Puma</t>
        </is>
      </c>
      <c r="J63" t="n">
        <v>4</v>
      </c>
    </row>
    <row r="64" ht="16.35" customHeight="1">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35" customHeight="1">
      <c r="A65" s="19" t="inlineStr">
        <is>
          <t>LVMH</t>
        </is>
      </c>
      <c r="B65" s="20" t="inlineStr">
        <is>
          <t>MC.PA</t>
        </is>
      </c>
      <c r="C65" s="19" t="inlineStr">
        <is>
          <t>Nigel</t>
        </is>
      </c>
      <c r="G65" t="inlineStr">
        <is>
          <t>P2</t>
        </is>
      </c>
      <c r="H65" t="inlineStr">
        <is>
          <t>Consumer Discretionary</t>
        </is>
      </c>
      <c r="I65" t="inlineStr">
        <is>
          <t>Phase 2/LVMH</t>
        </is>
      </c>
      <c r="J65" t="n">
        <v>8</v>
      </c>
    </row>
    <row r="66" ht="16.35" customHeight="1">
      <c r="A66" s="19" t="inlineStr">
        <is>
          <t>Richemont</t>
        </is>
      </c>
      <c r="B66" s="20" t="inlineStr">
        <is>
          <t>CFR.SW</t>
        </is>
      </c>
      <c r="C66" s="19" t="n"/>
      <c r="G66" t="inlineStr">
        <is>
          <t>unmapped</t>
        </is>
      </c>
      <c r="H66" t="inlineStr">
        <is>
          <t>Consumer Discretionary</t>
        </is>
      </c>
      <c r="I66" t="inlineStr">
        <is>
          <t>none</t>
        </is>
      </c>
      <c r="J66" t="n">
        <v>0</v>
      </c>
    </row>
    <row r="67" ht="16.35" customHeight="1">
      <c r="A67" s="19" t="inlineStr">
        <is>
          <t>Pfizer</t>
        </is>
      </c>
      <c r="B67" s="20" t="inlineStr">
        <is>
          <t>PFE</t>
        </is>
      </c>
      <c r="C67" s="19" t="inlineStr">
        <is>
          <t>Abdul</t>
        </is>
      </c>
      <c r="G67" t="inlineStr">
        <is>
          <t>P2</t>
        </is>
      </c>
      <c r="H67" t="inlineStr">
        <is>
          <t>Health Care</t>
        </is>
      </c>
      <c r="I67" t="inlineStr">
        <is>
          <t>Phase 2/Pfizer</t>
        </is>
      </c>
      <c r="J67" t="n">
        <v>4</v>
      </c>
    </row>
    <row r="68" ht="16.35" customHeight="1">
      <c r="A68" s="19" t="inlineStr">
        <is>
          <t>Moderna</t>
        </is>
      </c>
      <c r="B68" s="20" t="inlineStr">
        <is>
          <t>MRNA</t>
        </is>
      </c>
      <c r="C68" s="19" t="n"/>
      <c r="G68" t="inlineStr">
        <is>
          <t>unmapped</t>
        </is>
      </c>
      <c r="H68" t="inlineStr">
        <is>
          <t>Health Care</t>
        </is>
      </c>
      <c r="I68" t="inlineStr">
        <is>
          <t>none</t>
        </is>
      </c>
      <c r="J68" t="n">
        <v>0</v>
      </c>
    </row>
    <row r="69" ht="16.35" customHeight="1">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35" customHeight="1">
      <c r="A70" s="19" t="inlineStr">
        <is>
          <t>Merck</t>
        </is>
      </c>
      <c r="B70" s="20" t="inlineStr">
        <is>
          <t>MRK</t>
        </is>
      </c>
      <c r="C70" s="19" t="n"/>
      <c r="G70" t="inlineStr">
        <is>
          <t>unmapped</t>
        </is>
      </c>
      <c r="H70" t="inlineStr">
        <is>
          <t>Health Care</t>
        </is>
      </c>
      <c r="I70" t="inlineStr">
        <is>
          <t>none</t>
        </is>
      </c>
      <c r="J70" t="n">
        <v>0</v>
      </c>
    </row>
    <row r="71" ht="16.35" customHeight="1">
      <c r="A71" s="19" t="inlineStr">
        <is>
          <t>AbbVie</t>
        </is>
      </c>
      <c r="B71" s="20" t="inlineStr">
        <is>
          <t>ABBV</t>
        </is>
      </c>
      <c r="C71" s="19" t="n"/>
      <c r="G71" t="inlineStr">
        <is>
          <t>unmapped</t>
        </is>
      </c>
      <c r="H71" t="inlineStr">
        <is>
          <t>Health Care</t>
        </is>
      </c>
      <c r="I71" t="inlineStr">
        <is>
          <t>none</t>
        </is>
      </c>
      <c r="J71" t="n">
        <v>0</v>
      </c>
    </row>
    <row r="72" ht="16.35" customHeight="1">
      <c r="A72" s="19" t="inlineStr">
        <is>
          <t>Eli Lilly</t>
        </is>
      </c>
      <c r="B72" s="20" t="inlineStr">
        <is>
          <t>LLY</t>
        </is>
      </c>
      <c r="C72" s="19" t="inlineStr">
        <is>
          <t>David</t>
        </is>
      </c>
      <c r="G72" t="inlineStr">
        <is>
          <t>P2</t>
        </is>
      </c>
      <c r="H72" t="inlineStr">
        <is>
          <t>Health Care</t>
        </is>
      </c>
      <c r="I72" t="inlineStr">
        <is>
          <t>Phase 2/Eli Lilly</t>
        </is>
      </c>
      <c r="J72" t="n">
        <v>6</v>
      </c>
    </row>
    <row r="73" ht="16.35" customHeight="1">
      <c r="A73" s="19" t="inlineStr">
        <is>
          <t>Novo Nordisk</t>
        </is>
      </c>
      <c r="B73" s="20" t="inlineStr">
        <is>
          <t>NVO</t>
        </is>
      </c>
      <c r="C73" s="19" t="inlineStr">
        <is>
          <t>Nigel</t>
        </is>
      </c>
      <c r="G73" t="inlineStr">
        <is>
          <t>P2</t>
        </is>
      </c>
      <c r="H73" t="inlineStr">
        <is>
          <t>Health Care</t>
        </is>
      </c>
      <c r="I73" t="inlineStr">
        <is>
          <t>Phase 2/Novo Nordisk</t>
        </is>
      </c>
      <c r="J73" t="n">
        <v>14</v>
      </c>
    </row>
    <row r="74" ht="16.35" customHeight="1">
      <c r="A74" s="19" t="inlineStr">
        <is>
          <t>AstraZeneca</t>
        </is>
      </c>
      <c r="B74" s="20" t="inlineStr">
        <is>
          <t>AZN</t>
        </is>
      </c>
      <c r="C74" s="19" t="n"/>
      <c r="G74" t="inlineStr">
        <is>
          <t>unmapped</t>
        </is>
      </c>
      <c r="H74" t="inlineStr">
        <is>
          <t>Health Care</t>
        </is>
      </c>
      <c r="I74" t="inlineStr">
        <is>
          <t>none</t>
        </is>
      </c>
      <c r="J74" t="n">
        <v>0</v>
      </c>
    </row>
    <row r="75" ht="16.35" customHeight="1">
      <c r="A75" s="19" t="inlineStr">
        <is>
          <t>Roche</t>
        </is>
      </c>
      <c r="B75" s="20" t="inlineStr">
        <is>
          <t>RHHBY</t>
        </is>
      </c>
      <c r="C75" s="19" t="n"/>
      <c r="G75" t="inlineStr">
        <is>
          <t>unmapped</t>
        </is>
      </c>
      <c r="H75" t="inlineStr">
        <is>
          <t>Health Care</t>
        </is>
      </c>
      <c r="I75" t="inlineStr">
        <is>
          <t>none</t>
        </is>
      </c>
      <c r="J75" t="n">
        <v>0</v>
      </c>
    </row>
    <row r="76" ht="16.35" customHeight="1">
      <c r="A76" s="19" t="inlineStr">
        <is>
          <t>Novartis</t>
        </is>
      </c>
      <c r="B76" s="20" t="inlineStr">
        <is>
          <t>NVS</t>
        </is>
      </c>
      <c r="C76" s="19" t="n"/>
      <c r="G76" t="inlineStr">
        <is>
          <t>unmapped</t>
        </is>
      </c>
      <c r="H76" t="inlineStr">
        <is>
          <t>Health Care</t>
        </is>
      </c>
      <c r="I76" t="inlineStr">
        <is>
          <t>none</t>
        </is>
      </c>
      <c r="J76" t="n">
        <v>0</v>
      </c>
    </row>
    <row r="77" ht="16.35" customHeight="1">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35" customHeight="1">
      <c r="A78" s="19" t="inlineStr">
        <is>
          <t>CVS Health</t>
        </is>
      </c>
      <c r="B78" s="20" t="inlineStr">
        <is>
          <t>CVS</t>
        </is>
      </c>
      <c r="C78" s="19" t="inlineStr">
        <is>
          <t>Anna</t>
        </is>
      </c>
      <c r="G78" t="inlineStr">
        <is>
          <t>P2</t>
        </is>
      </c>
      <c r="H78" t="inlineStr">
        <is>
          <t>Health Care</t>
        </is>
      </c>
      <c r="I78" t="inlineStr">
        <is>
          <t>Phase 2/CVS Health</t>
        </is>
      </c>
      <c r="J78" t="n">
        <v>4</v>
      </c>
    </row>
    <row r="79" ht="16.35" customHeight="1">
      <c r="A79" s="19" t="inlineStr">
        <is>
          <t>Cigna</t>
        </is>
      </c>
      <c r="B79" s="20" t="inlineStr">
        <is>
          <t>CI</t>
        </is>
      </c>
      <c r="C79" s="19" t="n"/>
      <c r="G79" t="inlineStr">
        <is>
          <t>unmapped</t>
        </is>
      </c>
      <c r="H79" t="inlineStr">
        <is>
          <t>Health Care</t>
        </is>
      </c>
      <c r="I79" t="inlineStr">
        <is>
          <t>none</t>
        </is>
      </c>
      <c r="J79" t="n">
        <v>0</v>
      </c>
    </row>
    <row r="80" ht="16.35" customHeight="1">
      <c r="A80" s="19" t="inlineStr">
        <is>
          <t>ExxonMobil</t>
        </is>
      </c>
      <c r="B80" s="20" t="inlineStr">
        <is>
          <t>XOM</t>
        </is>
      </c>
      <c r="C80" s="19" t="inlineStr">
        <is>
          <t>Dragos</t>
        </is>
      </c>
      <c r="G80" t="inlineStr">
        <is>
          <t>P2</t>
        </is>
      </c>
      <c r="H80" t="inlineStr">
        <is>
          <t>Energy</t>
        </is>
      </c>
      <c r="I80" t="inlineStr">
        <is>
          <t>Phase 2/ExxonMobil</t>
        </is>
      </c>
      <c r="J80" t="n">
        <v>39</v>
      </c>
    </row>
    <row r="81" ht="16.35" customHeight="1">
      <c r="A81" s="19" t="inlineStr">
        <is>
          <t>Chevron</t>
        </is>
      </c>
      <c r="B81" s="20" t="inlineStr">
        <is>
          <t>CVX</t>
        </is>
      </c>
      <c r="C81" s="19" t="inlineStr">
        <is>
          <t>David</t>
        </is>
      </c>
      <c r="G81" t="inlineStr">
        <is>
          <t>P2</t>
        </is>
      </c>
      <c r="H81" t="inlineStr">
        <is>
          <t>Energy</t>
        </is>
      </c>
      <c r="I81" t="inlineStr">
        <is>
          <t>Phase 2/Chevron</t>
        </is>
      </c>
      <c r="J81" t="n">
        <v>11</v>
      </c>
    </row>
    <row r="82" ht="16.35" customHeight="1">
      <c r="A82" s="19" t="inlineStr">
        <is>
          <t>Shell</t>
        </is>
      </c>
      <c r="B82" s="20" t="inlineStr">
        <is>
          <t>SHEL</t>
        </is>
      </c>
      <c r="C82" s="19" t="inlineStr">
        <is>
          <t>David</t>
        </is>
      </c>
      <c r="G82" t="inlineStr">
        <is>
          <t>P2</t>
        </is>
      </c>
      <c r="H82" t="inlineStr">
        <is>
          <t>Energy</t>
        </is>
      </c>
      <c r="I82" t="inlineStr">
        <is>
          <t>Phase 2/SHELL</t>
        </is>
      </c>
      <c r="J82" t="n">
        <v>11</v>
      </c>
    </row>
    <row r="83" ht="16.35" customHeight="1">
      <c r="A83" s="19" t="inlineStr">
        <is>
          <t>BP</t>
        </is>
      </c>
      <c r="B83" s="20" t="inlineStr">
        <is>
          <t>BP</t>
        </is>
      </c>
      <c r="C83" s="19" t="n"/>
      <c r="G83" t="inlineStr">
        <is>
          <t>unmapped</t>
        </is>
      </c>
      <c r="H83" t="inlineStr">
        <is>
          <t>Energy</t>
        </is>
      </c>
      <c r="I83" t="inlineStr">
        <is>
          <t>none</t>
        </is>
      </c>
      <c r="J83" t="n">
        <v>0</v>
      </c>
    </row>
    <row r="84" ht="16.35" customHeight="1">
      <c r="A84" s="19" t="inlineStr">
        <is>
          <t>TotalEnergies</t>
        </is>
      </c>
      <c r="B84" s="20" t="inlineStr">
        <is>
          <t>TTE</t>
        </is>
      </c>
      <c r="C84" s="19" t="n"/>
      <c r="G84" t="inlineStr">
        <is>
          <t>unmapped</t>
        </is>
      </c>
      <c r="H84" t="inlineStr">
        <is>
          <t>Energy</t>
        </is>
      </c>
      <c r="I84" t="inlineStr">
        <is>
          <t>none</t>
        </is>
      </c>
      <c r="J84" t="n">
        <v>0</v>
      </c>
    </row>
    <row r="85" ht="16.35" customHeight="1">
      <c r="A85" s="19" t="inlineStr">
        <is>
          <t>ConocoPhillips</t>
        </is>
      </c>
      <c r="B85" s="20" t="inlineStr">
        <is>
          <t>COP</t>
        </is>
      </c>
      <c r="C85" s="19" t="n"/>
      <c r="G85" t="inlineStr">
        <is>
          <t>unmapped</t>
        </is>
      </c>
      <c r="H85" t="inlineStr">
        <is>
          <t>Energy</t>
        </is>
      </c>
      <c r="I85" t="inlineStr">
        <is>
          <t>none</t>
        </is>
      </c>
      <c r="J85" t="n">
        <v>0</v>
      </c>
    </row>
    <row r="86" ht="16.35" customHeight="1">
      <c r="A86" s="19" t="inlineStr">
        <is>
          <t>Occidental Petroleum</t>
        </is>
      </c>
      <c r="B86" s="20" t="inlineStr">
        <is>
          <t>OXY</t>
        </is>
      </c>
      <c r="C86" s="19" t="n"/>
      <c r="G86" t="inlineStr">
        <is>
          <t>unmapped</t>
        </is>
      </c>
      <c r="H86" t="inlineStr">
        <is>
          <t>Energy</t>
        </is>
      </c>
      <c r="I86" t="inlineStr">
        <is>
          <t>none</t>
        </is>
      </c>
      <c r="J86" t="n">
        <v>0</v>
      </c>
    </row>
    <row r="87" ht="16.35" customHeight="1">
      <c r="A87" s="19" t="inlineStr">
        <is>
          <t>NextEra Energy</t>
        </is>
      </c>
      <c r="B87" s="20" t="inlineStr">
        <is>
          <t>NEE</t>
        </is>
      </c>
      <c r="C87" s="19" t="n"/>
      <c r="G87" t="inlineStr">
        <is>
          <t>unmapped</t>
        </is>
      </c>
      <c r="H87" t="inlineStr">
        <is>
          <t>Utilities</t>
        </is>
      </c>
      <c r="I87" t="inlineStr">
        <is>
          <t>none</t>
        </is>
      </c>
      <c r="J87" t="n">
        <v>0</v>
      </c>
    </row>
    <row r="88" ht="16.35" customHeight="1">
      <c r="A88" s="19" t="inlineStr">
        <is>
          <t>Duke Energy</t>
        </is>
      </c>
      <c r="B88" s="20" t="inlineStr">
        <is>
          <t>DUK</t>
        </is>
      </c>
      <c r="C88" s="19" t="inlineStr">
        <is>
          <t>Dragos</t>
        </is>
      </c>
      <c r="G88" t="inlineStr">
        <is>
          <t>P2</t>
        </is>
      </c>
      <c r="H88" t="inlineStr">
        <is>
          <t>Utilities</t>
        </is>
      </c>
      <c r="I88" t="inlineStr">
        <is>
          <t>Phase 2/Duke Energy</t>
        </is>
      </c>
      <c r="J88" t="n">
        <v>26</v>
      </c>
    </row>
    <row r="89" ht="16.35" customHeight="1">
      <c r="A89" s="19" t="inlineStr">
        <is>
          <t>Southern Company</t>
        </is>
      </c>
      <c r="B89" s="20" t="inlineStr">
        <is>
          <t>SO</t>
        </is>
      </c>
      <c r="C89" s="19" t="n"/>
      <c r="G89" t="inlineStr">
        <is>
          <t>unmapped</t>
        </is>
      </c>
      <c r="H89" t="inlineStr">
        <is>
          <t>Utilities</t>
        </is>
      </c>
      <c r="I89" t="inlineStr">
        <is>
          <t>none</t>
        </is>
      </c>
      <c r="J89" t="n">
        <v>0</v>
      </c>
    </row>
    <row r="90" ht="16.35" customHeight="1">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35" customHeight="1">
      <c r="A91" s="19" t="inlineStr">
        <is>
          <t>Deere</t>
        </is>
      </c>
      <c r="B91" s="20" t="inlineStr">
        <is>
          <t>DE</t>
        </is>
      </c>
      <c r="C91" s="19" t="n"/>
      <c r="G91" t="inlineStr">
        <is>
          <t>unmapped</t>
        </is>
      </c>
      <c r="H91" t="inlineStr">
        <is>
          <t>Industrials</t>
        </is>
      </c>
      <c r="I91" t="inlineStr">
        <is>
          <t>none</t>
        </is>
      </c>
      <c r="J91" t="n">
        <v>0</v>
      </c>
    </row>
    <row r="92" ht="16.35" customHeight="1">
      <c r="A92" s="19" t="inlineStr">
        <is>
          <t>General Electric</t>
        </is>
      </c>
      <c r="B92" s="20" t="inlineStr">
        <is>
          <t>GE</t>
        </is>
      </c>
      <c r="C92" s="19" t="n"/>
      <c r="G92" t="inlineStr">
        <is>
          <t>unmapped</t>
        </is>
      </c>
      <c r="H92" t="inlineStr">
        <is>
          <t>Industrials</t>
        </is>
      </c>
      <c r="I92" t="inlineStr">
        <is>
          <t>none</t>
        </is>
      </c>
      <c r="J92" t="n">
        <v>0</v>
      </c>
    </row>
    <row r="93" ht="16.35" customHeight="1">
      <c r="A93" s="19" t="inlineStr">
        <is>
          <t>Honeywell</t>
        </is>
      </c>
      <c r="B93" s="20" t="inlineStr">
        <is>
          <t>HON</t>
        </is>
      </c>
      <c r="C93" s="19" t="n"/>
      <c r="G93" t="inlineStr">
        <is>
          <t>unmapped</t>
        </is>
      </c>
      <c r="H93" t="inlineStr">
        <is>
          <t>Industrials</t>
        </is>
      </c>
      <c r="I93" t="inlineStr">
        <is>
          <t>none</t>
        </is>
      </c>
      <c r="J93" t="n">
        <v>0</v>
      </c>
    </row>
    <row r="94" ht="16.35" customHeight="1">
      <c r="A94" s="19" t="inlineStr">
        <is>
          <t>3M</t>
        </is>
      </c>
      <c r="B94" s="20" t="inlineStr">
        <is>
          <t>MMM</t>
        </is>
      </c>
      <c r="C94" s="19" t="n"/>
      <c r="G94" t="inlineStr">
        <is>
          <t>unmapped</t>
        </is>
      </c>
      <c r="H94" t="inlineStr">
        <is>
          <t>Industrials</t>
        </is>
      </c>
      <c r="I94" t="inlineStr">
        <is>
          <t>none</t>
        </is>
      </c>
      <c r="J94" t="n">
        <v>0</v>
      </c>
    </row>
    <row r="95" ht="16.35" customHeight="1">
      <c r="A95" s="19" t="inlineStr">
        <is>
          <t>Lockheed Martin</t>
        </is>
      </c>
      <c r="B95" s="20" t="inlineStr">
        <is>
          <t>LMT</t>
        </is>
      </c>
      <c r="C95" s="19" t="inlineStr">
        <is>
          <t>Nigel</t>
        </is>
      </c>
      <c r="G95" t="inlineStr">
        <is>
          <t>P2</t>
        </is>
      </c>
      <c r="H95" t="inlineStr">
        <is>
          <t>Industrials</t>
        </is>
      </c>
      <c r="I95" t="inlineStr">
        <is>
          <t>Phase 2/Lockheed Martin</t>
        </is>
      </c>
      <c r="J95" t="n">
        <v>17</v>
      </c>
    </row>
    <row r="96" ht="16.35" customHeight="1">
      <c r="A96" s="19" t="inlineStr">
        <is>
          <t>RTX</t>
        </is>
      </c>
      <c r="B96" s="20" t="inlineStr">
        <is>
          <t>RTX</t>
        </is>
      </c>
      <c r="C96" s="19" t="n"/>
      <c r="G96" t="inlineStr">
        <is>
          <t>unmapped</t>
        </is>
      </c>
      <c r="H96" t="inlineStr">
        <is>
          <t>Industrials</t>
        </is>
      </c>
      <c r="I96" t="inlineStr">
        <is>
          <t>none</t>
        </is>
      </c>
      <c r="J96" t="n">
        <v>0</v>
      </c>
    </row>
    <row r="97" ht="16.35" customHeight="1">
      <c r="A97" s="19" t="inlineStr">
        <is>
          <t>Delta Air Lines</t>
        </is>
      </c>
      <c r="B97" s="20" t="inlineStr">
        <is>
          <t>DAL</t>
        </is>
      </c>
      <c r="C97" s="19" t="inlineStr">
        <is>
          <t>Nigel</t>
        </is>
      </c>
      <c r="G97" t="inlineStr">
        <is>
          <t>P3</t>
        </is>
      </c>
      <c r="H97" t="inlineStr">
        <is>
          <t>Industrials</t>
        </is>
      </c>
      <c r="I97" t="inlineStr">
        <is>
          <t>Phase 3/Readings/Delta</t>
        </is>
      </c>
      <c r="J97" t="n">
        <v>18</v>
      </c>
    </row>
    <row r="98" ht="16.35" customHeight="1">
      <c r="A98" s="19" t="inlineStr">
        <is>
          <t>United Airlines</t>
        </is>
      </c>
      <c r="B98" s="20" t="inlineStr">
        <is>
          <t>UAL</t>
        </is>
      </c>
      <c r="C98" s="19" t="inlineStr">
        <is>
          <t>Nigel</t>
        </is>
      </c>
      <c r="G98" t="inlineStr">
        <is>
          <t>P2</t>
        </is>
      </c>
      <c r="H98" t="inlineStr">
        <is>
          <t>Industrials</t>
        </is>
      </c>
      <c r="I98" t="inlineStr">
        <is>
          <t>Phase 2/United Airlines</t>
        </is>
      </c>
      <c r="J98" t="n">
        <v>17</v>
      </c>
    </row>
    <row r="99" ht="16.35" customHeight="1">
      <c r="A99" s="19" t="inlineStr">
        <is>
          <t>American Airlines</t>
        </is>
      </c>
      <c r="B99" s="20" t="inlineStr">
        <is>
          <t>AAL</t>
        </is>
      </c>
      <c r="C99" s="19" t="n"/>
      <c r="G99" t="inlineStr">
        <is>
          <t>unmapped</t>
        </is>
      </c>
      <c r="H99" t="inlineStr">
        <is>
          <t>Industrials</t>
        </is>
      </c>
      <c r="I99" t="inlineStr">
        <is>
          <t>none</t>
        </is>
      </c>
      <c r="J99" t="n">
        <v>0</v>
      </c>
    </row>
    <row r="100" ht="16.35" customHeight="1">
      <c r="A100" s="19" t="inlineStr">
        <is>
          <t>FedEx</t>
        </is>
      </c>
      <c r="B100" s="20" t="inlineStr">
        <is>
          <t>FDX</t>
        </is>
      </c>
      <c r="C100" s="19" t="inlineStr">
        <is>
          <t>Anna</t>
        </is>
      </c>
      <c r="G100" t="inlineStr">
        <is>
          <t>P2</t>
        </is>
      </c>
      <c r="H100" t="inlineStr">
        <is>
          <t>Industrials</t>
        </is>
      </c>
      <c r="I100" t="inlineStr">
        <is>
          <t>Phase 2/FedEx</t>
        </is>
      </c>
      <c r="J100" t="n">
        <v>4</v>
      </c>
    </row>
    <row r="101" ht="16.35" customHeight="1">
      <c r="A101" s="19" t="inlineStr">
        <is>
          <t>Maersk</t>
        </is>
      </c>
      <c r="B101" s="20" t="inlineStr">
        <is>
          <t>AMKBY</t>
        </is>
      </c>
      <c r="C101" s="19" t="inlineStr">
        <is>
          <t>Nigel</t>
        </is>
      </c>
      <c r="G101" t="inlineStr">
        <is>
          <t>P2</t>
        </is>
      </c>
      <c r="H101" t="inlineStr">
        <is>
          <t>Industrials</t>
        </is>
      </c>
      <c r="I101" t="inlineStr">
        <is>
          <t>Phase 2/Maersk</t>
        </is>
      </c>
      <c r="J101" t="n">
        <v>14</v>
      </c>
    </row>
    <row r="102" ht="16.35" customHeight="1">
      <c r="A102" s="19" t="inlineStr">
        <is>
          <t>Toyota</t>
        </is>
      </c>
      <c r="B102" s="20" t="inlineStr">
        <is>
          <t>TM</t>
        </is>
      </c>
      <c r="C102" s="19" t="n"/>
      <c r="G102" t="inlineStr">
        <is>
          <t>unmapped</t>
        </is>
      </c>
      <c r="H102" t="inlineStr">
        <is>
          <t>Consumer Discretionary</t>
        </is>
      </c>
      <c r="I102" t="inlineStr">
        <is>
          <t>none</t>
        </is>
      </c>
      <c r="J102" t="n">
        <v>0</v>
      </c>
    </row>
    <row r="103" ht="16.35" customHeight="1">
      <c r="A103" s="19" t="inlineStr">
        <is>
          <t>Ford</t>
        </is>
      </c>
      <c r="B103" s="20" t="inlineStr">
        <is>
          <t>F</t>
        </is>
      </c>
      <c r="C103" s="19" t="inlineStr">
        <is>
          <t>Abdul</t>
        </is>
      </c>
      <c r="G103" t="inlineStr">
        <is>
          <t>P2</t>
        </is>
      </c>
      <c r="H103" t="inlineStr">
        <is>
          <t>Consumer Discretionary</t>
        </is>
      </c>
      <c r="I103" t="inlineStr">
        <is>
          <t>Phase 2/Ford</t>
        </is>
      </c>
      <c r="J103" t="n">
        <v>4</v>
      </c>
    </row>
    <row r="104" ht="16.35" customHeight="1">
      <c r="A104" s="19" t="inlineStr">
        <is>
          <t>General Motors</t>
        </is>
      </c>
      <c r="B104" s="20" t="inlineStr">
        <is>
          <t>GM</t>
        </is>
      </c>
      <c r="C104" s="19" t="n"/>
      <c r="G104" t="inlineStr">
        <is>
          <t>unmapped</t>
        </is>
      </c>
      <c r="H104" t="inlineStr">
        <is>
          <t>Consumer Discretionary</t>
        </is>
      </c>
      <c r="I104" t="inlineStr">
        <is>
          <t>none</t>
        </is>
      </c>
      <c r="J104" t="n">
        <v>0</v>
      </c>
    </row>
    <row r="105" ht="16.35" customHeight="1">
      <c r="A105" s="19" t="inlineStr">
        <is>
          <t>Ferrari</t>
        </is>
      </c>
      <c r="B105" s="20" t="inlineStr">
        <is>
          <t>RACE</t>
        </is>
      </c>
      <c r="C105" s="19" t="n"/>
      <c r="G105" t="inlineStr">
        <is>
          <t>unmapped</t>
        </is>
      </c>
      <c r="H105" t="inlineStr">
        <is>
          <t>Consumer Discretionary</t>
        </is>
      </c>
      <c r="I105" t="inlineStr">
        <is>
          <t>none</t>
        </is>
      </c>
      <c r="J105" t="n">
        <v>0</v>
      </c>
    </row>
    <row r="106" ht="16.35" customHeight="1">
      <c r="A106" s="19" t="inlineStr">
        <is>
          <t>Micron</t>
        </is>
      </c>
      <c r="B106" s="20" t="inlineStr">
        <is>
          <t>MU</t>
        </is>
      </c>
      <c r="C106" s="19" t="inlineStr">
        <is>
          <t>David</t>
        </is>
      </c>
      <c r="G106" t="inlineStr">
        <is>
          <t>P2</t>
        </is>
      </c>
      <c r="H106" t="inlineStr">
        <is>
          <t>Information Technology</t>
        </is>
      </c>
      <c r="I106" t="inlineStr">
        <is>
          <t>Phase 2/Micron</t>
        </is>
      </c>
      <c r="J106" t="n">
        <v>7</v>
      </c>
    </row>
    <row r="107" ht="16.35" customHeight="1">
      <c r="A107" s="19" t="inlineStr">
        <is>
          <t>Arm Holdings</t>
        </is>
      </c>
      <c r="B107" s="20" t="inlineStr">
        <is>
          <t>ARM</t>
        </is>
      </c>
      <c r="C107" s="19" t="n"/>
      <c r="G107" t="inlineStr">
        <is>
          <t>unmapped</t>
        </is>
      </c>
      <c r="H107" t="inlineStr">
        <is>
          <t>Information Technology</t>
        </is>
      </c>
      <c r="I107" t="inlineStr">
        <is>
          <t>none</t>
        </is>
      </c>
      <c r="J107" t="n">
        <v>0</v>
      </c>
    </row>
    <row r="108" ht="16.35" customHeight="1">
      <c r="A108" s="19" t="inlineStr">
        <is>
          <t>Synopsys</t>
        </is>
      </c>
      <c r="B108" s="20" t="inlineStr">
        <is>
          <t>SNPS</t>
        </is>
      </c>
      <c r="C108" s="19" t="n"/>
      <c r="G108" t="inlineStr">
        <is>
          <t>unmapped</t>
        </is>
      </c>
      <c r="H108" t="inlineStr">
        <is>
          <t>Information Technology</t>
        </is>
      </c>
      <c r="I108" t="inlineStr">
        <is>
          <t>none</t>
        </is>
      </c>
      <c r="J108" t="n">
        <v>0</v>
      </c>
    </row>
    <row r="109" ht="16.35" customHeight="1">
      <c r="A109" s="19" t="inlineStr">
        <is>
          <t>Cadence</t>
        </is>
      </c>
      <c r="B109" s="20" t="inlineStr">
        <is>
          <t>CDNS</t>
        </is>
      </c>
      <c r="C109" s="19" t="n"/>
      <c r="G109" t="inlineStr">
        <is>
          <t>unmapped</t>
        </is>
      </c>
      <c r="H109" t="inlineStr">
        <is>
          <t>Information Technology</t>
        </is>
      </c>
      <c r="I109" t="inlineStr">
        <is>
          <t>none</t>
        </is>
      </c>
      <c r="J109" t="n">
        <v>0</v>
      </c>
    </row>
    <row r="110" ht="16.35" customHeight="1">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35" customHeight="1">
      <c r="A111" s="19" t="inlineStr">
        <is>
          <t>Intuit</t>
        </is>
      </c>
      <c r="B111" s="20" t="inlineStr">
        <is>
          <t>INTU</t>
        </is>
      </c>
      <c r="C111" s="19" t="n"/>
      <c r="G111" t="inlineStr">
        <is>
          <t>unmapped</t>
        </is>
      </c>
      <c r="H111" t="inlineStr">
        <is>
          <t>Information Technology</t>
        </is>
      </c>
      <c r="I111" t="inlineStr">
        <is>
          <t>none</t>
        </is>
      </c>
      <c r="J111" t="n">
        <v>0</v>
      </c>
    </row>
    <row r="112" ht="16.35" customHeight="1">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35" customHeight="1">
      <c r="A113" s="19" t="inlineStr">
        <is>
          <t>HP</t>
        </is>
      </c>
      <c r="B113" s="20" t="inlineStr">
        <is>
          <t>HPQ</t>
        </is>
      </c>
      <c r="C113" s="19" t="n"/>
      <c r="G113" t="inlineStr">
        <is>
          <t>unmapped</t>
        </is>
      </c>
      <c r="H113" t="inlineStr">
        <is>
          <t>Information Technology</t>
        </is>
      </c>
      <c r="I113" t="inlineStr">
        <is>
          <t>none</t>
        </is>
      </c>
      <c r="J113" t="n">
        <v>0</v>
      </c>
    </row>
    <row r="114" ht="16.35" customHeight="1">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35" customHeight="1">
      <c r="A115" s="19" t="inlineStr">
        <is>
          <t>Seagate</t>
        </is>
      </c>
      <c r="B115" s="20" t="inlineStr">
        <is>
          <t>STX</t>
        </is>
      </c>
      <c r="C115" s="19" t="n"/>
      <c r="G115" t="inlineStr">
        <is>
          <t>unmapped</t>
        </is>
      </c>
      <c r="H115" t="inlineStr">
        <is>
          <t>Information Technology</t>
        </is>
      </c>
      <c r="I115" t="inlineStr">
        <is>
          <t>none</t>
        </is>
      </c>
      <c r="J115" t="n">
        <v>0</v>
      </c>
    </row>
    <row r="116" ht="16.35" customHeight="1">
      <c r="A116" s="19" t="inlineStr">
        <is>
          <t>HSBC</t>
        </is>
      </c>
      <c r="B116" s="20" t="inlineStr">
        <is>
          <t>HSBC</t>
        </is>
      </c>
      <c r="C116" s="19" t="n"/>
      <c r="G116" t="inlineStr">
        <is>
          <t>unmapped</t>
        </is>
      </c>
      <c r="H116" t="inlineStr">
        <is>
          <t>Financials</t>
        </is>
      </c>
      <c r="I116" t="inlineStr">
        <is>
          <t>none</t>
        </is>
      </c>
      <c r="J116" t="n">
        <v>0</v>
      </c>
    </row>
    <row r="117" ht="16.35" customHeight="1">
      <c r="A117" s="19" t="inlineStr">
        <is>
          <t>Barclays</t>
        </is>
      </c>
      <c r="B117" s="20" t="inlineStr">
        <is>
          <t>BCS</t>
        </is>
      </c>
      <c r="C117" s="19" t="inlineStr">
        <is>
          <t>Abdul</t>
        </is>
      </c>
      <c r="G117" t="inlineStr">
        <is>
          <t>P2</t>
        </is>
      </c>
      <c r="H117" t="inlineStr">
        <is>
          <t>Financials</t>
        </is>
      </c>
      <c r="I117" t="inlineStr">
        <is>
          <t>Phase 2/Barclays</t>
        </is>
      </c>
      <c r="J117" t="n">
        <v>10</v>
      </c>
    </row>
    <row r="118" ht="16.35" customHeight="1">
      <c r="A118" s="19" t="inlineStr">
        <is>
          <t>Lloyds</t>
        </is>
      </c>
      <c r="B118" s="20" t="inlineStr">
        <is>
          <t>LYG</t>
        </is>
      </c>
      <c r="C118" s="19" t="n"/>
      <c r="G118" t="inlineStr">
        <is>
          <t>unmapped</t>
        </is>
      </c>
      <c r="H118" t="inlineStr">
        <is>
          <t>Financials</t>
        </is>
      </c>
      <c r="I118" t="inlineStr">
        <is>
          <t>none</t>
        </is>
      </c>
      <c r="J118" t="n">
        <v>0</v>
      </c>
    </row>
    <row r="119" ht="16.35" customHeight="1">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35" customHeight="1">
      <c r="A120" s="19" t="inlineStr">
        <is>
          <t>BNP Paribas</t>
        </is>
      </c>
      <c r="B120" s="20" t="inlineStr">
        <is>
          <t>BNP.PA</t>
        </is>
      </c>
      <c r="C120" s="19" t="n"/>
      <c r="G120" t="inlineStr">
        <is>
          <t>unmapped</t>
        </is>
      </c>
      <c r="H120" t="inlineStr">
        <is>
          <t>Financials</t>
        </is>
      </c>
      <c r="I120" t="inlineStr">
        <is>
          <t>none</t>
        </is>
      </c>
      <c r="J120" t="n">
        <v>0</v>
      </c>
    </row>
    <row r="121" ht="16.35" customHeight="1">
      <c r="A121" s="19" t="inlineStr">
        <is>
          <t>Societe Generale</t>
        </is>
      </c>
      <c r="B121" s="20" t="inlineStr">
        <is>
          <t>GLE.PA</t>
        </is>
      </c>
      <c r="C121" s="19" t="n"/>
      <c r="G121" t="inlineStr">
        <is>
          <t>unmapped</t>
        </is>
      </c>
      <c r="H121" t="inlineStr">
        <is>
          <t>Financials</t>
        </is>
      </c>
      <c r="I121" t="inlineStr">
        <is>
          <t>none</t>
        </is>
      </c>
      <c r="J121" t="n">
        <v>0</v>
      </c>
    </row>
    <row r="122" ht="16.35" customHeight="1">
      <c r="A122" s="19" t="inlineStr">
        <is>
          <t>Deutsche Bank</t>
        </is>
      </c>
      <c r="B122" s="20" t="inlineStr">
        <is>
          <t>DB</t>
        </is>
      </c>
      <c r="C122" s="19" t="n"/>
      <c r="G122" t="inlineStr">
        <is>
          <t>unmapped</t>
        </is>
      </c>
      <c r="H122" t="inlineStr">
        <is>
          <t>Financials</t>
        </is>
      </c>
      <c r="I122" t="inlineStr">
        <is>
          <t>none</t>
        </is>
      </c>
      <c r="J122" t="n">
        <v>0</v>
      </c>
    </row>
    <row r="123" ht="16.35" customHeight="1">
      <c r="A123" s="19" t="inlineStr">
        <is>
          <t>UBS</t>
        </is>
      </c>
      <c r="B123" s="20" t="inlineStr">
        <is>
          <t>UBS</t>
        </is>
      </c>
      <c r="C123" s="19" t="n"/>
      <c r="G123" t="inlineStr">
        <is>
          <t>unmapped</t>
        </is>
      </c>
      <c r="H123" t="inlineStr">
        <is>
          <t>Financials</t>
        </is>
      </c>
      <c r="I123" t="inlineStr">
        <is>
          <t>none</t>
        </is>
      </c>
      <c r="J123" t="n">
        <v>0</v>
      </c>
    </row>
    <row r="124" ht="16.35" customHeight="1">
      <c r="A124" s="19" t="inlineStr">
        <is>
          <t>ING</t>
        </is>
      </c>
      <c r="B124" s="20" t="inlineStr">
        <is>
          <t>ING</t>
        </is>
      </c>
      <c r="C124" s="19" t="n"/>
      <c r="G124" t="inlineStr">
        <is>
          <t>unmapped</t>
        </is>
      </c>
      <c r="H124" t="inlineStr">
        <is>
          <t>Financials</t>
        </is>
      </c>
      <c r="I124" t="inlineStr">
        <is>
          <t>none</t>
        </is>
      </c>
      <c r="J124" t="n">
        <v>0</v>
      </c>
    </row>
    <row r="125" ht="16.35" customHeight="1">
      <c r="A125" s="19" t="inlineStr">
        <is>
          <t>Santander</t>
        </is>
      </c>
      <c r="B125" s="20" t="inlineStr">
        <is>
          <t>SAN</t>
        </is>
      </c>
      <c r="C125" s="19" t="n"/>
      <c r="G125" t="inlineStr">
        <is>
          <t>unmapped</t>
        </is>
      </c>
      <c r="H125" t="inlineStr">
        <is>
          <t>Financials</t>
        </is>
      </c>
      <c r="I125" t="inlineStr">
        <is>
          <t>none</t>
        </is>
      </c>
      <c r="J125" t="n">
        <v>0</v>
      </c>
    </row>
    <row r="126" ht="16.35" customHeight="1">
      <c r="A126" s="19" t="inlineStr">
        <is>
          <t>Allianz</t>
        </is>
      </c>
      <c r="B126" s="20" t="inlineStr">
        <is>
          <t>ALV.DE</t>
        </is>
      </c>
      <c r="C126" s="19" t="inlineStr">
        <is>
          <t>Nigel</t>
        </is>
      </c>
      <c r="G126" t="inlineStr">
        <is>
          <t>P3</t>
        </is>
      </c>
      <c r="H126" t="inlineStr">
        <is>
          <t>Financials</t>
        </is>
      </c>
      <c r="I126" t="inlineStr">
        <is>
          <t>Phase 3/Readings/Allianz</t>
        </is>
      </c>
      <c r="J126" t="n">
        <v>29</v>
      </c>
    </row>
    <row r="127" ht="16.35" customHeight="1">
      <c r="A127" s="19" t="inlineStr">
        <is>
          <t>AXA</t>
        </is>
      </c>
      <c r="B127" s="20" t="inlineStr">
        <is>
          <t>AXAHY</t>
        </is>
      </c>
      <c r="C127" s="19" t="n"/>
      <c r="G127" t="inlineStr">
        <is>
          <t>unmapped</t>
        </is>
      </c>
      <c r="H127" t="inlineStr">
        <is>
          <t>Financials</t>
        </is>
      </c>
      <c r="I127" t="inlineStr">
        <is>
          <t>none</t>
        </is>
      </c>
      <c r="J127" t="n">
        <v>0</v>
      </c>
    </row>
    <row r="128" ht="16.35" customHeight="1">
      <c r="A128" s="19" t="inlineStr">
        <is>
          <t>Prudential</t>
        </is>
      </c>
      <c r="B128" s="20" t="inlineStr">
        <is>
          <t>PUK</t>
        </is>
      </c>
      <c r="C128" s="19" t="n"/>
      <c r="G128" t="inlineStr">
        <is>
          <t>unmapped</t>
        </is>
      </c>
      <c r="H128" t="inlineStr">
        <is>
          <t>Financials</t>
        </is>
      </c>
      <c r="I128" t="inlineStr">
        <is>
          <t>none</t>
        </is>
      </c>
      <c r="J128" t="n">
        <v>0</v>
      </c>
    </row>
    <row r="129" ht="16.35" customHeight="1">
      <c r="A129" s="19" t="inlineStr">
        <is>
          <t>AIG</t>
        </is>
      </c>
      <c r="B129" s="20" t="inlineStr">
        <is>
          <t>AIG</t>
        </is>
      </c>
      <c r="C129" s="19" t="n"/>
      <c r="G129" t="inlineStr">
        <is>
          <t>unmapped</t>
        </is>
      </c>
      <c r="H129" t="inlineStr">
        <is>
          <t>Financials</t>
        </is>
      </c>
      <c r="I129" t="inlineStr">
        <is>
          <t>none</t>
        </is>
      </c>
      <c r="J129" t="n">
        <v>0</v>
      </c>
    </row>
    <row r="130" ht="16.35" customHeight="1">
      <c r="A130" s="19" t="inlineStr">
        <is>
          <t>MetLife</t>
        </is>
      </c>
      <c r="B130" s="20" t="inlineStr">
        <is>
          <t>MET</t>
        </is>
      </c>
      <c r="C130" s="19" t="inlineStr">
        <is>
          <t>Dragos</t>
        </is>
      </c>
      <c r="G130" t="inlineStr">
        <is>
          <t>P2</t>
        </is>
      </c>
      <c r="H130" t="inlineStr">
        <is>
          <t>Financials</t>
        </is>
      </c>
      <c r="I130" t="inlineStr">
        <is>
          <t>Phase 2/MetLife</t>
        </is>
      </c>
      <c r="J130" t="n">
        <v>39</v>
      </c>
    </row>
    <row r="131" ht="16.35" customHeight="1">
      <c r="A131" s="19" t="inlineStr">
        <is>
          <t>Marsh McLennan</t>
        </is>
      </c>
      <c r="B131" s="20" t="inlineStr">
        <is>
          <t>MMC</t>
        </is>
      </c>
      <c r="C131" s="19" t="n"/>
      <c r="G131" t="inlineStr">
        <is>
          <t>unmapped</t>
        </is>
      </c>
      <c r="H131" t="inlineStr">
        <is>
          <t>Financials</t>
        </is>
      </c>
      <c r="I131" t="inlineStr">
        <is>
          <t>none</t>
        </is>
      </c>
      <c r="J131" t="n">
        <v>0</v>
      </c>
    </row>
    <row r="132" ht="16.35" customHeight="1">
      <c r="A132" s="19" t="inlineStr">
        <is>
          <t>Moody's</t>
        </is>
      </c>
      <c r="B132" s="20" t="inlineStr">
        <is>
          <t>MCO</t>
        </is>
      </c>
      <c r="C132" s="19" t="n"/>
      <c r="G132" t="inlineStr">
        <is>
          <t>unmapped</t>
        </is>
      </c>
      <c r="H132" t="inlineStr">
        <is>
          <t>Financials</t>
        </is>
      </c>
      <c r="I132" t="inlineStr">
        <is>
          <t>none</t>
        </is>
      </c>
      <c r="J132" t="n">
        <v>0</v>
      </c>
    </row>
    <row r="133" ht="16.35" customHeight="1">
      <c r="A133" s="19" t="inlineStr">
        <is>
          <t>S&amp;P Global</t>
        </is>
      </c>
      <c r="B133" s="20" t="inlineStr">
        <is>
          <t>SPGI</t>
        </is>
      </c>
      <c r="C133" s="19" t="n"/>
      <c r="G133" t="inlineStr">
        <is>
          <t>unmapped</t>
        </is>
      </c>
      <c r="H133" t="inlineStr">
        <is>
          <t>Financials</t>
        </is>
      </c>
      <c r="I133" t="inlineStr">
        <is>
          <t>none</t>
        </is>
      </c>
      <c r="J133" t="n">
        <v>0</v>
      </c>
    </row>
    <row r="134" ht="16.35" customHeight="1">
      <c r="A134" s="19" t="inlineStr">
        <is>
          <t>Intercontinental Exchange</t>
        </is>
      </c>
      <c r="B134" s="20" t="inlineStr">
        <is>
          <t>ICE</t>
        </is>
      </c>
      <c r="C134" s="19" t="n"/>
      <c r="G134" t="inlineStr">
        <is>
          <t>unmapped</t>
        </is>
      </c>
      <c r="H134" t="inlineStr">
        <is>
          <t>Financials</t>
        </is>
      </c>
      <c r="I134" t="inlineStr">
        <is>
          <t>none</t>
        </is>
      </c>
      <c r="J134" t="n">
        <v>0</v>
      </c>
    </row>
    <row r="135" ht="16.35" customHeight="1">
      <c r="A135" s="19" t="inlineStr">
        <is>
          <t>CME Group</t>
        </is>
      </c>
      <c r="B135" s="20" t="inlineStr">
        <is>
          <t>CME</t>
        </is>
      </c>
      <c r="C135" s="19" t="n"/>
      <c r="G135" t="inlineStr">
        <is>
          <t>unmapped</t>
        </is>
      </c>
      <c r="H135" t="inlineStr">
        <is>
          <t>Financials</t>
        </is>
      </c>
      <c r="I135" t="inlineStr">
        <is>
          <t>none</t>
        </is>
      </c>
      <c r="J135" t="n">
        <v>0</v>
      </c>
    </row>
    <row r="136" ht="16.35" customHeight="1">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35" customHeight="1">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35" customHeight="1">
      <c r="A138" s="19" t="inlineStr">
        <is>
          <t>Hilton</t>
        </is>
      </c>
      <c r="B138" s="20" t="inlineStr">
        <is>
          <t>HLT</t>
        </is>
      </c>
      <c r="C138" s="19" t="inlineStr">
        <is>
          <t>Anna</t>
        </is>
      </c>
      <c r="G138" t="inlineStr">
        <is>
          <t>P2</t>
        </is>
      </c>
      <c r="H138" t="inlineStr">
        <is>
          <t>Consumer Discretionary</t>
        </is>
      </c>
      <c r="I138" t="inlineStr">
        <is>
          <t>Phase 2/Hilton</t>
        </is>
      </c>
      <c r="J138" t="n">
        <v>5</v>
      </c>
    </row>
    <row r="139" ht="16.35" customHeight="1">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35" customHeight="1">
      <c r="A140" s="19" t="inlineStr">
        <is>
          <t>Hyatt</t>
        </is>
      </c>
      <c r="B140" s="20" t="inlineStr">
        <is>
          <t>H</t>
        </is>
      </c>
      <c r="C140" s="19" t="n"/>
      <c r="G140" t="inlineStr">
        <is>
          <t>unmapped</t>
        </is>
      </c>
      <c r="H140" t="inlineStr">
        <is>
          <t>Consumer Discretionary</t>
        </is>
      </c>
      <c r="I140" t="inlineStr">
        <is>
          <t>none</t>
        </is>
      </c>
      <c r="J140" t="n">
        <v>0</v>
      </c>
    </row>
    <row r="141" ht="16.35" customHeight="1">
      <c r="A141" s="19" t="inlineStr">
        <is>
          <t>Disney</t>
        </is>
      </c>
      <c r="B141" s="20" t="inlineStr">
        <is>
          <t>DIS</t>
        </is>
      </c>
      <c r="C141" s="19" t="n"/>
      <c r="G141" t="inlineStr">
        <is>
          <t>P2</t>
        </is>
      </c>
      <c r="H141" t="inlineStr">
        <is>
          <t>Communication Services</t>
        </is>
      </c>
      <c r="I141" t="inlineStr">
        <is>
          <t>Phase 2/Disney</t>
        </is>
      </c>
      <c r="J141" t="n">
        <v>4</v>
      </c>
    </row>
    <row r="142" ht="16.35" customHeight="1">
      <c r="A142" s="19" t="inlineStr">
        <is>
          <t>Warner Bros. Discovery</t>
        </is>
      </c>
      <c r="B142" s="20" t="inlineStr">
        <is>
          <t>WBD</t>
        </is>
      </c>
      <c r="C142" s="19" t="n"/>
      <c r="G142" t="inlineStr">
        <is>
          <t>unmapped</t>
        </is>
      </c>
      <c r="H142" t="inlineStr">
        <is>
          <t>Communication Services</t>
        </is>
      </c>
      <c r="I142" t="inlineStr">
        <is>
          <t>none</t>
        </is>
      </c>
      <c r="J142" t="n">
        <v>0</v>
      </c>
    </row>
    <row r="143" ht="16.35" customHeight="1">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35" customHeight="1">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35" customHeight="1">
      <c r="A145" s="19" t="inlineStr">
        <is>
          <t>Universal Music Group</t>
        </is>
      </c>
      <c r="B145" s="20" t="inlineStr">
        <is>
          <t>UMG.AS</t>
        </is>
      </c>
      <c r="C145" s="19" t="n"/>
      <c r="G145" t="inlineStr">
        <is>
          <t>unmapped</t>
        </is>
      </c>
      <c r="H145" t="inlineStr">
        <is>
          <t>Communication Services</t>
        </is>
      </c>
      <c r="I145" t="inlineStr">
        <is>
          <t>none</t>
        </is>
      </c>
      <c r="J145" t="n">
        <v>0</v>
      </c>
    </row>
    <row r="146" ht="16.35" customHeight="1">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35" customHeight="1">
      <c r="A147" s="19" t="inlineStr">
        <is>
          <t>Yum! Brands</t>
        </is>
      </c>
      <c r="B147" s="20" t="inlineStr">
        <is>
          <t>YUM</t>
        </is>
      </c>
      <c r="C147" s="19" t="n"/>
      <c r="G147" t="inlineStr">
        <is>
          <t>unmapped</t>
        </is>
      </c>
      <c r="H147" t="inlineStr">
        <is>
          <t>Consumer Discretionary</t>
        </is>
      </c>
      <c r="I147" t="inlineStr">
        <is>
          <t>none</t>
        </is>
      </c>
      <c r="J147" t="n">
        <v>0</v>
      </c>
    </row>
    <row r="148" ht="16.35" customHeight="1">
      <c r="A148" s="19" t="inlineStr">
        <is>
          <t>Restaurant Brands</t>
        </is>
      </c>
      <c r="B148" s="20" t="inlineStr">
        <is>
          <t>QSR</t>
        </is>
      </c>
      <c r="C148" s="19" t="n"/>
      <c r="G148" t="inlineStr">
        <is>
          <t>unmapped</t>
        </is>
      </c>
      <c r="H148" t="inlineStr">
        <is>
          <t>Consumer Discretionary</t>
        </is>
      </c>
      <c r="I148" t="inlineStr">
        <is>
          <t>none</t>
        </is>
      </c>
      <c r="J148" t="n">
        <v>0</v>
      </c>
    </row>
    <row r="149" ht="16.35" customHeight="1">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35" customHeight="1">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35" customHeight="1">
      <c r="A151" s="19" t="inlineStr">
        <is>
          <t>Kellanova</t>
        </is>
      </c>
      <c r="B151" s="20" t="inlineStr">
        <is>
          <t>K</t>
        </is>
      </c>
      <c r="C151" s="19" t="n"/>
      <c r="G151" t="inlineStr">
        <is>
          <t>unmapped</t>
        </is>
      </c>
      <c r="H151" t="inlineStr">
        <is>
          <t>Consumer Staples</t>
        </is>
      </c>
      <c r="I151" t="inlineStr">
        <is>
          <t>none</t>
        </is>
      </c>
      <c r="J151" t="n">
        <v>0</v>
      </c>
    </row>
    <row r="152" ht="16.35" customHeight="1">
      <c r="A152" s="19" t="inlineStr">
        <is>
          <t>Keurig Dr Pepper</t>
        </is>
      </c>
      <c r="B152" s="20" t="inlineStr">
        <is>
          <t>KDP</t>
        </is>
      </c>
      <c r="C152" s="19" t="n"/>
      <c r="G152" t="inlineStr">
        <is>
          <t>unmapped</t>
        </is>
      </c>
      <c r="H152" t="inlineStr">
        <is>
          <t>Consumer Staples</t>
        </is>
      </c>
      <c r="I152" t="inlineStr">
        <is>
          <t>none</t>
        </is>
      </c>
      <c r="J152" t="n">
        <v>0</v>
      </c>
    </row>
    <row r="153" ht="16.35" customHeight="1">
      <c r="A153" s="19" t="inlineStr">
        <is>
          <t>Danone</t>
        </is>
      </c>
      <c r="B153" s="20" t="inlineStr">
        <is>
          <t>DANOY</t>
        </is>
      </c>
      <c r="C153" s="19" t="inlineStr">
        <is>
          <t>Meriem</t>
        </is>
      </c>
      <c r="G153" t="inlineStr">
        <is>
          <t>unmapped</t>
        </is>
      </c>
      <c r="H153" t="inlineStr">
        <is>
          <t>Consumer Staples</t>
        </is>
      </c>
      <c r="I153" t="inlineStr">
        <is>
          <t>none</t>
        </is>
      </c>
      <c r="J153" t="n">
        <v>0</v>
      </c>
    </row>
    <row r="154" ht="16.35" customHeight="1">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35" customHeight="1">
      <c r="A155" s="19" t="inlineStr">
        <is>
          <t>AB InBev</t>
        </is>
      </c>
      <c r="B155" s="20" t="inlineStr">
        <is>
          <t>BUD</t>
        </is>
      </c>
      <c r="C155" s="19" t="n"/>
      <c r="G155" t="inlineStr">
        <is>
          <t>unmapped</t>
        </is>
      </c>
      <c r="H155" t="inlineStr">
        <is>
          <t>Consumer Staples</t>
        </is>
      </c>
      <c r="I155" t="inlineStr">
        <is>
          <t>none</t>
        </is>
      </c>
      <c r="J155" t="n">
        <v>0</v>
      </c>
    </row>
    <row r="156" ht="16.35" customHeight="1">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35" customHeight="1">
      <c r="A157" s="19" t="inlineStr">
        <is>
          <t>Schneider Electric</t>
        </is>
      </c>
      <c r="B157" s="20" t="inlineStr">
        <is>
          <t>SU.PA</t>
        </is>
      </c>
      <c r="C157" s="19" t="n"/>
      <c r="G157" t="inlineStr">
        <is>
          <t>unmapped</t>
        </is>
      </c>
      <c r="H157" t="inlineStr">
        <is>
          <t>Industrials</t>
        </is>
      </c>
      <c r="I157" t="inlineStr">
        <is>
          <t>none</t>
        </is>
      </c>
      <c r="J157" t="n">
        <v>0</v>
      </c>
    </row>
    <row r="158" ht="16.35" customHeight="1">
      <c r="A158" s="19" t="inlineStr">
        <is>
          <t>ABB</t>
        </is>
      </c>
      <c r="B158" s="20" t="inlineStr">
        <is>
          <t>ABBNY</t>
        </is>
      </c>
      <c r="C158" s="19" t="n"/>
      <c r="G158" t="inlineStr">
        <is>
          <t>unmapped</t>
        </is>
      </c>
      <c r="H158" t="inlineStr">
        <is>
          <t>Industrials</t>
        </is>
      </c>
      <c r="I158" t="inlineStr">
        <is>
          <t>none</t>
        </is>
      </c>
      <c r="J158" t="n">
        <v>0</v>
      </c>
    </row>
    <row r="159" ht="16.35" customHeight="1">
      <c r="A159" s="19" t="inlineStr">
        <is>
          <t>Emerson</t>
        </is>
      </c>
      <c r="B159" s="20" t="inlineStr">
        <is>
          <t>EMR</t>
        </is>
      </c>
      <c r="C159" s="19" t="n"/>
      <c r="G159" t="inlineStr">
        <is>
          <t>unmapped</t>
        </is>
      </c>
      <c r="H159" t="inlineStr">
        <is>
          <t>Industrials</t>
        </is>
      </c>
      <c r="I159" t="inlineStr">
        <is>
          <t>none</t>
        </is>
      </c>
      <c r="J159" t="n">
        <v>0</v>
      </c>
    </row>
    <row r="160" ht="16.35" customHeight="1">
      <c r="A160" s="19" t="inlineStr">
        <is>
          <t>Cummins</t>
        </is>
      </c>
      <c r="B160" s="20" t="inlineStr">
        <is>
          <t>CMI</t>
        </is>
      </c>
      <c r="C160" s="19" t="n"/>
      <c r="G160" t="inlineStr">
        <is>
          <t>unmapped</t>
        </is>
      </c>
      <c r="H160" t="inlineStr">
        <is>
          <t>Industrials</t>
        </is>
      </c>
      <c r="I160" t="inlineStr">
        <is>
          <t>none</t>
        </is>
      </c>
      <c r="J160" t="n">
        <v>0</v>
      </c>
    </row>
    <row r="161" ht="16.35" customHeight="1">
      <c r="A161" s="19" t="inlineStr">
        <is>
          <t>Parker Hannifin</t>
        </is>
      </c>
      <c r="B161" s="20" t="inlineStr">
        <is>
          <t>PH</t>
        </is>
      </c>
      <c r="C161" s="19" t="n"/>
      <c r="G161" t="inlineStr">
        <is>
          <t>unmapped</t>
        </is>
      </c>
      <c r="H161" t="inlineStr">
        <is>
          <t>Industrials</t>
        </is>
      </c>
      <c r="I161" t="inlineStr">
        <is>
          <t>none</t>
        </is>
      </c>
      <c r="J161" t="n">
        <v>0</v>
      </c>
    </row>
    <row r="162" ht="16.35" customHeight="1">
      <c r="A162" s="19" t="inlineStr">
        <is>
          <t>Eaton</t>
        </is>
      </c>
      <c r="B162" s="20" t="inlineStr">
        <is>
          <t>ETN</t>
        </is>
      </c>
      <c r="C162" s="19" t="n"/>
      <c r="G162" t="inlineStr">
        <is>
          <t>unmapped</t>
        </is>
      </c>
      <c r="H162" t="inlineStr">
        <is>
          <t>Industrials</t>
        </is>
      </c>
      <c r="I162" t="inlineStr">
        <is>
          <t>none</t>
        </is>
      </c>
      <c r="J162" t="n">
        <v>0</v>
      </c>
    </row>
    <row r="163" ht="16.35" customHeight="1">
      <c r="A163" s="19" t="inlineStr">
        <is>
          <t>Illinois Tool Works</t>
        </is>
      </c>
      <c r="B163" s="20" t="inlineStr">
        <is>
          <t>ITW</t>
        </is>
      </c>
      <c r="C163" s="19" t="n"/>
      <c r="G163" t="inlineStr">
        <is>
          <t>unmapped</t>
        </is>
      </c>
      <c r="H163" t="inlineStr">
        <is>
          <t>Industrials</t>
        </is>
      </c>
      <c r="I163" t="inlineStr">
        <is>
          <t>none</t>
        </is>
      </c>
      <c r="J163" t="n">
        <v>0</v>
      </c>
    </row>
    <row r="164" ht="16.35" customHeight="1">
      <c r="A164" s="19" t="inlineStr">
        <is>
          <t>Carrier</t>
        </is>
      </c>
      <c r="B164" s="20" t="inlineStr">
        <is>
          <t>CARR</t>
        </is>
      </c>
      <c r="C164" s="19" t="n"/>
      <c r="G164" t="inlineStr">
        <is>
          <t>unmapped</t>
        </is>
      </c>
      <c r="H164" t="inlineStr">
        <is>
          <t>Industrials</t>
        </is>
      </c>
      <c r="I164" t="inlineStr">
        <is>
          <t>none</t>
        </is>
      </c>
      <c r="J164" t="n">
        <v>0</v>
      </c>
    </row>
    <row r="165" ht="16.35" customHeight="1">
      <c r="A165" s="19" t="inlineStr">
        <is>
          <t>Trane Technologies</t>
        </is>
      </c>
      <c r="B165" s="20" t="inlineStr">
        <is>
          <t>TT</t>
        </is>
      </c>
      <c r="C165" s="19" t="n"/>
      <c r="G165" t="inlineStr">
        <is>
          <t>unmapped</t>
        </is>
      </c>
      <c r="H165" t="inlineStr">
        <is>
          <t>Industrials</t>
        </is>
      </c>
      <c r="I165" t="inlineStr">
        <is>
          <t>none</t>
        </is>
      </c>
      <c r="J165" t="n">
        <v>0</v>
      </c>
    </row>
    <row r="166" ht="16.35" customHeight="1">
      <c r="A166" s="19" t="inlineStr">
        <is>
          <t>Rio Tinto</t>
        </is>
      </c>
      <c r="B166" s="20" t="inlineStr">
        <is>
          <t>RIO</t>
        </is>
      </c>
      <c r="C166" s="19" t="n"/>
      <c r="G166" t="inlineStr">
        <is>
          <t>unmapped</t>
        </is>
      </c>
      <c r="H166" t="inlineStr">
        <is>
          <t>Materials</t>
        </is>
      </c>
      <c r="I166" t="inlineStr">
        <is>
          <t>none</t>
        </is>
      </c>
      <c r="J166" t="n">
        <v>0</v>
      </c>
    </row>
    <row r="167" ht="16.35" customHeight="1">
      <c r="A167" s="19" t="inlineStr">
        <is>
          <t>BHP</t>
        </is>
      </c>
      <c r="B167" s="20" t="inlineStr">
        <is>
          <t>BHP</t>
        </is>
      </c>
      <c r="C167" s="19" t="n"/>
      <c r="G167" t="inlineStr">
        <is>
          <t>unmapped</t>
        </is>
      </c>
      <c r="H167" t="inlineStr">
        <is>
          <t>Materials</t>
        </is>
      </c>
      <c r="I167" t="inlineStr">
        <is>
          <t>none</t>
        </is>
      </c>
      <c r="J167" t="n">
        <v>0</v>
      </c>
    </row>
    <row r="168" ht="16.35" customHeight="1">
      <c r="A168" s="19" t="inlineStr">
        <is>
          <t>Vale</t>
        </is>
      </c>
      <c r="B168" s="20" t="inlineStr">
        <is>
          <t>VALE</t>
        </is>
      </c>
      <c r="C168" s="19" t="n"/>
      <c r="G168" t="inlineStr">
        <is>
          <t>unmapped</t>
        </is>
      </c>
      <c r="H168" t="inlineStr">
        <is>
          <t>Materials</t>
        </is>
      </c>
      <c r="I168" t="inlineStr">
        <is>
          <t>none</t>
        </is>
      </c>
      <c r="J168" t="n">
        <v>0</v>
      </c>
    </row>
    <row r="169" ht="16.35" customHeight="1">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35" customHeight="1">
      <c r="A170" s="19" t="inlineStr">
        <is>
          <t>Newmont</t>
        </is>
      </c>
      <c r="B170" s="20" t="inlineStr">
        <is>
          <t>NEM</t>
        </is>
      </c>
      <c r="C170" s="19" t="n"/>
      <c r="G170" t="inlineStr">
        <is>
          <t>unmapped</t>
        </is>
      </c>
      <c r="H170" t="inlineStr">
        <is>
          <t>Materials</t>
        </is>
      </c>
      <c r="I170" t="inlineStr">
        <is>
          <t>none</t>
        </is>
      </c>
      <c r="J170" t="n">
        <v>0</v>
      </c>
    </row>
    <row r="171" ht="16.35" customHeight="1">
      <c r="A171" s="19" t="inlineStr">
        <is>
          <t>Anglo American</t>
        </is>
      </c>
      <c r="B171" s="20" t="inlineStr">
        <is>
          <t>AAL.L</t>
        </is>
      </c>
      <c r="C171" s="19" t="n"/>
      <c r="G171" t="inlineStr">
        <is>
          <t>unmapped</t>
        </is>
      </c>
      <c r="H171" t="inlineStr">
        <is>
          <t>Materials</t>
        </is>
      </c>
      <c r="I171" t="inlineStr">
        <is>
          <t>none</t>
        </is>
      </c>
      <c r="J171" t="n">
        <v>0</v>
      </c>
    </row>
    <row r="172" ht="16.35" customHeight="1">
      <c r="A172" s="19" t="inlineStr">
        <is>
          <t>Glencore</t>
        </is>
      </c>
      <c r="B172" s="20" t="inlineStr">
        <is>
          <t>GLEN.L</t>
        </is>
      </c>
      <c r="C172" s="19" t="n"/>
      <c r="G172" t="inlineStr">
        <is>
          <t>unmapped</t>
        </is>
      </c>
      <c r="H172" t="inlineStr">
        <is>
          <t>Materials</t>
        </is>
      </c>
      <c r="I172" t="inlineStr">
        <is>
          <t>none</t>
        </is>
      </c>
      <c r="J172" t="n">
        <v>0</v>
      </c>
    </row>
    <row r="173" ht="16.35" customHeight="1">
      <c r="A173" s="19" t="inlineStr">
        <is>
          <t>Nucor</t>
        </is>
      </c>
      <c r="B173" s="20" t="inlineStr">
        <is>
          <t>NUE</t>
        </is>
      </c>
      <c r="C173" s="19" t="n"/>
      <c r="G173" t="inlineStr">
        <is>
          <t>unmapped</t>
        </is>
      </c>
      <c r="H173" t="inlineStr">
        <is>
          <t>Materials</t>
        </is>
      </c>
      <c r="I173" t="inlineStr">
        <is>
          <t>none</t>
        </is>
      </c>
      <c r="J173" t="n">
        <v>0</v>
      </c>
    </row>
    <row r="174" ht="16.35" customHeight="1">
      <c r="A174" s="19" t="inlineStr">
        <is>
          <t>ArcelorMittal</t>
        </is>
      </c>
      <c r="B174" s="20" t="inlineStr">
        <is>
          <t>MT</t>
        </is>
      </c>
      <c r="C174" s="19" t="n"/>
      <c r="G174" t="inlineStr">
        <is>
          <t>unmapped</t>
        </is>
      </c>
      <c r="H174" t="inlineStr">
        <is>
          <t>Materials</t>
        </is>
      </c>
      <c r="I174" t="inlineStr">
        <is>
          <t>none</t>
        </is>
      </c>
      <c r="J174" t="n">
        <v>0</v>
      </c>
    </row>
    <row r="175" ht="16.35" customHeight="1">
      <c r="A175" s="19" t="inlineStr">
        <is>
          <t>Cleveland-Cliffs</t>
        </is>
      </c>
      <c r="B175" s="20" t="inlineStr">
        <is>
          <t>CLF</t>
        </is>
      </c>
      <c r="C175" s="19" t="n"/>
      <c r="G175" t="inlineStr">
        <is>
          <t>unmapped</t>
        </is>
      </c>
      <c r="H175" t="inlineStr">
        <is>
          <t>Materials</t>
        </is>
      </c>
      <c r="I175" t="inlineStr">
        <is>
          <t>none</t>
        </is>
      </c>
      <c r="J175" t="n">
        <v>0</v>
      </c>
    </row>
    <row r="176" ht="16.35" customHeight="1">
      <c r="A176" s="19" t="inlineStr">
        <is>
          <t>Canadian National Railway</t>
        </is>
      </c>
      <c r="B176" s="20" t="inlineStr">
        <is>
          <t>CNI</t>
        </is>
      </c>
      <c r="C176" s="19" t="n"/>
      <c r="G176" t="inlineStr">
        <is>
          <t>unmapped</t>
        </is>
      </c>
      <c r="H176" t="inlineStr">
        <is>
          <t>Industrials</t>
        </is>
      </c>
      <c r="I176" t="inlineStr">
        <is>
          <t>none</t>
        </is>
      </c>
      <c r="J176" t="n">
        <v>0</v>
      </c>
    </row>
    <row r="177" ht="16.35" customHeight="1">
      <c r="A177" s="19" t="inlineStr">
        <is>
          <t>Canadian Pacific Kansas City</t>
        </is>
      </c>
      <c r="B177" s="20" t="inlineStr">
        <is>
          <t>CP</t>
        </is>
      </c>
      <c r="C177" s="19" t="n"/>
      <c r="G177" t="inlineStr">
        <is>
          <t>unmapped</t>
        </is>
      </c>
      <c r="H177" t="inlineStr">
        <is>
          <t>Industrials</t>
        </is>
      </c>
      <c r="I177" t="inlineStr">
        <is>
          <t>none</t>
        </is>
      </c>
      <c r="J177" t="n">
        <v>0</v>
      </c>
    </row>
    <row r="178" ht="16.35" customHeight="1">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35" customHeight="1">
      <c r="A179" s="19" t="inlineStr">
        <is>
          <t>Norfolk Southern</t>
        </is>
      </c>
      <c r="B179" s="20" t="inlineStr">
        <is>
          <t>NSC</t>
        </is>
      </c>
      <c r="C179" s="19" t="n"/>
      <c r="G179" t="inlineStr">
        <is>
          <t>unmapped</t>
        </is>
      </c>
      <c r="H179" t="inlineStr">
        <is>
          <t>Industrials</t>
        </is>
      </c>
      <c r="I179" t="inlineStr">
        <is>
          <t>none</t>
        </is>
      </c>
      <c r="J179" t="n">
        <v>0</v>
      </c>
    </row>
    <row r="180" ht="16.35" customHeight="1">
      <c r="A180" s="19" t="inlineStr">
        <is>
          <t>CSX</t>
        </is>
      </c>
      <c r="B180" s="20" t="inlineStr">
        <is>
          <t>CSX</t>
        </is>
      </c>
      <c r="C180" s="19" t="n"/>
      <c r="G180" t="inlineStr">
        <is>
          <t>unmapped</t>
        </is>
      </c>
      <c r="H180" t="inlineStr">
        <is>
          <t>Industrials</t>
        </is>
      </c>
      <c r="I180" t="inlineStr">
        <is>
          <t>none</t>
        </is>
      </c>
      <c r="J180" t="n">
        <v>0</v>
      </c>
    </row>
    <row r="181" ht="16.35" customHeight="1">
      <c r="A181" s="19" t="inlineStr">
        <is>
          <t>Waste Management</t>
        </is>
      </c>
      <c r="B181" s="20" t="inlineStr">
        <is>
          <t>WM</t>
        </is>
      </c>
      <c r="C181" s="19" t="n"/>
      <c r="G181" t="inlineStr">
        <is>
          <t>unmapped</t>
        </is>
      </c>
      <c r="H181" t="inlineStr">
        <is>
          <t>Industrials</t>
        </is>
      </c>
      <c r="I181" t="inlineStr">
        <is>
          <t>none</t>
        </is>
      </c>
      <c r="J181" t="n">
        <v>0</v>
      </c>
    </row>
    <row r="182" ht="16.35" customHeight="1">
      <c r="A182" s="19" t="inlineStr">
        <is>
          <t>Republic Services</t>
        </is>
      </c>
      <c r="B182" s="20" t="inlineStr">
        <is>
          <t>RSG</t>
        </is>
      </c>
      <c r="C182" s="19" t="n"/>
      <c r="G182" t="inlineStr">
        <is>
          <t>unmapped</t>
        </is>
      </c>
      <c r="H182" t="inlineStr">
        <is>
          <t>Industrials</t>
        </is>
      </c>
      <c r="I182" t="inlineStr">
        <is>
          <t>none</t>
        </is>
      </c>
      <c r="J182" t="n">
        <v>0</v>
      </c>
    </row>
    <row r="183" ht="16.35" customHeight="1">
      <c r="A183" s="19" t="inlineStr">
        <is>
          <t>Air Products</t>
        </is>
      </c>
      <c r="B183" s="20" t="inlineStr">
        <is>
          <t>APD</t>
        </is>
      </c>
      <c r="C183" s="19" t="n"/>
      <c r="G183" t="inlineStr">
        <is>
          <t>unmapped</t>
        </is>
      </c>
      <c r="H183" t="inlineStr">
        <is>
          <t>Materials</t>
        </is>
      </c>
      <c r="I183" t="inlineStr">
        <is>
          <t>none</t>
        </is>
      </c>
      <c r="J183" t="n">
        <v>0</v>
      </c>
    </row>
    <row r="184" ht="16.35" customHeight="1">
      <c r="A184" s="19" t="inlineStr">
        <is>
          <t>Linde</t>
        </is>
      </c>
      <c r="B184" s="20" t="inlineStr">
        <is>
          <t>LIN</t>
        </is>
      </c>
      <c r="C184" s="19" t="inlineStr">
        <is>
          <t>Meriem</t>
        </is>
      </c>
      <c r="G184" t="inlineStr">
        <is>
          <t>P3</t>
        </is>
      </c>
      <c r="H184" t="inlineStr">
        <is>
          <t>Materials</t>
        </is>
      </c>
      <c r="I184" t="inlineStr">
        <is>
          <t>Phase 3/Readings/Linde</t>
        </is>
      </c>
      <c r="J184" t="n">
        <v>5</v>
      </c>
    </row>
    <row r="185" ht="16.35" customHeight="1">
      <c r="A185" s="19" t="inlineStr">
        <is>
          <t>DuPont</t>
        </is>
      </c>
      <c r="B185" s="20" t="inlineStr">
        <is>
          <t>DD</t>
        </is>
      </c>
      <c r="C185" s="19" t="n"/>
      <c r="G185" t="inlineStr">
        <is>
          <t>unmapped</t>
        </is>
      </c>
      <c r="H185" t="inlineStr">
        <is>
          <t>Materials</t>
        </is>
      </c>
      <c r="I185" t="inlineStr">
        <is>
          <t>none</t>
        </is>
      </c>
      <c r="J185" t="n">
        <v>0</v>
      </c>
    </row>
    <row r="186" ht="16.35" customHeight="1">
      <c r="A186" s="19" t="inlineStr">
        <is>
          <t>Dow</t>
        </is>
      </c>
      <c r="B186" s="20" t="inlineStr">
        <is>
          <t>DOW</t>
        </is>
      </c>
      <c r="C186" s="19" t="n"/>
      <c r="G186" t="inlineStr">
        <is>
          <t>unmapped</t>
        </is>
      </c>
      <c r="H186" t="inlineStr">
        <is>
          <t>Materials</t>
        </is>
      </c>
      <c r="I186" t="inlineStr">
        <is>
          <t>none</t>
        </is>
      </c>
      <c r="J186" t="n">
        <v>0</v>
      </c>
    </row>
    <row r="187" ht="16.35" customHeight="1">
      <c r="A187" s="19" t="inlineStr">
        <is>
          <t>BASF</t>
        </is>
      </c>
      <c r="B187" s="20" t="inlineStr">
        <is>
          <t>BAS.DE</t>
        </is>
      </c>
      <c r="C187" s="19" t="n"/>
      <c r="G187" t="inlineStr">
        <is>
          <t>unmapped</t>
        </is>
      </c>
      <c r="H187" t="inlineStr">
        <is>
          <t>Materials</t>
        </is>
      </c>
      <c r="I187" t="inlineStr">
        <is>
          <t>none</t>
        </is>
      </c>
      <c r="J187" t="n">
        <v>0</v>
      </c>
    </row>
    <row r="188" ht="16.35" customHeight="1">
      <c r="A188" s="19" t="inlineStr">
        <is>
          <t>Bayer</t>
        </is>
      </c>
      <c r="B188" s="20" t="inlineStr">
        <is>
          <t>BAYN.DE</t>
        </is>
      </c>
      <c r="C188" s="19" t="n"/>
      <c r="G188" t="inlineStr">
        <is>
          <t>unmapped</t>
        </is>
      </c>
      <c r="H188" t="inlineStr">
        <is>
          <t>Health Care</t>
        </is>
      </c>
      <c r="I188" t="inlineStr">
        <is>
          <t>none</t>
        </is>
      </c>
      <c r="J188" t="n">
        <v>0</v>
      </c>
    </row>
    <row r="189" ht="16.35" customHeight="1">
      <c r="A189" s="19" t="inlineStr">
        <is>
          <t>Infineon</t>
        </is>
      </c>
      <c r="B189" s="20" t="inlineStr">
        <is>
          <t>IFX.DE</t>
        </is>
      </c>
      <c r="C189" s="19" t="n"/>
      <c r="G189" t="inlineStr">
        <is>
          <t>unmapped</t>
        </is>
      </c>
      <c r="H189" t="inlineStr">
        <is>
          <t>Information Technology</t>
        </is>
      </c>
      <c r="I189" t="inlineStr">
        <is>
          <t>none</t>
        </is>
      </c>
      <c r="J189" t="n">
        <v>0</v>
      </c>
    </row>
    <row r="190" ht="16.35" customHeight="1">
      <c r="A190" s="19" t="inlineStr">
        <is>
          <t>STMicroelectronics</t>
        </is>
      </c>
      <c r="B190" s="20" t="inlineStr">
        <is>
          <t>STM</t>
        </is>
      </c>
      <c r="C190" s="19" t="n"/>
      <c r="G190" t="inlineStr">
        <is>
          <t>unmapped</t>
        </is>
      </c>
      <c r="H190" t="inlineStr">
        <is>
          <t>Information Technology</t>
        </is>
      </c>
      <c r="I190" t="inlineStr">
        <is>
          <t>none</t>
        </is>
      </c>
      <c r="J190" t="n">
        <v>0</v>
      </c>
    </row>
    <row r="191" ht="16.35" customHeight="1">
      <c r="A191" s="19" t="inlineStr">
        <is>
          <t>NXP Semiconductors</t>
        </is>
      </c>
      <c r="B191" s="20" t="inlineStr">
        <is>
          <t>NXPI</t>
        </is>
      </c>
      <c r="C191" s="19" t="n"/>
      <c r="G191" t="inlineStr">
        <is>
          <t>unmapped</t>
        </is>
      </c>
      <c r="H191" t="inlineStr">
        <is>
          <t>Information Technology</t>
        </is>
      </c>
      <c r="I191" t="inlineStr">
        <is>
          <t>none</t>
        </is>
      </c>
      <c r="J191" t="n">
        <v>0</v>
      </c>
    </row>
    <row r="192" ht="16.35" customHeight="1">
      <c r="A192" s="19" t="inlineStr">
        <is>
          <t>Analog Devices</t>
        </is>
      </c>
      <c r="B192" s="20" t="inlineStr">
        <is>
          <t>ADI</t>
        </is>
      </c>
      <c r="C192" s="19" t="n"/>
      <c r="G192" t="inlineStr">
        <is>
          <t>unmapped</t>
        </is>
      </c>
      <c r="H192" t="inlineStr">
        <is>
          <t>Information Technology</t>
        </is>
      </c>
      <c r="I192" t="inlineStr">
        <is>
          <t>none</t>
        </is>
      </c>
      <c r="J192" t="n">
        <v>0</v>
      </c>
    </row>
    <row r="193" ht="16.35" customHeight="1">
      <c r="A193" s="19" t="inlineStr">
        <is>
          <t>Texas Instruments</t>
        </is>
      </c>
      <c r="B193" s="20" t="inlineStr">
        <is>
          <t>TXN</t>
        </is>
      </c>
      <c r="C193" s="19" t="n"/>
      <c r="G193" t="inlineStr">
        <is>
          <t>unmapped</t>
        </is>
      </c>
      <c r="H193" t="inlineStr">
        <is>
          <t>Information Technology</t>
        </is>
      </c>
      <c r="I193" t="inlineStr">
        <is>
          <t>none</t>
        </is>
      </c>
      <c r="J193" t="n">
        <v>0</v>
      </c>
    </row>
    <row r="194" ht="16.35" customHeight="1">
      <c r="A194" s="19" t="inlineStr">
        <is>
          <t>Applied Materials</t>
        </is>
      </c>
      <c r="B194" s="20" t="inlineStr">
        <is>
          <t>AMAT</t>
        </is>
      </c>
      <c r="C194" s="19" t="n"/>
      <c r="G194" t="inlineStr">
        <is>
          <t>unmapped</t>
        </is>
      </c>
      <c r="H194" t="inlineStr">
        <is>
          <t>Information Technology</t>
        </is>
      </c>
      <c r="I194" t="inlineStr">
        <is>
          <t>none</t>
        </is>
      </c>
      <c r="J194" t="n">
        <v>0</v>
      </c>
    </row>
    <row r="195" ht="16.35" customHeight="1">
      <c r="A195" s="19" t="inlineStr">
        <is>
          <t>Lam Research</t>
        </is>
      </c>
      <c r="B195" s="20" t="inlineStr">
        <is>
          <t>LRCX</t>
        </is>
      </c>
      <c r="C195" s="19" t="n"/>
      <c r="G195" t="inlineStr">
        <is>
          <t>unmapped</t>
        </is>
      </c>
      <c r="H195" t="inlineStr">
        <is>
          <t>Information Technology</t>
        </is>
      </c>
      <c r="I195" t="inlineStr">
        <is>
          <t>none</t>
        </is>
      </c>
      <c r="J195" t="n">
        <v>0</v>
      </c>
    </row>
    <row r="196" ht="16.35" customHeight="1">
      <c r="A196" s="19" t="inlineStr">
        <is>
          <t>KLA</t>
        </is>
      </c>
      <c r="B196" s="20" t="inlineStr">
        <is>
          <t>KLAC</t>
        </is>
      </c>
      <c r="C196" s="19" t="n"/>
      <c r="G196" t="inlineStr">
        <is>
          <t>unmapped</t>
        </is>
      </c>
      <c r="H196" t="inlineStr">
        <is>
          <t>Information Technology</t>
        </is>
      </c>
      <c r="I196" t="inlineStr">
        <is>
          <t>none</t>
        </is>
      </c>
      <c r="J196" t="n">
        <v>0</v>
      </c>
    </row>
    <row r="197" ht="16.35" customHeight="1">
      <c r="A197" s="19" t="inlineStr">
        <is>
          <t>Marvell Technology</t>
        </is>
      </c>
      <c r="B197" s="20" t="inlineStr">
        <is>
          <t>MRVL</t>
        </is>
      </c>
      <c r="C197" s="19" t="n"/>
      <c r="G197" t="inlineStr">
        <is>
          <t>unmapped</t>
        </is>
      </c>
      <c r="H197" t="inlineStr">
        <is>
          <t>Information Technology</t>
        </is>
      </c>
      <c r="I197" t="inlineStr">
        <is>
          <t>none</t>
        </is>
      </c>
      <c r="J197" t="n">
        <v>0</v>
      </c>
    </row>
    <row r="198" ht="16.35" customHeight="1">
      <c r="A198" s="19" t="inlineStr">
        <is>
          <t>Cloudflare</t>
        </is>
      </c>
      <c r="B198" s="20" t="inlineStr">
        <is>
          <t>NET</t>
        </is>
      </c>
      <c r="C198" s="19" t="n"/>
      <c r="G198" t="inlineStr">
        <is>
          <t>unmapped</t>
        </is>
      </c>
      <c r="H198" t="inlineStr">
        <is>
          <t>Information Technology</t>
        </is>
      </c>
      <c r="I198" t="inlineStr">
        <is>
          <t>none</t>
        </is>
      </c>
      <c r="J198" t="n">
        <v>0</v>
      </c>
    </row>
    <row r="199" ht="16.35" customHeight="1">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35" customHeight="1">
      <c r="A200" s="19" t="inlineStr">
        <is>
          <t>CrowdStrike</t>
        </is>
      </c>
      <c r="B200" s="20" t="inlineStr">
        <is>
          <t>CRWD</t>
        </is>
      </c>
      <c r="C200" s="19" t="n"/>
      <c r="G200" t="inlineStr">
        <is>
          <t>unmapped</t>
        </is>
      </c>
      <c r="H200" t="inlineStr">
        <is>
          <t>Information Technology</t>
        </is>
      </c>
      <c r="I200" t="inlineStr">
        <is>
          <t>none</t>
        </is>
      </c>
      <c r="J200" t="n">
        <v>0</v>
      </c>
    </row>
    <row r="201" ht="16.35" customHeight="1">
      <c r="A201" s="19" t="inlineStr">
        <is>
          <t>MongoDB</t>
        </is>
      </c>
      <c r="B201" s="20" t="inlineStr">
        <is>
          <t>MDB</t>
        </is>
      </c>
      <c r="C201" s="19" t="n"/>
      <c r="G201" t="inlineStr">
        <is>
          <t>unmapped</t>
        </is>
      </c>
      <c r="H201" t="inlineStr">
        <is>
          <t>Information Technology</t>
        </is>
      </c>
      <c r="I201" t="inlineStr">
        <is>
          <t>none</t>
        </is>
      </c>
      <c r="J201" t="n">
        <v>0</v>
      </c>
    </row>
    <row r="202" ht="16.35" customHeight="1">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35" customHeight="1">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35" customHeight="1">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35" customHeight="1">
      <c r="A205" s="19" t="inlineStr">
        <is>
          <t>Coinbase</t>
        </is>
      </c>
      <c r="B205" s="20" t="inlineStr">
        <is>
          <t>COIN</t>
        </is>
      </c>
      <c r="C205" s="19" t="inlineStr">
        <is>
          <t>David</t>
        </is>
      </c>
      <c r="G205" t="inlineStr">
        <is>
          <t>P2</t>
        </is>
      </c>
      <c r="H205" t="inlineStr">
        <is>
          <t>Financials</t>
        </is>
      </c>
      <c r="I205" t="inlineStr">
        <is>
          <t>Phase 2/Coin Base</t>
        </is>
      </c>
      <c r="J205" t="n">
        <v>6</v>
      </c>
    </row>
    <row r="206" ht="16.35" customHeight="1">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zoomScaleNormal="100" workbookViewId="0">
      <selection activeCell="H9" sqref="H9"/>
    </sheetView>
  </sheetViews>
  <sheetFormatPr baseColWidth="8" defaultColWidth="8.7109375" defaultRowHeight="15"/>
  <cols>
    <col width="21.140625" bestFit="1" customWidth="1" min="1" max="1"/>
    <col width="9.42578125" bestFit="1" customWidth="1" min="2" max="2"/>
    <col width="60.28515625" bestFit="1" customWidth="1" min="3" max="3"/>
    <col width="12" customWidth="1" min="4" max="4"/>
    <col width="3" customWidth="1" min="5" max="5"/>
    <col width="8" customWidth="1" min="6" max="6"/>
    <col width="9" customWidth="1" min="7" max="7"/>
    <col width="13.28515625" bestFit="1" customWidth="1" min="8" max="8"/>
    <col width="17.42578125" bestFit="1" customWidth="1" min="9" max="9"/>
  </cols>
  <sheetData>
    <row r="1" ht="22.35" customHeight="1">
      <c r="A1" s="13" t="inlineStr">
        <is>
          <t>Settings</t>
        </is>
      </c>
    </row>
    <row r="2" ht="22.35" customHeight="1">
      <c r="A2" s="66" t="inlineStr">
        <is>
          <t>Parameter</t>
        </is>
      </c>
      <c r="B2" s="66" t="inlineStr">
        <is>
          <t>Value</t>
        </is>
      </c>
      <c r="C2" s="66" t="inlineStr">
        <is>
          <t>Notes</t>
        </is>
      </c>
    </row>
    <row r="3" ht="16.35" customHeight="1">
      <c r="A3" s="10" t="inlineStr">
        <is>
          <t>HOLD Threshold (±%)</t>
        </is>
      </c>
      <c r="B3" s="163" t="n">
        <v>2</v>
      </c>
      <c r="C3" s="14" t="inlineStr">
        <is>
          <t>Enter as a whole number (e.g. 2 = ±2%). A move within this range makes a HOLD call "correct".</t>
        </is>
      </c>
    </row>
    <row r="4" ht="16.35" customHeight="1">
      <c r="A4" s="10" t="inlineStr">
        <is>
          <t>Round-trip Cost (bps)</t>
        </is>
      </c>
      <c r="B4" s="89" t="n">
        <v>10</v>
      </c>
      <c r="C4" s="14" t="inlineStr">
        <is>
          <t>Round-trip transaction cost applied to every non-HOLD position.</t>
        </is>
      </c>
    </row>
    <row r="5" ht="16.35" customHeight="1">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35" customHeight="1">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35" customHeight="1">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35" customHeight="1">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35" customHeight="1">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35" customHeight="1">
      <c r="A11" s="19" t="inlineStr">
        <is>
          <t>Meriem</t>
        </is>
      </c>
      <c r="B11" s="20" t="inlineStr">
        <is>
          <t>Human</t>
        </is>
      </c>
      <c r="D11" s="20" t="n"/>
      <c r="F11" s="20" t="n">
        <v>2023</v>
      </c>
      <c r="G11" s="20" t="inlineStr">
        <is>
          <t>Q4</t>
        </is>
      </c>
      <c r="H11" s="103" t="inlineStr">
        <is>
          <t>All</t>
        </is>
      </c>
      <c r="I11" s="103" t="inlineStr">
        <is>
          <t>Transcript</t>
        </is>
      </c>
    </row>
    <row r="12" ht="16.35" customHeight="1">
      <c r="A12" s="19" t="inlineStr">
        <is>
          <t>David</t>
        </is>
      </c>
      <c r="B12" s="20" t="inlineStr">
        <is>
          <t>Human</t>
        </is>
      </c>
      <c r="D12" s="20" t="n"/>
      <c r="F12" s="20" t="n">
        <v>2024</v>
      </c>
      <c r="G12" s="103" t="n"/>
      <c r="H12" s="103" t="n"/>
      <c r="I12" s="103" t="inlineStr">
        <is>
          <t>All</t>
        </is>
      </c>
    </row>
    <row r="13" ht="16.35" customHeight="1">
      <c r="A13" s="19" t="inlineStr">
        <is>
          <t>Dragos</t>
        </is>
      </c>
      <c r="B13" s="20" t="inlineStr">
        <is>
          <t>Human</t>
        </is>
      </c>
      <c r="D13" s="20" t="n"/>
      <c r="F13" s="20" t="n">
        <v>2025</v>
      </c>
      <c r="G13" s="20" t="n"/>
    </row>
    <row r="14" ht="16.35" customHeight="1">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2" topLeftCell="A3" activePane="bottomLeft" state="frozen"/>
      <selection pane="bottomLeft"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s>
  <sheetData>
    <row r="1">
      <c r="A1" s="164" t="inlineStr">
        <is>
          <t>CORRECTIONS TABLE</t>
        </is>
      </c>
    </row>
    <row r="2">
      <c r="A2" s="164" t="n"/>
      <c r="B2" s="164" t="n"/>
      <c r="C2" s="164" t="n"/>
      <c r="D2" s="164" t="n"/>
      <c r="E2" s="164" t="n"/>
      <c r="F2" s="164"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64" t="inlineStr">
        <is>
          <t>BEFORE / AFTER PERFORMANCE</t>
        </is>
      </c>
    </row>
    <row r="12">
      <c r="A12" s="164" t="inlineStr">
        <is>
          <t>Metric</t>
        </is>
      </c>
      <c r="B12" s="164" t="inlineStr">
        <is>
          <t>Basis</t>
        </is>
      </c>
      <c r="C12" s="164" t="inlineStr">
        <is>
          <t>Accuracy</t>
        </is>
      </c>
      <c r="D12" s="164" t="inlineStr">
        <is>
          <t>Mean net per trade</t>
        </is>
      </c>
      <c r="E12" s="164" t="inlineStr">
        <is>
          <t>Total return (order-dep.)</t>
        </is>
      </c>
      <c r="F12" s="164" t="inlineStr">
        <is>
          <t>N</t>
        </is>
      </c>
      <c r="G12" s="164"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6"/>
  <sheetViews>
    <sheetView workbookViewId="0">
      <pane ySplit="1" topLeftCell="A2" activePane="bottomLeft" state="frozen"/>
      <selection pane="bottomLeft" activeCell="A1" sqref="A1"/>
    </sheetView>
  </sheetViews>
  <sheetFormatPr baseColWidth="8" defaultRowHeight="15"/>
  <cols>
    <col width="62" customWidth="1" min="1" max="1"/>
    <col width="62" customWidth="1" min="2" max="2"/>
    <col width="27" customWidth="1" min="3" max="3"/>
    <col width="5" customWidth="1" min="4" max="4"/>
    <col width="62" customWidth="1" min="5" max="5"/>
    <col width="62" customWidth="1" min="6" max="6"/>
    <col width="62" customWidth="1" min="7" max="7"/>
    <col width="10" customWidth="1" min="8" max="8"/>
    <col width="9" customWidth="1" min="9" max="9"/>
    <col width="10" customWidth="1" min="10" max="10"/>
    <col width="9" customWidth="1" min="11" max="11"/>
    <col width="9" customWidth="1" min="12" max="12"/>
    <col width="62" customWidth="1" min="13" max="13"/>
    <col width="21" customWidth="1" min="14" max="14"/>
    <col width="42" customWidth="1" min="15" max="15"/>
    <col width="62" customWidth="1" min="16" max="16"/>
  </cols>
  <sheetData>
    <row r="1">
      <c r="A1" s="164" t="inlineStr">
        <is>
          <t>metric_name</t>
        </is>
      </c>
      <c r="B1" s="164" t="inlineStr">
        <is>
          <t>value</t>
        </is>
      </c>
      <c r="C1" s="164" t="inlineStr">
        <is>
          <t>unit</t>
        </is>
      </c>
      <c r="D1" s="164" t="inlineStr">
        <is>
          <t>n</t>
        </is>
      </c>
      <c r="E1" s="164" t="inlineStr">
        <is>
          <t>denominator_definition</t>
        </is>
      </c>
      <c r="F1" s="164" t="inlineStr">
        <is>
          <t>event_set</t>
        </is>
      </c>
      <c r="G1" s="164" t="inlineStr">
        <is>
          <t>convention</t>
        </is>
      </c>
      <c r="H1" s="164" t="inlineStr">
        <is>
          <t>ci_low</t>
        </is>
      </c>
      <c r="I1" s="164" t="inlineStr">
        <is>
          <t>ci_high</t>
        </is>
      </c>
      <c r="J1" s="164" t="inlineStr">
        <is>
          <t>ci_level</t>
        </is>
      </c>
      <c r="K1" s="164" t="inlineStr">
        <is>
          <t>p_value</t>
        </is>
      </c>
      <c r="L1" s="164" t="inlineStr">
        <is>
          <t>mde</t>
        </is>
      </c>
      <c r="M1" s="164" t="inlineStr">
        <is>
          <t>test_used</t>
        </is>
      </c>
      <c r="N1" s="164" t="inlineStr">
        <is>
          <t>threshold_dependent</t>
        </is>
      </c>
      <c r="O1" s="164" t="inlineStr">
        <is>
          <t>source_file</t>
        </is>
      </c>
      <c r="P1" s="164" t="inlineStr">
        <is>
          <t>notes</t>
        </is>
      </c>
    </row>
    <row r="2">
      <c r="A2" t="inlineStr">
        <is>
          <t>total_events_scored</t>
        </is>
      </c>
      <c r="B2" t="inlineStr">
        <is>
          <t>268</t>
        </is>
      </c>
      <c r="C2" t="inlineStr">
        <is>
          <t>events</t>
        </is>
      </c>
      <c r="D2" t="inlineStr">
        <is>
          <t>268</t>
        </is>
      </c>
      <c r="E2" t="inlineStr"/>
      <c r="F2" t="inlineStr">
        <is>
          <t>N=268 phase2 scored events</t>
        </is>
      </c>
      <c r="G2" t="inlineStr"/>
      <c r="H2" t="inlineStr"/>
      <c r="I2" t="inlineStr"/>
      <c r="J2" t="inlineStr"/>
      <c r="K2" t="inlineStr"/>
      <c r="L2" t="inlineStr"/>
      <c r="M2" t="inlineStr"/>
      <c r="N2" t="inlineStr">
        <is>
          <t>FALSE</t>
        </is>
      </c>
      <c r="O2" t="inlineStr">
        <is>
          <t>effective_sample_funnel.md</t>
        </is>
      </c>
      <c r="P2" t="inlineStr"/>
    </row>
    <row r="3">
      <c r="A3" t="inlineStr">
        <is>
          <t>excluded_worksheet</t>
        </is>
      </c>
      <c r="B3" t="inlineStr">
        <is>
          <t>25</t>
        </is>
      </c>
      <c r="C3" t="inlineStr">
        <is>
          <t>events</t>
        </is>
      </c>
      <c r="D3" t="inlineStr">
        <is>
          <t>268</t>
        </is>
      </c>
      <c r="E3" t="inlineStr"/>
      <c r="F3" t="inlineStr">
        <is>
          <t>N=268</t>
        </is>
      </c>
      <c r="G3" t="inlineStr"/>
      <c r="H3" t="inlineStr"/>
      <c r="I3" t="inlineStr"/>
      <c r="J3" t="inlineStr"/>
      <c r="K3" t="inlineStr"/>
      <c r="L3" t="inlineStr"/>
      <c r="M3" t="inlineStr"/>
      <c r="N3" t="inlineStr">
        <is>
          <t>FALSE</t>
        </is>
      </c>
      <c r="O3" t="inlineStr">
        <is>
          <t>worksheet_leak_flags.csv</t>
        </is>
      </c>
      <c r="P3" t="inlineStr">
        <is>
          <t>LLM input included human rater worksheet</t>
        </is>
      </c>
    </row>
    <row r="4">
      <c r="A4" t="inlineStr">
        <is>
          <t>excluded_spot</t>
        </is>
      </c>
      <c r="B4" t="inlineStr">
        <is>
          <t>1</t>
        </is>
      </c>
      <c r="C4" t="inlineStr">
        <is>
          <t>events</t>
        </is>
      </c>
      <c r="D4" t="inlineStr"/>
      <c r="E4" t="inlineStr"/>
      <c r="F4" t="inlineStr"/>
      <c r="G4" t="inlineStr"/>
      <c r="H4" t="inlineStr"/>
      <c r="I4" t="inlineStr"/>
      <c r="J4" t="inlineStr"/>
      <c r="K4" t="inlineStr"/>
      <c r="L4" t="inlineStr"/>
      <c r="M4" t="inlineStr"/>
      <c r="N4" t="inlineStr">
        <is>
          <t>FALSE</t>
        </is>
      </c>
      <c r="O4" t="inlineStr">
        <is>
          <t>effective_sample_funnel.md</t>
        </is>
      </c>
      <c r="P4" t="inlineStr">
        <is>
          <t>SPOT_FQ1_2026 misattribution</t>
        </is>
      </c>
    </row>
    <row r="5">
      <c r="A5" t="inlineStr">
        <is>
          <t>excluded_timing</t>
        </is>
      </c>
      <c r="B5" t="inlineStr">
        <is>
          <t>9</t>
        </is>
      </c>
      <c r="C5" t="inlineStr">
        <is>
          <t>events</t>
        </is>
      </c>
      <c r="D5" t="inlineStr"/>
      <c r="E5" t="inlineStr"/>
      <c r="F5" t="inlineStr"/>
      <c r="G5" t="inlineStr"/>
      <c r="H5" t="inlineStr"/>
      <c r="I5" t="inlineStr"/>
      <c r="J5" t="inlineStr"/>
      <c r="K5" t="inlineStr"/>
      <c r="L5" t="inlineStr"/>
      <c r="M5" t="inlineStr"/>
      <c r="N5" t="inlineStr">
        <is>
          <t>FALSE</t>
        </is>
      </c>
      <c r="O5" t="inlineStr">
        <is>
          <t>effective_sample_funnel.md</t>
        </is>
      </c>
      <c r="P5" t="inlineStr">
        <is>
          <t>9 non-US issuers, timing unresolved</t>
        </is>
      </c>
    </row>
    <row r="6">
      <c r="A6" t="inlineStr">
        <is>
          <t>clean_universe</t>
        </is>
      </c>
      <c r="B6" t="inlineStr">
        <is>
          <t>233</t>
        </is>
      </c>
      <c r="C6" t="inlineStr">
        <is>
          <t>events</t>
        </is>
      </c>
      <c r="D6" t="inlineStr"/>
      <c r="E6" t="inlineStr"/>
      <c r="F6" t="inlineStr">
        <is>
          <t>N=233 clean universe</t>
        </is>
      </c>
      <c r="G6" t="inlineStr"/>
      <c r="H6" t="inlineStr"/>
      <c r="I6" t="inlineStr"/>
      <c r="J6" t="inlineStr"/>
      <c r="K6" t="inlineStr"/>
      <c r="L6" t="inlineStr"/>
      <c r="M6" t="inlineStr"/>
      <c r="N6" t="inlineStr">
        <is>
          <t>FALSE</t>
        </is>
      </c>
      <c r="O6" t="inlineStr">
        <is>
          <t>effective_sample_funnel.md</t>
        </is>
      </c>
      <c r="P6" t="inlineStr"/>
    </row>
    <row r="7">
      <c r="A7" t="inlineStr">
        <is>
          <t>traded_events</t>
        </is>
      </c>
      <c r="B7" t="inlineStr">
        <is>
          <t>146</t>
        </is>
      </c>
      <c r="C7" t="inlineStr">
        <is>
          <t>events</t>
        </is>
      </c>
      <c r="D7" t="inlineStr"/>
      <c r="E7" t="inlineStr">
        <is>
          <t>Model called BUY or SELL</t>
        </is>
      </c>
      <c r="F7" t="inlineStr">
        <is>
          <t>N=233 clean universe</t>
        </is>
      </c>
      <c r="G7" t="inlineStr"/>
      <c r="H7" t="inlineStr"/>
      <c r="I7" t="inlineStr"/>
      <c r="J7" t="inlineStr"/>
      <c r="K7" t="inlineStr"/>
      <c r="L7" t="inlineStr"/>
      <c r="M7" t="inlineStr"/>
      <c r="N7" t="inlineStr">
        <is>
          <t>TRUE</t>
        </is>
      </c>
      <c r="O7" t="inlineStr">
        <is>
          <t>ext2_holding_curve.csv</t>
        </is>
      </c>
      <c r="P7" t="inlineStr"/>
    </row>
    <row r="8">
      <c r="A8" t="inlineStr">
        <is>
          <t>graded_events</t>
        </is>
      </c>
      <c r="B8" t="inlineStr">
        <is>
          <t>95</t>
        </is>
      </c>
      <c r="C8" t="inlineStr">
        <is>
          <t>events</t>
        </is>
      </c>
      <c r="D8" t="inlineStr"/>
      <c r="E8" t="inlineStr">
        <is>
          <t>|ret_overnight| &gt; 2% AND traded</t>
        </is>
      </c>
      <c r="F8" t="inlineStr">
        <is>
          <t>N=233 clean universe</t>
        </is>
      </c>
      <c r="G8" t="inlineStr">
        <is>
          <t>pre-registered ±2% overnight band</t>
        </is>
      </c>
      <c r="H8" t="inlineStr"/>
      <c r="I8" t="inlineStr"/>
      <c r="J8" t="inlineStr"/>
      <c r="K8" t="inlineStr"/>
      <c r="L8" t="inlineStr"/>
      <c r="M8" t="inlineStr"/>
      <c r="N8" t="inlineStr">
        <is>
          <t>TRUE</t>
        </is>
      </c>
      <c r="O8" t="inlineStr">
        <is>
          <t>ext2_holding_curve.csv</t>
        </is>
      </c>
      <c r="P8" t="inlineStr"/>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H9" t="inlineStr"/>
      <c r="I9" t="inlineStr"/>
      <c r="J9" t="inlineStr"/>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C10" t="inlineStr"/>
      <c r="D10" t="inlineStr">
        <is>
          <t>95</t>
        </is>
      </c>
      <c r="E10" t="inlineStr"/>
      <c r="F10" t="inlineStr">
        <is>
          <t>N=233 clean universe</t>
        </is>
      </c>
      <c r="G10" t="inlineStr"/>
      <c r="H10" t="inlineStr"/>
      <c r="I10" t="inlineStr"/>
      <c r="J10" t="inlineStr"/>
      <c r="K10" t="inlineStr"/>
      <c r="L10" t="inlineStr"/>
      <c r="M10" t="inlineStr"/>
      <c r="N10" t="inlineStr">
        <is>
          <t>TRUE</t>
        </is>
      </c>
      <c r="O10" t="inlineStr">
        <is>
          <t>ext2_holding_curve.csv</t>
        </is>
      </c>
      <c r="P10" t="inlineStr"/>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H11" t="inlineStr"/>
      <c r="I11" t="inlineStr"/>
      <c r="J11" t="inlineStr"/>
      <c r="K11" t="inlineStr"/>
      <c r="L11" t="inlineStr"/>
      <c r="M11" t="inlineStr"/>
      <c r="N11" t="inlineStr">
        <is>
          <t>FALSE</t>
        </is>
      </c>
      <c r="O11" t="inlineStr">
        <is>
          <t>ext2_holding_curve.csv</t>
        </is>
      </c>
      <c r="P11" t="inlineStr"/>
    </row>
    <row r="12">
      <c r="A12" t="inlineStr">
        <is>
          <t>selectivity_margin_vs_floor</t>
        </is>
      </c>
      <c r="B12" t="inlineStr">
        <is>
          <t>+10.5pp</t>
        </is>
      </c>
      <c r="C12" t="inlineStr">
        <is>
          <t>pp</t>
        </is>
      </c>
      <c r="D12" t="inlineStr">
        <is>
          <t>95</t>
        </is>
      </c>
      <c r="E12" t="inlineStr"/>
      <c r="F12" t="inlineStr"/>
      <c r="G12" t="inlineStr"/>
      <c r="H12" t="inlineStr"/>
      <c r="I12" t="inlineStr"/>
      <c r="J12" t="inlineStr"/>
      <c r="K12" t="inlineStr">
        <is>
          <t>0.024</t>
        </is>
      </c>
      <c r="L12" t="inlineStr">
        <is>
          <t>±10.8pp</t>
        </is>
      </c>
      <c r="M12" t="inlineStr">
        <is>
          <t>binomial one-sided greater vs always-DOWN 52/95</t>
        </is>
      </c>
      <c r="N12" t="inlineStr">
        <is>
          <t>TRUE</t>
        </is>
      </c>
      <c r="O12" t="inlineStr">
        <is>
          <t>ext2_holding_curve.csv</t>
        </is>
      </c>
      <c r="P12" t="inlineStr"/>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H13" t="inlineStr"/>
      <c r="I13" t="inlineStr"/>
      <c r="J13" t="inlineStr"/>
      <c r="K13" t="inlineStr"/>
      <c r="L13" t="inlineStr"/>
      <c r="M13" t="inlineStr"/>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G14" t="inlineStr"/>
      <c r="H14" t="inlineStr"/>
      <c r="I14" t="inlineStr"/>
      <c r="J14" t="inlineStr"/>
      <c r="K14" t="inlineStr"/>
      <c r="L14" t="inlineStr"/>
      <c r="M14" t="inlineStr"/>
      <c r="N14" t="inlineStr">
        <is>
          <t>FALSE</t>
        </is>
      </c>
      <c r="O14" t="inlineStr"/>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K15" t="inlineStr"/>
      <c r="L15" t="inlineStr"/>
      <c r="M15" t="inlineStr"/>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E16" t="inlineStr"/>
      <c r="F16" t="inlineStr">
        <is>
          <t>N=233 clean universe — N=268 OLD ANCHOR</t>
        </is>
      </c>
      <c r="G16" t="inlineStr"/>
      <c r="H16" t="inlineStr"/>
      <c r="I16" t="inlineStr"/>
      <c r="J16" t="inlineStr"/>
      <c r="K16" t="inlineStr"/>
      <c r="L16" t="inlineStr"/>
      <c r="M16" t="inlineStr"/>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C17" t="inlineStr"/>
      <c r="D17" t="inlineStr">
        <is>
          <t>146</t>
        </is>
      </c>
      <c r="E17" t="inlineStr">
        <is>
          <t>traded events</t>
        </is>
      </c>
      <c r="F17" t="inlineStr">
        <is>
          <t>N=233 clean universe</t>
        </is>
      </c>
      <c r="G17" t="inlineStr">
        <is>
          <t>mean_net/pstdev(nets)*sqrt(N_traded) — NOT a time-series Sharpe</t>
        </is>
      </c>
      <c r="H17" t="inlineStr"/>
      <c r="I17" t="inlineStr"/>
      <c r="J17" t="inlineStr"/>
      <c r="K17" t="inlineStr"/>
      <c r="L17" t="inlineStr"/>
      <c r="M17" t="inlineStr"/>
      <c r="N17" t="inlineStr">
        <is>
          <t>TRUE</t>
        </is>
      </c>
      <c r="O17" t="inlineStr">
        <is>
          <t>item_e_handoff.md</t>
        </is>
      </c>
      <c r="P17" t="inlineStr">
        <is>
          <t>Grows mechanically with sample size. Do not label as Sharpe.</t>
        </is>
      </c>
    </row>
    <row r="18">
      <c r="A18" t="inlineStr">
        <is>
          <t>info_ratio_per_trade</t>
        </is>
      </c>
      <c r="B18" t="inlineStr">
        <is>
          <t>0.284</t>
        </is>
      </c>
      <c r="C18" t="inlineStr"/>
      <c r="D18" t="inlineStr">
        <is>
          <t>146</t>
        </is>
      </c>
      <c r="E18" t="inlineStr"/>
      <c r="F18" t="inlineStr"/>
      <c r="G18" t="inlineStr"/>
      <c r="H18" t="inlineStr"/>
      <c r="I18" t="inlineStr"/>
      <c r="J18" t="inlineStr"/>
      <c r="K18" t="inlineStr"/>
      <c r="L18" t="inlineStr"/>
      <c r="M18" t="inlineStr"/>
      <c r="N18" t="inlineStr">
        <is>
          <t>TRUE</t>
        </is>
      </c>
      <c r="O18" t="inlineStr">
        <is>
          <t>item_e_handoff.md</t>
        </is>
      </c>
      <c r="P18" t="inlineStr">
        <is>
          <t>mean_net / pstdev(nets), unscaled by sqrt(N)</t>
        </is>
      </c>
    </row>
    <row r="19">
      <c r="A19" t="inlineStr">
        <is>
          <t>spearman_rho_overnight</t>
        </is>
      </c>
      <c r="B19" t="inlineStr">
        <is>
          <t>0.2360</t>
        </is>
      </c>
      <c r="C19" t="inlineStr"/>
      <c r="D19" t="inlineStr">
        <is>
          <t>233</t>
        </is>
      </c>
      <c r="E19" t="inlineStr"/>
      <c r="F19" t="inlineStr">
        <is>
          <t>N=233 clean universe</t>
        </is>
      </c>
      <c r="G19" t="inlineStr">
        <is>
          <t>overnight return, 0.02 band (pre-registered)</t>
        </is>
      </c>
      <c r="H19" t="inlineStr"/>
      <c r="I19" t="inlineStr"/>
      <c r="J19" t="inlineStr"/>
      <c r="K19" t="inlineStr">
        <is>
          <t>0.0003</t>
        </is>
      </c>
      <c r="L19" t="inlineStr"/>
      <c r="M19" t="inlineStr">
        <is>
          <t>Spearman rank correlation, blended score vs ret_overnight</t>
        </is>
      </c>
      <c r="N19" t="inlineStr">
        <is>
          <t>FALSE</t>
        </is>
      </c>
      <c r="O19" t="inlineStr">
        <is>
          <t>ext2_holding_curve.csv</t>
        </is>
      </c>
      <c r="P19" t="inlineStr"/>
    </row>
    <row r="20">
      <c r="A20" t="inlineStr">
        <is>
          <t>mean_net_per_trade_overnight</t>
        </is>
      </c>
      <c r="B20" t="inlineStr">
        <is>
          <t>1.8617%</t>
        </is>
      </c>
      <c r="C20" t="inlineStr">
        <is>
          <t>percent</t>
        </is>
      </c>
      <c r="D20" t="inlineStr">
        <is>
          <t>146</t>
        </is>
      </c>
      <c r="E20" t="inlineStr"/>
      <c r="F20" t="inlineStr">
        <is>
          <t>N=233 clean universe</t>
        </is>
      </c>
      <c r="G20" t="inlineStr"/>
      <c r="H20" t="inlineStr">
        <is>
          <t>0.9832%</t>
        </is>
      </c>
      <c r="I20" t="inlineStr">
        <is>
          <t>2.7558%</t>
        </is>
      </c>
      <c r="J20" t="inlineStr">
        <is>
          <t>90%</t>
        </is>
      </c>
      <c r="K20" t="inlineStr"/>
      <c r="L20" t="inlineStr"/>
      <c r="M20" t="inlineStr"/>
      <c r="N20" t="inlineStr">
        <is>
          <t>FALSE</t>
        </is>
      </c>
      <c r="O20" t="inlineStr">
        <is>
          <t>ext2_holding_curve.csv</t>
        </is>
      </c>
      <c r="P20" t="inlineStr"/>
    </row>
    <row r="21">
      <c r="A21" t="inlineStr">
        <is>
          <t>accuracy_overnight</t>
        </is>
      </c>
      <c r="B21" t="inlineStr">
        <is>
          <t>65.3%</t>
        </is>
      </c>
      <c r="C21" t="inlineStr">
        <is>
          <t>percent</t>
        </is>
      </c>
      <c r="D21" t="inlineStr">
        <is>
          <t>95</t>
        </is>
      </c>
      <c r="E21" t="inlineStr">
        <is>
          <t>|ret_overnight|&gt;band</t>
        </is>
      </c>
      <c r="F21" t="inlineStr"/>
      <c r="G21" t="inlineStr"/>
      <c r="H21" t="inlineStr"/>
      <c r="I21" t="inlineStr"/>
      <c r="J21" t="inlineStr"/>
      <c r="K21" t="inlineStr"/>
      <c r="L21" t="inlineStr"/>
      <c r="M21" t="inlineStr"/>
      <c r="N21" t="inlineStr">
        <is>
          <t>TRUE</t>
        </is>
      </c>
      <c r="O21" t="inlineStr">
        <is>
          <t>ext2_holding_curve.csv</t>
        </is>
      </c>
      <c r="P21" t="inlineStr"/>
    </row>
    <row r="22">
      <c r="A22" t="inlineStr">
        <is>
          <t>spearman_rho_1d</t>
        </is>
      </c>
      <c r="B22" t="inlineStr">
        <is>
          <t>0.1587</t>
        </is>
      </c>
      <c r="C22" t="inlineStr"/>
      <c r="D22" t="inlineStr">
        <is>
          <t>233</t>
        </is>
      </c>
      <c r="E22" t="inlineStr"/>
      <c r="F22" t="inlineStr">
        <is>
          <t>N=233 clean universe</t>
        </is>
      </c>
      <c r="G22" t="inlineStr">
        <is>
          <t>1d return, 0.022462 band (recalibrated)</t>
        </is>
      </c>
      <c r="H22" t="inlineStr"/>
      <c r="I22" t="inlineStr"/>
      <c r="J22" t="inlineStr"/>
      <c r="K22" t="inlineStr">
        <is>
          <t>0.0153</t>
        </is>
      </c>
      <c r="L22" t="inlineStr"/>
      <c r="M22" t="inlineStr">
        <is>
          <t>Spearman rank correlation, blended score vs ret_overnight</t>
        </is>
      </c>
      <c r="N22" t="inlineStr">
        <is>
          <t>FALSE</t>
        </is>
      </c>
      <c r="O22" t="inlineStr">
        <is>
          <t>ext2_holding_curve.csv</t>
        </is>
      </c>
      <c r="P22" t="inlineStr"/>
    </row>
    <row r="23">
      <c r="A23" t="inlineStr">
        <is>
          <t>mean_net_per_trade_1d</t>
        </is>
      </c>
      <c r="B23" t="inlineStr">
        <is>
          <t>1.2505%</t>
        </is>
      </c>
      <c r="C23" t="inlineStr">
        <is>
          <t>percent</t>
        </is>
      </c>
      <c r="D23" t="inlineStr">
        <is>
          <t>146</t>
        </is>
      </c>
      <c r="E23" t="inlineStr"/>
      <c r="F23" t="inlineStr">
        <is>
          <t>N=233 clean universe</t>
        </is>
      </c>
      <c r="G23" t="inlineStr"/>
      <c r="H23" t="inlineStr">
        <is>
          <t>0.3257%</t>
        </is>
      </c>
      <c r="I23" t="inlineStr">
        <is>
          <t>2.2098%</t>
        </is>
      </c>
      <c r="J23" t="inlineStr">
        <is>
          <t>90%</t>
        </is>
      </c>
      <c r="K23" t="inlineStr"/>
      <c r="L23" t="inlineStr"/>
      <c r="M23" t="inlineStr"/>
      <c r="N23" t="inlineStr">
        <is>
          <t>FALSE</t>
        </is>
      </c>
      <c r="O23" t="inlineStr">
        <is>
          <t>ext2_holding_curve.csv</t>
        </is>
      </c>
      <c r="P23" t="inlineStr"/>
    </row>
    <row r="24">
      <c r="A24" t="inlineStr">
        <is>
          <t>accuracy_1d</t>
        </is>
      </c>
      <c r="B24" t="inlineStr">
        <is>
          <t>60.2%</t>
        </is>
      </c>
      <c r="C24" t="inlineStr">
        <is>
          <t>percent</t>
        </is>
      </c>
      <c r="D24" t="inlineStr">
        <is>
          <t>98</t>
        </is>
      </c>
      <c r="E24" t="inlineStr">
        <is>
          <t>|ret_1d|&gt;band</t>
        </is>
      </c>
      <c r="F24" t="inlineStr"/>
      <c r="G24" t="inlineStr"/>
      <c r="H24" t="inlineStr"/>
      <c r="I24" t="inlineStr"/>
      <c r="J24" t="inlineStr"/>
      <c r="K24" t="inlineStr"/>
      <c r="L24" t="inlineStr"/>
      <c r="M24" t="inlineStr"/>
      <c r="N24" t="inlineStr">
        <is>
          <t>TRUE</t>
        </is>
      </c>
      <c r="O24" t="inlineStr">
        <is>
          <t>ext2_holding_curve.csv</t>
        </is>
      </c>
      <c r="P24" t="inlineStr"/>
    </row>
    <row r="25">
      <c r="A25" t="inlineStr">
        <is>
          <t>spearman_rho_3d</t>
        </is>
      </c>
      <c r="B25" t="inlineStr">
        <is>
          <t>0.1115</t>
        </is>
      </c>
      <c r="C25" t="inlineStr"/>
      <c r="D25" t="inlineStr">
        <is>
          <t>233</t>
        </is>
      </c>
      <c r="E25" t="inlineStr"/>
      <c r="F25" t="inlineStr">
        <is>
          <t>N=233 clean universe</t>
        </is>
      </c>
      <c r="G25" t="inlineStr">
        <is>
          <t>3d return, 0.023096 band (recalibrated)</t>
        </is>
      </c>
      <c r="H25" t="inlineStr"/>
      <c r="I25" t="inlineStr"/>
      <c r="J25" t="inlineStr"/>
      <c r="K25" t="inlineStr">
        <is>
          <t>0.0895</t>
        </is>
      </c>
      <c r="L25" t="inlineStr"/>
      <c r="M25" t="inlineStr">
        <is>
          <t>Spearman rank correlation, blended score vs ret_overnight</t>
        </is>
      </c>
      <c r="N25" t="inlineStr">
        <is>
          <t>FALSE</t>
        </is>
      </c>
      <c r="O25" t="inlineStr">
        <is>
          <t>ext2_holding_curve.csv</t>
        </is>
      </c>
      <c r="P25" t="inlineStr"/>
    </row>
    <row r="26">
      <c r="A26" t="inlineStr">
        <is>
          <t>mean_net_per_trade_3d</t>
        </is>
      </c>
      <c r="B26" t="inlineStr">
        <is>
          <t>1.0264%</t>
        </is>
      </c>
      <c r="C26" t="inlineStr">
        <is>
          <t>percent</t>
        </is>
      </c>
      <c r="D26" t="inlineStr">
        <is>
          <t>146</t>
        </is>
      </c>
      <c r="E26" t="inlineStr"/>
      <c r="F26" t="inlineStr">
        <is>
          <t>N=233 clean universe</t>
        </is>
      </c>
      <c r="G26" t="inlineStr"/>
      <c r="H26" t="inlineStr">
        <is>
          <t>0.0293%</t>
        </is>
      </c>
      <c r="I26" t="inlineStr">
        <is>
          <t>2.0508%</t>
        </is>
      </c>
      <c r="J26" t="inlineStr">
        <is>
          <t>90%</t>
        </is>
      </c>
      <c r="K26" t="inlineStr"/>
      <c r="L26" t="inlineStr"/>
      <c r="M26" t="inlineStr"/>
      <c r="N26" t="inlineStr">
        <is>
          <t>FALSE</t>
        </is>
      </c>
      <c r="O26" t="inlineStr">
        <is>
          <t>ext2_holding_curve.csv</t>
        </is>
      </c>
      <c r="P26" t="inlineStr"/>
    </row>
    <row r="27">
      <c r="A27" t="inlineStr">
        <is>
          <t>accuracy_3d</t>
        </is>
      </c>
      <c r="B27" t="inlineStr">
        <is>
          <t>56.2%</t>
        </is>
      </c>
      <c r="C27" t="inlineStr">
        <is>
          <t>percent</t>
        </is>
      </c>
      <c r="D27" t="inlineStr">
        <is>
          <t>96</t>
        </is>
      </c>
      <c r="E27" t="inlineStr">
        <is>
          <t>|ret_3d|&gt;band</t>
        </is>
      </c>
      <c r="F27" t="inlineStr"/>
      <c r="G27" t="inlineStr"/>
      <c r="H27" t="inlineStr"/>
      <c r="I27" t="inlineStr"/>
      <c r="J27" t="inlineStr"/>
      <c r="K27" t="inlineStr"/>
      <c r="L27" t="inlineStr"/>
      <c r="M27" t="inlineStr"/>
      <c r="N27" t="inlineStr">
        <is>
          <t>TRUE</t>
        </is>
      </c>
      <c r="O27" t="inlineStr">
        <is>
          <t>ext2_holding_curve.csv</t>
        </is>
      </c>
      <c r="P27" t="inlineStr"/>
    </row>
    <row r="28">
      <c r="A28" t="inlineStr">
        <is>
          <t>spearman_rho_5d</t>
        </is>
      </c>
      <c r="B28" t="inlineStr">
        <is>
          <t>0.0717</t>
        </is>
      </c>
      <c r="C28" t="inlineStr"/>
      <c r="D28" t="inlineStr">
        <is>
          <t>233</t>
        </is>
      </c>
      <c r="E28" t="inlineStr"/>
      <c r="F28" t="inlineStr">
        <is>
          <t>N=233 clean universe</t>
        </is>
      </c>
      <c r="G28" t="inlineStr">
        <is>
          <t>5d return, 0.026177 band (recalibrated)</t>
        </is>
      </c>
      <c r="H28" t="inlineStr"/>
      <c r="I28" t="inlineStr"/>
      <c r="J28" t="inlineStr"/>
      <c r="K28" t="inlineStr">
        <is>
          <t>0.2760</t>
        </is>
      </c>
      <c r="L28" t="inlineStr"/>
      <c r="M28" t="inlineStr">
        <is>
          <t>Spearman rank correlation, blended score vs ret_overnight</t>
        </is>
      </c>
      <c r="N28" t="inlineStr">
        <is>
          <t>FALSE</t>
        </is>
      </c>
      <c r="O28" t="inlineStr">
        <is>
          <t>ext2_holding_curve.csv</t>
        </is>
      </c>
      <c r="P28" t="inlineStr"/>
    </row>
    <row r="29">
      <c r="A29" t="inlineStr">
        <is>
          <t>mean_net_per_trade_5d</t>
        </is>
      </c>
      <c r="B29" t="inlineStr">
        <is>
          <t>0.8458%</t>
        </is>
      </c>
      <c r="C29" t="inlineStr">
        <is>
          <t>percent</t>
        </is>
      </c>
      <c r="D29" t="inlineStr">
        <is>
          <t>146</t>
        </is>
      </c>
      <c r="E29" t="inlineStr"/>
      <c r="F29" t="inlineStr">
        <is>
          <t>N=233 clean universe</t>
        </is>
      </c>
      <c r="G29" t="inlineStr"/>
      <c r="H29" t="inlineStr">
        <is>
          <t>-0.2701%</t>
        </is>
      </c>
      <c r="I29" t="inlineStr">
        <is>
          <t>1.9507%</t>
        </is>
      </c>
      <c r="J29" t="inlineStr">
        <is>
          <t>90%</t>
        </is>
      </c>
      <c r="K29" t="inlineStr"/>
      <c r="L29" t="inlineStr"/>
      <c r="M29" t="inlineStr"/>
      <c r="N29" t="inlineStr">
        <is>
          <t>FALSE</t>
        </is>
      </c>
      <c r="O29" t="inlineStr">
        <is>
          <t>ext2_holding_curve.csv</t>
        </is>
      </c>
      <c r="P29" t="inlineStr"/>
    </row>
    <row r="30">
      <c r="A30" t="inlineStr">
        <is>
          <t>accuracy_5d</t>
        </is>
      </c>
      <c r="B30" t="inlineStr">
        <is>
          <t>52.1%</t>
        </is>
      </c>
      <c r="C30" t="inlineStr">
        <is>
          <t>percent</t>
        </is>
      </c>
      <c r="D30" t="inlineStr">
        <is>
          <t>94</t>
        </is>
      </c>
      <c r="E30" t="inlineStr">
        <is>
          <t>|ret_5d|&gt;band</t>
        </is>
      </c>
      <c r="F30" t="inlineStr"/>
      <c r="G30" t="inlineStr"/>
      <c r="H30" t="inlineStr"/>
      <c r="I30" t="inlineStr"/>
      <c r="J30" t="inlineStr"/>
      <c r="K30" t="inlineStr"/>
      <c r="L30" t="inlineStr"/>
      <c r="M30" t="inlineStr"/>
      <c r="N30" t="inlineStr">
        <is>
          <t>TRUE</t>
        </is>
      </c>
      <c r="O30" t="inlineStr">
        <is>
          <t>ext2_holding_curve.csv</t>
        </is>
      </c>
      <c r="P30" t="inlineStr"/>
    </row>
    <row r="31">
      <c r="A31" t="inlineStr">
        <is>
          <t>spearman_rho_10d</t>
        </is>
      </c>
      <c r="B31" t="inlineStr">
        <is>
          <t>0.0578</t>
        </is>
      </c>
      <c r="C31" t="inlineStr"/>
      <c r="D31" t="inlineStr">
        <is>
          <t>233</t>
        </is>
      </c>
      <c r="E31" t="inlineStr"/>
      <c r="F31" t="inlineStr">
        <is>
          <t>N=233 clean universe</t>
        </is>
      </c>
      <c r="G31" t="inlineStr">
        <is>
          <t>10d return, 0.035159 band (recalibrated)</t>
        </is>
      </c>
      <c r="H31" t="inlineStr"/>
      <c r="I31" t="inlineStr"/>
      <c r="J31" t="inlineStr"/>
      <c r="K31" t="inlineStr">
        <is>
          <t>0.3799</t>
        </is>
      </c>
      <c r="L31" t="inlineStr"/>
      <c r="M31" t="inlineStr">
        <is>
          <t>Spearman rank correlation, blended score vs ret_overnight</t>
        </is>
      </c>
      <c r="N31" t="inlineStr">
        <is>
          <t>FALSE</t>
        </is>
      </c>
      <c r="O31" t="inlineStr">
        <is>
          <t>ext2_holding_curve.csv</t>
        </is>
      </c>
      <c r="P31" t="inlineStr"/>
    </row>
    <row r="32">
      <c r="A32" t="inlineStr">
        <is>
          <t>mean_net_per_trade_10d</t>
        </is>
      </c>
      <c r="B32" t="inlineStr">
        <is>
          <t>0.6860%</t>
        </is>
      </c>
      <c r="C32" t="inlineStr">
        <is>
          <t>percent</t>
        </is>
      </c>
      <c r="D32" t="inlineStr">
        <is>
          <t>146</t>
        </is>
      </c>
      <c r="E32" t="inlineStr"/>
      <c r="F32" t="inlineStr">
        <is>
          <t>N=233 clean universe</t>
        </is>
      </c>
      <c r="G32" t="inlineStr"/>
      <c r="H32" t="inlineStr">
        <is>
          <t>-0.6347%</t>
        </is>
      </c>
      <c r="I32" t="inlineStr">
        <is>
          <t>2.0263%</t>
        </is>
      </c>
      <c r="J32" t="inlineStr">
        <is>
          <t>90%</t>
        </is>
      </c>
      <c r="K32" t="inlineStr"/>
      <c r="L32" t="inlineStr"/>
      <c r="M32" t="inlineStr"/>
      <c r="N32" t="inlineStr">
        <is>
          <t>FALSE</t>
        </is>
      </c>
      <c r="O32" t="inlineStr">
        <is>
          <t>ext2_holding_curve.csv</t>
        </is>
      </c>
      <c r="P32" t="inlineStr"/>
    </row>
    <row r="33">
      <c r="A33" t="inlineStr">
        <is>
          <t>accuracy_10d</t>
        </is>
      </c>
      <c r="B33" t="inlineStr">
        <is>
          <t>53.4%</t>
        </is>
      </c>
      <c r="C33" t="inlineStr">
        <is>
          <t>percent</t>
        </is>
      </c>
      <c r="D33" t="inlineStr">
        <is>
          <t>103</t>
        </is>
      </c>
      <c r="E33" t="inlineStr">
        <is>
          <t>|ret_10d|&gt;band</t>
        </is>
      </c>
      <c r="F33" t="inlineStr"/>
      <c r="G33" t="inlineStr"/>
      <c r="H33" t="inlineStr"/>
      <c r="I33" t="inlineStr"/>
      <c r="J33" t="inlineStr"/>
      <c r="K33" t="inlineStr"/>
      <c r="L33" t="inlineStr"/>
      <c r="M33" t="inlineStr"/>
      <c r="N33" t="inlineStr">
        <is>
          <t>TRUE</t>
        </is>
      </c>
      <c r="O33" t="inlineStr">
        <is>
          <t>ext2_holding_curve.csv</t>
        </is>
      </c>
      <c r="P33" t="inlineStr"/>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H34" t="inlineStr"/>
      <c r="I34" t="inlineStr"/>
      <c r="J34" t="inlineStr"/>
      <c r="K34" t="inlineStr"/>
      <c r="L34" t="inlineStr"/>
      <c r="M34" t="inlineStr"/>
      <c r="N34" t="inlineStr">
        <is>
          <t>FALSE</t>
        </is>
      </c>
      <c r="O34" t="inlineStr">
        <is>
          <t>ext2_holding_curve.csv</t>
        </is>
      </c>
      <c r="P34" t="inlineStr"/>
    </row>
    <row r="35">
      <c r="A35" t="inlineStr">
        <is>
          <t>cohens_kappa_human_vs_llm</t>
        </is>
      </c>
      <c r="B35" t="inlineStr">
        <is>
          <t>0.1092</t>
        </is>
      </c>
      <c r="C35" t="inlineStr"/>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K35" t="inlineStr"/>
      <c r="L35" t="inlineStr"/>
      <c r="M35" t="inlineStr">
        <is>
          <t>bootstrap 10000 resamples, seed 20260709</t>
        </is>
      </c>
      <c r="N35" t="inlineStr">
        <is>
          <t>FALSE</t>
        </is>
      </c>
      <c r="O35" t="inlineStr">
        <is>
          <t>kappa_near_independence.csv</t>
        </is>
      </c>
      <c r="P35" t="inlineStr"/>
    </row>
    <row r="36">
      <c r="A36" t="inlineStr">
        <is>
          <t>call_count_human_buy</t>
        </is>
      </c>
      <c r="B36" t="inlineStr">
        <is>
          <t>96</t>
        </is>
      </c>
      <c r="C36" t="inlineStr">
        <is>
          <t>count</t>
        </is>
      </c>
      <c r="D36" t="inlineStr">
        <is>
          <t>171</t>
        </is>
      </c>
      <c r="E36" t="inlineStr"/>
      <c r="F36" t="inlineStr">
        <is>
          <t>N=171 paired events</t>
        </is>
      </c>
      <c r="G36" t="inlineStr"/>
      <c r="H36" t="inlineStr"/>
      <c r="I36" t="inlineStr"/>
      <c r="J36" t="inlineStr"/>
      <c r="K36" t="inlineStr"/>
      <c r="L36" t="inlineStr"/>
      <c r="M36" t="inlineStr"/>
      <c r="N36" t="inlineStr">
        <is>
          <t>FALSE</t>
        </is>
      </c>
      <c r="O36" t="inlineStr">
        <is>
          <t>human_vs_llm_statistics.csv</t>
        </is>
      </c>
      <c r="P36" t="inlineStr"/>
    </row>
    <row r="37">
      <c r="A37" t="inlineStr">
        <is>
          <t>call_frac_human_buy</t>
        </is>
      </c>
      <c r="B37" t="inlineStr">
        <is>
          <t>0.5614</t>
        </is>
      </c>
      <c r="C37" t="inlineStr">
        <is>
          <t>fraction</t>
        </is>
      </c>
      <c r="D37" t="inlineStr">
        <is>
          <t>171</t>
        </is>
      </c>
      <c r="E37" t="inlineStr"/>
      <c r="F37" t="inlineStr"/>
      <c r="G37" t="inlineStr"/>
      <c r="H37" t="inlineStr"/>
      <c r="I37" t="inlineStr"/>
      <c r="J37" t="inlineStr"/>
      <c r="K37" t="inlineStr"/>
      <c r="L37" t="inlineStr"/>
      <c r="M37" t="inlineStr"/>
      <c r="N37" t="inlineStr">
        <is>
          <t>FALSE</t>
        </is>
      </c>
      <c r="O37" t="inlineStr">
        <is>
          <t>human_vs_llm_statistics.csv</t>
        </is>
      </c>
      <c r="P37" t="inlineStr"/>
    </row>
    <row r="38">
      <c r="A38" t="inlineStr">
        <is>
          <t>call_count_human_hold</t>
        </is>
      </c>
      <c r="B38" t="inlineStr">
        <is>
          <t>40</t>
        </is>
      </c>
      <c r="C38" t="inlineStr">
        <is>
          <t>count</t>
        </is>
      </c>
      <c r="D38" t="inlineStr">
        <is>
          <t>171</t>
        </is>
      </c>
      <c r="E38" t="inlineStr"/>
      <c r="F38" t="inlineStr">
        <is>
          <t>N=171 paired events</t>
        </is>
      </c>
      <c r="G38" t="inlineStr"/>
      <c r="H38" t="inlineStr"/>
      <c r="I38" t="inlineStr"/>
      <c r="J38" t="inlineStr"/>
      <c r="K38" t="inlineStr"/>
      <c r="L38" t="inlineStr"/>
      <c r="M38" t="inlineStr"/>
      <c r="N38" t="inlineStr">
        <is>
          <t>FALSE</t>
        </is>
      </c>
      <c r="O38" t="inlineStr">
        <is>
          <t>human_vs_llm_statistics.csv</t>
        </is>
      </c>
      <c r="P38" t="inlineStr"/>
    </row>
    <row r="39">
      <c r="A39" t="inlineStr">
        <is>
          <t>call_frac_human_hold</t>
        </is>
      </c>
      <c r="B39" t="inlineStr">
        <is>
          <t>0.2339</t>
        </is>
      </c>
      <c r="C39" t="inlineStr">
        <is>
          <t>fraction</t>
        </is>
      </c>
      <c r="D39" t="inlineStr">
        <is>
          <t>171</t>
        </is>
      </c>
      <c r="E39" t="inlineStr"/>
      <c r="F39" t="inlineStr"/>
      <c r="G39" t="inlineStr"/>
      <c r="H39" t="inlineStr"/>
      <c r="I39" t="inlineStr"/>
      <c r="J39" t="inlineStr"/>
      <c r="K39" t="inlineStr"/>
      <c r="L39" t="inlineStr"/>
      <c r="M39" t="inlineStr"/>
      <c r="N39" t="inlineStr">
        <is>
          <t>FALSE</t>
        </is>
      </c>
      <c r="O39" t="inlineStr">
        <is>
          <t>human_vs_llm_statistics.csv</t>
        </is>
      </c>
      <c r="P39" t="inlineStr"/>
    </row>
    <row r="40">
      <c r="A40" t="inlineStr">
        <is>
          <t>call_count_human_sell</t>
        </is>
      </c>
      <c r="B40" t="inlineStr">
        <is>
          <t>35</t>
        </is>
      </c>
      <c r="C40" t="inlineStr">
        <is>
          <t>count</t>
        </is>
      </c>
      <c r="D40" t="inlineStr">
        <is>
          <t>171</t>
        </is>
      </c>
      <c r="E40" t="inlineStr"/>
      <c r="F40" t="inlineStr">
        <is>
          <t>N=171 paired events</t>
        </is>
      </c>
      <c r="G40" t="inlineStr"/>
      <c r="H40" t="inlineStr"/>
      <c r="I40" t="inlineStr"/>
      <c r="J40" t="inlineStr"/>
      <c r="K40" t="inlineStr"/>
      <c r="L40" t="inlineStr"/>
      <c r="M40" t="inlineStr"/>
      <c r="N40" t="inlineStr">
        <is>
          <t>FALSE</t>
        </is>
      </c>
      <c r="O40" t="inlineStr">
        <is>
          <t>human_vs_llm_statistics.csv</t>
        </is>
      </c>
      <c r="P40" t="inlineStr"/>
    </row>
    <row r="41">
      <c r="A41" t="inlineStr">
        <is>
          <t>call_frac_human_sell</t>
        </is>
      </c>
      <c r="B41" t="inlineStr">
        <is>
          <t>0.2047</t>
        </is>
      </c>
      <c r="C41" t="inlineStr">
        <is>
          <t>fraction</t>
        </is>
      </c>
      <c r="D41" t="inlineStr">
        <is>
          <t>171</t>
        </is>
      </c>
      <c r="E41" t="inlineStr"/>
      <c r="F41" t="inlineStr"/>
      <c r="G41" t="inlineStr"/>
      <c r="H41" t="inlineStr"/>
      <c r="I41" t="inlineStr"/>
      <c r="J41" t="inlineStr"/>
      <c r="K41" t="inlineStr"/>
      <c r="L41" t="inlineStr"/>
      <c r="M41" t="inlineStr"/>
      <c r="N41" t="inlineStr">
        <is>
          <t>FALSE</t>
        </is>
      </c>
      <c r="O41" t="inlineStr">
        <is>
          <t>human_vs_llm_statistics.csv</t>
        </is>
      </c>
      <c r="P41" t="inlineStr"/>
    </row>
    <row r="42">
      <c r="A42" t="inlineStr">
        <is>
          <t>call_count_llm_buy</t>
        </is>
      </c>
      <c r="B42" t="inlineStr">
        <is>
          <t>42</t>
        </is>
      </c>
      <c r="C42" t="inlineStr">
        <is>
          <t>count</t>
        </is>
      </c>
      <c r="D42" t="inlineStr">
        <is>
          <t>171</t>
        </is>
      </c>
      <c r="E42" t="inlineStr"/>
      <c r="F42" t="inlineStr">
        <is>
          <t>N=171 paired events</t>
        </is>
      </c>
      <c r="G42" t="inlineStr"/>
      <c r="H42" t="inlineStr"/>
      <c r="I42" t="inlineStr"/>
      <c r="J42" t="inlineStr"/>
      <c r="K42" t="inlineStr"/>
      <c r="L42" t="inlineStr"/>
      <c r="M42" t="inlineStr"/>
      <c r="N42" t="inlineStr">
        <is>
          <t>FALSE</t>
        </is>
      </c>
      <c r="O42" t="inlineStr">
        <is>
          <t>human_vs_llm_statistics.csv</t>
        </is>
      </c>
      <c r="P42" t="inlineStr"/>
    </row>
    <row r="43">
      <c r="A43" t="inlineStr">
        <is>
          <t>call_frac_llm_buy</t>
        </is>
      </c>
      <c r="B43" t="inlineStr">
        <is>
          <t>0.2456</t>
        </is>
      </c>
      <c r="C43" t="inlineStr">
        <is>
          <t>fraction</t>
        </is>
      </c>
      <c r="D43" t="inlineStr">
        <is>
          <t>171</t>
        </is>
      </c>
      <c r="E43" t="inlineStr"/>
      <c r="F43" t="inlineStr"/>
      <c r="G43" t="inlineStr"/>
      <c r="H43" t="inlineStr"/>
      <c r="I43" t="inlineStr"/>
      <c r="J43" t="inlineStr"/>
      <c r="K43" t="inlineStr"/>
      <c r="L43" t="inlineStr"/>
      <c r="M43" t="inlineStr"/>
      <c r="N43" t="inlineStr">
        <is>
          <t>FALSE</t>
        </is>
      </c>
      <c r="O43" t="inlineStr">
        <is>
          <t>human_vs_llm_statistics.csv</t>
        </is>
      </c>
      <c r="P43" t="inlineStr"/>
    </row>
    <row r="44">
      <c r="A44" t="inlineStr">
        <is>
          <t>call_count_llm_hold</t>
        </is>
      </c>
      <c r="B44" t="inlineStr">
        <is>
          <t>69</t>
        </is>
      </c>
      <c r="C44" t="inlineStr">
        <is>
          <t>count</t>
        </is>
      </c>
      <c r="D44" t="inlineStr">
        <is>
          <t>171</t>
        </is>
      </c>
      <c r="E44" t="inlineStr"/>
      <c r="F44" t="inlineStr">
        <is>
          <t>N=171 paired events</t>
        </is>
      </c>
      <c r="G44" t="inlineStr"/>
      <c r="H44" t="inlineStr"/>
      <c r="I44" t="inlineStr"/>
      <c r="J44" t="inlineStr"/>
      <c r="K44" t="inlineStr"/>
      <c r="L44" t="inlineStr"/>
      <c r="M44" t="inlineStr"/>
      <c r="N44" t="inlineStr">
        <is>
          <t>FALSE</t>
        </is>
      </c>
      <c r="O44" t="inlineStr">
        <is>
          <t>human_vs_llm_statistics.csv</t>
        </is>
      </c>
      <c r="P44" t="inlineStr"/>
    </row>
    <row r="45">
      <c r="A45" t="inlineStr">
        <is>
          <t>call_frac_llm_hold</t>
        </is>
      </c>
      <c r="B45" t="inlineStr">
        <is>
          <t>0.4035</t>
        </is>
      </c>
      <c r="C45" t="inlineStr">
        <is>
          <t>fraction</t>
        </is>
      </c>
      <c r="D45" t="inlineStr">
        <is>
          <t>171</t>
        </is>
      </c>
      <c r="E45" t="inlineStr"/>
      <c r="F45" t="inlineStr"/>
      <c r="G45" t="inlineStr"/>
      <c r="H45" t="inlineStr"/>
      <c r="I45" t="inlineStr"/>
      <c r="J45" t="inlineStr"/>
      <c r="K45" t="inlineStr"/>
      <c r="L45" t="inlineStr"/>
      <c r="M45" t="inlineStr"/>
      <c r="N45" t="inlineStr">
        <is>
          <t>FALSE</t>
        </is>
      </c>
      <c r="O45" t="inlineStr">
        <is>
          <t>human_vs_llm_statistics.csv</t>
        </is>
      </c>
      <c r="P45" t="inlineStr"/>
    </row>
    <row r="46">
      <c r="A46" t="inlineStr">
        <is>
          <t>call_count_llm_sell</t>
        </is>
      </c>
      <c r="B46" t="inlineStr">
        <is>
          <t>60</t>
        </is>
      </c>
      <c r="C46" t="inlineStr">
        <is>
          <t>count</t>
        </is>
      </c>
      <c r="D46" t="inlineStr">
        <is>
          <t>171</t>
        </is>
      </c>
      <c r="E46" t="inlineStr"/>
      <c r="F46" t="inlineStr">
        <is>
          <t>N=171 paired events</t>
        </is>
      </c>
      <c r="G46" t="inlineStr"/>
      <c r="H46" t="inlineStr"/>
      <c r="I46" t="inlineStr"/>
      <c r="J46" t="inlineStr"/>
      <c r="K46" t="inlineStr"/>
      <c r="L46" t="inlineStr"/>
      <c r="M46" t="inlineStr"/>
      <c r="N46" t="inlineStr">
        <is>
          <t>FALSE</t>
        </is>
      </c>
      <c r="O46" t="inlineStr">
        <is>
          <t>human_vs_llm_statistics.csv</t>
        </is>
      </c>
      <c r="P46" t="inlineStr"/>
    </row>
    <row r="47">
      <c r="A47" t="inlineStr">
        <is>
          <t>call_frac_llm_sell</t>
        </is>
      </c>
      <c r="B47" t="inlineStr">
        <is>
          <t>0.3509</t>
        </is>
      </c>
      <c r="C47" t="inlineStr">
        <is>
          <t>fraction</t>
        </is>
      </c>
      <c r="D47" t="inlineStr">
        <is>
          <t>171</t>
        </is>
      </c>
      <c r="E47" t="inlineStr"/>
      <c r="F47" t="inlineStr"/>
      <c r="G47" t="inlineStr"/>
      <c r="H47" t="inlineStr"/>
      <c r="I47" t="inlineStr"/>
      <c r="J47" t="inlineStr"/>
      <c r="K47" t="inlineStr"/>
      <c r="L47" t="inlineStr"/>
      <c r="M47" t="inlineStr"/>
      <c r="N47" t="inlineStr">
        <is>
          <t>FALSE</t>
        </is>
      </c>
      <c r="O47" t="inlineStr">
        <is>
          <t>human_vs_llm_statistics.csv</t>
        </is>
      </c>
      <c r="P47" t="inlineStr"/>
    </row>
    <row r="48">
      <c r="A48" t="inlineStr">
        <is>
          <t>direction_only_n</t>
        </is>
      </c>
      <c r="B48" t="inlineStr">
        <is>
          <t>76</t>
        </is>
      </c>
      <c r="C48" t="inlineStr">
        <is>
          <t>events</t>
        </is>
      </c>
      <c r="D48" t="inlineStr"/>
      <c r="E48" t="inlineStr"/>
      <c r="F48" t="inlineStr">
        <is>
          <t>N=76 events where both arms called BUY or SELL</t>
        </is>
      </c>
      <c r="G48" t="inlineStr"/>
      <c r="H48" t="inlineStr"/>
      <c r="I48" t="inlineStr"/>
      <c r="J48" t="inlineStr"/>
      <c r="K48" t="inlineStr"/>
      <c r="L48" t="inlineStr"/>
      <c r="M48" t="inlineStr"/>
      <c r="N48" t="inlineStr">
        <is>
          <t>FALSE</t>
        </is>
      </c>
      <c r="O48" t="inlineStr">
        <is>
          <t>human_vs_llm_statistics.csv</t>
        </is>
      </c>
      <c r="P48" t="inlineStr"/>
    </row>
    <row r="49">
      <c r="A49" t="inlineStr">
        <is>
          <t>direction_human_sign_accuracy</t>
        </is>
      </c>
      <c r="B49" t="inlineStr">
        <is>
          <t>0.5789</t>
        </is>
      </c>
      <c r="C49" t="inlineStr">
        <is>
          <t>fraction</t>
        </is>
      </c>
      <c r="D49" t="inlineStr">
        <is>
          <t>76</t>
        </is>
      </c>
      <c r="E49" t="inlineStr"/>
      <c r="F49" t="inlineStr">
        <is>
          <t>N=76 direction-only</t>
        </is>
      </c>
      <c r="G49" t="inlineStr">
        <is>
          <t>sign accuracy, no band filter</t>
        </is>
      </c>
      <c r="H49" t="inlineStr"/>
      <c r="I49" t="inlineStr"/>
      <c r="J49" t="inlineStr"/>
      <c r="K49" t="inlineStr"/>
      <c r="L49" t="inlineStr"/>
      <c r="M49" t="inlineStr"/>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E50" t="inlineStr"/>
      <c r="F50" t="inlineStr"/>
      <c r="G50" t="inlineStr"/>
      <c r="H50" t="inlineStr"/>
      <c r="I50" t="inlineStr"/>
      <c r="J50" t="inlineStr"/>
      <c r="K50" t="inlineStr"/>
      <c r="L50" t="inlineStr"/>
      <c r="M50" t="inlineStr"/>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E51" t="inlineStr"/>
      <c r="F51" t="inlineStr"/>
      <c r="G51" t="inlineStr"/>
      <c r="H51" t="inlineStr">
        <is>
          <t>-7.9</t>
        </is>
      </c>
      <c r="I51" t="inlineStr">
        <is>
          <t>13.2</t>
        </is>
      </c>
      <c r="J51" t="inlineStr">
        <is>
          <t>90%</t>
        </is>
      </c>
      <c r="K51" t="inlineStr">
        <is>
          <t>0.750</t>
        </is>
      </c>
      <c r="L51" t="inlineStr"/>
      <c r="M51" t="inlineStr">
        <is>
          <t>bootstrap paired 10000 resamples seed 20260709</t>
        </is>
      </c>
      <c r="N51" t="inlineStr">
        <is>
          <t>FALSE</t>
        </is>
      </c>
      <c r="O51" t="inlineStr">
        <is>
          <t>human_vs_llm_statistics.csv</t>
        </is>
      </c>
      <c r="P51" t="inlineStr"/>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H52" t="inlineStr"/>
      <c r="I52" t="inlineStr"/>
      <c r="J52" t="inlineStr"/>
      <c r="K52" t="inlineStr"/>
      <c r="L52" t="inlineStr"/>
      <c r="M52" t="inlineStr"/>
      <c r="N52" t="inlineStr">
        <is>
          <t>FALSE</t>
        </is>
      </c>
      <c r="O52" t="inlineStr">
        <is>
          <t>human_vs_llm_statistics.csv</t>
        </is>
      </c>
      <c r="P52" t="inlineStr"/>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H53" t="inlineStr"/>
      <c r="I53" t="inlineStr"/>
      <c r="J53" t="inlineStr"/>
      <c r="K53" t="inlineStr"/>
      <c r="L53" t="inlineStr"/>
      <c r="M53" t="inlineStr"/>
      <c r="N53" t="inlineStr">
        <is>
          <t>FALSE</t>
        </is>
      </c>
      <c r="O53" t="inlineStr">
        <is>
          <t>human_vs_llm_statistics.csv</t>
        </is>
      </c>
      <c r="P53" t="inlineStr">
        <is>
          <t>PUM.DE_FQ4_2025 has ret_overnight=0.0 exactly</t>
        </is>
      </c>
    </row>
    <row r="54">
      <c r="A54" t="inlineStr">
        <is>
          <t>direction_human_vs_always_down_p</t>
        </is>
      </c>
      <c r="B54" t="inlineStr">
        <is>
          <t>0.366</t>
        </is>
      </c>
      <c r="C54" t="inlineStr"/>
      <c r="D54" t="inlineStr">
        <is>
          <t>76</t>
        </is>
      </c>
      <c r="E54" t="inlineStr"/>
      <c r="F54" t="inlineStr"/>
      <c r="G54" t="inlineStr"/>
      <c r="H54" t="inlineStr"/>
      <c r="I54" t="inlineStr"/>
      <c r="J54" t="inlineStr"/>
      <c r="K54" t="inlineStr">
        <is>
          <t>0.366</t>
        </is>
      </c>
      <c r="L54" t="inlineStr"/>
      <c r="M54" t="inlineStr">
        <is>
          <t>binomial one-sided greater vs 42/76=55.3%</t>
        </is>
      </c>
      <c r="N54" t="inlineStr">
        <is>
          <t>FALSE</t>
        </is>
      </c>
      <c r="O54" t="inlineStr">
        <is>
          <t>human_vs_llm_statistics.csv</t>
        </is>
      </c>
      <c r="P54" t="inlineStr"/>
    </row>
    <row r="55">
      <c r="A55" t="inlineStr">
        <is>
          <t>direction_llm_vs_always_down_p</t>
        </is>
      </c>
      <c r="B55" t="inlineStr">
        <is>
          <t>0.210</t>
        </is>
      </c>
      <c r="C55" t="inlineStr"/>
      <c r="D55" t="inlineStr">
        <is>
          <t>76</t>
        </is>
      </c>
      <c r="E55" t="inlineStr"/>
      <c r="F55" t="inlineStr"/>
      <c r="G55" t="inlineStr"/>
      <c r="H55" t="inlineStr"/>
      <c r="I55" t="inlineStr"/>
      <c r="J55" t="inlineStr"/>
      <c r="K55" t="inlineStr">
        <is>
          <t>0.210</t>
        </is>
      </c>
      <c r="L55" t="inlineStr"/>
      <c r="M55" t="inlineStr">
        <is>
          <t>binomial one-sided greater vs 42/76=55.3%</t>
        </is>
      </c>
      <c r="N55" t="inlineStr">
        <is>
          <t>FALSE</t>
        </is>
      </c>
      <c r="O55" t="inlineStr">
        <is>
          <t>human_vs_llm_statistics.csv</t>
        </is>
      </c>
      <c r="P55" t="inlineStr"/>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H56" t="inlineStr"/>
      <c r="I56" t="inlineStr"/>
      <c r="J56" t="inlineStr"/>
      <c r="K56" t="inlineStr">
        <is>
          <t>0.5000</t>
        </is>
      </c>
      <c r="L56" t="inlineStr"/>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H57" t="inlineStr"/>
      <c r="I57" t="inlineStr"/>
      <c r="J57" t="inlineStr"/>
      <c r="K57" t="inlineStr">
        <is>
          <t>0.0173</t>
        </is>
      </c>
      <c r="L57" t="inlineStr"/>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H58" t="inlineStr"/>
      <c r="I58" t="inlineStr"/>
      <c r="J58" t="inlineStr"/>
      <c r="K58" t="inlineStr">
        <is>
          <t>0.3089</t>
        </is>
      </c>
      <c r="L58" t="inlineStr"/>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H59" t="inlineStr"/>
      <c r="I59" t="inlineStr"/>
      <c r="J59" t="inlineStr"/>
      <c r="K59" t="inlineStr">
        <is>
          <t>0.0403</t>
        </is>
      </c>
      <c r="L59" t="inlineStr"/>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H60" t="inlineStr"/>
      <c r="I60" t="inlineStr"/>
      <c r="J60" t="inlineStr"/>
      <c r="K60" t="inlineStr"/>
      <c r="L60" t="inlineStr"/>
      <c r="M60" t="inlineStr"/>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E61" t="inlineStr"/>
      <c r="F61" t="inlineStr">
        <is>
          <t>four_arm_n119</t>
        </is>
      </c>
      <c r="G61" t="inlineStr"/>
      <c r="H61" t="inlineStr"/>
      <c r="I61" t="inlineStr"/>
      <c r="J61" t="inlineStr"/>
      <c r="K61" t="inlineStr"/>
      <c r="L61" t="inlineStr"/>
      <c r="M61" t="inlineStr"/>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D62" t="inlineStr"/>
      <c r="E62" t="inlineStr"/>
      <c r="F62" t="inlineStr">
        <is>
          <t>four_arm_n119</t>
        </is>
      </c>
      <c r="G62" t="inlineStr"/>
      <c r="H62" t="inlineStr"/>
      <c r="I62" t="inlineStr"/>
      <c r="J62" t="inlineStr"/>
      <c r="K62" t="inlineStr"/>
      <c r="L62" t="inlineStr"/>
      <c r="M62" t="inlineStr"/>
      <c r="N62" t="inlineStr">
        <is>
          <t>FALSE</t>
        </is>
      </c>
      <c r="O62" t="inlineStr">
        <is>
          <t>section_ablation_cost_per_correct.csv</t>
        </is>
      </c>
      <c r="P62" t="inlineStr"/>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H63" t="inlineStr"/>
      <c r="I63" t="inlineStr"/>
      <c r="J63" t="inlineStr"/>
      <c r="K63" t="inlineStr"/>
      <c r="L63" t="inlineStr"/>
      <c r="M63" t="inlineStr"/>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E64" t="inlineStr"/>
      <c r="F64" t="inlineStr">
        <is>
          <t>four_arm_n119</t>
        </is>
      </c>
      <c r="G64" t="inlineStr"/>
      <c r="H64" t="inlineStr"/>
      <c r="I64" t="inlineStr"/>
      <c r="J64" t="inlineStr"/>
      <c r="K64" t="inlineStr"/>
      <c r="L64" t="inlineStr"/>
      <c r="M64" t="inlineStr"/>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D65" t="inlineStr"/>
      <c r="E65" t="inlineStr"/>
      <c r="F65" t="inlineStr">
        <is>
          <t>four_arm_n119</t>
        </is>
      </c>
      <c r="G65" t="inlineStr"/>
      <c r="H65" t="inlineStr"/>
      <c r="I65" t="inlineStr"/>
      <c r="J65" t="inlineStr"/>
      <c r="K65" t="inlineStr"/>
      <c r="L65" t="inlineStr"/>
      <c r="M65" t="inlineStr"/>
      <c r="N65" t="inlineStr">
        <is>
          <t>FALSE</t>
        </is>
      </c>
      <c r="O65" t="inlineStr">
        <is>
          <t>section_ablation_cost_per_correct.csv</t>
        </is>
      </c>
      <c r="P65" t="inlineStr"/>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H66" t="inlineStr"/>
      <c r="I66" t="inlineStr"/>
      <c r="J66" t="inlineStr"/>
      <c r="K66" t="inlineStr"/>
      <c r="L66" t="inlineStr"/>
      <c r="M66" t="inlineStr"/>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E67" t="inlineStr"/>
      <c r="F67" t="inlineStr">
        <is>
          <t>four_arm_n119</t>
        </is>
      </c>
      <c r="G67" t="inlineStr"/>
      <c r="H67" t="inlineStr"/>
      <c r="I67" t="inlineStr"/>
      <c r="J67" t="inlineStr"/>
      <c r="K67" t="inlineStr"/>
      <c r="L67" t="inlineStr"/>
      <c r="M67" t="inlineStr"/>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D68" t="inlineStr"/>
      <c r="E68" t="inlineStr"/>
      <c r="F68" t="inlineStr">
        <is>
          <t>four_arm_n119</t>
        </is>
      </c>
      <c r="G68" t="inlineStr"/>
      <c r="H68" t="inlineStr"/>
      <c r="I68" t="inlineStr"/>
      <c r="J68" t="inlineStr"/>
      <c r="K68" t="inlineStr"/>
      <c r="L68" t="inlineStr"/>
      <c r="M68" t="inlineStr"/>
      <c r="N68" t="inlineStr">
        <is>
          <t>FALSE</t>
        </is>
      </c>
      <c r="O68" t="inlineStr">
        <is>
          <t>section_ablation_cost_per_correct.csv</t>
        </is>
      </c>
      <c r="P68" t="inlineStr"/>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H69" t="inlineStr"/>
      <c r="I69" t="inlineStr"/>
      <c r="J69" t="inlineStr"/>
      <c r="K69" t="inlineStr"/>
      <c r="L69" t="inlineStr"/>
      <c r="M69" t="inlineStr"/>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E70" t="inlineStr"/>
      <c r="F70" t="inlineStr">
        <is>
          <t>four_arm_n119</t>
        </is>
      </c>
      <c r="G70" t="inlineStr"/>
      <c r="H70" t="inlineStr"/>
      <c r="I70" t="inlineStr"/>
      <c r="J70" t="inlineStr"/>
      <c r="K70" t="inlineStr"/>
      <c r="L70" t="inlineStr"/>
      <c r="M70" t="inlineStr"/>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D71" t="inlineStr"/>
      <c r="E71" t="inlineStr"/>
      <c r="F71" t="inlineStr">
        <is>
          <t>four_arm_n119</t>
        </is>
      </c>
      <c r="G71" t="inlineStr"/>
      <c r="H71" t="inlineStr"/>
      <c r="I71" t="inlineStr"/>
      <c r="J71" t="inlineStr"/>
      <c r="K71" t="inlineStr"/>
      <c r="L71" t="inlineStr"/>
      <c r="M71" t="inlineStr"/>
      <c r="N71" t="inlineStr">
        <is>
          <t>FALSE</t>
        </is>
      </c>
      <c r="O71" t="inlineStr">
        <is>
          <t>section_ablation_cost_per_correct.csv</t>
        </is>
      </c>
      <c r="P71" t="inlineStr"/>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H72" t="inlineStr"/>
      <c r="I72" t="inlineStr"/>
      <c r="J72" t="inlineStr"/>
      <c r="K72" t="inlineStr"/>
      <c r="L72" t="inlineStr"/>
      <c r="M72" t="inlineStr"/>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E73" t="inlineStr"/>
      <c r="F73" t="inlineStr">
        <is>
          <t>all_n200</t>
        </is>
      </c>
      <c r="G73" t="inlineStr"/>
      <c r="H73" t="inlineStr"/>
      <c r="I73" t="inlineStr"/>
      <c r="J73" t="inlineStr"/>
      <c r="K73" t="inlineStr"/>
      <c r="L73" t="inlineStr"/>
      <c r="M73" t="inlineStr"/>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D74" t="inlineStr"/>
      <c r="E74" t="inlineStr"/>
      <c r="F74" t="inlineStr">
        <is>
          <t>all_n200</t>
        </is>
      </c>
      <c r="G74" t="inlineStr"/>
      <c r="H74" t="inlineStr"/>
      <c r="I74" t="inlineStr"/>
      <c r="J74" t="inlineStr"/>
      <c r="K74" t="inlineStr"/>
      <c r="L74" t="inlineStr"/>
      <c r="M74" t="inlineStr"/>
      <c r="N74" t="inlineStr">
        <is>
          <t>FALSE</t>
        </is>
      </c>
      <c r="O74" t="inlineStr">
        <is>
          <t>section_ablation_cost_per_correct.csv</t>
        </is>
      </c>
      <c r="P74" t="inlineStr"/>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H75" t="inlineStr"/>
      <c r="I75" t="inlineStr"/>
      <c r="J75" t="inlineStr"/>
      <c r="K75" t="inlineStr"/>
      <c r="L75" t="inlineStr"/>
      <c r="M75" t="inlineStr"/>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E76" t="inlineStr"/>
      <c r="F76" t="inlineStr">
        <is>
          <t>all_n200</t>
        </is>
      </c>
      <c r="G76" t="inlineStr"/>
      <c r="H76" t="inlineStr"/>
      <c r="I76" t="inlineStr"/>
      <c r="J76" t="inlineStr"/>
      <c r="K76" t="inlineStr"/>
      <c r="L76" t="inlineStr"/>
      <c r="M76" t="inlineStr"/>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D77" t="inlineStr"/>
      <c r="E77" t="inlineStr"/>
      <c r="F77" t="inlineStr">
        <is>
          <t>all_n200</t>
        </is>
      </c>
      <c r="G77" t="inlineStr"/>
      <c r="H77" t="inlineStr"/>
      <c r="I77" t="inlineStr"/>
      <c r="J77" t="inlineStr"/>
      <c r="K77" t="inlineStr"/>
      <c r="L77" t="inlineStr"/>
      <c r="M77" t="inlineStr"/>
      <c r="N77" t="inlineStr">
        <is>
          <t>FALSE</t>
        </is>
      </c>
      <c r="O77" t="inlineStr">
        <is>
          <t>section_ablation_cost_per_correct.csv</t>
        </is>
      </c>
      <c r="P77" t="inlineStr"/>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H78" t="inlineStr"/>
      <c r="I78" t="inlineStr"/>
      <c r="J78" t="inlineStr"/>
      <c r="K78" t="inlineStr"/>
      <c r="L78" t="inlineStr"/>
      <c r="M78" t="inlineStr"/>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E79" t="inlineStr"/>
      <c r="F79" t="inlineStr">
        <is>
          <t>all_n200</t>
        </is>
      </c>
      <c r="G79" t="inlineStr"/>
      <c r="H79" t="inlineStr"/>
      <c r="I79" t="inlineStr"/>
      <c r="J79" t="inlineStr"/>
      <c r="K79" t="inlineStr"/>
      <c r="L79" t="inlineStr"/>
      <c r="M79" t="inlineStr"/>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D80" t="inlineStr"/>
      <c r="E80" t="inlineStr"/>
      <c r="F80" t="inlineStr">
        <is>
          <t>all_n200</t>
        </is>
      </c>
      <c r="G80" t="inlineStr"/>
      <c r="H80" t="inlineStr"/>
      <c r="I80" t="inlineStr"/>
      <c r="J80" t="inlineStr"/>
      <c r="K80" t="inlineStr"/>
      <c r="L80" t="inlineStr"/>
      <c r="M80" t="inlineStr"/>
      <c r="N80" t="inlineStr">
        <is>
          <t>FALSE</t>
        </is>
      </c>
      <c r="O80" t="inlineStr">
        <is>
          <t>section_ablation_cost_per_correct.csv</t>
        </is>
      </c>
      <c r="P80" t="inlineStr"/>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H81" t="inlineStr"/>
      <c r="I81" t="inlineStr"/>
      <c r="J81" t="inlineStr"/>
      <c r="K81" t="inlineStr"/>
      <c r="L81" t="inlineStr"/>
      <c r="M81" t="inlineStr"/>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E82" t="inlineStr"/>
      <c r="F82" t="inlineStr">
        <is>
          <t>all_n200</t>
        </is>
      </c>
      <c r="G82" t="inlineStr"/>
      <c r="H82" t="inlineStr"/>
      <c r="I82" t="inlineStr"/>
      <c r="J82" t="inlineStr"/>
      <c r="K82" t="inlineStr"/>
      <c r="L82" t="inlineStr"/>
      <c r="M82" t="inlineStr"/>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D83" t="inlineStr"/>
      <c r="E83" t="inlineStr"/>
      <c r="F83" t="inlineStr">
        <is>
          <t>all_n200</t>
        </is>
      </c>
      <c r="G83" t="inlineStr"/>
      <c r="H83" t="inlineStr"/>
      <c r="I83" t="inlineStr"/>
      <c r="J83" t="inlineStr"/>
      <c r="K83" t="inlineStr"/>
      <c r="L83" t="inlineStr"/>
      <c r="M83" t="inlineStr"/>
      <c r="N83" t="inlineStr">
        <is>
          <t>FALSE</t>
        </is>
      </c>
      <c r="O83" t="inlineStr">
        <is>
          <t>section_ablation_cost_per_correct.csv</t>
        </is>
      </c>
      <c r="P83" t="inlineStr"/>
    </row>
    <row r="84">
      <c r="A84" t="inlineStr">
        <is>
          <t>item_c_paired_press_release_vs_full_bundle_strict_(both_graded)</t>
        </is>
      </c>
      <c r="B84" t="inlineStr">
        <is>
          <t>0.0</t>
        </is>
      </c>
      <c r="C84" t="inlineStr">
        <is>
          <t>fraction diff</t>
        </is>
      </c>
      <c r="D84" t="inlineStr">
        <is>
          <t>45</t>
        </is>
      </c>
      <c r="E84" t="inlineStr"/>
      <c r="F84" t="inlineStr">
        <is>
          <t>four_arm</t>
        </is>
      </c>
      <c r="G84" t="inlineStr">
        <is>
          <t>strict (both graded)</t>
        </is>
      </c>
      <c r="H84" t="inlineStr">
        <is>
          <t>0.0</t>
        </is>
      </c>
      <c r="I84" t="inlineStr">
        <is>
          <t>0.0</t>
        </is>
      </c>
      <c r="J84" t="inlineStr"/>
      <c r="K84" t="inlineStr">
        <is>
          <t>1.0</t>
        </is>
      </c>
      <c r="L84" t="inlineStr"/>
      <c r="M84" t="inlineStr"/>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E85" t="inlineStr"/>
      <c r="F85" t="inlineStr">
        <is>
          <t>four_arm</t>
        </is>
      </c>
      <c r="G85" t="inlineStr">
        <is>
          <t>inclusive (either graded, ungraded=0.5)</t>
        </is>
      </c>
      <c r="H85" t="inlineStr">
        <is>
          <t>-0.1212</t>
        </is>
      </c>
      <c r="I85" t="inlineStr">
        <is>
          <t>-0.0152</t>
        </is>
      </c>
      <c r="J85" t="inlineStr"/>
      <c r="K85" t="inlineStr">
        <is>
          <t>0.0548</t>
        </is>
      </c>
      <c r="L85" t="inlineStr"/>
      <c r="M85" t="inlineStr"/>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E86" t="inlineStr"/>
      <c r="F86" t="inlineStr">
        <is>
          <t>four_arm</t>
        </is>
      </c>
      <c r="G86" t="inlineStr">
        <is>
          <t>strict (both graded)</t>
        </is>
      </c>
      <c r="H86" t="inlineStr">
        <is>
          <t>-0.0566</t>
        </is>
      </c>
      <c r="I86" t="inlineStr">
        <is>
          <t>0.0</t>
        </is>
      </c>
      <c r="J86" t="inlineStr"/>
      <c r="K86" t="inlineStr">
        <is>
          <t>0.7284</t>
        </is>
      </c>
      <c r="L86" t="inlineStr"/>
      <c r="M86" t="inlineStr"/>
      <c r="N86" t="inlineStr">
        <is>
          <t>TRUE</t>
        </is>
      </c>
      <c r="O86" t="inlineStr">
        <is>
          <t>section_ablation_paired_diffs.csv</t>
        </is>
      </c>
      <c r="P86" t="inlineStr"/>
    </row>
    <row r="87">
      <c r="A87" t="inlineStr">
        <is>
          <t>item_c_paired_prepared_remarks_vs_full_bundle_inclusive_(either_graded_ungraded=0.5)</t>
        </is>
      </c>
      <c r="B87" t="inlineStr">
        <is>
          <t>-0.0403</t>
        </is>
      </c>
      <c r="C87" t="inlineStr">
        <is>
          <t>fraction diff</t>
        </is>
      </c>
      <c r="D87" t="inlineStr">
        <is>
          <t>62</t>
        </is>
      </c>
      <c r="E87" t="inlineStr"/>
      <c r="F87" t="inlineStr">
        <is>
          <t>four_arm</t>
        </is>
      </c>
      <c r="G87" t="inlineStr">
        <is>
          <t>inclusive (either graded, ungraded=0.5)</t>
        </is>
      </c>
      <c r="H87" t="inlineStr">
        <is>
          <t>-0.0887</t>
        </is>
      </c>
      <c r="I87" t="inlineStr">
        <is>
          <t>0.0081</t>
        </is>
      </c>
      <c r="J87" t="inlineStr"/>
      <c r="K87" t="inlineStr">
        <is>
          <t>0.201</t>
        </is>
      </c>
      <c r="L87" t="inlineStr"/>
      <c r="M87" t="inlineStr"/>
      <c r="N87" t="inlineStr">
        <is>
          <t>TRUE</t>
        </is>
      </c>
      <c r="O87" t="inlineStr">
        <is>
          <t>section_ablation_paired_diffs.csv</t>
        </is>
      </c>
      <c r="P87" t="inlineStr"/>
    </row>
    <row r="88">
      <c r="A88" t="inlineStr">
        <is>
          <t>item_c_paired_qa_only_vs_full_bundle_strict_(both_graded)</t>
        </is>
      </c>
      <c r="B88" t="inlineStr">
        <is>
          <t>-0.0233</t>
        </is>
      </c>
      <c r="C88" t="inlineStr">
        <is>
          <t>fraction diff</t>
        </is>
      </c>
      <c r="D88" t="inlineStr">
        <is>
          <t>43</t>
        </is>
      </c>
      <c r="E88" t="inlineStr"/>
      <c r="F88" t="inlineStr">
        <is>
          <t>four_arm</t>
        </is>
      </c>
      <c r="G88" t="inlineStr">
        <is>
          <t>strict (both graded)</t>
        </is>
      </c>
      <c r="H88" t="inlineStr">
        <is>
          <t>-0.093</t>
        </is>
      </c>
      <c r="I88" t="inlineStr">
        <is>
          <t>0.0465</t>
        </is>
      </c>
      <c r="J88" t="inlineStr"/>
      <c r="K88" t="inlineStr">
        <is>
          <t>0.7934</t>
        </is>
      </c>
      <c r="L88" t="inlineStr"/>
      <c r="M88" t="inlineStr"/>
      <c r="N88" t="inlineStr">
        <is>
          <t>TRUE</t>
        </is>
      </c>
      <c r="O88" t="inlineStr">
        <is>
          <t>section_ablation_paired_diffs.csv</t>
        </is>
      </c>
      <c r="P88" t="inlineStr"/>
    </row>
    <row r="89">
      <c r="A89" t="inlineStr">
        <is>
          <t>item_c_paired_qa_only_vs_full_bundle_inclusive_(either_graded_ungraded=0.5)</t>
        </is>
      </c>
      <c r="B89" t="inlineStr">
        <is>
          <t>-0.053</t>
        </is>
      </c>
      <c r="C89" t="inlineStr">
        <is>
          <t>fraction diff</t>
        </is>
      </c>
      <c r="D89" t="inlineStr">
        <is>
          <t>66</t>
        </is>
      </c>
      <c r="E89" t="inlineStr"/>
      <c r="F89" t="inlineStr">
        <is>
          <t>four_arm</t>
        </is>
      </c>
      <c r="G89" t="inlineStr">
        <is>
          <t>inclusive (either graded, ungraded=0.5)</t>
        </is>
      </c>
      <c r="H89" t="inlineStr">
        <is>
          <t>-0.1288</t>
        </is>
      </c>
      <c r="I89" t="inlineStr">
        <is>
          <t>0.0227</t>
        </is>
      </c>
      <c r="J89" t="inlineStr"/>
      <c r="K89" t="inlineStr">
        <is>
          <t>0.2686</t>
        </is>
      </c>
      <c r="L89" t="inlineStr"/>
      <c r="M89" t="inlineStr"/>
      <c r="N89" t="inlineStr">
        <is>
          <t>TRUE</t>
        </is>
      </c>
      <c r="O89" t="inlineStr">
        <is>
          <t>section_ablation_paired_diffs.csv</t>
        </is>
      </c>
      <c r="P89" t="inlineStr"/>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G90" t="inlineStr"/>
      <c r="H90" t="inlineStr">
        <is>
          <t>0.471</t>
        </is>
      </c>
      <c r="I90" t="inlineStr">
        <is>
          <t xml:space="preserve"> 0.622</t>
        </is>
      </c>
      <c r="J90" t="inlineStr">
        <is>
          <t>90%</t>
        </is>
      </c>
      <c r="K90" t="inlineStr"/>
      <c r="L90" t="inlineStr"/>
      <c r="M90" t="inlineStr"/>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G91" t="inlineStr"/>
      <c r="H91" t="inlineStr"/>
      <c r="I91" t="inlineStr"/>
      <c r="J91" t="inlineStr"/>
      <c r="K91" t="inlineStr"/>
      <c r="L91" t="inlineStr"/>
      <c r="M91" t="inlineStr"/>
      <c r="N91" t="inlineStr">
        <is>
          <t>FALSE</t>
        </is>
      </c>
      <c r="O91" t="inlineStr">
        <is>
          <t>frontier_table.csv</t>
        </is>
      </c>
      <c r="P91" t="inlineStr"/>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G92" t="inlineStr"/>
      <c r="H92" t="inlineStr">
        <is>
          <t>0.101</t>
        </is>
      </c>
      <c r="I92" t="inlineStr">
        <is>
          <t xml:space="preserve"> 0.210</t>
        </is>
      </c>
      <c r="J92" t="inlineStr">
        <is>
          <t>90%</t>
        </is>
      </c>
      <c r="K92" t="inlineStr"/>
      <c r="L92" t="inlineStr"/>
      <c r="M92" t="inlineStr"/>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G93" t="inlineStr"/>
      <c r="H93" t="inlineStr"/>
      <c r="I93" t="inlineStr"/>
      <c r="J93" t="inlineStr"/>
      <c r="K93" t="inlineStr"/>
      <c r="L93" t="inlineStr"/>
      <c r="M93" t="inlineStr"/>
      <c r="N93" t="inlineStr">
        <is>
          <t>FALSE</t>
        </is>
      </c>
      <c r="O93" t="inlineStr">
        <is>
          <t>frontier_table.csv</t>
        </is>
      </c>
      <c r="P93" t="inlineStr"/>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G94" t="inlineStr"/>
      <c r="H94" t="inlineStr">
        <is>
          <t>0.277</t>
        </is>
      </c>
      <c r="I94" t="inlineStr">
        <is>
          <t xml:space="preserve"> 0.420</t>
        </is>
      </c>
      <c r="J94" t="inlineStr">
        <is>
          <t>90%</t>
        </is>
      </c>
      <c r="K94" t="inlineStr"/>
      <c r="L94" t="inlineStr"/>
      <c r="M94" t="inlineStr"/>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G95" t="inlineStr"/>
      <c r="H95" t="inlineStr"/>
      <c r="I95" t="inlineStr"/>
      <c r="J95" t="inlineStr"/>
      <c r="K95" t="inlineStr"/>
      <c r="L95" t="inlineStr"/>
      <c r="M95" t="inlineStr"/>
      <c r="N95" t="inlineStr">
        <is>
          <t>FALSE</t>
        </is>
      </c>
      <c r="O95" t="inlineStr">
        <is>
          <t>frontier_table.csv</t>
        </is>
      </c>
      <c r="P95" t="inlineStr"/>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G96" t="inlineStr"/>
      <c r="H96" t="inlineStr">
        <is>
          <t>0.353</t>
        </is>
      </c>
      <c r="I96" t="inlineStr">
        <is>
          <t xml:space="preserve"> 0.504</t>
        </is>
      </c>
      <c r="J96" t="inlineStr">
        <is>
          <t>90%</t>
        </is>
      </c>
      <c r="K96" t="inlineStr"/>
      <c r="L96" t="inlineStr"/>
      <c r="M96" t="inlineStr"/>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G97" t="inlineStr"/>
      <c r="H97" t="inlineStr"/>
      <c r="I97" t="inlineStr"/>
      <c r="J97" t="inlineStr"/>
      <c r="K97" t="inlineStr"/>
      <c r="L97" t="inlineStr"/>
      <c r="M97" t="inlineStr"/>
      <c r="N97" t="inlineStr">
        <is>
          <t>FALSE</t>
        </is>
      </c>
      <c r="O97" t="inlineStr">
        <is>
          <t>frontier_table.csv</t>
        </is>
      </c>
      <c r="P97" t="inlineStr"/>
    </row>
    <row r="98">
      <c r="A98" t="inlineStr">
        <is>
          <t>walkforward_n_windows</t>
        </is>
      </c>
      <c r="B98" t="inlineStr">
        <is>
          <t>4</t>
        </is>
      </c>
      <c r="C98" t="inlineStr"/>
      <c r="D98" t="inlineStr"/>
      <c r="E98" t="inlineStr"/>
      <c r="F98" t="inlineStr"/>
      <c r="G98" t="inlineStr"/>
      <c r="H98" t="inlineStr"/>
      <c r="I98" t="inlineStr"/>
      <c r="J98" t="inlineStr"/>
      <c r="K98" t="inlineStr"/>
      <c r="L98" t="inlineStr"/>
      <c r="M98" t="inlineStr"/>
      <c r="N98" t="inlineStr">
        <is>
          <t>FALSE</t>
        </is>
      </c>
      <c r="O98" t="inlineStr">
        <is>
          <t>item_e_walkforward.json</t>
        </is>
      </c>
      <c r="P98" t="inlineStr"/>
    </row>
    <row r="99">
      <c r="A99" t="inlineStr">
        <is>
          <t>walkforward_degeneracy_finding</t>
        </is>
      </c>
      <c r="B99" t="inlineStr">
        <is>
          <t>{'mean_net_degenerate': 3, 'accuracy_degenerate': 2, 'total_windows': 4, 'both_degenerate': True}</t>
        </is>
      </c>
      <c r="C99" t="inlineStr"/>
      <c r="D99" t="inlineStr"/>
      <c r="E99" t="inlineStr"/>
      <c r="F99" t="inlineStr"/>
      <c r="G99" t="inlineStr"/>
      <c r="H99" t="inlineStr"/>
      <c r="I99" t="inlineStr"/>
      <c r="J99" t="inlineStr"/>
      <c r="K99" t="inlineStr"/>
      <c r="L99" t="inlineStr"/>
      <c r="M99" t="inlineStr"/>
      <c r="N99" t="inlineStr">
        <is>
          <t>FALSE</t>
        </is>
      </c>
      <c r="O99" t="inlineStr">
        <is>
          <t>item_e_walkforward.json</t>
        </is>
      </c>
      <c r="P99" t="inlineStr">
        <is>
          <t>Both mean-net and accuracy objectives tried; both degenerate</t>
        </is>
      </c>
    </row>
    <row r="100">
      <c r="A100" t="inlineStr">
        <is>
          <t>walkforward_mean_net_objective_degenerate_windows</t>
        </is>
      </c>
      <c r="B100" t="inlineStr"/>
      <c r="C100" t="inlineStr"/>
      <c r="D100" t="inlineStr"/>
      <c r="E100" t="inlineStr"/>
      <c r="F100" t="inlineStr">
        <is>
          <t>walk-forward mean_net_objective</t>
        </is>
      </c>
      <c r="G100" t="inlineStr"/>
      <c r="H100" t="inlineStr"/>
      <c r="I100" t="inlineStr"/>
      <c r="J100" t="inlineStr"/>
      <c r="K100" t="inlineStr"/>
      <c r="L100" t="inlineStr"/>
      <c r="M100" t="inlineStr"/>
      <c r="N100" t="inlineStr">
        <is>
          <t>FALSE</t>
        </is>
      </c>
      <c r="O100" t="inlineStr">
        <is>
          <t>item_e_walkforward.json</t>
        </is>
      </c>
      <c r="P100" t="inlineStr"/>
    </row>
    <row r="101">
      <c r="A101" t="inlineStr">
        <is>
          <t>walkforward_accuracy_objective_degenerate_windows</t>
        </is>
      </c>
      <c r="B101" t="inlineStr"/>
      <c r="C101" t="inlineStr"/>
      <c r="D101" t="inlineStr"/>
      <c r="E101" t="inlineStr"/>
      <c r="F101" t="inlineStr">
        <is>
          <t>walk-forward accuracy_objective</t>
        </is>
      </c>
      <c r="G101" t="inlineStr"/>
      <c r="H101" t="inlineStr"/>
      <c r="I101" t="inlineStr"/>
      <c r="J101" t="inlineStr"/>
      <c r="K101" t="inlineStr"/>
      <c r="L101" t="inlineStr"/>
      <c r="M101" t="inlineStr"/>
      <c r="N101" t="inlineStr">
        <is>
          <t>FALSE</t>
        </is>
      </c>
      <c r="O101" t="inlineStr">
        <is>
          <t>item_e_walkforward.json</t>
        </is>
      </c>
      <c r="P101" t="inlineStr"/>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G102" t="inlineStr"/>
      <c r="H102" t="inlineStr"/>
      <c r="I102" t="inlineStr"/>
      <c r="J102" t="inlineStr"/>
      <c r="K102" t="inlineStr"/>
      <c r="L102" t="inlineStr"/>
      <c r="M102" t="inlineStr"/>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G103" t="inlineStr"/>
      <c r="H103" t="inlineStr"/>
      <c r="I103" t="inlineStr"/>
      <c r="J103" t="inlineStr"/>
      <c r="K103" t="inlineStr"/>
      <c r="L103" t="inlineStr"/>
      <c r="M103" t="inlineStr"/>
      <c r="N103" t="inlineStr">
        <is>
          <t>FALSE</t>
        </is>
      </c>
      <c r="O103" t="inlineStr">
        <is>
          <t>frontier_table.csv</t>
        </is>
      </c>
      <c r="P103" t="inlineStr"/>
    </row>
    <row r="104">
      <c r="A104" t="inlineStr">
        <is>
          <t>eval_split_accuracy</t>
        </is>
      </c>
      <c r="B104" t="inlineStr">
        <is>
          <t>68.0%</t>
        </is>
      </c>
      <c r="C104" t="inlineStr">
        <is>
          <t>percent</t>
        </is>
      </c>
      <c r="D104" t="inlineStr">
        <is>
          <t>75</t>
        </is>
      </c>
      <c r="E104" t="inlineStr">
        <is>
          <t>traded+graded events in eval split</t>
        </is>
      </c>
      <c r="F104" t="inlineStr">
        <is>
          <t>eval split, N=186</t>
        </is>
      </c>
      <c r="G104" t="inlineStr"/>
      <c r="H104" t="inlineStr"/>
      <c r="I104" t="inlineStr"/>
      <c r="J104" t="inlineStr"/>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G105" t="inlineStr"/>
      <c r="H105" t="inlineStr"/>
      <c r="I105" t="inlineStr"/>
      <c r="J105" t="inlineStr"/>
      <c r="K105" t="inlineStr"/>
      <c r="L105" t="inlineStr">
        <is>
          <t>±27.8pp</t>
        </is>
      </c>
      <c r="M105" t="inlineStr"/>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G106" t="inlineStr"/>
      <c r="H106" t="inlineStr"/>
      <c r="I106" t="inlineStr"/>
      <c r="J106" t="inlineStr"/>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40" customWidth="1" min="1" max="1"/>
    <col width="80" customWidth="1" min="2" max="2"/>
  </cols>
  <sheetData>
    <row r="1">
      <c r="A1" s="164" t="inlineStr">
        <is>
          <t>Finding</t>
        </is>
      </c>
      <c r="B1" s="164"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c r="B14" t="inlineStr"/>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2">
      <c r="A2" s="164" t="inlineStr">
        <is>
          <t>(a) Model call vs realised outcome — N=233 clean events, pre-registered ±2% overnight band</t>
        </is>
      </c>
    </row>
    <row r="4">
      <c r="A4" s="164" t="inlineStr"/>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c r="G5" t="inlineStr"/>
    </row>
    <row r="6">
      <c r="A6" t="inlineStr">
        <is>
          <t>Call HOLD</t>
        </is>
      </c>
      <c r="B6" t="n">
        <v>24</v>
      </c>
      <c r="C6" t="n">
        <v>35</v>
      </c>
      <c r="D6" t="n">
        <v>28</v>
      </c>
      <c r="E6" t="n">
        <v>87</v>
      </c>
      <c r="F6" t="inlineStr">
        <is>
          <t>35/87</t>
        </is>
      </c>
      <c r="G6" t="inlineStr"/>
    </row>
    <row r="7">
      <c r="A7" t="inlineStr">
        <is>
          <t>Call SELL</t>
        </is>
      </c>
      <c r="B7" t="n">
        <v>13</v>
      </c>
      <c r="C7" t="n">
        <v>29</v>
      </c>
      <c r="D7" t="n">
        <v>32</v>
      </c>
      <c r="E7" t="n">
        <v>74</v>
      </c>
      <c r="F7" t="inlineStr">
        <is>
          <t>32/74</t>
        </is>
      </c>
      <c r="G7" t="inlineStr"/>
    </row>
    <row r="8">
      <c r="A8" t="inlineStr">
        <is>
          <t>Col total</t>
        </is>
      </c>
      <c r="B8" t="n">
        <v>67</v>
      </c>
      <c r="C8" t="n">
        <v>86</v>
      </c>
      <c r="D8" t="n">
        <v>80</v>
      </c>
      <c r="E8" t="n">
        <v>233</v>
      </c>
      <c r="F8" t="inlineStr"/>
      <c r="G8" t="inlineStr"/>
    </row>
    <row r="9">
      <c r="A9" t="inlineStr">
        <is>
          <t>Recall (correct/total_in_direction)</t>
        </is>
      </c>
      <c r="B9" t="inlineStr">
        <is>
          <t>30/67</t>
        </is>
      </c>
      <c r="C9" t="inlineStr">
        <is>
          <t>35/86</t>
        </is>
      </c>
      <c r="D9" t="inlineStr">
        <is>
          <t>32/80</t>
        </is>
      </c>
      <c r="E9" t="inlineStr"/>
      <c r="F9" t="inlineStr"/>
      <c r="G9" t="inlineStr"/>
    </row>
    <row r="10">
      <c r="A10" t="inlineStr">
        <is>
          <t>Note: BUY-called-DOWN and SELL-called-UP are the costly directional errors. HOLD row against UP and DOWN is the coverage gap (52 events that moved but were passed on).</t>
        </is>
      </c>
      <c r="B10" t="inlineStr"/>
      <c r="C10" t="inlineStr"/>
      <c r="D10" t="inlineStr"/>
      <c r="E10" t="inlineStr"/>
      <c r="F10" t="inlineStr"/>
      <c r="G10" t="inlineStr"/>
    </row>
    <row r="12">
      <c r="A12" s="164" t="inlineStr">
        <is>
          <t>(b) Human arm vs realised outcome — N=171 paired events (section=All, first_rater=YES, in_llm=YES, exclusions applied)</t>
        </is>
      </c>
    </row>
    <row r="14">
      <c r="A14" s="164" t="inlineStr"/>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c r="B19" t="inlineStr"/>
      <c r="C19" t="inlineStr"/>
      <c r="D19" t="inlineStr"/>
      <c r="E19" t="inlineStr"/>
    </row>
    <row r="21">
      <c r="A21" s="164" t="inlineStr">
        <is>
          <t>(c) Human vs model agreement — N=171 paired events. Source: kappa_near_independence.csv</t>
        </is>
      </c>
    </row>
    <row r="23">
      <c r="A23" s="164" t="inlineStr">
        <is>
          <t>Human call \ LLM call</t>
        </is>
      </c>
      <c r="B23" t="inlineStr">
        <is>
          <t>LLM BUY</t>
        </is>
      </c>
      <c r="C23" t="inlineStr">
        <is>
          <t>LLM HOLD</t>
        </is>
      </c>
      <c r="D23" t="inlineStr">
        <is>
          <t>LLM SELL</t>
        </is>
      </c>
      <c r="E23" t="inlineStr">
        <is>
          <t>Row total</t>
        </is>
      </c>
    </row>
    <row r="24">
      <c r="A24" t="inlineStr">
        <is>
          <t>Human BUY</t>
        </is>
      </c>
      <c r="B24" t="inlineStr"/>
      <c r="C24" t="inlineStr"/>
      <c r="D24" t="inlineStr"/>
      <c r="E24" t="inlineStr"/>
    </row>
    <row r="25">
      <c r="A25" t="inlineStr">
        <is>
          <t>Human HOLD</t>
        </is>
      </c>
      <c r="B25" t="inlineStr"/>
      <c r="C25" t="inlineStr"/>
      <c r="D25" t="inlineStr"/>
      <c r="E25" t="inlineStr"/>
    </row>
    <row r="26">
      <c r="A26" t="inlineStr">
        <is>
          <t>Human SELL</t>
        </is>
      </c>
      <c r="B26" t="inlineStr"/>
      <c r="C26" t="inlineStr"/>
      <c r="D26" t="inlineStr"/>
      <c r="E26" t="inlineStr"/>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8" defaultRowHeight="15"/>
  <cols>
    <col width="17" customWidth="1" min="1" max="1"/>
    <col width="8" customWidth="1" min="2" max="2"/>
    <col width="14" customWidth="1" min="3" max="3"/>
    <col width="12" customWidth="1" min="4" max="4"/>
    <col width="13" customWidth="1" min="5" max="5"/>
    <col width="15" customWidth="1" min="6" max="6"/>
    <col width="43" customWidth="1" min="7" max="7"/>
    <col width="17" customWidth="1" min="8" max="8"/>
    <col width="7" customWidth="1" min="9" max="9"/>
  </cols>
  <sheetData>
    <row r="1">
      <c r="A1" s="164" t="inlineStr">
        <is>
          <t>document_id</t>
        </is>
      </c>
      <c r="B1" s="164" t="inlineStr">
        <is>
          <t>ticker</t>
        </is>
      </c>
      <c r="C1" s="164" t="inlineStr">
        <is>
          <t>release_date</t>
        </is>
      </c>
      <c r="D1" s="164" t="inlineStr">
        <is>
          <t>entry_date</t>
        </is>
      </c>
      <c r="E1" s="164" t="inlineStr">
        <is>
          <t>timing</t>
        </is>
      </c>
      <c r="F1" s="164" t="inlineStr">
        <is>
          <t>entry_shifted</t>
        </is>
      </c>
      <c r="G1" s="164" t="inlineStr">
        <is>
          <t>verification_method</t>
        </is>
      </c>
      <c r="H1" s="164" t="inlineStr">
        <is>
          <t>timing_excluded</t>
        </is>
      </c>
      <c r="I1" s="164"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c r="I2" t="inlineStr"/>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c r="I3" t="inlineStr"/>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c r="I4" t="inlineStr"/>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c r="I5" t="inlineStr"/>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c r="I6" t="inlineStr"/>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c r="I7" t="inlineStr"/>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c r="I8" t="inlineStr"/>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c r="I9" t="inlineStr"/>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c r="I10" t="inlineStr"/>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c r="I11" t="inlineStr"/>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c r="I12" t="inlineStr"/>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c r="I13" t="inlineStr"/>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c r="I14" t="inlineStr"/>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c r="I15" t="inlineStr"/>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c r="I16" t="inlineStr"/>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c r="I17" t="inlineStr"/>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c r="I18" t="inlineStr"/>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c r="I19" t="inlineStr"/>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c r="I20" t="inlineStr"/>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c r="I21" t="inlineStr"/>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c r="I22" t="inlineStr"/>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c r="I23" t="inlineStr"/>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c r="I24" t="inlineStr"/>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c r="I25" t="inlineStr"/>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c r="I26" t="inlineStr"/>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c r="I27" t="inlineStr"/>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c r="I28" t="inlineStr"/>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c r="I29" t="inlineStr"/>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c r="I30" t="inlineStr"/>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c r="I31" t="inlineStr"/>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c r="I32" t="inlineStr"/>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c r="I33" t="inlineStr"/>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c r="I34" t="inlineStr"/>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c r="I35" t="inlineStr"/>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c r="I36" t="inlineStr"/>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c r="I37" t="inlineStr"/>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c r="I38" t="inlineStr"/>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c r="I39" t="inlineStr"/>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c r="I40" t="inlineStr"/>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c r="I41" t="inlineStr"/>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c r="I42" t="inlineStr"/>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c r="I43" t="inlineStr"/>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c r="I44" t="inlineStr"/>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c r="I45" t="inlineStr"/>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c r="I46" t="inlineStr"/>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c r="I47" t="inlineStr"/>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c r="I48" t="inlineStr"/>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c r="I49" t="inlineStr"/>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c r="I50" t="inlineStr"/>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c r="I51" t="inlineStr"/>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c r="I52" t="inlineStr"/>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c r="I53" t="inlineStr"/>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c r="I54" t="inlineStr"/>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c r="I55" t="inlineStr"/>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c r="I56" t="inlineStr"/>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c r="I57" t="inlineStr"/>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c r="I58" t="inlineStr"/>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c r="I59" t="inlineStr"/>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c r="I60" t="inlineStr"/>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c r="I61" t="inlineStr"/>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c r="I62" t="inlineStr"/>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c r="I63" t="inlineStr"/>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c r="I64" t="inlineStr"/>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c r="I65" t="inlineStr"/>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c r="I66" t="inlineStr"/>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c r="I67" t="inlineStr"/>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c r="I68" t="inlineStr"/>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c r="I69" t="inlineStr"/>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c r="I70" t="inlineStr"/>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c r="I71" t="inlineStr"/>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c r="I72" t="inlineStr"/>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c r="I73" t="inlineStr"/>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c r="I74" t="inlineStr"/>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c r="I75" t="inlineStr"/>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c r="I76" t="inlineStr"/>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c r="I77" t="inlineStr"/>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c r="I78" t="inlineStr"/>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c r="I79" t="inlineStr"/>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c r="I80" t="inlineStr"/>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c r="I81" t="inlineStr"/>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c r="I82" t="inlineStr"/>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c r="I83" t="inlineStr"/>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c r="I84" t="inlineStr"/>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c r="I85" t="inlineStr"/>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c r="I86" t="inlineStr"/>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c r="I87" t="inlineStr"/>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c r="I88" t="inlineStr"/>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c r="I89" t="inlineStr"/>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c r="I90" t="inlineStr"/>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c r="I91" t="inlineStr"/>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c r="I92" t="inlineStr"/>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c r="I93" t="inlineStr"/>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c r="I94" t="inlineStr"/>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c r="I95" t="inlineStr"/>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c r="I96" t="inlineStr"/>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c r="I97" t="inlineStr"/>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c r="I98" t="inlineStr"/>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c r="I99" t="inlineStr"/>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c r="I100" t="inlineStr"/>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c r="I101" t="inlineStr"/>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c r="I102" t="inlineStr"/>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c r="I103" t="inlineStr"/>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c r="I104" t="inlineStr"/>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c r="I105" t="inlineStr"/>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c r="I106" t="inlineStr"/>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c r="I107" t="inlineStr"/>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c r="I108" t="inlineStr"/>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c r="I109" t="inlineStr"/>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c r="I110" t="inlineStr"/>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c r="I111" t="inlineStr"/>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c r="I112" t="inlineStr"/>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c r="I113" t="inlineStr"/>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c r="I114" t="inlineStr"/>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c r="I115" t="inlineStr"/>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c r="I116" t="inlineStr"/>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c r="I117" t="inlineStr"/>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c r="I118" t="inlineStr"/>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c r="I119" t="inlineStr"/>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c r="I120" t="inlineStr"/>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c r="I121" t="inlineStr"/>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c r="I122" t="inlineStr"/>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c r="I123" t="inlineStr"/>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c r="I124" t="inlineStr"/>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c r="I125" t="inlineStr"/>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c r="I126" t="inlineStr"/>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c r="I127" t="inlineStr"/>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c r="I128" t="inlineStr"/>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c r="I129" t="inlineStr"/>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c r="I130" t="inlineStr"/>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c r="I131" t="inlineStr"/>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c r="I132" t="inlineStr"/>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c r="I133" t="inlineStr"/>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c r="I134" t="inlineStr"/>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c r="I135" t="inlineStr"/>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c r="I136" t="inlineStr"/>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c r="I137" t="inlineStr"/>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c r="I138" t="inlineStr"/>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c r="I139" t="inlineStr"/>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c r="I140" t="inlineStr"/>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c r="I141" t="inlineStr"/>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c r="I142" t="inlineStr"/>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c r="I143" t="inlineStr"/>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c r="I144" t="inlineStr"/>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c r="I145" t="inlineStr"/>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c r="I146" t="inlineStr"/>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c r="I147" t="inlineStr"/>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c r="I148" t="inlineStr"/>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c r="I149" t="inlineStr"/>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c r="I150" t="inlineStr"/>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c r="I151" t="inlineStr"/>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c r="I152" t="inlineStr"/>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c r="I153" t="inlineStr"/>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c r="I154" t="inlineStr"/>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c r="I155" t="inlineStr"/>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c r="I156" t="inlineStr"/>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c r="I157" t="inlineStr"/>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c r="I158" t="inlineStr"/>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c r="I159" t="inlineStr"/>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c r="I160" t="inlineStr"/>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c r="I161" t="inlineStr"/>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c r="I162" t="inlineStr"/>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c r="I163" t="inlineStr"/>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c r="I164" t="inlineStr"/>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c r="I165" t="inlineStr"/>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c r="I166" t="inlineStr"/>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c r="I167" t="inlineStr"/>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c r="I168" t="inlineStr"/>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c r="I169" t="inlineStr"/>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c r="I170" t="inlineStr"/>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c r="I171" t="inlineStr"/>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c r="I172" t="inlineStr"/>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c r="I173" t="inlineStr"/>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c r="I174" t="inlineStr"/>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c r="I175" t="inlineStr"/>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c r="I176" t="inlineStr"/>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c r="I177" t="inlineStr"/>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c r="I178" t="inlineStr"/>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c r="I179" t="inlineStr"/>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c r="I180" t="inlineStr"/>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c r="I181" t="inlineStr"/>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c r="I182" t="inlineStr"/>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c r="I183" t="inlineStr"/>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c r="I184" t="inlineStr"/>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c r="I185" t="inlineStr"/>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c r="I186" t="inlineStr"/>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c r="I187" t="inlineStr"/>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c r="I188" t="inlineStr"/>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c r="I189" t="inlineStr"/>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c r="I190" t="inlineStr"/>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c r="I191" t="inlineStr"/>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c r="I192" t="inlineStr"/>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c r="I193" t="inlineStr"/>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c r="I194" t="inlineStr"/>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c r="I195" t="inlineStr"/>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c r="I196" t="inlineStr"/>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c r="I197" t="inlineStr"/>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c r="I198" t="inlineStr"/>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c r="I199" t="inlineStr"/>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c r="I200" t="inlineStr"/>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c r="I201" t="inlineStr"/>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c r="I202" t="inlineStr"/>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c r="I203" t="inlineStr"/>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c r="I204" t="inlineStr"/>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c r="I205" t="inlineStr"/>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c r="I206" t="inlineStr"/>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c r="I207" t="inlineStr"/>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c r="I208" t="inlineStr"/>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c r="I209" t="inlineStr"/>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c r="I210" t="inlineStr"/>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c r="I211" t="inlineStr"/>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c r="I212" t="inlineStr"/>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c r="I213" t="inlineStr"/>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c r="I214" t="inlineStr"/>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c r="I215" t="inlineStr"/>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c r="I216" t="inlineStr"/>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c r="I217" t="inlineStr"/>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c r="I218" t="inlineStr"/>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c r="I219" t="inlineStr"/>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c r="I220" t="inlineStr"/>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c r="I221" t="inlineStr"/>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c r="I222" t="inlineStr"/>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c r="I223" t="inlineStr"/>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c r="I224" t="inlineStr"/>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c r="I225" t="inlineStr"/>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c r="I226" t="inlineStr"/>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c r="I227" t="inlineStr"/>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c r="I228" t="inlineStr"/>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c r="I229" t="inlineStr"/>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c r="I230" t="inlineStr"/>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c r="I231" t="inlineStr"/>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c r="I232" t="inlineStr"/>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c r="I233" t="inlineStr"/>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c r="I234" t="inlineStr"/>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c r="I235" t="inlineStr"/>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c r="I236" t="inlineStr"/>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c r="I237" t="inlineStr"/>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c r="I238" t="inlineStr"/>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c r="I239" t="inlineStr"/>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c r="I240" t="inlineStr"/>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c r="I241" t="inlineStr"/>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c r="I242" t="inlineStr"/>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c r="I243" t="inlineStr"/>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c r="I244" t="inlineStr"/>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c r="I245" t="inlineStr"/>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c r="I246" t="inlineStr"/>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c r="I247" t="inlineStr"/>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c r="I248" t="inlineStr"/>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c r="I249" t="inlineStr"/>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c r="I250" t="inlineStr"/>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c r="I251" t="inlineStr"/>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c r="I252" t="inlineStr"/>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c r="I253" t="inlineStr"/>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c r="I254" t="inlineStr"/>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c r="I255" t="inlineStr"/>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c r="I256" t="inlineStr"/>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c r="I257" t="inlineStr"/>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c r="I258" t="inlineStr"/>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c r="I259" t="inlineStr"/>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c r="I260" t="inlineStr"/>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c r="I261" t="inlineStr"/>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c r="I262" t="inlineStr"/>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c r="I263" t="inlineStr"/>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c r="I264" t="inlineStr"/>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c r="I265" t="inlineStr"/>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c r="I266" t="inlineStr"/>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c r="I267" t="inlineStr"/>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c r="I268" t="inlineStr"/>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c r="I269"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64" t="inlineStr">
        <is>
          <t>PER-ARM ACCURACY AND COST</t>
        </is>
      </c>
    </row>
    <row r="2">
      <c r="A2" s="164" t="inlineStr">
        <is>
          <t>event_set</t>
        </is>
      </c>
      <c r="B2" s="164" t="inlineStr">
        <is>
          <t>arm</t>
        </is>
      </c>
      <c r="C2" s="164" t="inlineStr">
        <is>
          <t>n_calls</t>
        </is>
      </c>
      <c r="D2" s="164" t="inlineStr">
        <is>
          <t>n_graded</t>
        </is>
      </c>
      <c r="E2" s="164" t="inlineStr">
        <is>
          <t>n_correct</t>
        </is>
      </c>
      <c r="F2" s="164" t="inlineStr">
        <is>
          <t>accuracy_hold_excluded</t>
        </is>
      </c>
      <c r="G2" s="164" t="inlineStr">
        <is>
          <t>mean_tokens_per_call</t>
        </is>
      </c>
      <c r="H2" s="164" t="inlineStr">
        <is>
          <t>total_cost_usd</t>
        </is>
      </c>
      <c r="I2" s="164" t="inlineStr">
        <is>
          <t>cost_per_call_usd</t>
        </is>
      </c>
      <c r="J2" s="164"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64" t="inlineStr">
        <is>
          <t>PAIRED DIFFERENCES VS FULL BUNDLE</t>
        </is>
      </c>
    </row>
    <row r="15">
      <c r="A15" s="164" t="inlineStr">
        <is>
          <t>comparison</t>
        </is>
      </c>
      <c r="B15" s="164" t="inlineStr">
        <is>
          <t>set</t>
        </is>
      </c>
      <c r="C15" s="164" t="inlineStr">
        <is>
          <t>method</t>
        </is>
      </c>
      <c r="D15" s="164" t="inlineStr">
        <is>
          <t>n_paired</t>
        </is>
      </c>
      <c r="E15" s="164" t="inlineStr">
        <is>
          <t>point_diff</t>
        </is>
      </c>
      <c r="F15" s="164" t="inlineStr">
        <is>
          <t>ci_low</t>
        </is>
      </c>
      <c r="G15" s="164" t="inlineStr">
        <is>
          <t>ci_high</t>
        </is>
      </c>
      <c r="H15" s="164" t="inlineStr">
        <is>
          <t>p_value</t>
        </is>
      </c>
      <c r="I15" s="164" t="inlineStr">
        <is>
          <t>metric</t>
        </is>
      </c>
      <c r="J15" s="164"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c r="J18" t="inlineStr"/>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c r="J19" t="inlineStr"/>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c r="J20" t="inlineStr"/>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c r="J21" t="inlineStr"/>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8" defaultRowHeight="15"/>
  <cols>
    <col width="35" customWidth="1" min="1" max="1"/>
    <col width="6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A2" s="164"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c r="B8" t="inlineStr"/>
      <c r="C8" t="inlineStr"/>
    </row>
    <row r="9">
      <c r="A9" t="inlineStr">
        <is>
          <t>accuracy_objective_n_degenerate</t>
        </is>
      </c>
      <c r="B9" t="inlineStr"/>
      <c r="C9" t="inlineStr"/>
    </row>
    <row r="11">
      <c r="A11" s="164"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64"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64"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c r="H34" t="inlineStr"/>
      <c r="I34" t="inlineStr"/>
      <c r="J34" t="inlineStr"/>
      <c r="K34" t="inlineStr"/>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2026-07-06T09:42:38Z</dcterms:created>
  <dcterms:modified xmlns:dcterms="http://purl.org/dc/terms/" xmlns:xsi="http://www.w3.org/2001/XMLSchema-instance" xsi:type="dcterms:W3CDTF">2026-08-13T09:13:36Z</dcterms:modified>
  <cp:lastModifiedBy>PG-Semar, Meriem</cp:lastModifiedBy>
  <cp:revision>0</cp:revision>
</cp:coreProperties>
</file>