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51200" windowHeight="26940" tabRatio="500" firstSheet="1" activeTab="5" autoFilterDateGrouping="1"/>
  </bookViews>
  <sheets>
    <sheet xmlns:r="http://schemas.openxmlformats.org/officeDocument/2006/relationships" name="Human_Data_Entry" sheetId="1" state="visible" r:id="rId1"/>
    <sheet xmlns:r="http://schemas.openxmlformats.org/officeDocument/2006/relationships" name="LLM_Data_Entry" sheetId="2" state="visible" r:id="rId2"/>
    <sheet xmlns:r="http://schemas.openxmlformats.org/officeDocument/2006/relationships" name="Summary" sheetId="3" state="visible" r:id="rId3"/>
    <sheet xmlns:r="http://schemas.openxmlformats.org/officeDocument/2006/relationships" name="Charts" sheetId="4" state="visible" r:id="rId4"/>
    <sheet xmlns:r="http://schemas.openxmlformats.org/officeDocument/2006/relationships" name="Efficiency" sheetId="5" state="visible" r:id="rId5"/>
    <sheet xmlns:r="http://schemas.openxmlformats.org/officeDocument/2006/relationships" name="Company_List" sheetId="6" state="visible" r:id="rId6"/>
    <sheet xmlns:r="http://schemas.openxmlformats.org/officeDocument/2006/relationships" name="Settings" sheetId="7" state="visible" r:id="rId7"/>
    <sheet xmlns:r="http://schemas.openxmlformats.org/officeDocument/2006/relationships" name="Corrections_Log" sheetId="8" state="visible" r:id="rId8"/>
    <sheet xmlns:r="http://schemas.openxmlformats.org/officeDocument/2006/relationships" name="Corrected_Metrics" sheetId="9" state="visible" r:id="rId9"/>
    <sheet xmlns:r="http://schemas.openxmlformats.org/officeDocument/2006/relationships" name="Findings" sheetId="10" state="visible" r:id="rId10"/>
    <sheet xmlns:r="http://schemas.openxmlformats.org/officeDocument/2006/relationships" name="Confusion_Matrices" sheetId="11" state="visible" r:id="rId11"/>
    <sheet xmlns:r="http://schemas.openxmlformats.org/officeDocument/2006/relationships" name="Anchor_Audit" sheetId="12" state="visible" r:id="rId12"/>
    <sheet xmlns:r="http://schemas.openxmlformats.org/officeDocument/2006/relationships" name="Item_C_Ablation" sheetId="13" state="visible" r:id="rId13"/>
    <sheet xmlns:r="http://schemas.openxmlformats.org/officeDocument/2006/relationships" name="Walk_Forward" sheetId="14" state="visible" r:id="rId14"/>
  </sheets>
  <definedNames>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8" fullCalcOnLoad="1" iterateDelta="0.0001"/>
</workbook>
</file>

<file path=xl/styles.xml><?xml version="1.0" encoding="utf-8"?>
<styleSheet xmlns="http://schemas.openxmlformats.org/spreadsheetml/2006/main">
  <numFmts count="8">
    <numFmt numFmtId="164" formatCode="0.0%"/>
    <numFmt numFmtId="165" formatCode="\$#,##0.00"/>
    <numFmt numFmtId="166" formatCode="\$#,##0.000000"/>
    <numFmt numFmtId="167" formatCode="\$#,##0"/>
    <numFmt numFmtId="168" formatCode="0.0"/>
    <numFmt numFmtId="169" formatCode="0.0&quot;x&quot;"/>
    <numFmt numFmtId="170" formatCode="\$#,##0.0000"/>
    <numFmt numFmtId="171" formatCode="dd/mm/yy;@"/>
  </numFmts>
  <fonts count="20">
    <font>
      <name val="Calibri"/>
      <charset val="1"/>
      <family val="2"/>
      <color theme="1"/>
      <sz val="11"/>
    </font>
    <font>
      <name val="Arial"/>
      <family val="2"/>
      <i val="1"/>
      <color rgb="FFE74C3C"/>
      <sz val="8"/>
    </font>
    <font>
      <name val="Calibri"/>
      <charset val="1"/>
      <family val="2"/>
      <b val="1"/>
      <color theme="1"/>
      <sz val="11"/>
    </font>
    <font>
      <name val="Calibri"/>
      <family val="2"/>
      <b val="1"/>
      <color rgb="FF000000"/>
      <sz val="12"/>
    </font>
    <font>
      <name val="Calibri"/>
      <family val="2"/>
      <b val="1"/>
      <color rgb="FFFFFFFF"/>
      <sz val="10"/>
    </font>
    <font>
      <name val="Calibri"/>
      <family val="2"/>
      <color rgb="FF000000"/>
      <sz val="10"/>
    </font>
    <font>
      <name val="Calibri"/>
      <family val="2"/>
      <b val="1"/>
      <color rgb="FF000000"/>
      <sz val="10"/>
    </font>
    <font>
      <name val="Calibri"/>
      <family val="2"/>
      <i val="1"/>
      <color rgb="FF595959"/>
      <sz val="9"/>
    </font>
    <font>
      <name val="Calibri"/>
      <family val="2"/>
      <b val="1"/>
      <color rgb="FF000000"/>
      <sz val="13"/>
    </font>
    <font>
      <name val="Calibri"/>
      <family val="2"/>
      <color theme="1"/>
      <sz val="11"/>
      <scheme val="minor"/>
    </font>
    <font>
      <name val="Calibri"/>
      <family val="2"/>
      <color rgb="FFFF0000"/>
      <sz val="12"/>
      <scheme val="minor"/>
    </font>
    <font>
      <name val="Calibri"/>
      <family val="2"/>
      <color theme="0"/>
      <sz val="18"/>
      <scheme val="minor"/>
    </font>
    <font>
      <name val="Calibri"/>
      <charset val="1"/>
      <family val="2"/>
      <color rgb="FF000000"/>
      <sz val="10"/>
    </font>
    <font>
      <name val="Calibri"/>
      <family val="2"/>
      <i val="1"/>
      <color theme="1"/>
      <sz val="11"/>
    </font>
    <font>
      <name val="Calibri"/>
      <family val="2"/>
      <b val="1"/>
      <color theme="1"/>
      <sz val="11"/>
    </font>
    <font>
      <name val="Calibri"/>
      <charset val="1"/>
      <family val="2"/>
      <b val="1"/>
      <color theme="1"/>
      <sz val="10"/>
    </font>
    <font>
      <name val="Calibri"/>
      <family val="2"/>
      <b val="1"/>
      <color theme="1"/>
      <sz val="10"/>
    </font>
    <font>
      <name val="Calibri"/>
      <charset val="1"/>
      <family val="2"/>
      <b val="1"/>
      <color rgb="FF000000"/>
      <sz val="10"/>
    </font>
    <font>
      <name val="Calibri"/>
      <b val="1"/>
      <sz val="12"/>
    </font>
    <font>
      <b val="1"/>
    </font>
  </fonts>
  <fills count="15">
    <fill>
      <patternFill/>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
        <bgColor indexed="64"/>
      </patternFill>
    </fill>
  </fills>
  <borders count="6">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s>
  <cellStyleXfs count="2">
    <xf numFmtId="0" fontId="0" fillId="0" borderId="0"/>
    <xf numFmtId="0" fontId="10" fillId="0" borderId="0"/>
  </cellStyleXfs>
  <cellXfs count="165">
    <xf numFmtId="0" fontId="0" fillId="0" borderId="0" pivotButton="0" quotePrefix="0" xfId="0"/>
    <xf numFmtId="0" fontId="2" fillId="0" borderId="0" pivotButton="0" quotePrefix="0" xfId="0"/>
    <xf numFmtId="0" fontId="0" fillId="0" borderId="0" applyAlignment="1" pivotButton="0" quotePrefix="0" xfId="0">
      <alignment horizontal="center"/>
    </xf>
    <xf numFmtId="0" fontId="1" fillId="0" borderId="0" pivotButton="0" quotePrefix="0" xfId="0"/>
    <xf numFmtId="10" fontId="0" fillId="0" borderId="0" applyAlignment="1" pivotButton="0" quotePrefix="0" xfId="0">
      <alignment horizontal="center"/>
    </xf>
    <xf numFmtId="9" fontId="0" fillId="0" borderId="0" applyAlignment="1" pivotButton="0" quotePrefix="0" xfId="0">
      <alignment horizontal="center"/>
    </xf>
    <xf numFmtId="9" fontId="0" fillId="0" borderId="0" applyAlignment="1" pivotButton="0" quotePrefix="0" xfId="0">
      <alignment horizontal="left"/>
    </xf>
    <xf numFmtId="0" fontId="0" fillId="0" borderId="0" applyAlignment="1" pivotButton="0" quotePrefix="0" xfId="0">
      <alignment horizontal="left"/>
    </xf>
    <xf numFmtId="0" fontId="3" fillId="0" borderId="0" applyAlignment="1" pivotButton="0" quotePrefix="0" xfId="0">
      <alignment horizontal="left" vertical="center"/>
    </xf>
    <xf numFmtId="0" fontId="8" fillId="0" borderId="0" applyAlignment="1" pivotButton="0" quotePrefix="0" xfId="0">
      <alignment horizontal="center" vertical="center" wrapText="1"/>
    </xf>
    <xf numFmtId="0" fontId="6" fillId="0" borderId="0" pivotButton="0" quotePrefix="0" xfId="0"/>
    <xf numFmtId="0" fontId="6" fillId="6" borderId="0" pivotButton="0" quotePrefix="0" xfId="0"/>
    <xf numFmtId="0" fontId="3" fillId="0" borderId="0" applyAlignment="1" pivotButton="0" quotePrefix="0" xfId="0">
      <alignment horizontal="center"/>
    </xf>
    <xf numFmtId="0" fontId="3"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9" fillId="0" borderId="0" pivotButton="0" quotePrefix="0" xfId="0"/>
    <xf numFmtId="2" fontId="0" fillId="0" borderId="0" pivotButton="0" quotePrefix="0" xfId="0"/>
    <xf numFmtId="0" fontId="4" fillId="10" borderId="4" applyAlignment="1" pivotButton="0" quotePrefix="0" xfId="0">
      <alignment horizontal="center" vertical="center" wrapText="1"/>
    </xf>
    <xf numFmtId="0" fontId="7" fillId="0" borderId="0" pivotButton="0" quotePrefix="0" xfId="0"/>
    <xf numFmtId="0" fontId="5" fillId="0" borderId="2" applyAlignment="1" pivotButton="0" quotePrefix="0" xfId="0">
      <alignment horizontal="left" vertical="center"/>
    </xf>
    <xf numFmtId="0" fontId="5" fillId="0" borderId="2" applyAlignment="1" pivotButton="0" quotePrefix="0" xfId="0">
      <alignment horizontal="center" vertical="center"/>
    </xf>
    <xf numFmtId="1" fontId="5" fillId="0" borderId="2" applyAlignment="1" pivotButton="0" quotePrefix="0" xfId="0">
      <alignment horizontal="center" vertical="center"/>
    </xf>
    <xf numFmtId="4" fontId="5" fillId="0" borderId="2" applyAlignment="1" pivotButton="0" quotePrefix="0" xfId="0">
      <alignment horizontal="right" vertical="center"/>
    </xf>
    <xf numFmtId="0" fontId="5" fillId="0" borderId="2" applyAlignment="1" pivotButton="0" quotePrefix="0" xfId="0">
      <alignment horizontal="left" vertical="center" wrapText="1"/>
    </xf>
    <xf numFmtId="0" fontId="9" fillId="0" borderId="2" applyAlignment="1" pivotButton="0" quotePrefix="0" xfId="0">
      <alignment horizontal="left" vertical="center" wrapText="1"/>
    </xf>
    <xf numFmtId="2" fontId="4" fillId="10" borderId="4" applyAlignment="1" pivotButton="0" quotePrefix="0" xfId="0">
      <alignment horizontal="center" vertical="center" wrapText="1"/>
    </xf>
    <xf numFmtId="10" fontId="4" fillId="10" borderId="4" applyAlignment="1" pivotButton="0" quotePrefix="0" xfId="0">
      <alignment horizontal="center" vertical="center" wrapText="1"/>
    </xf>
    <xf numFmtId="0" fontId="5" fillId="8" borderId="2" applyAlignment="1" pivotButton="0" quotePrefix="0" xfId="0">
      <alignment horizontal="left" vertical="center"/>
    </xf>
    <xf numFmtId="0" fontId="5" fillId="2" borderId="2" applyAlignment="1" pivotButton="0" quotePrefix="0" xfId="0">
      <alignment horizontal="left" vertical="center"/>
    </xf>
    <xf numFmtId="1" fontId="5" fillId="8" borderId="2" applyAlignment="1" pivotButton="0" quotePrefix="0" xfId="0">
      <alignment horizontal="center" vertical="center"/>
    </xf>
    <xf numFmtId="1" fontId="5" fillId="2" borderId="2" applyAlignment="1" pivotButton="0" quotePrefix="0" xfId="0">
      <alignment horizontal="center" vertical="center"/>
    </xf>
    <xf numFmtId="164" fontId="5" fillId="2" borderId="2" applyAlignment="1" pivotButton="0" quotePrefix="0" xfId="0">
      <alignment horizontal="center" vertical="center"/>
    </xf>
    <xf numFmtId="164" fontId="5" fillId="8" borderId="2" applyAlignment="1" pivotButton="0" quotePrefix="0" xfId="0">
      <alignment horizontal="center" vertical="center"/>
    </xf>
    <xf numFmtId="0" fontId="5" fillId="7" borderId="4" applyAlignment="1" pivotButton="0" quotePrefix="0" xfId="0">
      <alignment horizontal="left" vertical="center"/>
    </xf>
    <xf numFmtId="0" fontId="5" fillId="3" borderId="4" applyAlignment="1" pivotButton="0" quotePrefix="0" xfId="0">
      <alignment horizontal="left" vertical="center"/>
    </xf>
    <xf numFmtId="1" fontId="5" fillId="3" borderId="4" applyAlignment="1" pivotButton="0" quotePrefix="0" xfId="0">
      <alignment horizontal="center" vertical="center"/>
    </xf>
    <xf numFmtId="164" fontId="5" fillId="3" borderId="4" applyAlignment="1" pivotButton="0" quotePrefix="0" xfId="0">
      <alignment horizontal="center" vertical="center"/>
    </xf>
    <xf numFmtId="0" fontId="5" fillId="0" borderId="4" applyAlignment="1" pivotButton="0" quotePrefix="0" xfId="0">
      <alignment horizontal="center" vertical="center"/>
    </xf>
    <xf numFmtId="1" fontId="5" fillId="7" borderId="4" applyAlignment="1" pivotButton="0" quotePrefix="0" xfId="0">
      <alignment horizontal="center" vertical="center"/>
    </xf>
    <xf numFmtId="164" fontId="5" fillId="8" borderId="4" applyAlignment="1" pivotButton="0" quotePrefix="0" xfId="0">
      <alignment horizontal="center" vertical="center"/>
    </xf>
    <xf numFmtId="164" fontId="5" fillId="7" borderId="4" applyAlignment="1" pivotButton="0" quotePrefix="0" xfId="0">
      <alignment horizontal="center" vertical="center"/>
    </xf>
    <xf numFmtId="1" fontId="5" fillId="8" borderId="4" applyAlignment="1" pivotButton="0" quotePrefix="0" xfId="0">
      <alignment horizontal="center" vertical="center"/>
    </xf>
    <xf numFmtId="0" fontId="6" fillId="9" borderId="2" applyAlignment="1" pivotButton="0" quotePrefix="0" xfId="0">
      <alignment horizontal="left" vertical="center"/>
    </xf>
    <xf numFmtId="1" fontId="6" fillId="9" borderId="2" applyAlignment="1" pivotButton="0" quotePrefix="0" xfId="0">
      <alignment horizontal="center" vertical="center"/>
    </xf>
    <xf numFmtId="164" fontId="6" fillId="9" borderId="2" applyAlignment="1" pivotButton="0" quotePrefix="0" xfId="0">
      <alignment horizontal="center" vertical="center"/>
    </xf>
    <xf numFmtId="0" fontId="6" fillId="9" borderId="2" applyAlignment="1" pivotButton="0" quotePrefix="0" xfId="0">
      <alignment horizontal="center" vertical="center"/>
    </xf>
    <xf numFmtId="0" fontId="6" fillId="9" borderId="4" applyAlignment="1" pivotButton="0" quotePrefix="0" xfId="0">
      <alignment horizontal="left" vertical="center"/>
    </xf>
    <xf numFmtId="1" fontId="6" fillId="9" borderId="4" applyAlignment="1" pivotButton="0" quotePrefix="0" xfId="0">
      <alignment horizontal="center" vertical="center"/>
    </xf>
    <xf numFmtId="164" fontId="6" fillId="9" borderId="4" applyAlignment="1" pivotButton="0" quotePrefix="0" xfId="0">
      <alignment horizontal="center" vertical="center"/>
    </xf>
    <xf numFmtId="0" fontId="6" fillId="9" borderId="4" applyAlignment="1" pivotButton="0" quotePrefix="0" xfId="0">
      <alignment horizontal="center" vertical="center"/>
    </xf>
    <xf numFmtId="0" fontId="5" fillId="4" borderId="2" applyAlignment="1" pivotButton="0" quotePrefix="0" xfId="0">
      <alignment horizontal="left" vertical="center"/>
    </xf>
    <xf numFmtId="1" fontId="5" fillId="4" borderId="2" applyAlignment="1" pivotButton="0" quotePrefix="0" xfId="0">
      <alignment horizontal="center" vertical="center"/>
    </xf>
    <xf numFmtId="164" fontId="5" fillId="4" borderId="2" applyAlignment="1" pivotButton="0" quotePrefix="0" xfId="0">
      <alignment horizontal="center" vertical="center"/>
    </xf>
    <xf numFmtId="1" fontId="5" fillId="5" borderId="2" applyAlignment="1" pivotButton="0" quotePrefix="0" xfId="0">
      <alignment horizontal="center" vertical="center"/>
    </xf>
    <xf numFmtId="164" fontId="5" fillId="0" borderId="2" applyAlignment="1" pivotButton="0" quotePrefix="0" xfId="0">
      <alignment horizontal="center" vertical="center"/>
    </xf>
    <xf numFmtId="0" fontId="5" fillId="5" borderId="2" applyAlignment="1" pivotButton="0" quotePrefix="0" xfId="0">
      <alignment horizontal="left" vertical="center"/>
    </xf>
    <xf numFmtId="164" fontId="5" fillId="5" borderId="2" applyAlignment="1" pivotButton="0" quotePrefix="0" xfId="0">
      <alignment horizontal="center" vertical="center"/>
    </xf>
    <xf numFmtId="1" fontId="6" fillId="9" borderId="1" applyAlignment="1" pivotButton="0" quotePrefix="0" xfId="0">
      <alignment horizontal="center" vertical="center"/>
    </xf>
    <xf numFmtId="164" fontId="6" fillId="9" borderId="1" applyAlignment="1" pivotButton="0" quotePrefix="0" xfId="0">
      <alignment horizontal="center" vertical="center"/>
    </xf>
    <xf numFmtId="0" fontId="8" fillId="0" borderId="0" pivotButton="0" quotePrefix="0" xfId="0"/>
    <xf numFmtId="0" fontId="5" fillId="0" borderId="2" pivotButton="0" quotePrefix="0" xfId="0"/>
    <xf numFmtId="0" fontId="5" fillId="0" borderId="2" applyAlignment="1" pivotButton="0" quotePrefix="0" xfId="0">
      <alignment horizontal="center"/>
    </xf>
    <xf numFmtId="164" fontId="5" fillId="0" borderId="2" applyAlignment="1" pivotButton="0" quotePrefix="0" xfId="0">
      <alignment horizontal="center"/>
    </xf>
    <xf numFmtId="164" fontId="5" fillId="0" borderId="2" pivotButton="0" quotePrefix="0" xfId="0"/>
    <xf numFmtId="2" fontId="5" fillId="0" borderId="2" applyAlignment="1" pivotButton="0" quotePrefix="0" xfId="0">
      <alignment horizontal="center"/>
    </xf>
    <xf numFmtId="10" fontId="5" fillId="0" borderId="2" applyAlignment="1" pivotButton="0" quotePrefix="0" xfId="0">
      <alignment horizontal="center"/>
    </xf>
    <xf numFmtId="0" fontId="4" fillId="10" borderId="4" applyAlignment="1" pivotButton="0" quotePrefix="0" xfId="0">
      <alignment horizontal="center" vertical="center"/>
    </xf>
    <xf numFmtId="0" fontId="5" fillId="0" borderId="0" pivotButton="0" quotePrefix="0" xfId="0"/>
    <xf numFmtId="165" fontId="6" fillId="12" borderId="3" applyAlignment="1" pivotButton="0" quotePrefix="0" xfId="0">
      <alignment horizontal="center"/>
    </xf>
    <xf numFmtId="166" fontId="6" fillId="11" borderId="3" applyAlignment="1" pivotButton="0" quotePrefix="0" xfId="0">
      <alignment horizontal="center"/>
    </xf>
    <xf numFmtId="0" fontId="7" fillId="0" borderId="0" applyAlignment="1" pivotButton="0" quotePrefix="0" xfId="0">
      <alignment horizontal="left" vertical="top" wrapText="1"/>
    </xf>
    <xf numFmtId="2" fontId="6" fillId="12" borderId="3" applyAlignment="1" pivotButton="0" quotePrefix="0" xfId="0">
      <alignment horizontal="center"/>
    </xf>
    <xf numFmtId="167" fontId="6" fillId="12" borderId="3" applyAlignment="1" pivotButton="0" quotePrefix="0" xfId="0">
      <alignment horizontal="center"/>
    </xf>
    <xf numFmtId="166" fontId="6" fillId="12" borderId="3" applyAlignment="1" pivotButton="0" quotePrefix="0" xfId="0">
      <alignment horizontal="center"/>
    </xf>
    <xf numFmtId="1" fontId="6" fillId="12" borderId="3" applyAlignment="1" pivotButton="0" quotePrefix="0" xfId="0">
      <alignment horizontal="center"/>
    </xf>
    <xf numFmtId="168" fontId="5" fillId="0" borderId="2" applyAlignment="1" pivotButton="0" quotePrefix="0" xfId="0">
      <alignment horizontal="center"/>
    </xf>
    <xf numFmtId="1" fontId="5" fillId="0" borderId="2" applyAlignment="1" pivotButton="0" quotePrefix="0" xfId="0">
      <alignment horizontal="center"/>
    </xf>
    <xf numFmtId="169" fontId="5" fillId="0" borderId="2" applyAlignment="1" pivotButton="0" quotePrefix="0" xfId="0">
      <alignment horizontal="center"/>
    </xf>
    <xf numFmtId="165" fontId="5" fillId="0" borderId="2" applyAlignment="1" pivotButton="0" quotePrefix="0" xfId="0">
      <alignment horizontal="center"/>
    </xf>
    <xf numFmtId="170" fontId="5" fillId="0" borderId="2" applyAlignment="1" pivotButton="0" quotePrefix="0" xfId="0">
      <alignment horizontal="center"/>
    </xf>
    <xf numFmtId="167" fontId="5" fillId="0" borderId="2" applyAlignment="1" pivotButton="0" quotePrefix="0" xfId="0">
      <alignment horizontal="center"/>
    </xf>
    <xf numFmtId="1" fontId="6" fillId="9" borderId="1" applyAlignment="1" pivotButton="0" quotePrefix="0" xfId="0">
      <alignment horizontal="center"/>
    </xf>
    <xf numFmtId="164" fontId="6" fillId="9" borderId="1" applyAlignment="1" pivotButton="0" quotePrefix="0" xfId="0">
      <alignment horizontal="center"/>
    </xf>
    <xf numFmtId="0" fontId="6" fillId="9" borderId="2" applyAlignment="1" pivotButton="0" quotePrefix="0" xfId="0">
      <alignment horizontal="center"/>
    </xf>
    <xf numFmtId="0" fontId="5" fillId="0" borderId="2" applyAlignment="1" pivotButton="0" quotePrefix="0" xfId="0">
      <alignment horizontal="left" vertical="top" wrapText="1"/>
    </xf>
    <xf numFmtId="0" fontId="5" fillId="0" borderId="0" applyAlignment="1" pivotButton="0" quotePrefix="0" xfId="0">
      <alignment horizontal="left" vertical="top" wrapText="1"/>
    </xf>
    <xf numFmtId="1" fontId="6" fillId="0" borderId="3" applyAlignment="1" pivotButton="0" quotePrefix="0" xfId="0">
      <alignment horizontal="center"/>
    </xf>
    <xf numFmtId="0" fontId="6" fillId="0" borderId="3" applyAlignment="1" pivotButton="0" quotePrefix="0" xfId="0">
      <alignment horizontal="center"/>
    </xf>
    <xf numFmtId="168" fontId="5" fillId="0" borderId="3" applyAlignment="1" pivotButton="0" quotePrefix="0" xfId="0">
      <alignment horizontal="center" vertical="center"/>
    </xf>
    <xf numFmtId="1" fontId="5" fillId="0" borderId="3" applyAlignment="1" pivotButton="0" quotePrefix="0" xfId="0">
      <alignment horizontal="center" vertical="center"/>
    </xf>
    <xf numFmtId="0" fontId="4" fillId="14" borderId="4" applyAlignment="1" pivotButton="0" quotePrefix="0" xfId="0">
      <alignment horizontal="center" vertical="center" wrapText="1"/>
    </xf>
    <xf numFmtId="0" fontId="5" fillId="14" borderId="0" applyAlignment="1" pivotButton="0" quotePrefix="0" xfId="0">
      <alignment horizontal="center"/>
    </xf>
    <xf numFmtId="0" fontId="0" fillId="14" borderId="0" pivotButton="0" quotePrefix="0" xfId="0"/>
    <xf numFmtId="0" fontId="13" fillId="0" borderId="0" pivotButton="0" quotePrefix="0" xfId="0"/>
    <xf numFmtId="0" fontId="14" fillId="0" borderId="0" applyAlignment="1" pivotButton="0" quotePrefix="0" xfId="0">
      <alignment horizont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14" fillId="0" borderId="0" pivotButton="0" quotePrefix="0" xfId="0"/>
    <xf numFmtId="0" fontId="5" fillId="0" borderId="0" applyAlignment="1" pivotButton="0" quotePrefix="0" xfId="0">
      <alignment horizontal="left" vertical="center"/>
    </xf>
    <xf numFmtId="1" fontId="5" fillId="0" borderId="0" applyAlignment="1" pivotButton="0" quotePrefix="0" xfId="0">
      <alignment horizontal="center" vertical="center"/>
    </xf>
    <xf numFmtId="0" fontId="15" fillId="0" borderId="0" pivotButton="0" quotePrefix="0" xfId="0"/>
    <xf numFmtId="0" fontId="16" fillId="0" borderId="0" pivotButton="0" quotePrefix="0" xfId="0"/>
    <xf numFmtId="0" fontId="4" fillId="10" borderId="0" applyAlignment="1" pivotButton="0" quotePrefix="0" xfId="0">
      <alignment horizontal="center" vertical="center"/>
    </xf>
    <xf numFmtId="0" fontId="5" fillId="0" borderId="0" applyAlignment="1" pivotButton="0" quotePrefix="0" xfId="0">
      <alignment horizontal="center" vertical="center"/>
    </xf>
    <xf numFmtId="0" fontId="12" fillId="0" borderId="2" applyAlignment="1" pivotButton="0" quotePrefix="0" xfId="0">
      <alignment horizontal="center" vertical="center"/>
    </xf>
    <xf numFmtId="1" fontId="12" fillId="0" borderId="0" applyAlignment="1" pivotButton="0" quotePrefix="0" xfId="0">
      <alignment horizontal="center" vertical="center"/>
    </xf>
    <xf numFmtId="0" fontId="12" fillId="0" borderId="0" applyAlignment="1" pivotButton="0" quotePrefix="0" xfId="0">
      <alignment horizontal="center" vertical="center"/>
    </xf>
    <xf numFmtId="10" fontId="12" fillId="0" borderId="0" applyAlignment="1" pivotButton="0" quotePrefix="0" xfId="0">
      <alignment horizontal="right" vertical="center"/>
    </xf>
    <xf numFmtId="1" fontId="12" fillId="0" borderId="2" applyAlignment="1" pivotButton="0" quotePrefix="0" xfId="0">
      <alignment horizontal="center" vertical="center"/>
    </xf>
    <xf numFmtId="0" fontId="12" fillId="0" borderId="0" applyAlignment="1" pivotButton="0" quotePrefix="0" xfId="0">
      <alignment horizontal="left" vertical="center"/>
    </xf>
    <xf numFmtId="0" fontId="12" fillId="4" borderId="0" applyAlignment="1" pivotButton="0" quotePrefix="0" xfId="0">
      <alignment horizontal="left" vertical="center"/>
    </xf>
    <xf numFmtId="1" fontId="12" fillId="4" borderId="2" applyAlignment="1" pivotButton="0" quotePrefix="0" xfId="0">
      <alignment horizontal="center" vertical="center"/>
    </xf>
    <xf numFmtId="164" fontId="12" fillId="5" borderId="2" applyAlignment="1" pivotButton="0" quotePrefix="0" xfId="0">
      <alignment horizontal="center" vertical="center"/>
    </xf>
    <xf numFmtId="1" fontId="12" fillId="5" borderId="2" applyAlignment="1" pivotButton="0" quotePrefix="0" xfId="0">
      <alignment horizontal="center" vertical="center"/>
    </xf>
    <xf numFmtId="164" fontId="12" fillId="0" borderId="2" applyAlignment="1" pivotButton="0" quotePrefix="0" xfId="0">
      <alignment horizontal="center" vertical="center"/>
    </xf>
    <xf numFmtId="0" fontId="17" fillId="0" borderId="0" applyAlignment="1" pivotButton="0" quotePrefix="0" xfId="0">
      <alignment horizontal="left" vertical="center"/>
    </xf>
    <xf numFmtId="0" fontId="17" fillId="0" borderId="2" applyAlignment="1" pivotButton="0" quotePrefix="0" xfId="0">
      <alignment horizontal="center" vertical="center"/>
    </xf>
    <xf numFmtId="0" fontId="17" fillId="0" borderId="0" applyAlignment="1" pivotButton="0" quotePrefix="0" xfId="0">
      <alignment horizontal="center" vertical="center"/>
    </xf>
    <xf numFmtId="0" fontId="12" fillId="0" borderId="5" applyAlignment="1" pivotButton="0" quotePrefix="0" xfId="0">
      <alignment horizontal="center" vertical="center"/>
    </xf>
    <xf numFmtId="1" fontId="12" fillId="0" borderId="5" applyAlignment="1" pivotButton="0" quotePrefix="0" xfId="0">
      <alignment horizontal="center" vertical="center"/>
    </xf>
    <xf numFmtId="0" fontId="2" fillId="0" borderId="0" applyAlignment="1" pivotButton="0" quotePrefix="0" xfId="0">
      <alignment horizontal="center"/>
    </xf>
    <xf numFmtId="171" fontId="0" fillId="0" borderId="0" pivotButton="0" quotePrefix="0" xfId="0"/>
    <xf numFmtId="171" fontId="4" fillId="10" borderId="4" applyAlignment="1" pivotButton="0" quotePrefix="0" xfId="0">
      <alignment horizontal="center" vertical="center" wrapText="1"/>
    </xf>
    <xf numFmtId="171" fontId="5" fillId="0" borderId="2" applyAlignment="1" pivotButton="0" quotePrefix="0" xfId="0">
      <alignment horizontal="center" vertical="center"/>
    </xf>
    <xf numFmtId="171" fontId="12" fillId="0" borderId="2" applyAlignment="1" pivotButton="0" quotePrefix="0" xfId="0">
      <alignment horizontal="center" vertical="center"/>
    </xf>
    <xf numFmtId="171" fontId="5" fillId="0" borderId="0" applyAlignment="1" pivotButton="0" quotePrefix="0" xfId="0">
      <alignment horizontal="center" vertical="center"/>
    </xf>
    <xf numFmtId="171" fontId="12" fillId="0" borderId="0" applyAlignment="1" pivotButton="0" quotePrefix="0" xfId="0">
      <alignment horizontal="center" vertical="center"/>
    </xf>
    <xf numFmtId="2" fontId="5" fillId="0" borderId="2" applyAlignment="1" pivotButton="0" quotePrefix="0" xfId="0">
      <alignment horizontal="right" vertical="center"/>
    </xf>
    <xf numFmtId="2" fontId="12" fillId="0" borderId="0" applyAlignment="1" pivotButton="0" quotePrefix="0" xfId="0">
      <alignment horizontal="center" vertical="center"/>
    </xf>
    <xf numFmtId="4" fontId="12" fillId="0" borderId="0" applyAlignment="1" pivotButton="0" quotePrefix="0" xfId="0">
      <alignment horizontal="right" vertical="center"/>
    </xf>
    <xf numFmtId="0" fontId="12" fillId="0" borderId="0" applyAlignment="1" pivotButton="0" quotePrefix="0" xfId="0">
      <alignment horizontal="left" vertical="center" wrapText="1"/>
    </xf>
    <xf numFmtId="164" fontId="12" fillId="0" borderId="2" applyAlignment="1" pivotButton="0" quotePrefix="0" xfId="0">
      <alignment horizontal="center"/>
    </xf>
    <xf numFmtId="0" fontId="5" fillId="0" borderId="0" applyAlignment="1" pivotButton="0" quotePrefix="0" xfId="0">
      <alignment horizontal="right" vertical="center"/>
    </xf>
    <xf numFmtId="0" fontId="5" fillId="0" borderId="2" applyAlignment="1" pivotButton="0" quotePrefix="0" xfId="0">
      <alignment horizontal="right" vertical="center"/>
    </xf>
    <xf numFmtId="0" fontId="7" fillId="0" borderId="0" applyAlignment="1" pivotButton="0" quotePrefix="0" xfId="0">
      <alignment horizontal="center" vertical="top" wrapText="1"/>
    </xf>
    <xf numFmtId="0" fontId="4" fillId="10" borderId="4" applyAlignment="1" pivotButton="0" quotePrefix="0" xfId="0">
      <alignment horizontal="left" vertical="center" wrapText="1"/>
    </xf>
    <xf numFmtId="0" fontId="12" fillId="0" borderId="2" applyAlignment="1" pivotButton="0" quotePrefix="0" xfId="0">
      <alignment horizontal="left" vertical="center"/>
    </xf>
    <xf numFmtId="0" fontId="4" fillId="10" borderId="4" applyAlignment="1" pivotButton="0" quotePrefix="0" xfId="0">
      <alignment horizontal="right" vertical="center" wrapText="1"/>
    </xf>
    <xf numFmtId="2" fontId="12" fillId="0" borderId="2" applyAlignment="1" pivotButton="0" quotePrefix="0" xfId="0">
      <alignment horizontal="right" vertical="center"/>
    </xf>
    <xf numFmtId="1" fontId="5" fillId="0" borderId="2" applyAlignment="1" pivotButton="0" quotePrefix="0" xfId="0">
      <alignment horizontal="right" vertical="center"/>
    </xf>
    <xf numFmtId="171" fontId="0" fillId="0" borderId="0" applyAlignment="1" pivotButton="0" quotePrefix="0" xfId="0">
      <alignment horizontal="center" vertical="center"/>
    </xf>
    <xf numFmtId="0" fontId="14"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right" vertical="center"/>
    </xf>
    <xf numFmtId="2" fontId="4" fillId="10" borderId="4" applyAlignment="1" pivotButton="0" quotePrefix="0" xfId="0">
      <alignment horizontal="right" vertical="center" wrapText="1"/>
    </xf>
    <xf numFmtId="2" fontId="0" fillId="0" borderId="0" applyAlignment="1" pivotButton="0" quotePrefix="0" xfId="0">
      <alignment horizontal="right" vertical="center"/>
    </xf>
    <xf numFmtId="10" fontId="5" fillId="0" borderId="2" applyAlignment="1" pivotButton="0" quotePrefix="0" xfId="0">
      <alignment horizontal="center" vertical="center"/>
    </xf>
    <xf numFmtId="10" fontId="5" fillId="0" borderId="0" applyAlignment="1" pivotButton="0" quotePrefix="0" xfId="0">
      <alignment horizontal="center" vertical="center"/>
    </xf>
    <xf numFmtId="10" fontId="12" fillId="0" borderId="0" applyAlignment="1" pivotButton="0" quotePrefix="0" xfId="0">
      <alignment horizontal="center" vertical="center"/>
    </xf>
    <xf numFmtId="10" fontId="12" fillId="0" borderId="5" applyAlignment="1" pivotButton="0" quotePrefix="0" xfId="0">
      <alignment horizontal="center" vertical="center"/>
    </xf>
    <xf numFmtId="0" fontId="11" fillId="13" borderId="0" applyAlignment="1" pivotButton="0" quotePrefix="0" xfId="1">
      <alignment horizontal="center"/>
    </xf>
    <xf numFmtId="0" fontId="11" fillId="13" borderId="0" pivotButton="0" quotePrefix="0" xfId="1"/>
    <xf numFmtId="0" fontId="18" fillId="0" borderId="0" applyAlignment="1" pivotButton="0" quotePrefix="0" xfId="0">
      <alignment horizontal="left" vertical="center"/>
    </xf>
    <xf numFmtId="165" fontId="6" fillId="12" borderId="3" applyAlignment="1" pivotButton="0" quotePrefix="0" xfId="0">
      <alignment horizontal="center"/>
    </xf>
    <xf numFmtId="166" fontId="6" fillId="11" borderId="3" applyAlignment="1" pivotButton="0" quotePrefix="0" xfId="0">
      <alignment horizontal="center"/>
    </xf>
    <xf numFmtId="167" fontId="6" fillId="12" borderId="3" applyAlignment="1" pivotButton="0" quotePrefix="0" xfId="0">
      <alignment horizontal="center"/>
    </xf>
    <xf numFmtId="166" fontId="6" fillId="12" borderId="3" applyAlignment="1" pivotButton="0" quotePrefix="0" xfId="0">
      <alignment horizontal="center"/>
    </xf>
    <xf numFmtId="168" fontId="5" fillId="0" borderId="2" applyAlignment="1" pivotButton="0" quotePrefix="0" xfId="0">
      <alignment horizontal="center"/>
    </xf>
    <xf numFmtId="169" fontId="5" fillId="0" borderId="2" applyAlignment="1" pivotButton="0" quotePrefix="0" xfId="0">
      <alignment horizontal="center"/>
    </xf>
    <xf numFmtId="165" fontId="5" fillId="0" borderId="2" applyAlignment="1" pivotButton="0" quotePrefix="0" xfId="0">
      <alignment horizontal="center"/>
    </xf>
    <xf numFmtId="167" fontId="5" fillId="0" borderId="2" applyAlignment="1" pivotButton="0" quotePrefix="0" xfId="0">
      <alignment horizontal="center"/>
    </xf>
    <xf numFmtId="168" fontId="5" fillId="0" borderId="3" applyAlignment="1" pivotButton="0" quotePrefix="0" xfId="0">
      <alignment horizontal="center" vertical="center"/>
    </xf>
    <xf numFmtId="0" fontId="19" fillId="0" borderId="0" pivotButton="0" quotePrefix="0" xfId="0"/>
  </cellXfs>
  <cellStyles count="2">
    <cellStyle name="Normal" xfId="0" builtinId="0"/>
    <cellStyle name="Warning Text" xfId="1" builtinId="11"/>
  </cellStyles>
  <dxfs count="49">
    <dxf>
      <font>
        <name val="Calibri"/>
        <family val="2"/>
        <strike val="0"/>
        <outline val="0"/>
        <shadow val="0"/>
        <condense val="0"/>
        <color rgb="FF000000"/>
        <extend val="0"/>
        <sz val="10"/>
        <vertAlign val="baseline"/>
      </font>
      <alignment horizontal="center" vertical="center"/>
    </dxf>
    <dxf>
      <font>
        <name val="Calibri"/>
        <family val="2"/>
        <strike val="0"/>
        <outline val="0"/>
        <shadow val="0"/>
        <condense val="0"/>
        <color rgb="FF000000"/>
        <extend val="0"/>
        <sz val="10"/>
        <vertAlign val="baseline"/>
      </font>
      <alignment horizontal="center" vertical="center"/>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numFmt numFmtId="164" formatCode="0.0%"/>
    </dxf>
    <dxf>
      <font>
        <name val="Calibri"/>
        <color rgb="FF9C0006"/>
        <sz val="10"/>
      </font>
    </dxf>
    <dxf>
      <font>
        <name val="Calibri"/>
        <family val="2"/>
        <strike val="0"/>
        <outline val="0"/>
        <shadow val="0"/>
        <condense val="0"/>
        <color rgb="FF000000"/>
        <extend val="0"/>
        <sz val="10"/>
        <vertAlign val="baseline"/>
      </font>
      <numFmt numFmtId="0" formatCode="General"/>
      <alignment horizontal="right" vertical="center"/>
      <border>
        <left/>
        <right/>
        <top/>
        <bottom style="hair">
          <color rgb="FFD9D9D9"/>
        </bottom>
        <vertical/>
        <horizontal/>
      </border>
    </dxf>
    <dxf>
      <numFmt numFmtId="171" formatCode="dd/mm/yy;@"/>
    </dxf>
    <dxf>
      <numFmt numFmtId="171" formatCode="dd/mm/yy;@"/>
    </dxf>
    <dxf>
      <font>
        <name val="Calibri"/>
        <family val="2"/>
        <strike val="0"/>
        <outline val="0"/>
        <shadow val="0"/>
        <condense val="0"/>
        <color rgb="FF000000"/>
        <extend val="0"/>
        <sz val="10"/>
        <vertAlign val="baseline"/>
      </font>
      <numFmt numFmtId="171" formatCode="dd/mm/yy;@"/>
      <alignment horizontal="center" vertical="center"/>
      <border>
        <left/>
        <right/>
        <top/>
        <bottom style="hair">
          <color rgb="FFD9D9D9"/>
        </bottom>
        <vertical/>
        <horizontal/>
      </border>
    </dxf>
    <dxf>
      <numFmt numFmtId="2" formatCode="0.00"/>
    </dxf>
    <dxf>
      <font>
        <b val="1"/>
      </font>
    </dxf>
    <dxf>
      <font>
        <b val="1"/>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name val="Calibri"/>
        <family val="2"/>
        <strike val="0"/>
        <outline val="0"/>
        <shadow val="0"/>
        <condense val="0"/>
        <color rgb="FF000000"/>
        <extend val="0"/>
        <sz val="10"/>
        <vertAlign val="baseline"/>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name val="Calibri"/>
        <family val="2"/>
        <strike val="0"/>
        <outline val="0"/>
        <shadow val="0"/>
        <condense val="0"/>
        <color rgb="FF000000"/>
        <extend val="0"/>
        <sz val="10"/>
        <vertAlign val="baseline"/>
      </font>
      <alignment horizontal="left" vertical="center"/>
    </dxf>
    <dxf>
      <font>
        <name val="Calibri"/>
        <family val="2"/>
        <strike val="0"/>
        <outline val="0"/>
        <shadow val="0"/>
        <condense val="0"/>
        <color rgb="FF000000"/>
        <extend val="0"/>
        <sz val="10"/>
        <vertAlign val="baseline"/>
      </font>
      <alignment horizontal="left" vertical="center"/>
    </dxf>
    <dxf>
      <alignment horizontal="center" vertical="center"/>
    </dxf>
    <dxf>
      <alignment horizontal="center" vertical="center"/>
    </dxf>
    <dxf>
      <font>
        <b val="1"/>
      </font>
      <alignment horizontal="center" vertical="center"/>
    </dxf>
    <dxf>
      <font>
        <b val="1"/>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1 — Directional Accuracy by Arm</a:t>
            </a:r>
          </a:p>
        </rich>
      </tx>
      <overlay val="1"/>
    </title>
    <plotArea>
      <layout/>
      <barChart>
        <barDir val="col"/>
        <grouping val="clustered"/>
        <varyColors val="1"/>
        <ser>
          <idx val="0"/>
          <order val="0"/>
          <tx>
            <strRef>
              <f>Charts!$C$5</f>
              <strCache>
                <ptCount val="1"/>
                <pt idx="0">
                  <v>% Correct</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Charts!$A$6:$A$13</f>
              <strCache>
                <ptCount val="8"/>
                <pt idx="0">
                  <v>Anna</v>
                </pt>
                <pt idx="1">
                  <v>Abdul</v>
                </pt>
                <pt idx="2">
                  <v>Nigel</v>
                </pt>
                <pt idx="3">
                  <v>Meriem</v>
                </pt>
                <pt idx="4">
                  <v>David</v>
                </pt>
                <pt idx="5">
                  <v>Dragos</v>
                </pt>
                <pt idx="6">
                  <v>Ben/DeepSeek</v>
                </pt>
                <pt idx="7">
                  <v>All Humans</v>
                </pt>
              </strCache>
            </strRef>
          </cat>
          <val>
            <numRef>
              <f>Charts!$C$6:$C$13</f>
              <numCache>
                <formatCode>0.0%</formatCode>
                <ptCount val="8"/>
                <pt idx="0">
                  <v>0.4347826086956522</v>
                </pt>
                <pt idx="1">
                  <v>0.4736842105263158</v>
                </pt>
                <pt idx="2">
                  <v>0.2741935483870968</v>
                </pt>
                <pt idx="3">
                  <v>0.3725490196078431</v>
                </pt>
                <pt idx="4">
                  <v>0.4069767441860465</v>
                </pt>
                <pt idx="5">
                  <v>0.4</v>
                </pt>
                <pt idx="6">
                  <v>0.4141791044776119</v>
                </pt>
                <pt idx="7">
                  <v>0.3952380952380952</v>
                </pt>
              </numCache>
            </numRef>
          </val>
        </ser>
        <dLbls>
          <showLegendKey val="1"/>
          <showVal val="1"/>
          <showCatName val="1"/>
          <showSerName val="1"/>
          <showPercent val="1"/>
          <showBubbleSize val="1"/>
        </dLbls>
        <gapWidth val="150"/>
        <axId val="10"/>
        <axId val="100"/>
      </barChart>
      <lineChart>
        <grouping val="standard"/>
        <varyColors val="1"/>
        <ser>
          <idx val="1"/>
          <order val="1"/>
          <tx>
            <strRef>
              <f>Charts!$D$5</f>
              <strCache>
                <ptCount val="1"/>
                <pt idx="0">
                  <v>Naive Floor</v>
                </pt>
              </strCache>
            </strRef>
          </tx>
          <spPr>
            <a:ln xmlns:a="http://schemas.openxmlformats.org/drawingml/2006/main" w="20000">
              <a:solidFill>
                <a:srgbClr val="C00000"/>
              </a:solidFill>
              <a:prstDash val="dash"/>
            </a:ln>
          </spPr>
          <marker>
            <symbol val="none"/>
            <spPr>
              <a:ln xmlns:a="http://schemas.openxmlformats.org/drawingml/2006/main">
                <a:prstDash val="solid"/>
              </a:ln>
            </spPr>
          </marker>
          <val>
            <numRef>
              <f>Charts!$D$6:$D$13</f>
              <numCache>
                <formatCode>0.0%</formatCode>
                <ptCount val="8"/>
                <pt idx="0">
                  <v>0.5095238095238095</v>
                </pt>
                <pt idx="1">
                  <v>0.5095238095238095</v>
                </pt>
                <pt idx="2">
                  <v>0.5095238095238095</v>
                </pt>
                <pt idx="3">
                  <v>0.5095238095238095</v>
                </pt>
                <pt idx="4">
                  <v>0.5095238095238095</v>
                </pt>
                <pt idx="5">
                  <v>0.5095238095238095</v>
                </pt>
                <pt idx="6">
                  <v>0.5095238095238095</v>
                </pt>
                <pt idx="7">
                  <v>0.5095238095238095</v>
                </pt>
              </numCache>
            </numRef>
          </val>
          <smooth val="1"/>
        </ser>
        <dLbls>
          <showLegendKey val="0"/>
          <showVal val="0"/>
          <showCatName val="0"/>
          <showSerName val="0"/>
          <showPercent val="0"/>
          <showBubbleSize val="0"/>
        </dLbls>
        <marker val="1"/>
        <smooth val="0"/>
        <axId val="10"/>
        <axId val="200"/>
      </line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valAx>
        <axId val="200"/>
        <scaling>
          <orientation val="minMax"/>
        </scaling>
        <delete val="1"/>
        <axPos val="l"/>
        <majorGridlines/>
        <numFmt formatCode="0.0%"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2 — Accuracy by Decision Type</a:t>
            </a:r>
          </a:p>
        </rich>
      </tx>
      <overlay val="1"/>
    </title>
    <plotArea>
      <layout/>
      <barChart>
        <barDir val="col"/>
        <grouping val="clustered"/>
        <varyColors val="1"/>
        <ser>
          <idx val="0"/>
          <order val="0"/>
          <tx>
            <strRef>
              <f>Charts!$G$5</f>
              <strCache>
                <ptCount val="1"/>
                <pt idx="0">
                  <v>Human %</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Charts!$G$6:$G$8</f>
              <numCache>
                <formatCode>0.0%</formatCode>
                <ptCount val="3"/>
                <pt idx="0">
                  <v>0.2521008403361344</v>
                </pt>
                <pt idx="1">
                  <v>0.6754385964912281</v>
                </pt>
                <pt idx="2">
                  <v>0.4264705882352941</v>
                </pt>
              </numCache>
            </numRef>
          </val>
        </ser>
        <ser>
          <idx val="1"/>
          <order val="1"/>
          <tx>
            <strRef>
              <f>Charts!$H$5</f>
              <strCache>
                <ptCount val="1"/>
                <pt idx="0">
                  <v>LLM %</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Charts!$H$6:$H$8</f>
              <numCache>
                <formatCode>0.0%</formatCode>
                <ptCount val="3"/>
                <pt idx="0">
                  <v>0.3863636363636364</v>
                </pt>
                <pt idx="1">
                  <v>0.5154639175257731</v>
                </pt>
                <pt idx="2">
                  <v>0.3253012048192771</v>
                </pt>
              </numCache>
            </numRef>
          </val>
        </ser>
        <dLbls>
          <showLegendKey val="1"/>
          <showVal val="1"/>
          <showCatName val="1"/>
          <showSerName val="1"/>
          <showPercent val="1"/>
          <showBubbleSize val="1"/>
        </dLbls>
        <gapWidth val="150"/>
        <axId val="10"/>
        <axId val="100"/>
      </bar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3 — Decision Mix (count of calls)</a:t>
            </a:r>
          </a:p>
        </rich>
      </tx>
      <overlay val="1"/>
    </title>
    <plotArea>
      <layout/>
      <barChart>
        <barDir val="col"/>
        <grouping val="stacked"/>
        <varyColors val="1"/>
        <ser>
          <idx val="0"/>
          <order val="0"/>
          <tx>
            <strRef>
              <f>Charts!$L$5</f>
              <strCache>
                <ptCount val="1"/>
                <pt idx="0">
                  <v>Human</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Charts!$L$6:$L$8</f>
              <numCache>
                <formatCode>General</formatCode>
                <ptCount val="3"/>
                <pt idx="0">
                  <v>238</v>
                </pt>
                <pt idx="1">
                  <v>114</v>
                </pt>
                <pt idx="2">
                  <v>68</v>
                </pt>
              </numCache>
            </numRef>
          </val>
        </ser>
        <ser>
          <idx val="1"/>
          <order val="1"/>
          <tx>
            <strRef>
              <f>Charts!$M$5</f>
              <strCache>
                <ptCount val="1"/>
                <pt idx="0">
                  <v>LLM</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Charts!$M$6:$M$8</f>
              <numCache>
                <formatCode>General</formatCode>
                <ptCount val="3"/>
                <pt idx="0">
                  <v>88</v>
                </pt>
                <pt idx="1">
                  <v>97</v>
                </pt>
                <pt idx="2">
                  <v>83</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Number of calls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4 — Mean Sentiment Score by Realised Direction</a:t>
            </a:r>
          </a:p>
        </rich>
      </tx>
      <overlay val="1"/>
    </title>
    <plotArea>
      <layout/>
      <lineChart>
        <grouping val="standard"/>
        <varyColors val="1"/>
        <ser>
          <idx val="0"/>
          <order val="0"/>
          <tx>
            <strRef>
              <f>Charts!$P$5</f>
              <strCache>
                <ptCount val="1"/>
                <pt idx="0">
                  <v>Human</v>
                </pt>
              </strCache>
            </strRef>
          </tx>
          <spPr>
            <a:ln xmlns:a="http://schemas.openxmlformats.org/drawingml/2006/main" w="25000">
              <a:solidFill>
                <a:srgbClr val="4472C4"/>
              </a:solidFill>
              <a:prstDash val="solid"/>
            </a:ln>
          </spPr>
          <marker>
            <symbol val="circle"/>
            <size val="7"/>
            <spPr>
              <a:ln xmlns:a="http://schemas.openxmlformats.org/drawingml/2006/main">
                <a:prstDash val="solid"/>
              </a:ln>
            </spPr>
          </marker>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Charts!$P$6:$P$8</f>
              <numCache>
                <formatCode>0.00</formatCode>
                <ptCount val="3"/>
                <pt idx="0">
                  <v>0.1894736842105263</v>
                </pt>
                <pt idx="1">
                  <v>0.249766355140187</v>
                </pt>
                <pt idx="2">
                  <v>0.2918478260869566</v>
                </pt>
              </numCache>
            </numRef>
          </val>
          <smooth val="1"/>
        </ser>
        <ser>
          <idx val="1"/>
          <order val="1"/>
          <tx>
            <strRef>
              <f>Charts!$Q$5</f>
              <strCache>
                <ptCount val="1"/>
                <pt idx="0">
                  <v>LLM</v>
                </pt>
              </strCache>
            </strRef>
          </tx>
          <spPr>
            <a:ln xmlns:a="http://schemas.openxmlformats.org/drawingml/2006/main" w="25000">
              <a:solidFill>
                <a:srgbClr val="ED7D31"/>
              </a:solidFill>
              <a:prstDash val="solid"/>
            </a:ln>
          </spPr>
          <marker>
            <symbol val="square"/>
            <size val="7"/>
            <spPr>
              <a:ln xmlns:a="http://schemas.openxmlformats.org/drawingml/2006/main">
                <a:prstDash val="solid"/>
              </a:ln>
            </spPr>
          </marker>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Charts!$Q$6:$Q$8</f>
              <numCache>
                <formatCode>0.00</formatCode>
                <ptCount val="3"/>
                <pt idx="0">
                  <v>0.06135416666666663</v>
                </pt>
                <pt idx="1">
                  <v>0.06680451127819546</v>
                </pt>
                <pt idx="2">
                  <v>0.2025396825396825</v>
                </pt>
              </numCache>
            </numRef>
          </val>
          <smooth val="1"/>
        </ser>
        <dLbls>
          <showLegendKey val="1"/>
          <showVal val="1"/>
          <showCatName val="1"/>
          <showSerName val="1"/>
          <showPercent val="1"/>
          <showBubbleSize val="1"/>
        </dLbls>
        <marker val="1"/>
        <smooth val="0"/>
        <axId val="10"/>
        <axId val="100"/>
      </line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Realised overnight direction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Mean sentiment</a:t>
                </a:r>
              </a:p>
            </rich>
          </tx>
          <overlay val="1"/>
        </title>
        <numFmt formatCode="0.00" sourceLinked="1"/>
        <majorTickMark val="none"/>
        <minorTickMark val="none"/>
        <tickLblPos val="nextTo"/>
        <crossAx val="10"/>
        <crosses val="autoZero"/>
        <crossBetween val="between"/>
      </valAx>
    </plotArea>
    <legend>
      <legendPos val="r"/>
      <overlay val="1"/>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5 — Average Return per Trade by Arm</a:t>
            </a:r>
          </a:p>
        </rich>
      </tx>
      <overlay val="1"/>
    </title>
    <plotArea>
      <layout/>
      <barChart>
        <barDir val="col"/>
        <grouping val="clustered"/>
        <varyColors val="1"/>
        <ser>
          <idx val="0"/>
          <order val="0"/>
          <tx>
            <strRef>
              <f>Charts!$B$18</f>
              <strCache>
                <ptCount val="1"/>
                <pt idx="0">
                  <v>Avg %/Trade</v>
                </pt>
              </strCache>
            </strRef>
          </tx>
          <spPr>
            <a:solidFill xmlns:a="http://schemas.openxmlformats.org/drawingml/2006/main">
              <a:srgbClr val="70AD47"/>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Charts!$A$19:$A$25</f>
              <strCache>
                <ptCount val="7"/>
                <pt idx="0">
                  <v>Anna</v>
                </pt>
                <pt idx="1">
                  <v>Abdul</v>
                </pt>
                <pt idx="2">
                  <v>Nigel</v>
                </pt>
                <pt idx="3">
                  <v>Meriem</v>
                </pt>
                <pt idx="4">
                  <v>Dragos</v>
                </pt>
                <pt idx="5">
                  <v>David</v>
                </pt>
                <pt idx="6">
                  <v>LLM (DeepSeek)</v>
                </pt>
              </strCache>
            </strRef>
          </cat>
          <val>
            <numRef>
              <f>Charts!$B$19:$B$25</f>
              <numCache>
                <formatCode>0.00%</formatCode>
                <ptCount val="7"/>
                <pt idx="0">
                  <v>0.01982448979591836</v>
                </pt>
                <pt idx="1">
                  <v>0.02036666666666667</v>
                </pt>
                <pt idx="2">
                  <v>0.003171153846153847</v>
                </pt>
                <pt idx="3">
                  <v>0.01403611111111111</v>
                </pt>
                <pt idx="4">
                  <v>-0.002090769230769231</v>
                </pt>
                <pt idx="5">
                  <v>-0.02509107142857143</v>
                </pt>
                <pt idx="6">
                  <v>0.0172891052631579</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Avg % per trade</a:t>
                </a:r>
              </a:p>
            </rich>
          </tx>
          <overlay val="1"/>
        </title>
        <numFmt formatCode="0.0%" sourceLinked="0"/>
        <majorTickMark val="none"/>
        <minorTickMark val="none"/>
        <tickLblPos val="nextTo"/>
        <crossAx val="10"/>
        <crosses val="autoZero"/>
        <crossBetween val="between"/>
      </valAx>
    </plotArea>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6 — Head-to-Head Outcomes on Shared Events</a:t>
            </a:r>
          </a:p>
        </rich>
      </tx>
      <overlay val="1"/>
    </title>
    <plotArea>
      <layout/>
      <barChart>
        <barDir val="col"/>
        <grouping val="clustered"/>
        <varyColors val="1"/>
        <ser>
          <idx val="0"/>
          <order val="0"/>
          <tx>
            <strRef>
              <f>Efficiency!$B$37</f>
              <strCache>
                <ptCount val="1"/>
                <pt idx="0">
                  <v>Events</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Efficiency!$A$38:$A$41</f>
              <strCache>
                <ptCount val="4"/>
                <pt idx="0">
                  <v>Both correct</v>
                </pt>
                <pt idx="1">
                  <v>Human only correct</v>
                </pt>
                <pt idx="2">
                  <v>LLM only correct</v>
                </pt>
                <pt idx="3">
                  <v>Neither correct</v>
                </pt>
              </strCache>
            </strRef>
          </cat>
          <val>
            <numRef>
              <f>Efficiency!$B$38:$B$41</f>
              <numCache>
                <formatCode>0</formatCode>
                <ptCount val="4"/>
                <pt idx="0">
                  <v>42</v>
                </pt>
                <pt idx="1">
                  <v>71</v>
                </pt>
                <pt idx="2">
                  <v>80</v>
                </pt>
                <pt idx="3">
                  <v>102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Number of events</a:t>
                </a:r>
              </a:p>
            </rich>
          </tx>
          <overlay val="1"/>
        </title>
        <numFmt formatCode="0" sourceLinked="1"/>
        <majorTickMark val="none"/>
        <minorTickMark val="none"/>
        <tickLblPos val="nextTo"/>
        <crossAx val="10"/>
        <crosses val="autoZero"/>
        <crossBetween val="between"/>
      </valAx>
    </plotArea>
    <plotVisOnly val="1"/>
    <dispBlanksAs val="gap"/>
  </chart>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7 — Accuracy by Time Spent (human)</a:t>
            </a:r>
          </a:p>
        </rich>
      </tx>
      <overlay val="1"/>
    </title>
    <plotArea>
      <layout/>
      <barChart>
        <barDir val="col"/>
        <grouping val="clustered"/>
        <varyColors val="1"/>
        <ser>
          <idx val="0"/>
          <order val="0"/>
          <tx>
            <strRef>
              <f>Efficiency!$C$62</f>
              <strCache>
                <ptCount val="1"/>
                <pt idx="0">
                  <v>Accuracy</v>
                </pt>
              </strCache>
            </strRef>
          </tx>
          <spPr>
            <a:solidFill xmlns:a="http://schemas.openxmlformats.org/drawingml/2006/main">
              <a:srgbClr val="70AD47"/>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Efficiency!$A$63:$A$68</f>
              <strCache>
                <ptCount val="6"/>
                <pt idx="0">
                  <v>Under 20</v>
                </pt>
                <pt idx="1">
                  <v>20 to 29</v>
                </pt>
                <pt idx="2">
                  <v>30 to 39</v>
                </pt>
                <pt idx="3">
                  <v>40 to 49</v>
                </pt>
                <pt idx="4">
                  <v>50 to 59</v>
                </pt>
                <pt idx="5">
                  <v>60 and over</v>
                </pt>
              </strCache>
            </strRef>
          </cat>
          <val>
            <numRef>
              <f>Efficiency!$C$63:$C$68</f>
              <numCache>
                <formatCode>0.0%</formatCode>
                <ptCount val="6"/>
                <pt idx="0">
                  <v>0.33</v>
                </pt>
                <pt idx="1">
                  <v>0.4285714285714285</v>
                </pt>
                <pt idx="2">
                  <v>0.4705882352941176</v>
                </pt>
                <pt idx="3">
                  <v>0.2619047619047619</v>
                </pt>
                <pt idx="4">
                  <v>0.3888888888888889</v>
                </pt>
                <pt idx="5">
                  <v>0.4285714285714285</v>
                </pt>
              </numCache>
            </numRef>
          </val>
        </ser>
        <dLbls>
          <showLegendKey val="1"/>
          <showVal val="1"/>
          <showCatName val="1"/>
          <showSerName val="1"/>
          <showPercent val="1"/>
          <showBubbleSize val="1"/>
        </dLbls>
        <gapWidth val="150"/>
        <axId val="10"/>
        <axId val="100"/>
      </barChart>
      <lineChart>
        <grouping val="standard"/>
        <varyColors val="1"/>
        <ser>
          <idx val="1"/>
          <order val="1"/>
          <tx>
            <strRef>
              <f>Efficiency!$B$62</f>
              <strCache>
                <ptCount val="1"/>
                <pt idx="0">
                  <v>Readings</v>
                </pt>
              </strCache>
            </strRef>
          </tx>
          <spPr>
            <a:ln xmlns:a="http://schemas.openxmlformats.org/drawingml/2006/main" w="20000">
              <a:solidFill>
                <a:srgbClr val="A5A5A5"/>
              </a:solidFill>
              <a:prstDash val="solid"/>
            </a:ln>
          </spPr>
          <marker>
            <symbol val="circle"/>
            <size val="6"/>
            <spPr>
              <a:ln xmlns:a="http://schemas.openxmlformats.org/drawingml/2006/main">
                <a:prstDash val="solid"/>
              </a:ln>
            </spPr>
          </marker>
          <val>
            <numRef>
              <f>Efficiency!$B$63:$B$68</f>
              <numCache>
                <formatCode>0</formatCode>
                <ptCount val="6"/>
                <pt idx="0">
                  <v>100</v>
                </pt>
                <pt idx="1">
                  <v>161</v>
                </pt>
                <pt idx="2">
                  <v>85</v>
                </pt>
                <pt idx="3">
                  <v>42</v>
                </pt>
                <pt idx="4">
                  <v>18</v>
                </pt>
                <pt idx="5">
                  <v>14</v>
                </pt>
              </numCache>
            </numRef>
          </val>
          <smooth val="1"/>
        </ser>
        <dLbls>
          <showLegendKey val="0"/>
          <showVal val="0"/>
          <showCatName val="0"/>
          <showSerName val="0"/>
          <showPercent val="0"/>
          <showBubbleSize val="0"/>
        </dLbls>
        <marker val="1"/>
        <smooth val="0"/>
        <axId val="10"/>
        <axId val="300"/>
      </line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Minutes per document</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valAx>
        <axId val="300"/>
        <scaling>
          <orientation val="minMax"/>
        </scaling>
        <delete val="1"/>
        <axPos val="l"/>
        <title>
          <tx>
            <rich>
              <a:bodyPr xmlns:a="http://schemas.openxmlformats.org/drawingml/2006/main"/>
              <a:lstStyle xmlns:a="http://schemas.openxmlformats.org/drawingml/2006/main"/>
              <a:p xmlns:a="http://schemas.openxmlformats.org/drawingml/2006/main">
                <a:pPr>
                  <a:defRPr/>
                </a:pPr>
                <a:r>
                  <a:rPr lang="en-GB"/>
                  <a:t>Readings</a:t>
                </a:r>
              </a:p>
            </rich>
          </tx>
          <overlay val="1"/>
        </title>
        <numFmt formatCode="0" sourceLinked="1"/>
        <majorTickMark val="none"/>
        <minorTickMark val="none"/>
        <tickLblPos val="nextTo"/>
        <crossAx val="10"/>
        <crosses val="autoZero"/>
        <crossBetween val="between"/>
      </valAx>
    </plotArea>
    <legend>
      <legendPos val="r"/>
      <overlay val="1"/>
    </legend>
    <plotVisOnly val="1"/>
    <dispBlanksAs val="gap"/>
  </chart>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8 — Throughput (documents per hour)</a:t>
            </a:r>
          </a:p>
        </rich>
      </tx>
      <overlay val="1"/>
    </title>
    <plotArea>
      <layout>
        <manualLayout>
          <layoutTarget val="inner"/>
          <xMode val="edge"/>
          <yMode val="edge"/>
          <wMode val="factor"/>
          <hMode val="factor"/>
          <x val="0.1373119444444444"/>
          <y val="0.07055555555555555"/>
          <w val="0.8319919444444445"/>
          <h val="0.8410222222222222"/>
        </manualLayout>
      </layout>
      <barChart>
        <barDir val="bar"/>
        <grouping val="clustered"/>
        <varyColors val="1"/>
        <ser>
          <idx val="0"/>
          <order val="0"/>
          <tx>
            <strRef>
              <f>Efficiency!$I$73</f>
              <strCache>
                <ptCount val="1"/>
                <pt idx="0">
                  <v>Human</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Efficiency!$I$74</f>
              <numCache>
                <formatCode>0.0</formatCode>
                <ptCount val="1"/>
                <pt idx="0">
                  <v>2.150537634408602</v>
                </pt>
              </numCache>
            </numRef>
          </val>
        </ser>
        <ser>
          <idx val="1"/>
          <order val="1"/>
          <tx>
            <strRef>
              <f>Efficiency!$J$73</f>
              <strCache>
                <ptCount val="1"/>
                <pt idx="0">
                  <v>LLM</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Efficiency!$J$74</f>
              <numCache>
                <formatCode>0.0</formatCode>
                <ptCount val="1"/>
                <pt idx="0">
                  <v>450.0000000000001</v>
                </pt>
              </numCache>
            </numRef>
          </val>
        </ser>
        <dLbls>
          <showLegendKey val="1"/>
          <showVal val="1"/>
          <showCatName val="1"/>
          <showSerName val="1"/>
          <showPercent val="1"/>
          <showBubbleSize val="1"/>
        </dLbls>
        <gapWidth val="150"/>
        <axId val="10"/>
        <axId val="100"/>
      </barChart>
      <catAx>
        <axId val="10"/>
        <scaling>
          <orientation val="minMax"/>
        </scaling>
        <delete val="0"/>
        <axPos val="l"/>
        <title>
          <tx>
            <rich>
              <a:bodyPr xmlns:a="http://schemas.openxmlformats.org/drawingml/2006/main"/>
              <a:lstStyle xmlns:a="http://schemas.openxmlformats.org/drawingml/2006/main"/>
              <a:p xmlns:a="http://schemas.openxmlformats.org/drawingml/2006/main">
                <a:pPr>
                  <a:defRPr/>
                </a:pPr>
                <a:r>
                  <a:rPr lang="en-GB"/>
                  <a:t>Documents per hour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b"/>
        <majorGridlines>
          <spPr>
            <a:ln xmlns:a="http://schemas.openxmlformats.org/drawingml/2006/main" w="6350">
              <a:solidFill>
                <a:srgbClr val="E8E8E8"/>
              </a:solidFill>
              <a:prstDash val="solid"/>
            </a:ln>
          </spPr>
        </majorGridlines>
        <numFmt formatCode="0.0" sourceLinked="1"/>
        <majorTickMark val="none"/>
        <minorTickMark val="none"/>
        <tickLblPos val="nextTo"/>
        <crossAx val="10"/>
        <crosses val="autoZero"/>
        <crossBetween val="between"/>
      </valAx>
    </plotArea>
    <legend>
      <legendPos val="r"/>
      <overlay val="1"/>
    </legend>
    <plotVisOnly val="1"/>
    <dispBlanksAs val="gap"/>
  </chart>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9 — Return per Analyst Hour</a:t>
            </a:r>
          </a:p>
        </rich>
      </tx>
      <overlay val="1"/>
    </title>
    <plotArea>
      <layout/>
      <barChart>
        <barDir val="col"/>
        <grouping val="clustered"/>
        <varyColors val="1"/>
        <ser>
          <idx val="0"/>
          <order val="0"/>
          <tx>
            <strRef>
              <f>Efficiency!$I$80</f>
              <strCache>
                <ptCount val="1"/>
                <pt idx="0">
                  <v>Return per hour</v>
                </pt>
              </strCache>
            </strRef>
          </tx>
          <spPr>
            <a:solidFill xmlns:a="http://schemas.openxmlformats.org/drawingml/2006/main">
              <a:srgbClr val="FFC000"/>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Efficiency!$H$81:$H$82</f>
              <strCache>
                <ptCount val="2"/>
                <pt idx="0">
                  <v>Human</v>
                </pt>
                <pt idx="1">
                  <v>LLM</v>
                </pt>
              </strCache>
            </strRef>
          </cat>
          <val>
            <numRef>
              <f>Efficiency!$I$81:$I$82</f>
              <numCache>
                <formatCode>0.00%</formatCode>
                <ptCount val="2"/>
                <pt idx="0">
                  <v>0.005520737327188935</v>
                </pt>
                <pt idx="1">
                  <v>4.964166604477612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Sum of returns per hour of effort</a:t>
                </a:r>
              </a:p>
            </rich>
          </tx>
          <overlay val="1"/>
        </title>
        <numFmt formatCode="0%" sourceLinked="0"/>
        <majorTickMark val="none"/>
        <minorTickMark val="none"/>
        <tickLblPos val="nextTo"/>
        <crossAx val="10"/>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s>
</file>

<file path=xl/drawings/drawing1.xml><?xml version="1.0" encoding="utf-8"?>
<wsDr xmlns="http://schemas.openxmlformats.org/drawingml/2006/spreadsheetDrawing">
  <oneCellAnchor>
    <from>
      <col>26</col>
      <colOff>254000</colOff>
      <row>26</row>
      <rowOff>127000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26</col>
      <colOff>254000</colOff>
      <row>48</row>
      <rowOff>101600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49</row>
      <rowOff>0</rowOff>
    </from>
    <ext cx="72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49</row>
      <rowOff>0</rowOff>
    </from>
    <ext cx="720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71</row>
      <rowOff>0</rowOff>
    </from>
    <ext cx="7200000" cy="36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13</col>
      <colOff>444500</colOff>
      <row>128</row>
      <rowOff>152400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190500</colOff>
      <row>71</row>
      <rowOff>101600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609600</colOff>
      <row>155</row>
      <rowOff>38100</rowOff>
    </from>
    <ext cx="72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419100</colOff>
      <row>110</row>
      <rowOff>0</rowOff>
    </from>
    <ext cx="72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Human_Entry" displayName="Human_Entry" ref="A2:V324" headerRowCount="1">
  <autoFilter ref="A2:V324"/>
  <tableColumns count="22">
    <tableColumn id="1" name="Company" dataDxfId="42"/>
    <tableColumn id="2" name="Ticker" dataDxfId="41"/>
    <tableColumn id="3" name="Year" dataDxfId="40"/>
    <tableColumn id="4" name="Quarter" dataDxfId="39"/>
    <tableColumn id="22" name="Document" dataDxfId="38"/>
    <tableColumn id="23" name="Section" dataDxfId="37"/>
    <tableColumn id="5" name="Rater" dataDxfId="36"/>
    <tableColumn id="6" name="Type (Human/LLM)" dataDxfId="35"/>
    <tableColumn id="7" name="Sentiment Score (−1 to +1)" dataDxfId="34"/>
    <tableColumn id="8" name="Decision (BUY/HOLD/SELL)" dataDxfId="33">
      <calculatedColumnFormula>IF(OR(I3="",Settings!$B$6=""),"",IF(I3&gt;Settings!$B$6,"BUY",IF(I3&lt;-Settings!$B$6,"SELL","HOLD")))</calculatedColumnFormula>
    </tableColumn>
    <tableColumn id="9" name="Time (mins)_x000a_" dataDxfId="32"/>
    <tableColumn id="20" name="Document Date" dataDxfId="31"/>
    <tableColumn id="10" name="Prior Closing Date" dataDxfId="30"/>
    <tableColumn id="11" name="Prior_x000a_Close ($)" dataDxfId="29"/>
    <tableColumn id="12" name="Next Opening Date" dataDxfId="28"/>
    <tableColumn id="13" name="Next Day_x000a_Open ($)" dataDxfId="27"/>
    <tableColumn id="14" name="Actual % Change" dataDxfId="26"/>
    <tableColumn id="15" name="Actual Direction" dataDxfId="25"/>
    <tableColumn id="16" name="Prediction Correct?" dataDxfId="24"/>
    <tableColumn id="17" name="Position" dataDxfId="23"/>
    <tableColumn id="18" name="Net P&amp;L" dataDxfId="22"/>
    <tableColumn id="19" name="Notes / Risks Flagged"/>
  </tableColumns>
  <tableStyleInfo showFirstColumn="0" showLastColumn="0" showRowStripes="0" showColumnStripes="0"/>
</table>
</file>

<file path=xl/tables/table2.xml><?xml version="1.0" encoding="utf-8"?>
<table xmlns="http://schemas.openxmlformats.org/spreadsheetml/2006/main" id="2" name="LLM_Entry" displayName="LLM_Entry" ref="A2:U270" headerRowCount="1">
  <autoFilter ref="A2:U270"/>
  <tableColumns count="21">
    <tableColumn id="1" name="Company" dataDxfId="15"/>
    <tableColumn id="2" name="Ticker" dataDxfId="14"/>
    <tableColumn id="3" name="Year"/>
    <tableColumn id="4" name="Quarter"/>
    <tableColumn id="5" name="Rater"/>
    <tableColumn id="6" name="Type (Human/LLM)"/>
    <tableColumn id="7" name="Sentiment Score (−1 to +1)"/>
    <tableColumn id="8" name="Decision (BUY/HOLD/SELL)"/>
    <tableColumn id="9" name="Time (seconds)_x000a_" dataDxfId="13"/>
    <tableColumn id="20" name="Document Date" dataDxfId="12"/>
    <tableColumn id="10" name="Closing Date" dataDxfId="11"/>
    <tableColumn id="11" name="Prior_x000a_Close ($)"/>
    <tableColumn id="12" name="Opening Date" dataDxfId="10"/>
    <tableColumn id="13" name="Next Day_x000a_Open ($)"/>
    <tableColumn id="21" name="Token Cost ($)" dataDxfId="9"/>
    <tableColumn id="14" name="Actual % Change"/>
    <tableColumn id="15" name="Actual Direction"/>
    <tableColumn id="16" name="Prediction Correct?"/>
    <tableColumn id="17" name="Position"/>
    <tableColumn id="18" name="Net P&amp;L"/>
    <tableColumn id="19" name="Notes / Risks Flagged"/>
  </tableColumns>
  <tableStyleInfo name="TableStyleLight1" showFirstColumn="0" showLastColumn="0" showRowStripes="0" showColumnStripes="0"/>
</table>
</file>

<file path=xl/tables/table3.xml><?xml version="1.0" encoding="utf-8"?>
<table xmlns="http://schemas.openxmlformats.org/spreadsheetml/2006/main" id="3" name="Rater_Accuracy" displayName="Rater_Accuracy" ref="A4:G13" headerRowCount="1">
  <autoFilter ref="A4:G13"/>
  <tableColumns count="7">
    <tableColumn id="1" name="Rater"/>
    <tableColumn id="2" name="Type"/>
    <tableColumn id="3" name="# Predictions"/>
    <tableColumn id="4" name="# Correct"/>
    <tableColumn id="5" name="# Incorrect"/>
    <tableColumn id="6" name="% Correct"/>
    <tableColumn id="7" name="% Incorrect"/>
  </tableColumns>
  <tableStyleInfo name="TableStyleLight1" showFirstColumn="0" showLastColumn="0" showRowStripes="0" showColumnStripes="0"/>
</table>
</file>

<file path=xl/tables/table4.xml><?xml version="1.0" encoding="utf-8"?>
<table xmlns="http://schemas.openxmlformats.org/spreadsheetml/2006/main" id="4" name="Rater_PL" displayName="Rater_PL" ref="I4:R13" headerRowCount="1">
  <autoFilter ref="I4:R13"/>
  <tableColumns count="10">
    <tableColumn id="9" name="Rater"/>
    <tableColumn id="10" name="Type"/>
    <tableColumn id="11" name="# Trades"/>
    <tableColumn id="12" name="Trade Rate %"/>
    <tableColumn id="14" name="Avg %/Trade"/>
    <tableColumn id="1" name="Std Dev %/Trade" dataDxfId="7">
      <calculatedColumnFormula array="1">IFERROR(STDEV(IF((LLM_Data_Entry!$E$3:$E$548=I5)*(LLM_Data_Entry!$H$3:$H$548&lt;&gt;"HOLD")*(LLM_Data_Entry!$T$3:$T$548&lt;&gt;""),LLM_Data_Entry!$T$3:$T$548)),"")</calculatedColumnFormula>
    </tableColumn>
    <tableColumn id="15" name="Dir. Hit Rate %"/>
    <tableColumn id="16" name="Correct"/>
    <tableColumn id="17" name="Flat"/>
    <tableColumn id="18" name="Wrong"/>
  </tableColumns>
  <tableStyleInfo name="TableStyleLight1" showFirstColumn="0" showLastColumn="0" showRowStripes="0" showColumnStripes="0"/>
</table>
</file>

<file path=xl/tables/table5.xml><?xml version="1.0" encoding="utf-8"?>
<table xmlns="http://schemas.openxmlformats.org/spreadsheetml/2006/main" id="5" name="Company_PL" displayName="Company_PL" ref="I17:O108" headerRowCount="1">
  <autoFilter ref="I17:O108"/>
  <tableColumns count="7">
    <tableColumn id="9" name="Company"/>
    <tableColumn id="10" name="Human #Trades"/>
    <tableColumn id="11" name="Human Avg%/Trade"/>
    <tableColumn id="12" name="Human Total Return% (sum)"/>
    <tableColumn id="13" name="LLM #Trades"/>
    <tableColumn id="14" name="LLM Avg%/Trade"/>
    <tableColumn id="15" name="LLM Total Return% (sum)"/>
  </tableColumns>
  <tableStyleInfo name="TableStyleLight1" showFirstColumn="0" showLastColumn="0" showRowStripes="0" showColumnStripes="0"/>
</table>
</file>

<file path=xl/tables/table6.xml><?xml version="1.0" encoding="utf-8"?>
<table xmlns="http://schemas.openxmlformats.org/spreadsheetml/2006/main" id="6" name="Company_Accuracy" displayName="Company_Accuracy" ref="A17:G108" headerRowCount="1">
  <autoFilter ref="A17:G108"/>
  <tableColumns count="7">
    <tableColumn id="1" name="Company"/>
    <tableColumn id="2" name="Human_x000a_# Pred"/>
    <tableColumn id="3" name="Human_x000a_# Correct"/>
    <tableColumn id="4" name="Human_x000a_% Correct"/>
    <tableColumn id="5" name="LLM_x000a_# Pred"/>
    <tableColumn id="6" name="LLM_x000a_# Correct"/>
    <tableColumn id="7" name="LLM_x000a_% Correct"/>
  </tableColumns>
  <tableStyleInfo name="TableStyleLight1" showFirstColumn="0" showLastColumn="0" showRowStripes="0" showColumnStripes="0"/>
</table>
</file>

<file path=xl/tables/table7.xml><?xml version="1.0" encoding="utf-8"?>
<table xmlns="http://schemas.openxmlformats.org/spreadsheetml/2006/main" id="7" name="Table1" displayName="Table1" ref="A2:C206" headerRowCount="1" totalsRowShown="0">
  <autoFilter ref="A2:C206"/>
  <tableColumns count="3">
    <tableColumn id="1" name="Company"/>
    <tableColumn id="2" name="Ticker"/>
    <tableColumn id="3" name="Owner"/>
  </tableColumns>
  <tableStyleInfo name="TableStyleMedium2" showFirstColumn="0" showLastColumn="0" showRowStripes="1" showColumnStripes="0"/>
</table>
</file>

<file path=xl/tables/table8.xml><?xml version="1.0" encoding="utf-8"?>
<table xmlns="http://schemas.openxmlformats.org/spreadsheetml/2006/main" id="8" name="Table12" displayName="Table12" ref="E2:F8" headerRowCount="1" totalsRowShown="0">
  <autoFilter ref="E2:F8"/>
  <tableColumns count="2">
    <tableColumn id="1" name="Rater" dataDxfId="6">
      <calculatedColumnFormula array="1">_xlfn._xlws.SORT(_xlfn.UNIQUE(_xlfn._xlws.FILTER($C$3:$C$200,$C$3:$C$200&lt;&gt;"")))</calculatedColumnFormula>
    </tableColumn>
    <tableColumn id="2" name="Company Count" dataDxfId="5">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blRaters" displayName="tblRaters" ref="A7:B14" headerRowCount="1">
  <autoFilter ref="A7:B14"/>
  <tableColumns count="2">
    <tableColumn id="1" name="Rater Name" dataDxfId="4"/>
    <tableColumn id="2" name="Type"/>
  </tableColumns>
  <tableStyleInfo name="TableStyleLight1" showFirstColumn="0" showLastColumn="0" showRowStripes="0" showColumnStripes="0"/>
</table>
</file>

<file path=xl/tables/table10.xml><?xml version="1.0" encoding="utf-8"?>
<table xmlns="http://schemas.openxmlformats.org/spreadsheetml/2006/main" id="10" name="tblDecisions" displayName="tblDecisions" ref="D7:D10" headerRowCount="1" dataDxfId="3">
  <autoFilter ref="D7:D10"/>
  <tableColumns count="1">
    <tableColumn id="4" name="Decision" dataDxfId="2"/>
  </tableColumns>
  <tableStyleInfo name="TableStyleLight1" showFirstColumn="0" showLastColumn="0" showRowStripes="0" showColumnStripes="0"/>
</table>
</file>

<file path=xl/tables/table11.xml><?xml version="1.0" encoding="utf-8"?>
<table xmlns="http://schemas.openxmlformats.org/spreadsheetml/2006/main" id="11" name="tblYears" displayName="tblYears" ref="F7:F14" headerRowCount="1">
  <autoFilter ref="F7:F14"/>
  <tableColumns count="1">
    <tableColumn id="6" name="Year"/>
  </tableColumns>
  <tableStyleInfo name="TableStyleLight1" showFirstColumn="0" showLastColumn="0" showRowStripes="0" showColumnStripes="0"/>
</table>
</file>

<file path=xl/tables/table12.xml><?xml version="1.0" encoding="utf-8"?>
<table xmlns="http://schemas.openxmlformats.org/spreadsheetml/2006/main" id="12" name="tblQuarters" displayName="tblQuarters" ref="G7:I12" headerRowCount="1">
  <autoFilter ref="G7:I12"/>
  <tableColumns count="3">
    <tableColumn id="7" name="Quarter"/>
    <tableColumn id="1" name="Section" dataDxfId="1"/>
    <tableColumn id="2" name="Document"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s>
</file>

<file path=xl/worksheets/_rels/sheet7.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sheet1.xml><?xml version="1.0" encoding="utf-8"?>
<worksheet xmlns="http://schemas.openxmlformats.org/spreadsheetml/2006/main">
  <sheetPr>
    <outlinePr summaryBelow="1" summaryRight="1"/>
    <pageSetUpPr/>
  </sheetPr>
  <dimension ref="A1:BR524"/>
  <sheetViews>
    <sheetView zoomScale="86" zoomScaleNormal="100" workbookViewId="0">
      <pane xSplit="2" ySplit="2" topLeftCell="C3" activePane="bottomRight" state="frozen"/>
      <selection pane="bottomRight" activeCell="V205" sqref="V205"/>
      <selection pane="bottomLeft" activeCell="A3" sqref="A3"/>
      <selection pane="topRight" activeCell="F1" sqref="F1"/>
    </sheetView>
  </sheetViews>
  <sheetFormatPr baseColWidth="8" defaultColWidth="8.7109375" defaultRowHeight="15"/>
  <cols>
    <col width="20" customWidth="1" style="97" min="1" max="1"/>
    <col width="9" customWidth="1" style="141" min="2" max="2"/>
    <col width="7" customWidth="1" style="143" min="3" max="3"/>
    <col width="8" customWidth="1" style="143" min="4" max="4"/>
    <col width="19.28515625" bestFit="1" customWidth="1" style="144" min="5" max="5"/>
    <col width="14.42578125" bestFit="1" customWidth="1" style="144" min="6" max="6"/>
    <col width="15" customWidth="1" style="143" min="7" max="7"/>
    <col width="10" customWidth="1" style="143" min="8" max="8"/>
    <col width="10" customWidth="1" style="145" min="9" max="9"/>
    <col width="12" customWidth="1" style="145" min="10" max="10"/>
    <col width="9" bestFit="1" customWidth="1" style="145" min="11" max="11"/>
    <col width="14" customWidth="1" style="140" min="12" max="12"/>
    <col width="12" customWidth="1" style="140" min="13" max="13"/>
    <col width="12" customWidth="1" style="147" min="14" max="14"/>
    <col width="12" customWidth="1" style="140" min="15" max="15"/>
    <col width="12" customWidth="1" style="145" min="16" max="16"/>
    <col width="11" customWidth="1" style="2" min="17" max="17"/>
    <col width="11" customWidth="1" style="143" min="18" max="19"/>
    <col width="9" customWidth="1" style="143" min="20" max="20"/>
    <col width="11" customWidth="1" style="143" min="21" max="21"/>
    <col width="255.7109375" bestFit="1" customWidth="1" style="7" min="22" max="22"/>
    <col width="40.7109375" bestFit="1" customWidth="1" min="23" max="23"/>
    <col width="26" customWidth="1" style="92" min="24" max="24"/>
    <col width="13" customWidth="1" style="92" min="25" max="26"/>
    <col width="48" customWidth="1" min="27" max="27"/>
    <col width="10" customWidth="1" min="28" max="28"/>
    <col width="23.28515625" customWidth="1" min="64" max="64"/>
  </cols>
  <sheetData>
    <row r="1" ht="22.35" customHeight="1">
      <c r="A1" s="154" t="inlineStr">
        <is>
          <t>HUMAN ARM FROZEN. Prices and derived accuracy on the original report_date basis, superseded 2026-08-12. Net P&amp;L in column U is a formula deriving from those prices and therefore remains on the superseded basis by design. Corrected figures are in Corrections_Log and Corrected_Metrics.</t>
        </is>
      </c>
      <c r="W1" t="inlineStr">
        <is>
          <t>Derived from Time (mins). Do not type here.</t>
        </is>
      </c>
      <c r="X1" s="152" t="inlineStr">
        <is>
          <t>HELPER KEY | DO NOT EDIT HERE</t>
        </is>
      </c>
      <c r="AB1" t="inlineStr">
        <is>
          <t>SECTION C — re-priced on the declared basis. Values, not formulas. Nothing to the left of here has been changed.</t>
        </is>
      </c>
      <c r="AL1" t="inlineStr">
        <is>
          <t>SECTION D - provenance and classification. Phase is looked up from Company_List column G. Source File is blank where no document matched the event both uniquely and strongly enough to cite, and Source Basis says which. Nothing to the left of here was changed.</t>
        </is>
      </c>
    </row>
    <row r="2" ht="30" customHeight="1">
      <c r="A2" s="17" t="inlineStr">
        <is>
          <t>Company</t>
        </is>
      </c>
      <c r="B2" s="17" t="inlineStr">
        <is>
          <t>Ticker</t>
        </is>
      </c>
      <c r="C2" s="17" t="inlineStr">
        <is>
          <t>Year</t>
        </is>
      </c>
      <c r="D2" s="17" t="inlineStr">
        <is>
          <t>Quarter</t>
        </is>
      </c>
      <c r="E2" s="135" t="inlineStr">
        <is>
          <t>Document</t>
        </is>
      </c>
      <c r="F2" s="135" t="inlineStr">
        <is>
          <t>Section</t>
        </is>
      </c>
      <c r="G2" s="17" t="inlineStr">
        <is>
          <t>Rater</t>
        </is>
      </c>
      <c r="H2" s="17" t="inlineStr">
        <is>
          <t>Type (Human/LLM)</t>
        </is>
      </c>
      <c r="I2" s="137" t="inlineStr">
        <is>
          <t>Sentiment Score (−1 to +1)</t>
        </is>
      </c>
      <c r="J2" s="137" t="inlineStr">
        <is>
          <t>Decision (BUY/HOLD/SELL)</t>
        </is>
      </c>
      <c r="K2" s="137" t="inlineStr">
        <is>
          <t xml:space="preserve">Time (mins)
</t>
        </is>
      </c>
      <c r="L2" s="122" t="inlineStr">
        <is>
          <t>Document Date</t>
        </is>
      </c>
      <c r="M2" s="122" t="inlineStr">
        <is>
          <t>Prior Closing Date</t>
        </is>
      </c>
      <c r="N2" s="146" t="inlineStr">
        <is>
          <t>Prior
Close ($)</t>
        </is>
      </c>
      <c r="O2" s="122" t="inlineStr">
        <is>
          <t>Next Opening Date</t>
        </is>
      </c>
      <c r="P2" s="137" t="inlineStr">
        <is>
          <t>Next Day
Open ($)</t>
        </is>
      </c>
      <c r="Q2" s="17" t="inlineStr">
        <is>
          <t>Actual % Change</t>
        </is>
      </c>
      <c r="R2" s="17" t="inlineStr">
        <is>
          <t>Actual Direction</t>
        </is>
      </c>
      <c r="S2" s="17" t="inlineStr">
        <is>
          <t>Prediction Correct?</t>
        </is>
      </c>
      <c r="T2" s="17" t="inlineStr">
        <is>
          <t>Position</t>
        </is>
      </c>
      <c r="U2" s="17" t="inlineStr">
        <is>
          <t>Net P&amp;L</t>
        </is>
      </c>
      <c r="V2" s="17" t="inlineStr">
        <is>
          <t>Notes / Risks Flagged</t>
        </is>
      </c>
      <c r="W2" s="17" t="inlineStr">
        <is>
          <t>Time (sec)</t>
        </is>
      </c>
      <c r="X2" s="90" t="inlineStr">
        <is>
          <t>Event Key</t>
        </is>
      </c>
      <c r="Y2" s="90" t="inlineStr">
        <is>
          <t>LLM Decision</t>
        </is>
      </c>
      <c r="Z2" s="90" t="inlineStr">
        <is>
          <t>LLM Correct?</t>
        </is>
      </c>
      <c r="AA2" s="18" t="inlineStr">
        <is>
          <t>Helper columns for the Efficiency sheet. Do not type here.</t>
        </is>
      </c>
      <c r="AB2" t="inlineStr">
        <is>
          <t>Re-priced basis</t>
        </is>
      </c>
      <c r="AC2" t="inlineStr">
        <is>
          <t>Re-priced listing</t>
        </is>
      </c>
      <c r="AD2" t="inlineStr">
        <is>
          <t>Re-priced prior close date</t>
        </is>
      </c>
      <c r="AE2" t="inlineStr">
        <is>
          <t>Re-priced prior close</t>
        </is>
      </c>
      <c r="AF2" t="inlineStr">
        <is>
          <t>Re-priced next open date</t>
        </is>
      </c>
      <c r="AG2" t="inlineStr">
        <is>
          <t>Re-priced next open</t>
        </is>
      </c>
      <c r="AH2" t="inlineStr">
        <is>
          <t>Re-priced % change</t>
        </is>
      </c>
      <c r="AI2" t="inlineStr">
        <is>
          <t>Re-priced direction</t>
        </is>
      </c>
      <c r="AJ2" t="inlineStr">
        <is>
          <t>Re-priced correct?</t>
        </is>
      </c>
      <c r="AK2" t="inlineStr">
        <is>
          <t>Re-priced net P&amp;L</t>
        </is>
      </c>
      <c r="AL2" t="inlineStr">
        <is>
          <t>Phase</t>
        </is>
      </c>
      <c r="AM2" t="inlineStr">
        <is>
          <t>Source File</t>
        </is>
      </c>
      <c r="AN2" t="inlineStr">
        <is>
          <t>Source URL</t>
        </is>
      </c>
      <c r="AO2" t="inlineStr">
        <is>
          <t>Source Basis</t>
        </is>
      </c>
      <c r="AP2" t="inlineStr">
        <is>
          <t>In LLM Universe</t>
        </is>
      </c>
      <c r="AQ2" t="inlineStr">
        <is>
          <t>First Rater for Event</t>
        </is>
      </c>
      <c r="AR2" t="inlineStr">
        <is>
          <t>In Window</t>
        </is>
      </c>
      <c r="AS2" t="inlineStr">
        <is>
          <t>Information Set</t>
        </is>
      </c>
      <c r="AT2" t="inlineStr">
        <is>
          <t>Net P&amp;L on trades (helper)</t>
        </is>
      </c>
      <c r="AU2" t="inlineStr">
        <is>
          <t>Net P&amp;L on trades, re-priced (helper)</t>
        </is>
      </c>
      <c r="AV2" t="inlineStr">
        <is>
          <t>Conviction weight (helper)</t>
        </is>
      </c>
      <c r="AW2" t="inlineStr">
        <is>
          <t>Conviction-weighted P&amp;L (helper)</t>
        </is>
      </c>
      <c r="AX2" t="inlineStr">
        <is>
          <t>Conviction weight, re-priced (helper)</t>
        </is>
      </c>
      <c r="AY2" t="inlineStr">
        <is>
          <t>Conviction-weighted P&amp;L, re-priced (helper)</t>
        </is>
      </c>
      <c r="AZ2" t="inlineStr">
        <is>
          <t>Sector</t>
        </is>
      </c>
      <c r="BA2" t="inlineStr">
        <is>
          <t>Pass</t>
        </is>
      </c>
      <c r="BB2" t="inlineStr">
        <is>
          <t>Passes Recorded</t>
        </is>
      </c>
      <c r="BC2" t="inlineStr">
        <is>
          <t>First Reading for Rater-Event</t>
        </is>
      </c>
      <c r="BD2" t="inlineStr">
        <is>
          <t>Pass 1 Minutes</t>
        </is>
      </c>
      <c r="BE2" t="inlineStr">
        <is>
          <t>Pass 2 Minutes</t>
        </is>
      </c>
      <c r="BF2" t="inlineStr">
        <is>
          <t>Pass 1 Score</t>
        </is>
      </c>
      <c r="BG2" t="inlineStr">
        <is>
          <t>Peeked</t>
        </is>
      </c>
      <c r="BH2" t="inlineStr">
        <is>
          <t>AI Declared</t>
        </is>
      </c>
      <c r="BI2" t="inlineStr">
        <is>
          <t>Expectation (written before reading)</t>
        </is>
      </c>
      <c r="BJ2" t="inlineStr">
        <is>
          <t>Rater Record</t>
        </is>
      </c>
      <c r="BK2" t="inlineStr">
        <is>
          <t>Decisions Agree</t>
        </is>
      </c>
      <c r="BL2" t="inlineStr">
        <is>
          <t>Peeked - Basis</t>
        </is>
      </c>
      <c r="BM2" t="inlineStr">
        <is>
          <t>Source Documents Cited</t>
        </is>
      </c>
      <c r="BN2" t="inlineStr">
        <is>
          <t>Source Publisher</t>
        </is>
      </c>
      <c r="BO2" t="inlineStr">
        <is>
          <t>Source Licence Class</t>
        </is>
      </c>
      <c r="BP2" t="inlineStr">
        <is>
          <t>Source Is SEC Periodic Filing</t>
        </is>
      </c>
      <c r="BQ2" t="inlineStr">
        <is>
          <t>Source In Provenance Manifest</t>
        </is>
      </c>
      <c r="BR2" t="inlineStr">
        <is>
          <t>Document Date - Basis</t>
        </is>
      </c>
    </row>
    <row r="3" ht="16.35" customHeight="1">
      <c r="A3" s="95" t="inlineStr">
        <is>
          <t>Netflix</t>
        </is>
      </c>
      <c r="B3" s="96">
        <f>IF(A3="","",_xlfn.XLOOKUP(A3, Company_List!$A:$A, Company_List!$B:$B, ""))</f>
        <v/>
      </c>
      <c r="C3" s="108" t="n">
        <v>2026</v>
      </c>
      <c r="D3" s="104" t="inlineStr">
        <is>
          <t>Q1</t>
        </is>
      </c>
      <c r="E3" s="136" t="inlineStr">
        <is>
          <t>All</t>
        </is>
      </c>
      <c r="F3" s="19" t="inlineStr">
        <is>
          <t>All</t>
        </is>
      </c>
      <c r="G3" s="20" t="inlineStr">
        <is>
          <t>Anna</t>
        </is>
      </c>
      <c r="H3" s="20" t="inlineStr">
        <is>
          <t>Human</t>
        </is>
      </c>
      <c r="I3" s="127" t="n">
        <v>0.5</v>
      </c>
      <c r="J3" s="145">
        <f>IF(OR(I3="",Settings!$B$6=""),"",IF(I3&gt;Settings!$B$6,"BUY",IF(I3&lt;-Settings!$B$6,"SELL","HOLD")))</f>
        <v/>
      </c>
      <c r="K3" s="139" t="n">
        <v>38</v>
      </c>
      <c r="L3" s="123" t="n">
        <v>46128</v>
      </c>
      <c r="M3" s="123" t="n">
        <v>46128</v>
      </c>
      <c r="N3" s="127" t="n">
        <v>107.79</v>
      </c>
      <c r="O3" s="123" t="n">
        <v>46129</v>
      </c>
      <c r="P3" s="22" t="n">
        <v>96.37</v>
      </c>
      <c r="Q3" s="148">
        <f>IF(OR(N3="",P3=""),"",ROUND((P3-N3)/N3,4))</f>
        <v/>
      </c>
      <c r="R3" s="20">
        <f>IF(OR(N3="",P3=""),"",IF(Q3&gt;Settings!$B$3/100,"UP",IF(Q3&lt;-Settings!$B$3/100,"DOWN","FLAT")))</f>
        <v/>
      </c>
      <c r="S3" s="20">
        <f>IF(OR(N3="",P3="",J3=""),"",IF(OR(AND(J3="BUY",R3="UP"),AND(J3="SELL",R3="DOWN"),AND(J3="HOLD",R3="FLAT")),"YES","NO"))</f>
        <v/>
      </c>
      <c r="T3" s="21">
        <f>IF(J3="","",IF(J3="BUY",1,IF(J3="SELL",-1,0)))</f>
        <v/>
      </c>
      <c r="U3" s="148">
        <f>IFERROR(IF(OR(J3="",N3="",P3=""),"",IF(T3=0,0,T3*Q3-Settings!$B$4/10000-IF(T3&lt;0,Settings!$B$5/10000,0))),"")</f>
        <v/>
      </c>
      <c r="V3" s="23" t="n"/>
      <c r="W3" s="21">
        <f>IF($K3="","",$K3*60)</f>
        <v/>
      </c>
      <c r="X3" s="91">
        <f>IF($A3="","",$A3&amp;"|"&amp;$C3&amp;"|"&amp;$D3)</f>
        <v/>
      </c>
      <c r="Y3" s="91">
        <f>IFERROR(IF($X3="","",INDEX(LLM_Data_Entry!$H$3:$H$548,MATCH($X3,INDEX(LLM_Data_Entry!$A$3:$A$548&amp;"|"&amp;LLM_Data_Entry!$C$3:$C$548&amp;"|"&amp;LLM_Data_Entry!$D$3:$D$548,0),0))),"")</f>
        <v/>
      </c>
      <c r="Z3" s="91">
        <f>IFERROR(IF($X3="","",INDEX(LLM_Data_Entry!$R$3:$R$548,MATCH($X3,INDEX(LLM_Data_Entry!$A$3:$A$548&amp;"|"&amp;LLM_Data_Entry!$C$3:$C$548&amp;"|"&amp;LLM_Data_Entry!$D$3:$D$548,0),0))),"")</f>
        <v/>
      </c>
      <c r="AB3" t="inlineStr">
        <is>
          <t>price signal — only this window shows an abnormal move</t>
        </is>
      </c>
      <c r="AC3" t="inlineStr">
        <is>
          <t>NFLX</t>
        </is>
      </c>
      <c r="AD3" t="inlineStr">
        <is>
          <t>2026-04-16</t>
        </is>
      </c>
      <c r="AE3" t="n">
        <v>107.79</v>
      </c>
      <c r="AF3" t="inlineStr">
        <is>
          <t>2026-04-17</t>
        </is>
      </c>
      <c r="AG3" t="n">
        <v>96.37</v>
      </c>
      <c r="AH3" t="n">
        <v>-0.1059467287693966</v>
      </c>
      <c r="AI3" t="inlineStr">
        <is>
          <t>DOWN</t>
        </is>
      </c>
      <c r="AJ3" t="inlineStr">
        <is>
          <t>NO</t>
        </is>
      </c>
      <c r="AK3" t="n">
        <v>-0.106947</v>
      </c>
      <c r="AL3">
        <f>IF($A3="","",IFERROR(INDEX(Company_List!$G$3:$G$207,MATCH($A3,Company_List!$A$3:$A$207,0)),"unassigned"))</f>
        <v/>
      </c>
      <c r="AM3" t="inlineStr">
        <is>
          <t>Phase 2/Netflix/Netflix-Inc-_Earnings-Call_2026-04-16T00_00_00_English-1.pdf</t>
        </is>
      </c>
      <c r="AO3" t="inlineStr">
        <is>
          <t>unique filename match</t>
        </is>
      </c>
      <c r="AP3">
        <f>IF($A3="","",IF(COUNTIFS(LLM_Data_Entry!$A$3:$A$548,$A3)&gt;0,"YES","NO"))</f>
        <v/>
      </c>
      <c r="AQ3">
        <f>IF($A3="","",IF(COUNTIFS($A$3:$A3,$A3,$C$3:$C3,$C3,$D$3:$D3,$D3)=1,"YES","NO"))</f>
        <v/>
      </c>
      <c r="AR3">
        <f>IF($A3="","",IF(AND($C3&amp;"-"&amp;$D3&gt;=Settings!$B$19,$C3&amp;"-"&amp;$D3&lt;=Settings!$B$20),"IN","OUT"))</f>
        <v/>
      </c>
      <c r="AS3">
        <f>IF($A3="","",IF($F3="Financial Results","financials",IF($F3="Outlook/Guidance","guidance",IF($F3="Transcript Q&amp;A","qanda",IF($F3="","unrecorded",IF($E3="All","full",IF($E3="","unrecorded",LOWER($E3)&amp;" only")))))))</f>
        <v/>
      </c>
      <c r="AT3">
        <f>IF(AND(OR($J3="BUY",$J3="SELL"),ISNUMBER($U3)),$U3,"")</f>
        <v/>
      </c>
      <c r="AU3">
        <f>IF(AND(OR($J3="BUY",$J3="SELL"),ISNUMBER($AK3)),$AK3,"")</f>
        <v/>
      </c>
      <c r="AV3">
        <f>IF(ISNUMBER($AT3),ABS(IF(ISNUMBER($I3),$I3,0)-Settings!$B$24),"")</f>
        <v/>
      </c>
      <c r="AW3">
        <f>IF(ISNUMBER($AV3),$AV3*$AT3,"")</f>
        <v/>
      </c>
      <c r="AX3">
        <f>IF(ISNUMBER($AU3),ABS(IF(ISNUMBER($I3),$I3,0)-Settings!$B$24),"")</f>
        <v/>
      </c>
      <c r="AY3">
        <f>IF(ISNUMBER($AX3),$AX3*$AU3,"")</f>
        <v/>
      </c>
      <c r="AZ3">
        <f>IF($A3="","",IFERROR(INDEX(Company_List!$H$3:$H$207,MATCH($A3,Company_List!$A$3:$A$207,0)),"unassigned"))</f>
        <v/>
      </c>
      <c r="BC3">
        <f>IF($A3="","",IF(COUNTIFS($A$3:$A3,$A3,$C$3:$C3,$C3,$D$3:$D3,$D3,$G$3:$G3,$G3)=1,1,0))</f>
        <v/>
      </c>
      <c r="BG3" t="inlineStr">
        <is>
          <t>no</t>
        </is>
      </c>
      <c r="BK3">
        <f>IF(OR($H3&lt;&gt;"Human",$S3="",$J3="",$Y3="",$Z3=""),"",IF(EXACT(UPPER($J3),UPPER($Y3)),1,0))</f>
        <v/>
      </c>
      <c r="BL3" t="inlineStr">
        <is>
          <t>assumed - no rater record</t>
        </is>
      </c>
      <c r="BM3" t="n">
        <v>1</v>
      </c>
      <c r="BN3" t="inlineStr">
        <is>
          <t>S&amp;P Global Market Intelligence (Capital IQ)</t>
        </is>
      </c>
      <c r="BO3" t="inlineStr">
        <is>
          <t>licensed vendor</t>
        </is>
      </c>
      <c r="BP3" t="inlineStr">
        <is>
          <t>no</t>
        </is>
      </c>
      <c r="BQ3" t="inlineStr">
        <is>
          <t>no</t>
        </is>
      </c>
    </row>
    <row r="4" ht="16.35" customHeight="1">
      <c r="A4" s="95" t="inlineStr">
        <is>
          <t>Netflix</t>
        </is>
      </c>
      <c r="B4" s="96">
        <f>IF(A4="","",_xlfn.XLOOKUP(A4, Company_List!$A:$A, Company_List!$B:$B, ""))</f>
        <v/>
      </c>
      <c r="C4" s="108" t="n">
        <v>2025</v>
      </c>
      <c r="D4" s="104" t="inlineStr">
        <is>
          <t>Q2</t>
        </is>
      </c>
      <c r="E4" s="136" t="inlineStr">
        <is>
          <t>All</t>
        </is>
      </c>
      <c r="F4" s="19" t="inlineStr">
        <is>
          <t>All</t>
        </is>
      </c>
      <c r="G4" s="20" t="inlineStr">
        <is>
          <t>Anna</t>
        </is>
      </c>
      <c r="H4" s="20" t="inlineStr">
        <is>
          <t>Human</t>
        </is>
      </c>
      <c r="I4" s="127" t="n">
        <v>0.2</v>
      </c>
      <c r="J4" s="145">
        <f>IF(OR(I4="",Settings!$B$6=""),"",IF(I4&gt;Settings!$B$6,"BUY",IF(I4&lt;-Settings!$B$6,"SELL","HOLD")))</f>
        <v/>
      </c>
      <c r="K4" s="139" t="n">
        <v>26</v>
      </c>
      <c r="L4" s="123" t="n">
        <v>45855</v>
      </c>
      <c r="M4" s="123" t="n">
        <v>45855</v>
      </c>
      <c r="N4" s="127" t="n">
        <v>127.42</v>
      </c>
      <c r="O4" s="123" t="n">
        <v>45856</v>
      </c>
      <c r="P4" s="22" t="n">
        <v>129.92</v>
      </c>
      <c r="Q4" s="148">
        <f>IF(OR(N4="",P4=""),"",ROUND((P4-N4)/N4,4))</f>
        <v/>
      </c>
      <c r="R4" s="20">
        <f>IF(OR(N4="",P4=""),"",IF(Q4&gt;Settings!$B$3/100,"UP",IF(Q4&lt;-Settings!$B$3/100,"DOWN","FLAT")))</f>
        <v/>
      </c>
      <c r="S4" s="20">
        <f>IF(OR(N4="",P4="",J4=""),"",IF(OR(AND(J4="BUY",R4="UP"),AND(J4="SELL",R4="DOWN"),AND(J4="HOLD",R4="FLAT")),"YES","NO"))</f>
        <v/>
      </c>
      <c r="T4" s="21">
        <f>IF(J4="","",IF(J4="BUY",1,IF(J4="SELL",-1,0)))</f>
        <v/>
      </c>
      <c r="U4" s="148">
        <f>IFERROR(IF(OR(J4="",N4="",P4=""),"",IF(T4=0,0,T4*Q4-Settings!$B$4/10000-IF(T4&lt;0,Settings!$B$5/10000,0))),"")</f>
        <v/>
      </c>
      <c r="V4" s="23" t="n"/>
      <c r="W4" s="21">
        <f>IF($K4="","",$K4*60)</f>
        <v/>
      </c>
      <c r="X4" s="91">
        <f>IF($A4="","",$A4&amp;"|"&amp;$C4&amp;"|"&amp;$D4)</f>
        <v/>
      </c>
      <c r="Y4" s="91">
        <f>IFERROR(IF($X4="","",INDEX(LLM_Data_Entry!$H$3:$H$548,MATCH($X4,INDEX(LLM_Data_Entry!$A$3:$A$548&amp;"|"&amp;LLM_Data_Entry!$C$3:$C$548&amp;"|"&amp;LLM_Data_Entry!$D$3:$D$548,0),0))),"")</f>
        <v/>
      </c>
      <c r="Z4" s="91">
        <f>IFERROR(IF($X4="","",INDEX(LLM_Data_Entry!$R$3:$R$548,MATCH($X4,INDEX(LLM_Data_Entry!$A$3:$A$548&amp;"|"&amp;LLM_Data_Entry!$C$3:$C$548&amp;"|"&amp;LLM_Data_Entry!$D$3:$D$548,0),0))),"")</f>
        <v/>
      </c>
      <c r="AB4" t="inlineStr">
        <is>
          <t>price signal — only this window shows an abnormal move</t>
        </is>
      </c>
      <c r="AC4" t="inlineStr">
        <is>
          <t>NFLX</t>
        </is>
      </c>
      <c r="AD4" t="inlineStr">
        <is>
          <t>2025-07-17</t>
        </is>
      </c>
      <c r="AE4" t="n">
        <v>127.417</v>
      </c>
      <c r="AF4" t="inlineStr">
        <is>
          <t>2025-07-18</t>
        </is>
      </c>
      <c r="AG4" t="n">
        <v>124.196</v>
      </c>
      <c r="AH4" t="n">
        <v>-0.02527920921070188</v>
      </c>
      <c r="AI4" t="inlineStr">
        <is>
          <t>DOWN</t>
        </is>
      </c>
      <c r="AJ4" t="inlineStr">
        <is>
          <t>NO</t>
        </is>
      </c>
      <c r="AK4" t="n">
        <v>0</v>
      </c>
      <c r="AL4">
        <f>IF($A4="","",IFERROR(INDEX(Company_List!$G$3:$G$207,MATCH($A4,Company_List!$A$3:$A$207,0)),"unassigned"))</f>
        <v/>
      </c>
      <c r="AM4" t="inlineStr">
        <is>
          <t>Phase 2/Netflix/2025-Q2/NFLX-2025-Q2-press-release-SEC-EX-99-1.htm</t>
        </is>
      </c>
      <c r="AN4" t="inlineStr">
        <is>
          <t>https://www.sec.gov/Archives/edgar/data/1065280/000106528025000322/ex991_q225.htm</t>
        </is>
      </c>
      <c r="AO4" t="inlineStr">
        <is>
          <t>manifest</t>
        </is>
      </c>
      <c r="AP4">
        <f>IF($A4="","",IF(COUNTIFS(LLM_Data_Entry!$A$3:$A$548,$A4)&gt;0,"YES","NO"))</f>
        <v/>
      </c>
      <c r="AQ4">
        <f>IF($A4="","",IF(COUNTIFS($A$3:$A4,$A4,$C$3:$C4,$C4,$D$3:$D4,$D4)=1,"YES","NO"))</f>
        <v/>
      </c>
      <c r="AR4">
        <f>IF($A4="","",IF(AND($C4&amp;"-"&amp;$D4&gt;=Settings!$B$19,$C4&amp;"-"&amp;$D4&lt;=Settings!$B$20),"IN","OUT"))</f>
        <v/>
      </c>
      <c r="AS4">
        <f>IF($A4="","",IF($F4="Financial Results","financials",IF($F4="Outlook/Guidance","guidance",IF($F4="Transcript Q&amp;A","qanda",IF($F4="","unrecorded",IF($E4="All","full",IF($E4="","unrecorded",LOWER($E4)&amp;" only")))))))</f>
        <v/>
      </c>
      <c r="AT4">
        <f>IF(AND(OR($J4="BUY",$J4="SELL"),ISNUMBER($U4)),$U4,"")</f>
        <v/>
      </c>
      <c r="AU4">
        <f>IF(AND(OR($J4="BUY",$J4="SELL"),ISNUMBER($AK4)),$AK4,"")</f>
        <v/>
      </c>
      <c r="AV4">
        <f>IF(ISNUMBER($AT4),ABS(IF(ISNUMBER($I4),$I4,0)-Settings!$B$24),"")</f>
        <v/>
      </c>
      <c r="AW4">
        <f>IF(ISNUMBER($AV4),$AV4*$AT4,"")</f>
        <v/>
      </c>
      <c r="AX4">
        <f>IF(ISNUMBER($AU4),ABS(IF(ISNUMBER($I4),$I4,0)-Settings!$B$24),"")</f>
        <v/>
      </c>
      <c r="AY4">
        <f>IF(ISNUMBER($AX4),$AX4*$AU4,"")</f>
        <v/>
      </c>
      <c r="AZ4">
        <f>IF($A4="","",IFERROR(INDEX(Company_List!$H$3:$H$207,MATCH($A4,Company_List!$A$3:$A$207,0)),"unassigned"))</f>
        <v/>
      </c>
      <c r="BC4">
        <f>IF($A4="","",IF(COUNTIFS($A$3:$A4,$A4,$C$3:$C4,$C4,$D$3:$D4,$D4,$G$3:$G4,$G4)=1,1,0))</f>
        <v/>
      </c>
      <c r="BG4" t="inlineStr">
        <is>
          <t>no</t>
        </is>
      </c>
      <c r="BK4">
        <f>IF(OR($H4&lt;&gt;"Human",$S4="",$J4="",$Y4="",$Z4=""),"",IF(EXACT(UPPER($J4),UPPER($Y4)),1,0))</f>
        <v/>
      </c>
      <c r="BL4" t="inlineStr">
        <is>
          <t>assumed - no rater record</t>
        </is>
      </c>
      <c r="BM4" t="n">
        <v>1</v>
      </c>
      <c r="BN4" t="inlineStr">
        <is>
          <t>not publisher-identified</t>
        </is>
      </c>
      <c r="BO4" t="inlineStr">
        <is>
          <t>not publisher-identified</t>
        </is>
      </c>
      <c r="BP4" t="inlineStr">
        <is>
          <t>no</t>
        </is>
      </c>
      <c r="BQ4" t="inlineStr">
        <is>
          <t>yes</t>
        </is>
      </c>
    </row>
    <row r="5" ht="16.35" customHeight="1">
      <c r="A5" s="95" t="inlineStr">
        <is>
          <t>Netflix</t>
        </is>
      </c>
      <c r="B5" s="96">
        <f>IF(A5="","",_xlfn.XLOOKUP(A5, Company_List!$A:$A, Company_List!$B:$B, ""))</f>
        <v/>
      </c>
      <c r="C5" s="108" t="n">
        <v>2025</v>
      </c>
      <c r="D5" s="104" t="inlineStr">
        <is>
          <t>Q3</t>
        </is>
      </c>
      <c r="E5" s="136" t="inlineStr">
        <is>
          <t>All</t>
        </is>
      </c>
      <c r="F5" s="19" t="inlineStr">
        <is>
          <t>All</t>
        </is>
      </c>
      <c r="G5" s="20" t="inlineStr">
        <is>
          <t>Anna</t>
        </is>
      </c>
      <c r="H5" s="20" t="inlineStr">
        <is>
          <t>Human</t>
        </is>
      </c>
      <c r="I5" s="127" t="n">
        <v>-0.2</v>
      </c>
      <c r="J5" s="145">
        <f>IF(OR(I5="",Settings!$B$6=""),"",IF(I5&gt;Settings!$B$6,"BUY",IF(I5&lt;-Settings!$B$6,"SELL","HOLD")))</f>
        <v/>
      </c>
      <c r="K5" s="139" t="n">
        <v>24</v>
      </c>
      <c r="L5" s="123" t="n">
        <v>45951</v>
      </c>
      <c r="M5" s="123" t="n">
        <v>45951</v>
      </c>
      <c r="N5" s="127" t="n">
        <v>124.14</v>
      </c>
      <c r="O5" s="123" t="n">
        <v>45952</v>
      </c>
      <c r="P5" s="22" t="n">
        <v>114.29</v>
      </c>
      <c r="Q5" s="148">
        <f>IF(OR(N5="",P5=""),"",ROUND((P5-N5)/N5,4))</f>
        <v/>
      </c>
      <c r="R5" s="20">
        <f>IF(OR(N5="",P5=""),"",IF(Q5&gt;Settings!$B$3/100,"UP",IF(Q5&lt;-Settings!$B$3/100,"DOWN","FLAT")))</f>
        <v/>
      </c>
      <c r="S5" s="20">
        <f>IF(OR(N5="",P5="",J5=""),"",IF(OR(AND(J5="BUY",R5="UP"),AND(J5="SELL",R5="DOWN"),AND(J5="HOLD",R5="FLAT")),"YES","NO"))</f>
        <v/>
      </c>
      <c r="T5" s="21">
        <f>IF(J5="","",IF(J5="BUY",1,IF(J5="SELL",-1,0)))</f>
        <v/>
      </c>
      <c r="U5" s="148">
        <f>IFERROR(IF(OR(J5="",N5="",P5=""),"",IF(T5=0,0,T5*Q5-Settings!$B$4/10000-IF(T5&lt;0,Settings!$B$5/10000,0))),"")</f>
        <v/>
      </c>
      <c r="V5" s="23" t="n"/>
      <c r="W5" s="21">
        <f>IF($K5="","",$K5*60)</f>
        <v/>
      </c>
      <c r="X5" s="91">
        <f>IF($A5="","",$A5&amp;"|"&amp;$C5&amp;"|"&amp;$D5)</f>
        <v/>
      </c>
      <c r="Y5" s="91">
        <f>IFERROR(IF($X5="","",INDEX(LLM_Data_Entry!$H$3:$H$548,MATCH($X5,INDEX(LLM_Data_Entry!$A$3:$A$548&amp;"|"&amp;LLM_Data_Entry!$C$3:$C$548&amp;"|"&amp;LLM_Data_Entry!$D$3:$D$548,0),0))),"")</f>
        <v/>
      </c>
      <c r="Z5" s="91">
        <f>IFERROR(IF($X5="","",INDEX(LLM_Data_Entry!$R$3:$R$548,MATCH($X5,INDEX(LLM_Data_Entry!$A$3:$A$548&amp;"|"&amp;LLM_Data_Entry!$C$3:$C$548&amp;"|"&amp;LLM_Data_Entry!$D$3:$D$548,0),0))),"")</f>
        <v/>
      </c>
      <c r="AB5" t="inlineStr">
        <is>
          <t>release date + stated time in the document (rater worksheet)</t>
        </is>
      </c>
      <c r="AC5" t="inlineStr">
        <is>
          <t>NFLX</t>
        </is>
      </c>
      <c r="AD5" t="inlineStr">
        <is>
          <t>2025-10-21</t>
        </is>
      </c>
      <c r="AE5" t="n">
        <v>124.135</v>
      </c>
      <c r="AF5" t="inlineStr">
        <is>
          <t>2025-10-22</t>
        </is>
      </c>
      <c r="AG5" t="n">
        <v>114.29</v>
      </c>
      <c r="AH5" t="n">
        <v>-0.07930882379169744</v>
      </c>
      <c r="AI5" t="inlineStr">
        <is>
          <t>DOWN</t>
        </is>
      </c>
      <c r="AJ5" t="inlineStr">
        <is>
          <t>NO</t>
        </is>
      </c>
      <c r="AK5" t="n">
        <v>0</v>
      </c>
      <c r="AL5">
        <f>IF($A5="","",IFERROR(INDEX(Company_List!$G$3:$G$207,MATCH($A5,Company_List!$A$3:$A$207,0)),"unassigned"))</f>
        <v/>
      </c>
      <c r="AM5" t="inlineStr">
        <is>
          <t>Phase 2/Netflix/2025-Q3/NFLX-2025-Q3-press-release-SEC-EX-99-1.htm</t>
        </is>
      </c>
      <c r="AN5" t="inlineStr">
        <is>
          <t>https://www.sec.gov/Archives/edgar/data/1065280/000106528025000404/ex991_q325.htm</t>
        </is>
      </c>
      <c r="AO5" t="inlineStr">
        <is>
          <t>manifest</t>
        </is>
      </c>
      <c r="AP5">
        <f>IF($A5="","",IF(COUNTIFS(LLM_Data_Entry!$A$3:$A$548,$A5)&gt;0,"YES","NO"))</f>
        <v/>
      </c>
      <c r="AQ5">
        <f>IF($A5="","",IF(COUNTIFS($A$3:$A5,$A5,$C$3:$C5,$C5,$D$3:$D5,$D5)=1,"YES","NO"))</f>
        <v/>
      </c>
      <c r="AR5">
        <f>IF($A5="","",IF(AND($C5&amp;"-"&amp;$D5&gt;=Settings!$B$19,$C5&amp;"-"&amp;$D5&lt;=Settings!$B$20),"IN","OUT"))</f>
        <v/>
      </c>
      <c r="AS5">
        <f>IF($A5="","",IF($F5="Financial Results","financials",IF($F5="Outlook/Guidance","guidance",IF($F5="Transcript Q&amp;A","qanda",IF($F5="","unrecorded",IF($E5="All","full",IF($E5="","unrecorded",LOWER($E5)&amp;" only")))))))</f>
        <v/>
      </c>
      <c r="AT5">
        <f>IF(AND(OR($J5="BUY",$J5="SELL"),ISNUMBER($U5)),$U5,"")</f>
        <v/>
      </c>
      <c r="AU5">
        <f>IF(AND(OR($J5="BUY",$J5="SELL"),ISNUMBER($AK5)),$AK5,"")</f>
        <v/>
      </c>
      <c r="AV5">
        <f>IF(ISNUMBER($AT5),ABS(IF(ISNUMBER($I5),$I5,0)-Settings!$B$24),"")</f>
        <v/>
      </c>
      <c r="AW5">
        <f>IF(ISNUMBER($AV5),$AV5*$AT5,"")</f>
        <v/>
      </c>
      <c r="AX5">
        <f>IF(ISNUMBER($AU5),ABS(IF(ISNUMBER($I5),$I5,0)-Settings!$B$24),"")</f>
        <v/>
      </c>
      <c r="AY5">
        <f>IF(ISNUMBER($AX5),$AX5*$AU5,"")</f>
        <v/>
      </c>
      <c r="AZ5">
        <f>IF($A5="","",IFERROR(INDEX(Company_List!$H$3:$H$207,MATCH($A5,Company_List!$A$3:$A$207,0)),"unassigned"))</f>
        <v/>
      </c>
      <c r="BC5">
        <f>IF($A5="","",IF(COUNTIFS($A$3:$A5,$A5,$C$3:$C5,$C5,$D$3:$D5,$D5,$G$3:$G5,$G5)=1,1,0))</f>
        <v/>
      </c>
      <c r="BG5" t="inlineStr">
        <is>
          <t>no</t>
        </is>
      </c>
      <c r="BK5">
        <f>IF(OR($H5&lt;&gt;"Human",$S5="",$J5="",$Y5="",$Z5=""),"",IF(EXACT(UPPER($J5),UPPER($Y5)),1,0))</f>
        <v/>
      </c>
      <c r="BL5" t="inlineStr">
        <is>
          <t>assumed - no rater record</t>
        </is>
      </c>
      <c r="BM5" t="n">
        <v>1</v>
      </c>
      <c r="BN5" t="inlineStr">
        <is>
          <t>not publisher-identified</t>
        </is>
      </c>
      <c r="BO5" t="inlineStr">
        <is>
          <t>not publisher-identified</t>
        </is>
      </c>
      <c r="BP5" t="inlineStr">
        <is>
          <t>no</t>
        </is>
      </c>
      <c r="BQ5" t="inlineStr">
        <is>
          <t>yes</t>
        </is>
      </c>
    </row>
    <row r="6" ht="16.35" customHeight="1">
      <c r="A6" s="95" t="inlineStr">
        <is>
          <t>Netflix</t>
        </is>
      </c>
      <c r="B6" s="96">
        <f>IF(A6="","",_xlfn.XLOOKUP(A6, Company_List!$A:$A, Company_List!$B:$B, ""))</f>
        <v/>
      </c>
      <c r="C6" s="108" t="n">
        <v>2025</v>
      </c>
      <c r="D6" s="104" t="inlineStr">
        <is>
          <t>Q4</t>
        </is>
      </c>
      <c r="E6" s="136" t="inlineStr">
        <is>
          <t>All</t>
        </is>
      </c>
      <c r="F6" s="19" t="inlineStr">
        <is>
          <t>All</t>
        </is>
      </c>
      <c r="G6" s="20" t="inlineStr">
        <is>
          <t>Anna</t>
        </is>
      </c>
      <c r="H6" s="20" t="inlineStr">
        <is>
          <t>Human</t>
        </is>
      </c>
      <c r="I6" s="127" t="n">
        <v>0.6</v>
      </c>
      <c r="J6" s="145">
        <f>IF(OR(I6="",Settings!$B$6=""),"",IF(I6&gt;Settings!$B$6,"BUY",IF(I6&lt;-Settings!$B$6,"SELL","HOLD")))</f>
        <v/>
      </c>
      <c r="K6" s="139" t="n">
        <v>25</v>
      </c>
      <c r="L6" s="123" t="n">
        <v>46042</v>
      </c>
      <c r="M6" s="123" t="n">
        <v>46042</v>
      </c>
      <c r="N6" s="127" t="n">
        <v>87.26000000000001</v>
      </c>
      <c r="O6" s="123" t="n">
        <v>46043</v>
      </c>
      <c r="P6" s="22" t="n">
        <v>82.52</v>
      </c>
      <c r="Q6" s="148">
        <f>IF(OR(N6="",P6=""),"",ROUND((P6-N6)/N6,4))</f>
        <v/>
      </c>
      <c r="R6" s="20">
        <f>IF(OR(N6="",P6=""),"",IF(Q6&gt;Settings!$B$3/100,"UP",IF(Q6&lt;-Settings!$B$3/100,"DOWN","FLAT")))</f>
        <v/>
      </c>
      <c r="S6" s="20">
        <f>IF(OR(N6="",P6="",J6=""),"",IF(OR(AND(J6="BUY",R6="UP"),AND(J6="SELL",R6="DOWN"),AND(J6="HOLD",R6="FLAT")),"YES","NO"))</f>
        <v/>
      </c>
      <c r="T6" s="21">
        <f>IF(J6="","",IF(J6="BUY",1,IF(J6="SELL",-1,0)))</f>
        <v/>
      </c>
      <c r="U6" s="148">
        <f>IFERROR(IF(OR(J6="",N6="",P6=""),"",IF(T6=0,0,T6*Q6-Settings!$B$4/10000-IF(T6&lt;0,Settings!$B$5/10000,0))),"")</f>
        <v/>
      </c>
      <c r="V6" s="23" t="n"/>
      <c r="W6" s="21">
        <f>IF($K6="","",$K6*60)</f>
        <v/>
      </c>
      <c r="X6" s="91">
        <f>IF($A6="","",$A6&amp;"|"&amp;$C6&amp;"|"&amp;$D6)</f>
        <v/>
      </c>
      <c r="Y6" s="91">
        <f>IFERROR(IF($X6="","",INDEX(LLM_Data_Entry!$H$3:$H$548,MATCH($X6,INDEX(LLM_Data_Entry!$A$3:$A$548&amp;"|"&amp;LLM_Data_Entry!$C$3:$C$548&amp;"|"&amp;LLM_Data_Entry!$D$3:$D$548,0),0))),"")</f>
        <v/>
      </c>
      <c r="Z6" s="91">
        <f>IFERROR(IF($X6="","",INDEX(LLM_Data_Entry!$R$3:$R$548,MATCH($X6,INDEX(LLM_Data_Entry!$A$3:$A$548&amp;"|"&amp;LLM_Data_Entry!$C$3:$C$548&amp;"|"&amp;LLM_Data_Entry!$D$3:$D$548,0),0))),"")</f>
        <v/>
      </c>
      <c r="AB6" t="inlineStr">
        <is>
          <t>release date + stated time in the document (rater worksheet)</t>
        </is>
      </c>
      <c r="AC6" t="inlineStr">
        <is>
          <t>NFLX</t>
        </is>
      </c>
      <c r="AD6" t="inlineStr">
        <is>
          <t>2026-01-20</t>
        </is>
      </c>
      <c r="AE6" t="n">
        <v>87.26000000000001</v>
      </c>
      <c r="AF6" t="inlineStr">
        <is>
          <t>2026-01-21</t>
        </is>
      </c>
      <c r="AG6" t="n">
        <v>82.52</v>
      </c>
      <c r="AH6" t="n">
        <v>-0.05432047778316572</v>
      </c>
      <c r="AI6" t="inlineStr">
        <is>
          <t>DOWN</t>
        </is>
      </c>
      <c r="AJ6" t="inlineStr">
        <is>
          <t>NO</t>
        </is>
      </c>
      <c r="AK6" t="n">
        <v>-0.05532</v>
      </c>
      <c r="AL6">
        <f>IF($A6="","",IFERROR(INDEX(Company_List!$G$3:$G$207,MATCH($A6,Company_List!$A$3:$A$207,0)),"unassigned"))</f>
        <v/>
      </c>
      <c r="AM6" t="inlineStr">
        <is>
          <t>Phase 2/Netflix/2025-Q4/NFLX-2025-Q4-press-release-SEC-EX-99-1.htm</t>
        </is>
      </c>
      <c r="AN6" t="inlineStr">
        <is>
          <t>https://www.sec.gov/Archives/edgar/data/1065280/000106528026000033/ex991_q425.htm</t>
        </is>
      </c>
      <c r="AO6" t="inlineStr">
        <is>
          <t>manifest</t>
        </is>
      </c>
      <c r="AP6">
        <f>IF($A6="","",IF(COUNTIFS(LLM_Data_Entry!$A$3:$A$548,$A6)&gt;0,"YES","NO"))</f>
        <v/>
      </c>
      <c r="AQ6">
        <f>IF($A6="","",IF(COUNTIFS($A$3:$A6,$A6,$C$3:$C6,$C6,$D$3:$D6,$D6)=1,"YES","NO"))</f>
        <v/>
      </c>
      <c r="AR6">
        <f>IF($A6="","",IF(AND($C6&amp;"-"&amp;$D6&gt;=Settings!$B$19,$C6&amp;"-"&amp;$D6&lt;=Settings!$B$20),"IN","OUT"))</f>
        <v/>
      </c>
      <c r="AS6">
        <f>IF($A6="","",IF($F6="Financial Results","financials",IF($F6="Outlook/Guidance","guidance",IF($F6="Transcript Q&amp;A","qanda",IF($F6="","unrecorded",IF($E6="All","full",IF($E6="","unrecorded",LOWER($E6)&amp;" only")))))))</f>
        <v/>
      </c>
      <c r="AT6">
        <f>IF(AND(OR($J6="BUY",$J6="SELL"),ISNUMBER($U6)),$U6,"")</f>
        <v/>
      </c>
      <c r="AU6">
        <f>IF(AND(OR($J6="BUY",$J6="SELL"),ISNUMBER($AK6)),$AK6,"")</f>
        <v/>
      </c>
      <c r="AV6">
        <f>IF(ISNUMBER($AT6),ABS(IF(ISNUMBER($I6),$I6,0)-Settings!$B$24),"")</f>
        <v/>
      </c>
      <c r="AW6">
        <f>IF(ISNUMBER($AV6),$AV6*$AT6,"")</f>
        <v/>
      </c>
      <c r="AX6">
        <f>IF(ISNUMBER($AU6),ABS(IF(ISNUMBER($I6),$I6,0)-Settings!$B$24),"")</f>
        <v/>
      </c>
      <c r="AY6">
        <f>IF(ISNUMBER($AX6),$AX6*$AU6,"")</f>
        <v/>
      </c>
      <c r="AZ6">
        <f>IF($A6="","",IFERROR(INDEX(Company_List!$H$3:$H$207,MATCH($A6,Company_List!$A$3:$A$207,0)),"unassigned"))</f>
        <v/>
      </c>
      <c r="BC6">
        <f>IF($A6="","",IF(COUNTIFS($A$3:$A6,$A6,$C$3:$C6,$C6,$D$3:$D6,$D6,$G$3:$G6,$G6)=1,1,0))</f>
        <v/>
      </c>
      <c r="BG6" t="inlineStr">
        <is>
          <t>no</t>
        </is>
      </c>
      <c r="BK6">
        <f>IF(OR($H6&lt;&gt;"Human",$S6="",$J6="",$Y6="",$Z6=""),"",IF(EXACT(UPPER($J6),UPPER($Y6)),1,0))</f>
        <v/>
      </c>
      <c r="BL6" t="inlineStr">
        <is>
          <t>assumed - no rater record</t>
        </is>
      </c>
      <c r="BM6" t="n">
        <v>1</v>
      </c>
      <c r="BN6" t="inlineStr">
        <is>
          <t>not publisher-identified</t>
        </is>
      </c>
      <c r="BO6" t="inlineStr">
        <is>
          <t>not publisher-identified</t>
        </is>
      </c>
      <c r="BP6" t="inlineStr">
        <is>
          <t>no</t>
        </is>
      </c>
      <c r="BQ6" t="inlineStr">
        <is>
          <t>yes</t>
        </is>
      </c>
    </row>
    <row r="7" ht="16.35" customHeight="1">
      <c r="A7" s="95" t="inlineStr">
        <is>
          <t>Netflix</t>
        </is>
      </c>
      <c r="B7" s="96">
        <f>IF(A7="","",_xlfn.XLOOKUP(A7, Company_List!$A:$A, Company_List!$B:$B, ""))</f>
        <v/>
      </c>
      <c r="C7" s="21" t="n">
        <v>2026</v>
      </c>
      <c r="D7" s="20" t="inlineStr">
        <is>
          <t>Q1</t>
        </is>
      </c>
      <c r="E7" s="136" t="inlineStr">
        <is>
          <t>All</t>
        </is>
      </c>
      <c r="F7" s="19" t="inlineStr">
        <is>
          <t>All</t>
        </is>
      </c>
      <c r="G7" s="20" t="inlineStr">
        <is>
          <t>Meriem</t>
        </is>
      </c>
      <c r="H7" s="20" t="inlineStr">
        <is>
          <t>Human</t>
        </is>
      </c>
      <c r="I7" s="127" t="n">
        <v>0.6</v>
      </c>
      <c r="J7" s="145">
        <f>IF(OR(I7="",Settings!$B$6=""),"",IF(I7&gt;Settings!$B$6,"BUY",IF(I7&lt;-Settings!$B$6,"SELL","HOLD")))</f>
        <v/>
      </c>
      <c r="K7" s="139" t="n">
        <v>35</v>
      </c>
      <c r="L7" s="123" t="n">
        <v>46128</v>
      </c>
      <c r="M7" s="123" t="n">
        <v>46128</v>
      </c>
      <c r="N7" s="127" t="n">
        <v>107.79</v>
      </c>
      <c r="O7" s="123" t="n">
        <v>46129</v>
      </c>
      <c r="P7" s="22" t="n">
        <v>96.37</v>
      </c>
      <c r="Q7" s="148">
        <f>IF(OR(N7="",P7=""),"",ROUND((P7-N7)/N7,4))</f>
        <v/>
      </c>
      <c r="R7" s="20">
        <f>IF(OR(N7="",P7=""),"",IF(Q7&gt;Settings!$B$3/100,"UP",IF(Q7&lt;-Settings!$B$3/100,"DOWN","FLAT")))</f>
        <v/>
      </c>
      <c r="S7" s="20">
        <f>IF(OR(N7="",P7="",J7=""),"",IF(OR(AND(J7="BUY",R7="UP"),AND(J7="SELL",R7="DOWN"),AND(J7="HOLD",R7="FLAT")),"YES","NO"))</f>
        <v/>
      </c>
      <c r="T7" s="21">
        <f>IF(J7="","",IF(J7="BUY",1,IF(J7="SELL",-1,0)))</f>
        <v/>
      </c>
      <c r="U7" s="148">
        <f>IFERROR(IF(OR(J7="",N7="",P7=""),"",IF(T7=0,0,T7*Q7-Settings!$B$4/10000-IF(T7&lt;0,Settings!$B$5/10000,0))),"")</f>
        <v/>
      </c>
      <c r="V7" s="23" t="n"/>
      <c r="W7" s="21">
        <f>IF($K7="","",$K7*60)</f>
        <v/>
      </c>
      <c r="X7" s="91">
        <f>IF($A7="","",$A7&amp;"|"&amp;$C7&amp;"|"&amp;$D7)</f>
        <v/>
      </c>
      <c r="Y7" s="91">
        <f>IFERROR(IF($X7="","",INDEX(LLM_Data_Entry!$H$3:$H$548,MATCH($X7,INDEX(LLM_Data_Entry!$A$3:$A$548&amp;"|"&amp;LLM_Data_Entry!$C$3:$C$548&amp;"|"&amp;LLM_Data_Entry!$D$3:$D$548,0),0))),"")</f>
        <v/>
      </c>
      <c r="Z7" s="91">
        <f>IFERROR(IF($X7="","",INDEX(LLM_Data_Entry!$R$3:$R$548,MATCH($X7,INDEX(LLM_Data_Entry!$A$3:$A$548&amp;"|"&amp;LLM_Data_Entry!$C$3:$C$548&amp;"|"&amp;LLM_Data_Entry!$D$3:$D$548,0),0))),"")</f>
        <v/>
      </c>
      <c r="AB7" t="inlineStr">
        <is>
          <t>price signal — only this window shows an abnormal move</t>
        </is>
      </c>
      <c r="AC7" t="inlineStr">
        <is>
          <t>NFLX</t>
        </is>
      </c>
      <c r="AD7" t="inlineStr">
        <is>
          <t>2026-04-16</t>
        </is>
      </c>
      <c r="AE7" t="n">
        <v>107.79</v>
      </c>
      <c r="AF7" t="inlineStr">
        <is>
          <t>2026-04-17</t>
        </is>
      </c>
      <c r="AG7" t="n">
        <v>96.37</v>
      </c>
      <c r="AH7" t="n">
        <v>-0.1059467287693966</v>
      </c>
      <c r="AI7" t="inlineStr">
        <is>
          <t>DOWN</t>
        </is>
      </c>
      <c r="AJ7" t="inlineStr">
        <is>
          <t>NO</t>
        </is>
      </c>
      <c r="AK7" t="n">
        <v>-0.106947</v>
      </c>
      <c r="AL7">
        <f>IF($A7="","",IFERROR(INDEX(Company_List!$G$3:$G$207,MATCH($A7,Company_List!$A$3:$A$207,0)),"unassigned"))</f>
        <v/>
      </c>
      <c r="AM7" t="inlineStr">
        <is>
          <t>Phase 2/Netflix/Netflix-Inc-_Earnings-Call_2026-04-16T00_00_00_English-1.pdf</t>
        </is>
      </c>
      <c r="AO7" t="inlineStr">
        <is>
          <t>unique filename match</t>
        </is>
      </c>
      <c r="AP7">
        <f>IF($A7="","",IF(COUNTIFS(LLM_Data_Entry!$A$3:$A$548,$A7)&gt;0,"YES","NO"))</f>
        <v/>
      </c>
      <c r="AQ7">
        <f>IF($A7="","",IF(COUNTIFS($A$3:$A7,$A7,$C$3:$C7,$C7,$D$3:$D7,$D7)=1,"YES","NO"))</f>
        <v/>
      </c>
      <c r="AR7">
        <f>IF($A7="","",IF(AND($C7&amp;"-"&amp;$D7&gt;=Settings!$B$19,$C7&amp;"-"&amp;$D7&lt;=Settings!$B$20),"IN","OUT"))</f>
        <v/>
      </c>
      <c r="AS7">
        <f>IF($A7="","",IF($F7="Financial Results","financials",IF($F7="Outlook/Guidance","guidance",IF($F7="Transcript Q&amp;A","qanda",IF($F7="","unrecorded",IF($E7="All","full",IF($E7="","unrecorded",LOWER($E7)&amp;" only")))))))</f>
        <v/>
      </c>
      <c r="AT7">
        <f>IF(AND(OR($J7="BUY",$J7="SELL"),ISNUMBER($U7)),$U7,"")</f>
        <v/>
      </c>
      <c r="AU7">
        <f>IF(AND(OR($J7="BUY",$J7="SELL"),ISNUMBER($AK7)),$AK7,"")</f>
        <v/>
      </c>
      <c r="AV7">
        <f>IF(ISNUMBER($AT7),ABS(IF(ISNUMBER($I7),$I7,0)-Settings!$B$24),"")</f>
        <v/>
      </c>
      <c r="AW7">
        <f>IF(ISNUMBER($AV7),$AV7*$AT7,"")</f>
        <v/>
      </c>
      <c r="AX7">
        <f>IF(ISNUMBER($AU7),ABS(IF(ISNUMBER($I7),$I7,0)-Settings!$B$24),"")</f>
        <v/>
      </c>
      <c r="AY7">
        <f>IF(ISNUMBER($AX7),$AX7*$AU7,"")</f>
        <v/>
      </c>
      <c r="AZ7">
        <f>IF($A7="","",IFERROR(INDEX(Company_List!$H$3:$H$207,MATCH($A7,Company_List!$A$3:$A$207,0)),"unassigned"))</f>
        <v/>
      </c>
      <c r="BC7">
        <f>IF($A7="","",IF(COUNTIFS($A$3:$A7,$A7,$C$3:$C7,$C7,$D$3:$D7,$D7,$G$3:$G7,$G7)=1,1,0))</f>
        <v/>
      </c>
      <c r="BG7" t="inlineStr">
        <is>
          <t>no</t>
        </is>
      </c>
      <c r="BK7">
        <f>IF(OR($H7&lt;&gt;"Human",$S7="",$J7="",$Y7="",$Z7=""),"",IF(EXACT(UPPER($J7),UPPER($Y7)),1,0))</f>
        <v/>
      </c>
      <c r="BL7" t="inlineStr">
        <is>
          <t>assumed - no rater record</t>
        </is>
      </c>
      <c r="BM7" t="n">
        <v>1</v>
      </c>
      <c r="BN7" t="inlineStr">
        <is>
          <t>S&amp;P Global Market Intelligence (Capital IQ)</t>
        </is>
      </c>
      <c r="BO7" t="inlineStr">
        <is>
          <t>licensed vendor</t>
        </is>
      </c>
      <c r="BP7" t="inlineStr">
        <is>
          <t>no</t>
        </is>
      </c>
      <c r="BQ7" t="inlineStr">
        <is>
          <t>no</t>
        </is>
      </c>
    </row>
    <row r="8" ht="16.35" customHeight="1">
      <c r="A8" s="95" t="inlineStr">
        <is>
          <t>Netflix</t>
        </is>
      </c>
      <c r="B8" s="96">
        <f>IF(A8="","",_xlfn.XLOOKUP(A8, Company_List!$A:$A, Company_List!$B:$B, ""))</f>
        <v/>
      </c>
      <c r="C8" s="21" t="n">
        <v>2025</v>
      </c>
      <c r="D8" s="20" t="inlineStr">
        <is>
          <t>Q2</t>
        </is>
      </c>
      <c r="E8" s="19" t="inlineStr">
        <is>
          <t>All</t>
        </is>
      </c>
      <c r="F8" s="19" t="inlineStr">
        <is>
          <t>All</t>
        </is>
      </c>
      <c r="G8" s="20" t="inlineStr">
        <is>
          <t>Meriem</t>
        </is>
      </c>
      <c r="H8" s="20" t="inlineStr">
        <is>
          <t>Human</t>
        </is>
      </c>
      <c r="I8" s="127" t="n">
        <v>0.7</v>
      </c>
      <c r="J8" s="145">
        <f>IF(OR(I8="",Settings!$B$6=""),"",IF(I8&gt;Settings!$B$6,"BUY",IF(I8&lt;-Settings!$B$6,"SELL","HOLD")))</f>
        <v/>
      </c>
      <c r="K8" s="139" t="n">
        <v>55</v>
      </c>
      <c r="L8" s="123" t="n">
        <v>45855</v>
      </c>
      <c r="M8" s="123" t="n">
        <v>45855</v>
      </c>
      <c r="N8" s="127" t="n">
        <v>127.42</v>
      </c>
      <c r="O8" s="123" t="n">
        <v>45856</v>
      </c>
      <c r="P8" s="22" t="n">
        <v>129.92</v>
      </c>
      <c r="Q8" s="148">
        <f>IF(OR(N8="",P8=""),"",ROUND((P8-N8)/N8,4))</f>
        <v/>
      </c>
      <c r="R8" s="20">
        <f>IF(OR(N8="",P8=""),"",IF(Q8&gt;Settings!$B$3/100,"UP",IF(Q8&lt;-Settings!$B$3/100,"DOWN","FLAT")))</f>
        <v/>
      </c>
      <c r="S8" s="20">
        <f>IF(OR(N8="",P8="",J8=""),"",IF(OR(AND(J8="BUY",R8="UP"),AND(J8="SELL",R8="DOWN"),AND(J8="HOLD",R8="FLAT")),"YES","NO"))</f>
        <v/>
      </c>
      <c r="T8" s="21">
        <f>IF(J8="","",IF(J8="BUY",1,IF(J8="SELL",-1,0)))</f>
        <v/>
      </c>
      <c r="U8" s="148">
        <f>IFERROR(IF(OR(J8="",N8="",P8=""),"",IF(T8=0,0,T8*Q8-Settings!$B$4/10000-IF(T8&lt;0,Settings!$B$5/10000,0))),"")</f>
        <v/>
      </c>
      <c r="V8" s="23" t="inlineStr">
        <is>
          <t xml:space="preserve"> </t>
        </is>
      </c>
      <c r="W8" s="21">
        <f>IF($K8="","",$K8*60)</f>
        <v/>
      </c>
      <c r="X8" s="91">
        <f>IF($A8="","",$A8&amp;"|"&amp;$C8&amp;"|"&amp;$D8)</f>
        <v/>
      </c>
      <c r="Y8" s="91">
        <f>IFERROR(IF($X8="","",INDEX(LLM_Data_Entry!$H$3:$H$548,MATCH($X8,INDEX(LLM_Data_Entry!$A$3:$A$548&amp;"|"&amp;LLM_Data_Entry!$C$3:$C$548&amp;"|"&amp;LLM_Data_Entry!$D$3:$D$548,0),0))),"")</f>
        <v/>
      </c>
      <c r="Z8" s="91">
        <f>IFERROR(IF($X8="","",INDEX(LLM_Data_Entry!$R$3:$R$548,MATCH($X8,INDEX(LLM_Data_Entry!$A$3:$A$548&amp;"|"&amp;LLM_Data_Entry!$C$3:$C$548&amp;"|"&amp;LLM_Data_Entry!$D$3:$D$548,0),0))),"")</f>
        <v/>
      </c>
      <c r="AB8" t="inlineStr">
        <is>
          <t>price signal — only this window shows an abnormal move</t>
        </is>
      </c>
      <c r="AC8" t="inlineStr">
        <is>
          <t>NFLX</t>
        </is>
      </c>
      <c r="AD8" t="inlineStr">
        <is>
          <t>2025-07-17</t>
        </is>
      </c>
      <c r="AE8" t="n">
        <v>127.417</v>
      </c>
      <c r="AF8" t="inlineStr">
        <is>
          <t>2025-07-18</t>
        </is>
      </c>
      <c r="AG8" t="n">
        <v>124.196</v>
      </c>
      <c r="AH8" t="n">
        <v>-0.02527920921070188</v>
      </c>
      <c r="AI8" t="inlineStr">
        <is>
          <t>DOWN</t>
        </is>
      </c>
      <c r="AJ8" t="inlineStr">
        <is>
          <t>NO</t>
        </is>
      </c>
      <c r="AK8" t="n">
        <v>-0.026279</v>
      </c>
      <c r="AL8">
        <f>IF($A8="","",IFERROR(INDEX(Company_List!$G$3:$G$207,MATCH($A8,Company_List!$A$3:$A$207,0)),"unassigned"))</f>
        <v/>
      </c>
      <c r="AM8" t="inlineStr">
        <is>
          <t>Phase 2/Netflix/2025-Q2/NFLX-2025-Q2-press-release-SEC-EX-99-1.htm</t>
        </is>
      </c>
      <c r="AN8" t="inlineStr">
        <is>
          <t>https://www.sec.gov/Archives/edgar/data/1065280/000106528025000322/ex991_q225.htm</t>
        </is>
      </c>
      <c r="AO8" t="inlineStr">
        <is>
          <t>manifest</t>
        </is>
      </c>
      <c r="AP8">
        <f>IF($A8="","",IF(COUNTIFS(LLM_Data_Entry!$A$3:$A$548,$A8)&gt;0,"YES","NO"))</f>
        <v/>
      </c>
      <c r="AQ8">
        <f>IF($A8="","",IF(COUNTIFS($A$3:$A8,$A8,$C$3:$C8,$C8,$D$3:$D8,$D8)=1,"YES","NO"))</f>
        <v/>
      </c>
      <c r="AR8">
        <f>IF($A8="","",IF(AND($C8&amp;"-"&amp;$D8&gt;=Settings!$B$19,$C8&amp;"-"&amp;$D8&lt;=Settings!$B$20),"IN","OUT"))</f>
        <v/>
      </c>
      <c r="AS8">
        <f>IF($A8="","",IF($F8="Financial Results","financials",IF($F8="Outlook/Guidance","guidance",IF($F8="Transcript Q&amp;A","qanda",IF($F8="","unrecorded",IF($E8="All","full",IF($E8="","unrecorded",LOWER($E8)&amp;" only")))))))</f>
        <v/>
      </c>
      <c r="AT8">
        <f>IF(AND(OR($J8="BUY",$J8="SELL"),ISNUMBER($U8)),$U8,"")</f>
        <v/>
      </c>
      <c r="AU8">
        <f>IF(AND(OR($J8="BUY",$J8="SELL"),ISNUMBER($AK8)),$AK8,"")</f>
        <v/>
      </c>
      <c r="AV8">
        <f>IF(ISNUMBER($AT8),ABS(IF(ISNUMBER($I8),$I8,0)-Settings!$B$24),"")</f>
        <v/>
      </c>
      <c r="AW8">
        <f>IF(ISNUMBER($AV8),$AV8*$AT8,"")</f>
        <v/>
      </c>
      <c r="AX8">
        <f>IF(ISNUMBER($AU8),ABS(IF(ISNUMBER($I8),$I8,0)-Settings!$B$24),"")</f>
        <v/>
      </c>
      <c r="AY8">
        <f>IF(ISNUMBER($AX8),$AX8*$AU8,"")</f>
        <v/>
      </c>
      <c r="AZ8">
        <f>IF($A8="","",IFERROR(INDEX(Company_List!$H$3:$H$207,MATCH($A8,Company_List!$A$3:$A$207,0)),"unassigned"))</f>
        <v/>
      </c>
      <c r="BC8">
        <f>IF($A8="","",IF(COUNTIFS($A$3:$A8,$A8,$C$3:$C8,$C8,$D$3:$D8,$D8,$G$3:$G8,$G8)=1,1,0))</f>
        <v/>
      </c>
      <c r="BG8" t="inlineStr">
        <is>
          <t>no</t>
        </is>
      </c>
      <c r="BK8">
        <f>IF(OR($H8&lt;&gt;"Human",$S8="",$J8="",$Y8="",$Z8=""),"",IF(EXACT(UPPER($J8),UPPER($Y8)),1,0))</f>
        <v/>
      </c>
      <c r="BL8" t="inlineStr">
        <is>
          <t>assumed - no rater record</t>
        </is>
      </c>
      <c r="BM8" t="n">
        <v>1</v>
      </c>
      <c r="BN8" t="inlineStr">
        <is>
          <t>not publisher-identified</t>
        </is>
      </c>
      <c r="BO8" t="inlineStr">
        <is>
          <t>not publisher-identified</t>
        </is>
      </c>
      <c r="BP8" t="inlineStr">
        <is>
          <t>no</t>
        </is>
      </c>
      <c r="BQ8" t="inlineStr">
        <is>
          <t>yes</t>
        </is>
      </c>
    </row>
    <row r="9" ht="16.35" customHeight="1">
      <c r="A9" s="95" t="inlineStr">
        <is>
          <t>Netflix</t>
        </is>
      </c>
      <c r="B9" s="96">
        <f>IF(A9="","",_xlfn.XLOOKUP(A9, Company_List!$A:$A, Company_List!$B:$B, ""))</f>
        <v/>
      </c>
      <c r="C9" s="21" t="n">
        <v>2025</v>
      </c>
      <c r="D9" s="20" t="inlineStr">
        <is>
          <t>Q3</t>
        </is>
      </c>
      <c r="E9" s="19" t="inlineStr">
        <is>
          <t>All</t>
        </is>
      </c>
      <c r="F9" s="19" t="inlineStr">
        <is>
          <t>All</t>
        </is>
      </c>
      <c r="G9" s="20" t="inlineStr">
        <is>
          <t>Meriem</t>
        </is>
      </c>
      <c r="H9" s="20" t="inlineStr">
        <is>
          <t>Human</t>
        </is>
      </c>
      <c r="I9" s="127" t="n">
        <v>-0.5</v>
      </c>
      <c r="J9" s="145">
        <f>IF(OR(I9="",Settings!$B$6=""),"",IF(I9&gt;Settings!$B$6,"BUY",IF(I9&lt;-Settings!$B$6,"SELL","HOLD")))</f>
        <v/>
      </c>
      <c r="K9" s="139" t="n">
        <v>38</v>
      </c>
      <c r="L9" s="123" t="n">
        <v>45951</v>
      </c>
      <c r="M9" s="123" t="n">
        <v>45951</v>
      </c>
      <c r="N9" s="127" t="n">
        <v>124.14</v>
      </c>
      <c r="O9" s="123" t="n">
        <v>45952</v>
      </c>
      <c r="P9" s="22" t="n">
        <v>114.29</v>
      </c>
      <c r="Q9" s="148">
        <f>IF(OR(N9="",P9=""),"",ROUND((P9-N9)/N9,4))</f>
        <v/>
      </c>
      <c r="R9" s="20">
        <f>IF(OR(N9="",P9=""),"",IF(Q9&gt;Settings!$B$3/100,"UP",IF(Q9&lt;-Settings!$B$3/100,"DOWN","FLAT")))</f>
        <v/>
      </c>
      <c r="S9" s="20">
        <f>IF(OR(N9="",P9="",J9=""),"",IF(OR(AND(J9="BUY",R9="UP"),AND(J9="SELL",R9="DOWN"),AND(J9="HOLD",R9="FLAT")),"YES","NO"))</f>
        <v/>
      </c>
      <c r="T9" s="21">
        <f>IF(J9="","",IF(J9="BUY",1,IF(J9="SELL",-1,0)))</f>
        <v/>
      </c>
      <c r="U9" s="148">
        <f>IFERROR(IF(OR(J9="",N9="",P9=""),"",IF(T9=0,0,T9*Q9-Settings!$B$4/10000-IF(T9&lt;0,Settings!$B$5/10000,0))),"")</f>
        <v/>
      </c>
      <c r="V9" s="23" t="n"/>
      <c r="W9" s="21">
        <f>IF($K9="","",$K9*60)</f>
        <v/>
      </c>
      <c r="X9" s="91">
        <f>IF($A9="","",$A9&amp;"|"&amp;$C9&amp;"|"&amp;$D9)</f>
        <v/>
      </c>
      <c r="Y9" s="91">
        <f>IFERROR(IF($X9="","",INDEX(LLM_Data_Entry!$H$3:$H$548,MATCH($X9,INDEX(LLM_Data_Entry!$A$3:$A$548&amp;"|"&amp;LLM_Data_Entry!$C$3:$C$548&amp;"|"&amp;LLM_Data_Entry!$D$3:$D$548,0),0))),"")</f>
        <v/>
      </c>
      <c r="Z9" s="91">
        <f>IFERROR(IF($X9="","",INDEX(LLM_Data_Entry!$R$3:$R$548,MATCH($X9,INDEX(LLM_Data_Entry!$A$3:$A$548&amp;"|"&amp;LLM_Data_Entry!$C$3:$C$548&amp;"|"&amp;LLM_Data_Entry!$D$3:$D$548,0),0))),"")</f>
        <v/>
      </c>
      <c r="AB9" t="inlineStr">
        <is>
          <t>release date + stated time in the document (rater worksheet)</t>
        </is>
      </c>
      <c r="AC9" t="inlineStr">
        <is>
          <t>NFLX</t>
        </is>
      </c>
      <c r="AD9" t="inlineStr">
        <is>
          <t>2025-10-21</t>
        </is>
      </c>
      <c r="AE9" t="n">
        <v>124.135</v>
      </c>
      <c r="AF9" t="inlineStr">
        <is>
          <t>2025-10-22</t>
        </is>
      </c>
      <c r="AG9" t="n">
        <v>114.29</v>
      </c>
      <c r="AH9" t="n">
        <v>-0.07930882379169744</v>
      </c>
      <c r="AI9" t="inlineStr">
        <is>
          <t>DOWN</t>
        </is>
      </c>
      <c r="AJ9" t="inlineStr">
        <is>
          <t>YES</t>
        </is>
      </c>
      <c r="AK9" t="n">
        <v>0.078309</v>
      </c>
      <c r="AL9">
        <f>IF($A9="","",IFERROR(INDEX(Company_List!$G$3:$G$207,MATCH($A9,Company_List!$A$3:$A$207,0)),"unassigned"))</f>
        <v/>
      </c>
      <c r="AM9" t="inlineStr">
        <is>
          <t>Phase 2/Netflix/2025-Q3/NFLX-2025-Q3-press-release-SEC-EX-99-1.htm</t>
        </is>
      </c>
      <c r="AN9" t="inlineStr">
        <is>
          <t>https://www.sec.gov/Archives/edgar/data/1065280/000106528025000404/ex991_q325.htm</t>
        </is>
      </c>
      <c r="AO9" t="inlineStr">
        <is>
          <t>manifest</t>
        </is>
      </c>
      <c r="AP9">
        <f>IF($A9="","",IF(COUNTIFS(LLM_Data_Entry!$A$3:$A$548,$A9)&gt;0,"YES","NO"))</f>
        <v/>
      </c>
      <c r="AQ9">
        <f>IF($A9="","",IF(COUNTIFS($A$3:$A9,$A9,$C$3:$C9,$C9,$D$3:$D9,$D9)=1,"YES","NO"))</f>
        <v/>
      </c>
      <c r="AR9">
        <f>IF($A9="","",IF(AND($C9&amp;"-"&amp;$D9&gt;=Settings!$B$19,$C9&amp;"-"&amp;$D9&lt;=Settings!$B$20),"IN","OUT"))</f>
        <v/>
      </c>
      <c r="AS9">
        <f>IF($A9="","",IF($F9="Financial Results","financials",IF($F9="Outlook/Guidance","guidance",IF($F9="Transcript Q&amp;A","qanda",IF($F9="","unrecorded",IF($E9="All","full",IF($E9="","unrecorded",LOWER($E9)&amp;" only")))))))</f>
        <v/>
      </c>
      <c r="AT9">
        <f>IF(AND(OR($J9="BUY",$J9="SELL"),ISNUMBER($U9)),$U9,"")</f>
        <v/>
      </c>
      <c r="AU9">
        <f>IF(AND(OR($J9="BUY",$J9="SELL"),ISNUMBER($AK9)),$AK9,"")</f>
        <v/>
      </c>
      <c r="AV9">
        <f>IF(ISNUMBER($AT9),ABS(IF(ISNUMBER($I9),$I9,0)-Settings!$B$24),"")</f>
        <v/>
      </c>
      <c r="AW9">
        <f>IF(ISNUMBER($AV9),$AV9*$AT9,"")</f>
        <v/>
      </c>
      <c r="AX9">
        <f>IF(ISNUMBER($AU9),ABS(IF(ISNUMBER($I9),$I9,0)-Settings!$B$24),"")</f>
        <v/>
      </c>
      <c r="AY9">
        <f>IF(ISNUMBER($AX9),$AX9*$AU9,"")</f>
        <v/>
      </c>
      <c r="AZ9">
        <f>IF($A9="","",IFERROR(INDEX(Company_List!$H$3:$H$207,MATCH($A9,Company_List!$A$3:$A$207,0)),"unassigned"))</f>
        <v/>
      </c>
      <c r="BC9">
        <f>IF($A9="","",IF(COUNTIFS($A$3:$A9,$A9,$C$3:$C9,$C9,$D$3:$D9,$D9,$G$3:$G9,$G9)=1,1,0))</f>
        <v/>
      </c>
      <c r="BG9" t="inlineStr">
        <is>
          <t>no</t>
        </is>
      </c>
      <c r="BK9">
        <f>IF(OR($H9&lt;&gt;"Human",$S9="",$J9="",$Y9="",$Z9=""),"",IF(EXACT(UPPER($J9),UPPER($Y9)),1,0))</f>
        <v/>
      </c>
      <c r="BL9" t="inlineStr">
        <is>
          <t>assumed - no rater record</t>
        </is>
      </c>
      <c r="BM9" t="n">
        <v>1</v>
      </c>
      <c r="BN9" t="inlineStr">
        <is>
          <t>not publisher-identified</t>
        </is>
      </c>
      <c r="BO9" t="inlineStr">
        <is>
          <t>not publisher-identified</t>
        </is>
      </c>
      <c r="BP9" t="inlineStr">
        <is>
          <t>no</t>
        </is>
      </c>
      <c r="BQ9" t="inlineStr">
        <is>
          <t>yes</t>
        </is>
      </c>
    </row>
    <row r="10" ht="16.35" customHeight="1">
      <c r="A10" s="95" t="inlineStr">
        <is>
          <t>Netflix</t>
        </is>
      </c>
      <c r="B10" s="96">
        <f>IF(A10="","",_xlfn.XLOOKUP(A10, Company_List!$A:$A, Company_List!$B:$B, ""))</f>
        <v/>
      </c>
      <c r="C10" s="21" t="n">
        <v>2025</v>
      </c>
      <c r="D10" s="20" t="inlineStr">
        <is>
          <t>Q4</t>
        </is>
      </c>
      <c r="E10" s="19" t="inlineStr">
        <is>
          <t>All</t>
        </is>
      </c>
      <c r="F10" s="19" t="inlineStr">
        <is>
          <t>All</t>
        </is>
      </c>
      <c r="G10" s="20" t="inlineStr">
        <is>
          <t>Meriem</t>
        </is>
      </c>
      <c r="H10" s="20" t="inlineStr">
        <is>
          <t>Human</t>
        </is>
      </c>
      <c r="I10" s="127" t="n">
        <v>0.2</v>
      </c>
      <c r="J10" s="145">
        <f>IF(OR(I10="",Settings!$B$6=""),"",IF(I10&gt;Settings!$B$6,"BUY",IF(I10&lt;-Settings!$B$6,"SELL","HOLD")))</f>
        <v/>
      </c>
      <c r="K10" s="139" t="n">
        <v>40</v>
      </c>
      <c r="L10" s="123" t="n">
        <v>46042</v>
      </c>
      <c r="M10" s="123" t="n">
        <v>46042</v>
      </c>
      <c r="N10" s="127" t="n">
        <v>87.26000000000001</v>
      </c>
      <c r="O10" s="123" t="n">
        <v>46043</v>
      </c>
      <c r="P10" s="22" t="n">
        <v>82.52</v>
      </c>
      <c r="Q10" s="148">
        <f>IF(OR(N10="",P10=""),"",ROUND((P10-N10)/N10,4))</f>
        <v/>
      </c>
      <c r="R10" s="20">
        <f>IF(OR(N10="",P10=""),"",IF(Q10&gt;Settings!$B$3/100,"UP",IF(Q10&lt;-Settings!$B$3/100,"DOWN","FLAT")))</f>
        <v/>
      </c>
      <c r="S10" s="20">
        <f>IF(OR(N10="",P10="",J10=""),"",IF(OR(AND(J10="BUY",R10="UP"),AND(J10="SELL",R10="DOWN"),AND(J10="HOLD",R10="FLAT")),"YES","NO"))</f>
        <v/>
      </c>
      <c r="T10" s="21">
        <f>IF(J10="","",IF(J10="BUY",1,IF(J10="SELL",-1,0)))</f>
        <v/>
      </c>
      <c r="U10" s="148">
        <f>IFERROR(IF(OR(J10="",N10="",P10=""),"",IF(T10=0,0,T10*Q10-Settings!$B$4/10000-IF(T10&lt;0,Settings!$B$5/10000,0))),"")</f>
        <v/>
      </c>
      <c r="V10" s="23" t="n"/>
      <c r="W10" s="21">
        <f>IF($K10="","",$K10*60)</f>
        <v/>
      </c>
      <c r="X10" s="91">
        <f>IF($A10="","",$A10&amp;"|"&amp;$C10&amp;"|"&amp;$D10)</f>
        <v/>
      </c>
      <c r="Y10" s="91">
        <f>IFERROR(IF($X10="","",INDEX(LLM_Data_Entry!$H$3:$H$548,MATCH($X10,INDEX(LLM_Data_Entry!$A$3:$A$548&amp;"|"&amp;LLM_Data_Entry!$C$3:$C$548&amp;"|"&amp;LLM_Data_Entry!$D$3:$D$548,0),0))),"")</f>
        <v/>
      </c>
      <c r="Z10" s="91">
        <f>IFERROR(IF($X10="","",INDEX(LLM_Data_Entry!$R$3:$R$548,MATCH($X10,INDEX(LLM_Data_Entry!$A$3:$A$548&amp;"|"&amp;LLM_Data_Entry!$C$3:$C$548&amp;"|"&amp;LLM_Data_Entry!$D$3:$D$548,0),0))),"")</f>
        <v/>
      </c>
      <c r="AB10" t="inlineStr">
        <is>
          <t>release date + stated time in the document (rater worksheet)</t>
        </is>
      </c>
      <c r="AC10" t="inlineStr">
        <is>
          <t>NFLX</t>
        </is>
      </c>
      <c r="AD10" t="inlineStr">
        <is>
          <t>2026-01-20</t>
        </is>
      </c>
      <c r="AE10" t="n">
        <v>87.26000000000001</v>
      </c>
      <c r="AF10" t="inlineStr">
        <is>
          <t>2026-01-21</t>
        </is>
      </c>
      <c r="AG10" t="n">
        <v>82.52</v>
      </c>
      <c r="AH10" t="n">
        <v>-0.05432047778316572</v>
      </c>
      <c r="AI10" t="inlineStr">
        <is>
          <t>DOWN</t>
        </is>
      </c>
      <c r="AJ10" t="inlineStr">
        <is>
          <t>NO</t>
        </is>
      </c>
      <c r="AK10" t="n">
        <v>0</v>
      </c>
      <c r="AL10">
        <f>IF($A10="","",IFERROR(INDEX(Company_List!$G$3:$G$207,MATCH($A10,Company_List!$A$3:$A$207,0)),"unassigned"))</f>
        <v/>
      </c>
      <c r="AM10" t="inlineStr">
        <is>
          <t>Phase 2/Netflix/2025-Q4/NFLX-2025-Q4-press-release-SEC-EX-99-1.htm</t>
        </is>
      </c>
      <c r="AN10" t="inlineStr">
        <is>
          <t>https://www.sec.gov/Archives/edgar/data/1065280/000106528026000033/ex991_q425.htm</t>
        </is>
      </c>
      <c r="AO10" t="inlineStr">
        <is>
          <t>manifest</t>
        </is>
      </c>
      <c r="AP10">
        <f>IF($A10="","",IF(COUNTIFS(LLM_Data_Entry!$A$3:$A$548,$A10)&gt;0,"YES","NO"))</f>
        <v/>
      </c>
      <c r="AQ10">
        <f>IF($A10="","",IF(COUNTIFS($A$3:$A10,$A10,$C$3:$C10,$C10,$D$3:$D10,$D10)=1,"YES","NO"))</f>
        <v/>
      </c>
      <c r="AR10">
        <f>IF($A10="","",IF(AND($C10&amp;"-"&amp;$D10&gt;=Settings!$B$19,$C10&amp;"-"&amp;$D10&lt;=Settings!$B$20),"IN","OUT"))</f>
        <v/>
      </c>
      <c r="AS10">
        <f>IF($A10="","",IF($F10="Financial Results","financials",IF($F10="Outlook/Guidance","guidance",IF($F10="Transcript Q&amp;A","qanda",IF($F10="","unrecorded",IF($E10="All","full",IF($E10="","unrecorded",LOWER($E10)&amp;" only")))))))</f>
        <v/>
      </c>
      <c r="AT10">
        <f>IF(AND(OR($J10="BUY",$J10="SELL"),ISNUMBER($U10)),$U10,"")</f>
        <v/>
      </c>
      <c r="AU10">
        <f>IF(AND(OR($J10="BUY",$J10="SELL"),ISNUMBER($AK10)),$AK10,"")</f>
        <v/>
      </c>
      <c r="AV10">
        <f>IF(ISNUMBER($AT10),ABS(IF(ISNUMBER($I10),$I10,0)-Settings!$B$24),"")</f>
        <v/>
      </c>
      <c r="AW10">
        <f>IF(ISNUMBER($AV10),$AV10*$AT10,"")</f>
        <v/>
      </c>
      <c r="AX10">
        <f>IF(ISNUMBER($AU10),ABS(IF(ISNUMBER($I10),$I10,0)-Settings!$B$24),"")</f>
        <v/>
      </c>
      <c r="AY10">
        <f>IF(ISNUMBER($AX10),$AX10*$AU10,"")</f>
        <v/>
      </c>
      <c r="AZ10">
        <f>IF($A10="","",IFERROR(INDEX(Company_List!$H$3:$H$207,MATCH($A10,Company_List!$A$3:$A$207,0)),"unassigned"))</f>
        <v/>
      </c>
      <c r="BC10">
        <f>IF($A10="","",IF(COUNTIFS($A$3:$A10,$A10,$C$3:$C10,$C10,$D$3:$D10,$D10,$G$3:$G10,$G10)=1,1,0))</f>
        <v/>
      </c>
      <c r="BG10" t="inlineStr">
        <is>
          <t>no</t>
        </is>
      </c>
      <c r="BK10">
        <f>IF(OR($H10&lt;&gt;"Human",$S10="",$J10="",$Y10="",$Z10=""),"",IF(EXACT(UPPER($J10),UPPER($Y10)),1,0))</f>
        <v/>
      </c>
      <c r="BL10" t="inlineStr">
        <is>
          <t>assumed - no rater record</t>
        </is>
      </c>
      <c r="BM10" t="n">
        <v>1</v>
      </c>
      <c r="BN10" t="inlineStr">
        <is>
          <t>not publisher-identified</t>
        </is>
      </c>
      <c r="BO10" t="inlineStr">
        <is>
          <t>not publisher-identified</t>
        </is>
      </c>
      <c r="BP10" t="inlineStr">
        <is>
          <t>no</t>
        </is>
      </c>
      <c r="BQ10" t="inlineStr">
        <is>
          <t>yes</t>
        </is>
      </c>
    </row>
    <row r="11" ht="16.35" customHeight="1">
      <c r="A11" s="95" t="inlineStr">
        <is>
          <t>Netflix</t>
        </is>
      </c>
      <c r="B11" s="96">
        <f>IF(A11="","",_xlfn.XLOOKUP(A11, Company_List!$A:$A, Company_List!$B:$B, ""))</f>
        <v/>
      </c>
      <c r="C11" s="21" t="n">
        <v>2025</v>
      </c>
      <c r="D11" s="20" t="inlineStr">
        <is>
          <t>Q1</t>
        </is>
      </c>
      <c r="E11" s="19" t="inlineStr">
        <is>
          <t>All</t>
        </is>
      </c>
      <c r="F11" s="19" t="inlineStr">
        <is>
          <t>All</t>
        </is>
      </c>
      <c r="G11" s="20" t="inlineStr">
        <is>
          <t>Dragos</t>
        </is>
      </c>
      <c r="H11" s="20" t="inlineStr">
        <is>
          <t>Human</t>
        </is>
      </c>
      <c r="I11" s="127" t="n">
        <v>0.65</v>
      </c>
      <c r="J11" s="145">
        <f>IF(OR(I11="",Settings!$B$6=""),"",IF(I11&gt;Settings!$B$6,"BUY",IF(I11&lt;-Settings!$B$6,"SELL","HOLD")))</f>
        <v/>
      </c>
      <c r="K11" s="139" t="n">
        <v>42</v>
      </c>
      <c r="L11" s="123" t="n">
        <v>45764</v>
      </c>
      <c r="M11" s="123" t="n">
        <v>45764</v>
      </c>
      <c r="N11" s="127" t="n">
        <v>97.3</v>
      </c>
      <c r="O11" s="123" t="n">
        <v>45768</v>
      </c>
      <c r="P11" s="22" t="n">
        <v>98.44</v>
      </c>
      <c r="Q11" s="148">
        <f>IF(OR(N11="",P11=""),"",ROUND((P11-N11)/N11,4))</f>
        <v/>
      </c>
      <c r="R11" s="20">
        <f>IF(OR(N11="",P11=""),"",IF(Q11&gt;Settings!$B$3/100,"UP",IF(Q11&lt;-Settings!$B$3/100,"DOWN","FLAT")))</f>
        <v/>
      </c>
      <c r="S11" s="20">
        <f>IF(OR(N11="",P11="",J11=""),"",IF(OR(AND(J11="BUY",R11="UP"),AND(J11="SELL",R11="DOWN"),AND(J11="HOLD",R11="FLAT")),"YES","NO"))</f>
        <v/>
      </c>
      <c r="T11" s="21">
        <f>IF(J11="","",IF(J11="BUY",1,IF(J11="SELL",-1,0)))</f>
        <v/>
      </c>
      <c r="U11" s="148">
        <f>IFERROR(IF(OR(J11="",N11="",P11=""),"",IF(T11=0,0,T11*Q11-Settings!$B$4/10000-IF(T11&lt;0,Settings!$B$5/10000,0))),"")</f>
        <v/>
      </c>
      <c r="V11" s="23" t="inlineStr">
        <is>
          <t>CORRECTION: replaces my existing row currently mislabeled '2025 Q4' (it holds this Q1 data). Clean beat, margin expansion, guide tracking above midpoint; valuation full. Sealed 29 Jun, ±1% band (correct under my sealed band).</t>
        </is>
      </c>
      <c r="W11" s="21">
        <f>IF($K11="","",$K11*60)</f>
        <v/>
      </c>
      <c r="X11" s="91">
        <f>IF($A11="","",$A11&amp;"|"&amp;$C11&amp;"|"&amp;$D11)</f>
        <v/>
      </c>
      <c r="Y11" s="91">
        <f>IFERROR(IF($X11="","",INDEX(LLM_Data_Entry!$H$3:$H$548,MATCH($X11,INDEX(LLM_Data_Entry!$A$3:$A$548&amp;"|"&amp;LLM_Data_Entry!$C$3:$C$548&amp;"|"&amp;LLM_Data_Entry!$D$3:$D$548,0),0))),"")</f>
        <v/>
      </c>
      <c r="Z11" s="91">
        <f>IFERROR(IF($X11="","",INDEX(LLM_Data_Entry!$R$3:$R$548,MATCH($X11,INDEX(LLM_Data_Entry!$A$3:$A$548&amp;"|"&amp;LLM_Data_Entry!$C$3:$C$548&amp;"|"&amp;LLM_Data_Entry!$D$3:$D$548,0),0))),"")</f>
        <v/>
      </c>
      <c r="AB11" t="inlineStr">
        <is>
          <t>release date + stated time in the document (rater worksheet)</t>
        </is>
      </c>
      <c r="AC11" t="inlineStr">
        <is>
          <t>NFLX</t>
        </is>
      </c>
      <c r="AD11" t="inlineStr">
        <is>
          <t>2025-04-17</t>
        </is>
      </c>
      <c r="AE11" t="n">
        <v>97.303</v>
      </c>
      <c r="AF11" t="inlineStr">
        <is>
          <t>2025-04-21</t>
        </is>
      </c>
      <c r="AG11" t="n">
        <v>98.44</v>
      </c>
      <c r="AH11" t="n">
        <v>0.01168515861088423</v>
      </c>
      <c r="AI11" t="inlineStr">
        <is>
          <t>FLAT</t>
        </is>
      </c>
      <c r="AJ11" t="inlineStr">
        <is>
          <t>NO</t>
        </is>
      </c>
      <c r="AK11" t="n">
        <v>0.010685</v>
      </c>
      <c r="AL11">
        <f>IF($A11="","",IFERROR(INDEX(Company_List!$G$3:$G$207,MATCH($A11,Company_List!$A$3:$A$207,0)),"unassigned"))</f>
        <v/>
      </c>
      <c r="AM11" t="inlineStr">
        <is>
          <t>Phase 2/Netflix/2025-Q1/NFLX-2025-Q1-press-release-SEC-EX-99-1.htm</t>
        </is>
      </c>
      <c r="AN11" t="inlineStr">
        <is>
          <t>https://www.sec.gov/Archives/edgar/data/1065280/000106528025000175/ex991_q125.htm</t>
        </is>
      </c>
      <c r="AO11" t="inlineStr">
        <is>
          <t>manifest</t>
        </is>
      </c>
      <c r="AP11">
        <f>IF($A11="","",IF(COUNTIFS(LLM_Data_Entry!$A$3:$A$548,$A11)&gt;0,"YES","NO"))</f>
        <v/>
      </c>
      <c r="AQ11">
        <f>IF($A11="","",IF(COUNTIFS($A$3:$A11,$A11,$C$3:$C11,$C11,$D$3:$D11,$D11)=1,"YES","NO"))</f>
        <v/>
      </c>
      <c r="AR11">
        <f>IF($A11="","",IF(AND($C11&amp;"-"&amp;$D11&gt;=Settings!$B$19,$C11&amp;"-"&amp;$D11&lt;=Settings!$B$20),"IN","OUT"))</f>
        <v/>
      </c>
      <c r="AS11">
        <f>IF($A11="","",IF($F11="Financial Results","financials",IF($F11="Outlook/Guidance","guidance",IF($F11="Transcript Q&amp;A","qanda",IF($F11="","unrecorded",IF($E11="All","full",IF($E11="","unrecorded",LOWER($E11)&amp;" only")))))))</f>
        <v/>
      </c>
      <c r="AT11">
        <f>IF(AND(OR($J11="BUY",$J11="SELL"),ISNUMBER($U11)),$U11,"")</f>
        <v/>
      </c>
      <c r="AU11">
        <f>IF(AND(OR($J11="BUY",$J11="SELL"),ISNUMBER($AK11)),$AK11,"")</f>
        <v/>
      </c>
      <c r="AV11">
        <f>IF(ISNUMBER($AT11),ABS(IF(ISNUMBER($I11),$I11,0)-Settings!$B$24),"")</f>
        <v/>
      </c>
      <c r="AW11">
        <f>IF(ISNUMBER($AV11),$AV11*$AT11,"")</f>
        <v/>
      </c>
      <c r="AX11">
        <f>IF(ISNUMBER($AU11),ABS(IF(ISNUMBER($I11),$I11,0)-Settings!$B$24),"")</f>
        <v/>
      </c>
      <c r="AY11">
        <f>IF(ISNUMBER($AX11),$AX11*$AU11,"")</f>
        <v/>
      </c>
      <c r="AZ11">
        <f>IF($A11="","",IFERROR(INDEX(Company_List!$H$3:$H$207,MATCH($A11,Company_List!$A$3:$A$207,0)),"unassigned"))</f>
        <v/>
      </c>
      <c r="BC11">
        <f>IF($A11="","",IF(COUNTIFS($A$3:$A11,$A11,$C$3:$C11,$C11,$D$3:$D11,$D11,$G$3:$G11,$G11)=1,1,0))</f>
        <v/>
      </c>
      <c r="BG11" t="inlineStr">
        <is>
          <t>no</t>
        </is>
      </c>
      <c r="BK11">
        <f>IF(OR($H11&lt;&gt;"Human",$S11="",$J11="",$Y11="",$Z11=""),"",IF(EXACT(UPPER($J11),UPPER($Y11)),1,0))</f>
        <v/>
      </c>
      <c r="BL11" t="inlineStr">
        <is>
          <t>assumed - no rater record</t>
        </is>
      </c>
      <c r="BM11" t="n">
        <v>1</v>
      </c>
      <c r="BN11" t="inlineStr">
        <is>
          <t>not publisher-identified</t>
        </is>
      </c>
      <c r="BO11" t="inlineStr">
        <is>
          <t>not publisher-identified</t>
        </is>
      </c>
      <c r="BP11" t="inlineStr">
        <is>
          <t>no</t>
        </is>
      </c>
      <c r="BQ11" t="inlineStr">
        <is>
          <t>yes</t>
        </is>
      </c>
    </row>
    <row r="12" ht="16.35" customHeight="1">
      <c r="A12" s="95" t="inlineStr">
        <is>
          <t>Netflix</t>
        </is>
      </c>
      <c r="B12" s="96">
        <f>IF(A12="","",_xlfn.XLOOKUP(A12, Company_List!$A:$A, Company_List!$B:$B, ""))</f>
        <v/>
      </c>
      <c r="C12" s="21" t="n">
        <v>2025</v>
      </c>
      <c r="D12" s="20" t="inlineStr">
        <is>
          <t>Q2</t>
        </is>
      </c>
      <c r="E12" s="19" t="inlineStr">
        <is>
          <t>All</t>
        </is>
      </c>
      <c r="F12" s="19" t="inlineStr">
        <is>
          <t>All</t>
        </is>
      </c>
      <c r="G12" s="20" t="inlineStr">
        <is>
          <t>Dragos</t>
        </is>
      </c>
      <c r="H12" s="20" t="inlineStr">
        <is>
          <t>Human</t>
        </is>
      </c>
      <c r="I12" s="127" t="n">
        <v>0.55</v>
      </c>
      <c r="J12" s="145">
        <f>IF(OR(I12="",Settings!$B$6=""),"",IF(I12&gt;Settings!$B$6,"BUY",IF(I12&lt;-Settings!$B$6,"SELL","HOLD")))</f>
        <v/>
      </c>
      <c r="K12" s="139" t="n">
        <v>38</v>
      </c>
      <c r="L12" s="123" t="n">
        <v>45855</v>
      </c>
      <c r="M12" s="123" t="n">
        <v>45855</v>
      </c>
      <c r="N12" s="127" t="n">
        <v>127.42</v>
      </c>
      <c r="O12" s="123" t="n">
        <v>45856</v>
      </c>
      <c r="P12" s="22" t="n">
        <v>124.2</v>
      </c>
      <c r="Q12" s="148">
        <f>IF(OR(N12="",P12=""),"",ROUND((P12-N12)/N12,4))</f>
        <v/>
      </c>
      <c r="R12" s="20">
        <f>IF(OR(N12="",P12=""),"",IF(Q12&gt;Settings!$B$3/100,"UP",IF(Q12&lt;-Settings!$B$3/100,"DOWN","FLAT")))</f>
        <v/>
      </c>
      <c r="S12" s="20">
        <f>IF(OR(N12="",P12="",J12=""),"",IF(OR(AND(J12="BUY",R12="UP"),AND(J12="SELL",R12="DOWN"),AND(J12="HOLD",R12="FLAT")),"YES","NO"))</f>
        <v/>
      </c>
      <c r="T12" s="21">
        <f>IF(J12="","",IF(J12="BUY",1,IF(J12="SELL",-1,0)))</f>
        <v/>
      </c>
      <c r="U12" s="148">
        <f>IFERROR(IF(OR(J12="",N12="",P12=""),"",IF(T12=0,0,T12*Q12-Settings!$B$4/10000-IF(T12&lt;0,Settings!$B$5/10000,0))),"")</f>
        <v/>
      </c>
      <c r="V12" s="23" t="inlineStr">
        <is>
          <t>Beat-and-raise but raise mostly FX; H2 margin step-down guided; stock priced for perfection. NOTE: my sealed next-day open is 124.20 (-2.53%); sheet's existing Q2 rows show 129.92 - flag to Anna/Ben.</t>
        </is>
      </c>
      <c r="W12" s="21">
        <f>IF($K12="","",$K12*60)</f>
        <v/>
      </c>
      <c r="X12" s="91">
        <f>IF($A12="","",$A12&amp;"|"&amp;$C12&amp;"|"&amp;$D12)</f>
        <v/>
      </c>
      <c r="Y12" s="91">
        <f>IFERROR(IF($X12="","",INDEX(LLM_Data_Entry!$H$3:$H$548,MATCH($X12,INDEX(LLM_Data_Entry!$A$3:$A$548&amp;"|"&amp;LLM_Data_Entry!$C$3:$C$548&amp;"|"&amp;LLM_Data_Entry!$D$3:$D$548,0),0))),"")</f>
        <v/>
      </c>
      <c r="Z12" s="91">
        <f>IFERROR(IF($X12="","",INDEX(LLM_Data_Entry!$R$3:$R$548,MATCH($X12,INDEX(LLM_Data_Entry!$A$3:$A$548&amp;"|"&amp;LLM_Data_Entry!$C$3:$C$548&amp;"|"&amp;LLM_Data_Entry!$D$3:$D$548,0),0))),"")</f>
        <v/>
      </c>
      <c r="AB12" t="inlineStr">
        <is>
          <t>price signal — only this window shows an abnormal move</t>
        </is>
      </c>
      <c r="AC12" t="inlineStr">
        <is>
          <t>NFLX</t>
        </is>
      </c>
      <c r="AD12" t="inlineStr">
        <is>
          <t>2025-07-17</t>
        </is>
      </c>
      <c r="AE12" t="n">
        <v>127.417</v>
      </c>
      <c r="AF12" t="inlineStr">
        <is>
          <t>2025-07-18</t>
        </is>
      </c>
      <c r="AG12" t="n">
        <v>124.196</v>
      </c>
      <c r="AH12" t="n">
        <v>-0.02527920921070188</v>
      </c>
      <c r="AI12" t="inlineStr">
        <is>
          <t>DOWN</t>
        </is>
      </c>
      <c r="AJ12" t="inlineStr">
        <is>
          <t>NO</t>
        </is>
      </c>
      <c r="AK12" t="n">
        <v>-0.026279</v>
      </c>
      <c r="AL12">
        <f>IF($A12="","",IFERROR(INDEX(Company_List!$G$3:$G$207,MATCH($A12,Company_List!$A$3:$A$207,0)),"unassigned"))</f>
        <v/>
      </c>
      <c r="AM12" t="inlineStr">
        <is>
          <t>Phase 2/Netflix/2025-Q2/NFLX-2025-Q2-press-release-SEC-EX-99-1.htm</t>
        </is>
      </c>
      <c r="AN12" t="inlineStr">
        <is>
          <t>https://www.sec.gov/Archives/edgar/data/1065280/000106528025000322/ex991_q225.htm</t>
        </is>
      </c>
      <c r="AO12" t="inlineStr">
        <is>
          <t>manifest</t>
        </is>
      </c>
      <c r="AP12">
        <f>IF($A12="","",IF(COUNTIFS(LLM_Data_Entry!$A$3:$A$548,$A12)&gt;0,"YES","NO"))</f>
        <v/>
      </c>
      <c r="AQ12">
        <f>IF($A12="","",IF(COUNTIFS($A$3:$A12,$A12,$C$3:$C12,$C12,$D$3:$D12,$D12)=1,"YES","NO"))</f>
        <v/>
      </c>
      <c r="AR12">
        <f>IF($A12="","",IF(AND($C12&amp;"-"&amp;$D12&gt;=Settings!$B$19,$C12&amp;"-"&amp;$D12&lt;=Settings!$B$20),"IN","OUT"))</f>
        <v/>
      </c>
      <c r="AS12">
        <f>IF($A12="","",IF($F12="Financial Results","financials",IF($F12="Outlook/Guidance","guidance",IF($F12="Transcript Q&amp;A","qanda",IF($F12="","unrecorded",IF($E12="All","full",IF($E12="","unrecorded",LOWER($E12)&amp;" only")))))))</f>
        <v/>
      </c>
      <c r="AT12">
        <f>IF(AND(OR($J12="BUY",$J12="SELL"),ISNUMBER($U12)),$U12,"")</f>
        <v/>
      </c>
      <c r="AU12">
        <f>IF(AND(OR($J12="BUY",$J12="SELL"),ISNUMBER($AK12)),$AK12,"")</f>
        <v/>
      </c>
      <c r="AV12">
        <f>IF(ISNUMBER($AT12),ABS(IF(ISNUMBER($I12),$I12,0)-Settings!$B$24),"")</f>
        <v/>
      </c>
      <c r="AW12">
        <f>IF(ISNUMBER($AV12),$AV12*$AT12,"")</f>
        <v/>
      </c>
      <c r="AX12">
        <f>IF(ISNUMBER($AU12),ABS(IF(ISNUMBER($I12),$I12,0)-Settings!$B$24),"")</f>
        <v/>
      </c>
      <c r="AY12">
        <f>IF(ISNUMBER($AX12),$AX12*$AU12,"")</f>
        <v/>
      </c>
      <c r="AZ12">
        <f>IF($A12="","",IFERROR(INDEX(Company_List!$H$3:$H$207,MATCH($A12,Company_List!$A$3:$A$207,0)),"unassigned"))</f>
        <v/>
      </c>
      <c r="BC12">
        <f>IF($A12="","",IF(COUNTIFS($A$3:$A12,$A12,$C$3:$C12,$C12,$D$3:$D12,$D12,$G$3:$G12,$G12)=1,1,0))</f>
        <v/>
      </c>
      <c r="BG12" t="inlineStr">
        <is>
          <t>no</t>
        </is>
      </c>
      <c r="BK12">
        <f>IF(OR($H12&lt;&gt;"Human",$S12="",$J12="",$Y12="",$Z12=""),"",IF(EXACT(UPPER($J12),UPPER($Y12)),1,0))</f>
        <v/>
      </c>
      <c r="BL12" t="inlineStr">
        <is>
          <t>attested - the note states the score was sealed</t>
        </is>
      </c>
      <c r="BM12" t="n">
        <v>1</v>
      </c>
      <c r="BN12" t="inlineStr">
        <is>
          <t>not publisher-identified</t>
        </is>
      </c>
      <c r="BO12" t="inlineStr">
        <is>
          <t>not publisher-identified</t>
        </is>
      </c>
      <c r="BP12" t="inlineStr">
        <is>
          <t>no</t>
        </is>
      </c>
      <c r="BQ12" t="inlineStr">
        <is>
          <t>yes</t>
        </is>
      </c>
    </row>
    <row r="13" ht="16.35" customHeight="1">
      <c r="A13" s="95" t="inlineStr">
        <is>
          <t>Netflix</t>
        </is>
      </c>
      <c r="B13" s="96">
        <f>IF(A13="","",_xlfn.XLOOKUP(A13, Company_List!$A:$A, Company_List!$B:$B, ""))</f>
        <v/>
      </c>
      <c r="C13" s="21" t="n">
        <v>2025</v>
      </c>
      <c r="D13" s="20" t="inlineStr">
        <is>
          <t>Q3</t>
        </is>
      </c>
      <c r="E13" s="19" t="inlineStr">
        <is>
          <t>All</t>
        </is>
      </c>
      <c r="F13" s="19" t="inlineStr">
        <is>
          <t>All</t>
        </is>
      </c>
      <c r="G13" s="20" t="inlineStr">
        <is>
          <t>Dragos</t>
        </is>
      </c>
      <c r="H13" s="20" t="inlineStr">
        <is>
          <t>Human</t>
        </is>
      </c>
      <c r="I13" s="127" t="n">
        <v>0.45</v>
      </c>
      <c r="J13" s="145">
        <f>IF(OR(I13="",Settings!$B$6=""),"",IF(I13&gt;Settings!$B$6,"BUY",IF(I13&lt;-Settings!$B$6,"SELL","HOLD")))</f>
        <v/>
      </c>
      <c r="K13" s="139" t="n">
        <v>55</v>
      </c>
      <c r="L13" s="123" t="n">
        <v>45951</v>
      </c>
      <c r="M13" s="123" t="n">
        <v>45951</v>
      </c>
      <c r="N13" s="127" t="n">
        <v>124.14</v>
      </c>
      <c r="O13" s="123" t="n">
        <v>45952</v>
      </c>
      <c r="P13" s="22" t="n">
        <v>114.29</v>
      </c>
      <c r="Q13" s="148">
        <f>IF(OR(N13="",P13=""),"",ROUND((P13-N13)/N13,4))</f>
        <v/>
      </c>
      <c r="R13" s="20">
        <f>IF(OR(N13="",P13=""),"",IF(Q13&gt;Settings!$B$3/100,"UP",IF(Q13&lt;-Settings!$B$3/100,"DOWN","FLAT")))</f>
        <v/>
      </c>
      <c r="S13" s="20">
        <f>IF(OR(N13="",P13="",J13=""),"",IF(OR(AND(J13="BUY",R13="UP"),AND(J13="SELL",R13="DOWN"),AND(J13="HOLD",R13="FLAT")),"YES","NO"))</f>
        <v/>
      </c>
      <c r="T13" s="21">
        <f>IF(J13="","",IF(J13="BUY",1,IF(J13="SELL",-1,0)))</f>
        <v/>
      </c>
      <c r="U13" s="148">
        <f>IFERROR(IF(OR(J13="",N13="",P13=""),"",IF(T13=0,0,T13*Q13-Settings!$B$4/10000-IF(T13&lt;0,Settings!$B$5/10000,0))),"")</f>
        <v/>
      </c>
      <c r="V13" s="23" t="inlineStr">
        <is>
          <t>Headline EPS miss (Brazil CIDE tax charge), guidance vacuum until January, rich valuation - sold first, reasoned later.</t>
        </is>
      </c>
      <c r="W13" s="21">
        <f>IF($K13="","",$K13*60)</f>
        <v/>
      </c>
      <c r="X13" s="91">
        <f>IF($A13="","",$A13&amp;"|"&amp;$C13&amp;"|"&amp;$D13)</f>
        <v/>
      </c>
      <c r="Y13" s="91">
        <f>IFERROR(IF($X13="","",INDEX(LLM_Data_Entry!$H$3:$H$548,MATCH($X13,INDEX(LLM_Data_Entry!$A$3:$A$548&amp;"|"&amp;LLM_Data_Entry!$C$3:$C$548&amp;"|"&amp;LLM_Data_Entry!$D$3:$D$548,0),0))),"")</f>
        <v/>
      </c>
      <c r="Z13" s="91">
        <f>IFERROR(IF($X13="","",INDEX(LLM_Data_Entry!$R$3:$R$548,MATCH($X13,INDEX(LLM_Data_Entry!$A$3:$A$548&amp;"|"&amp;LLM_Data_Entry!$C$3:$C$548&amp;"|"&amp;LLM_Data_Entry!$D$3:$D$548,0),0))),"")</f>
        <v/>
      </c>
      <c r="AB13" t="inlineStr">
        <is>
          <t>release date + stated time in the document (rater worksheet)</t>
        </is>
      </c>
      <c r="AC13" t="inlineStr">
        <is>
          <t>NFLX</t>
        </is>
      </c>
      <c r="AD13" t="inlineStr">
        <is>
          <t>2025-10-21</t>
        </is>
      </c>
      <c r="AE13" t="n">
        <v>124.135</v>
      </c>
      <c r="AF13" t="inlineStr">
        <is>
          <t>2025-10-22</t>
        </is>
      </c>
      <c r="AG13" t="n">
        <v>114.29</v>
      </c>
      <c r="AH13" t="n">
        <v>-0.07930882379169744</v>
      </c>
      <c r="AI13" t="inlineStr">
        <is>
          <t>DOWN</t>
        </is>
      </c>
      <c r="AJ13" t="inlineStr">
        <is>
          <t>NO</t>
        </is>
      </c>
      <c r="AK13" t="n">
        <v>-0.08030900000000001</v>
      </c>
      <c r="AL13">
        <f>IF($A13="","",IFERROR(INDEX(Company_List!$G$3:$G$207,MATCH($A13,Company_List!$A$3:$A$207,0)),"unassigned"))</f>
        <v/>
      </c>
      <c r="AM13" t="inlineStr">
        <is>
          <t>Phase 2/Netflix/2025-Q3/NFLX-2025-Q3-press-release-SEC-EX-99-1.htm</t>
        </is>
      </c>
      <c r="AN13" t="inlineStr">
        <is>
          <t>https://www.sec.gov/Archives/edgar/data/1065280/000106528025000404/ex991_q325.htm</t>
        </is>
      </c>
      <c r="AO13" t="inlineStr">
        <is>
          <t>manifest</t>
        </is>
      </c>
      <c r="AP13">
        <f>IF($A13="","",IF(COUNTIFS(LLM_Data_Entry!$A$3:$A$548,$A13)&gt;0,"YES","NO"))</f>
        <v/>
      </c>
      <c r="AQ13">
        <f>IF($A13="","",IF(COUNTIFS($A$3:$A13,$A13,$C$3:$C13,$C13,$D$3:$D13,$D13)=1,"YES","NO"))</f>
        <v/>
      </c>
      <c r="AR13">
        <f>IF($A13="","",IF(AND($C13&amp;"-"&amp;$D13&gt;=Settings!$B$19,$C13&amp;"-"&amp;$D13&lt;=Settings!$B$20),"IN","OUT"))</f>
        <v/>
      </c>
      <c r="AS13">
        <f>IF($A13="","",IF($F13="Financial Results","financials",IF($F13="Outlook/Guidance","guidance",IF($F13="Transcript Q&amp;A","qanda",IF($F13="","unrecorded",IF($E13="All","full",IF($E13="","unrecorded",LOWER($E13)&amp;" only")))))))</f>
        <v/>
      </c>
      <c r="AT13">
        <f>IF(AND(OR($J13="BUY",$J13="SELL"),ISNUMBER($U13)),$U13,"")</f>
        <v/>
      </c>
      <c r="AU13">
        <f>IF(AND(OR($J13="BUY",$J13="SELL"),ISNUMBER($AK13)),$AK13,"")</f>
        <v/>
      </c>
      <c r="AV13">
        <f>IF(ISNUMBER($AT13),ABS(IF(ISNUMBER($I13),$I13,0)-Settings!$B$24),"")</f>
        <v/>
      </c>
      <c r="AW13">
        <f>IF(ISNUMBER($AV13),$AV13*$AT13,"")</f>
        <v/>
      </c>
      <c r="AX13">
        <f>IF(ISNUMBER($AU13),ABS(IF(ISNUMBER($I13),$I13,0)-Settings!$B$24),"")</f>
        <v/>
      </c>
      <c r="AY13">
        <f>IF(ISNUMBER($AX13),$AX13*$AU13,"")</f>
        <v/>
      </c>
      <c r="AZ13">
        <f>IF($A13="","",IFERROR(INDEX(Company_List!$H$3:$H$207,MATCH($A13,Company_List!$A$3:$A$207,0)),"unassigned"))</f>
        <v/>
      </c>
      <c r="BC13">
        <f>IF($A13="","",IF(COUNTIFS($A$3:$A13,$A13,$C$3:$C13,$C13,$D$3:$D13,$D13,$G$3:$G13,$G13)=1,1,0))</f>
        <v/>
      </c>
      <c r="BG13" t="inlineStr">
        <is>
          <t>no</t>
        </is>
      </c>
      <c r="BK13">
        <f>IF(OR($H13&lt;&gt;"Human",$S13="",$J13="",$Y13="",$Z13=""),"",IF(EXACT(UPPER($J13),UPPER($Y13)),1,0))</f>
        <v/>
      </c>
      <c r="BL13" t="inlineStr">
        <is>
          <t>assumed - no rater record</t>
        </is>
      </c>
      <c r="BM13" t="n">
        <v>1</v>
      </c>
      <c r="BN13" t="inlineStr">
        <is>
          <t>not publisher-identified</t>
        </is>
      </c>
      <c r="BO13" t="inlineStr">
        <is>
          <t>not publisher-identified</t>
        </is>
      </c>
      <c r="BP13" t="inlineStr">
        <is>
          <t>no</t>
        </is>
      </c>
      <c r="BQ13" t="inlineStr">
        <is>
          <t>yes</t>
        </is>
      </c>
    </row>
    <row r="14" ht="16.35" customHeight="1">
      <c r="A14" s="95" t="inlineStr">
        <is>
          <t>Netflix</t>
        </is>
      </c>
      <c r="B14" s="96">
        <f>IF(A14="","",_xlfn.XLOOKUP(A14, Company_List!$A:$A, Company_List!$B:$B, ""))</f>
        <v/>
      </c>
      <c r="C14" s="21" t="n">
        <v>2025</v>
      </c>
      <c r="D14" s="20" t="inlineStr">
        <is>
          <t>Q4</t>
        </is>
      </c>
      <c r="E14" s="19" t="inlineStr">
        <is>
          <t>All</t>
        </is>
      </c>
      <c r="F14" s="19" t="inlineStr">
        <is>
          <t>All</t>
        </is>
      </c>
      <c r="G14" s="20" t="inlineStr">
        <is>
          <t>Dragos</t>
        </is>
      </c>
      <c r="H14" s="20" t="inlineStr">
        <is>
          <t>Human</t>
        </is>
      </c>
      <c r="I14" s="127" t="n">
        <v>0.6</v>
      </c>
      <c r="J14" s="145">
        <f>IF(OR(I14="",Settings!$B$6=""),"",IF(I14&gt;Settings!$B$6,"BUY",IF(I14&lt;-Settings!$B$6,"SELL","HOLD")))</f>
        <v/>
      </c>
      <c r="K14" s="139" t="n">
        <v>45</v>
      </c>
      <c r="L14" s="123" t="n">
        <v>46042</v>
      </c>
      <c r="M14" s="123" t="n">
        <v>46042</v>
      </c>
      <c r="N14" s="127" t="n">
        <v>87.26000000000001</v>
      </c>
      <c r="O14" s="123" t="n">
        <v>46043</v>
      </c>
      <c r="P14" s="22" t="n">
        <v>82.52</v>
      </c>
      <c r="Q14" s="148">
        <f>IF(OR(N14="",P14=""),"",ROUND((P14-N14)/N14,4))</f>
        <v/>
      </c>
      <c r="R14" s="20">
        <f>IF(OR(N14="",P14=""),"",IF(Q14&gt;Settings!$B$3/100,"UP",IF(Q14&lt;-Settings!$B$3/100,"DOWN","FLAT")))</f>
        <v/>
      </c>
      <c r="S14" s="20">
        <f>IF(OR(N14="",P14="",J14=""),"",IF(OR(AND(J14="BUY",R14="UP"),AND(J14="SELL",R14="DOWN"),AND(J14="HOLD",R14="FLAT")),"YES","NO"))</f>
        <v/>
      </c>
      <c r="T14" s="21">
        <f>IF(J14="","",IF(J14="BUY",1,IF(J14="SELL",-1,0)))</f>
        <v/>
      </c>
      <c r="U14" s="148">
        <f>IFERROR(IF(OR(J14="",N14="",P14=""),"",IF(T14=0,0,T14*Q14-Settings!$B$4/10000-IF(T14&lt;0,Settings!$B$5/10000,0))),"")</f>
        <v/>
      </c>
      <c r="V14" s="23" t="inlineStr">
        <is>
          <t>Clean beat + $51B 2026 guide, but growth decelerating 16%-&gt;14% and WBD deal overhang; I under-weighted the forward risk.</t>
        </is>
      </c>
      <c r="W14" s="21">
        <f>IF($K14="","",$K14*60)</f>
        <v/>
      </c>
      <c r="X14" s="91">
        <f>IF($A14="","",$A14&amp;"|"&amp;$C14&amp;"|"&amp;$D14)</f>
        <v/>
      </c>
      <c r="Y14" s="91">
        <f>IFERROR(IF($X14="","",INDEX(LLM_Data_Entry!$H$3:$H$548,MATCH($X14,INDEX(LLM_Data_Entry!$A$3:$A$548&amp;"|"&amp;LLM_Data_Entry!$C$3:$C$548&amp;"|"&amp;LLM_Data_Entry!$D$3:$D$548,0),0))),"")</f>
        <v/>
      </c>
      <c r="Z14" s="91">
        <f>IFERROR(IF($X14="","",INDEX(LLM_Data_Entry!$R$3:$R$548,MATCH($X14,INDEX(LLM_Data_Entry!$A$3:$A$548&amp;"|"&amp;LLM_Data_Entry!$C$3:$C$548&amp;"|"&amp;LLM_Data_Entry!$D$3:$D$548,0),0))),"")</f>
        <v/>
      </c>
      <c r="AB14" t="inlineStr">
        <is>
          <t>release date + stated time in the document (rater worksheet)</t>
        </is>
      </c>
      <c r="AC14" t="inlineStr">
        <is>
          <t>NFLX</t>
        </is>
      </c>
      <c r="AD14" t="inlineStr">
        <is>
          <t>2026-01-20</t>
        </is>
      </c>
      <c r="AE14" t="n">
        <v>87.26000000000001</v>
      </c>
      <c r="AF14" t="inlineStr">
        <is>
          <t>2026-01-21</t>
        </is>
      </c>
      <c r="AG14" t="n">
        <v>82.52</v>
      </c>
      <c r="AH14" t="n">
        <v>-0.05432047778316572</v>
      </c>
      <c r="AI14" t="inlineStr">
        <is>
          <t>DOWN</t>
        </is>
      </c>
      <c r="AJ14" t="inlineStr">
        <is>
          <t>NO</t>
        </is>
      </c>
      <c r="AK14" t="n">
        <v>-0.05532</v>
      </c>
      <c r="AL14">
        <f>IF($A14="","",IFERROR(INDEX(Company_List!$G$3:$G$207,MATCH($A14,Company_List!$A$3:$A$207,0)),"unassigned"))</f>
        <v/>
      </c>
      <c r="AM14" t="inlineStr">
        <is>
          <t>Phase 2/Netflix/2025-Q4/NFLX-2025-Q4-press-release-SEC-EX-99-1.htm</t>
        </is>
      </c>
      <c r="AN14" t="inlineStr">
        <is>
          <t>https://www.sec.gov/Archives/edgar/data/1065280/000106528026000033/ex991_q425.htm</t>
        </is>
      </c>
      <c r="AO14" t="inlineStr">
        <is>
          <t>manifest</t>
        </is>
      </c>
      <c r="AP14">
        <f>IF($A14="","",IF(COUNTIFS(LLM_Data_Entry!$A$3:$A$548,$A14)&gt;0,"YES","NO"))</f>
        <v/>
      </c>
      <c r="AQ14">
        <f>IF($A14="","",IF(COUNTIFS($A$3:$A14,$A14,$C$3:$C14,$C14,$D$3:$D14,$D14)=1,"YES","NO"))</f>
        <v/>
      </c>
      <c r="AR14">
        <f>IF($A14="","",IF(AND($C14&amp;"-"&amp;$D14&gt;=Settings!$B$19,$C14&amp;"-"&amp;$D14&lt;=Settings!$B$20),"IN","OUT"))</f>
        <v/>
      </c>
      <c r="AS14">
        <f>IF($A14="","",IF($F14="Financial Results","financials",IF($F14="Outlook/Guidance","guidance",IF($F14="Transcript Q&amp;A","qanda",IF($F14="","unrecorded",IF($E14="All","full",IF($E14="","unrecorded",LOWER($E14)&amp;" only")))))))</f>
        <v/>
      </c>
      <c r="AT14">
        <f>IF(AND(OR($J14="BUY",$J14="SELL"),ISNUMBER($U14)),$U14,"")</f>
        <v/>
      </c>
      <c r="AU14">
        <f>IF(AND(OR($J14="BUY",$J14="SELL"),ISNUMBER($AK14)),$AK14,"")</f>
        <v/>
      </c>
      <c r="AV14">
        <f>IF(ISNUMBER($AT14),ABS(IF(ISNUMBER($I14),$I14,0)-Settings!$B$24),"")</f>
        <v/>
      </c>
      <c r="AW14">
        <f>IF(ISNUMBER($AV14),$AV14*$AT14,"")</f>
        <v/>
      </c>
      <c r="AX14">
        <f>IF(ISNUMBER($AU14),ABS(IF(ISNUMBER($I14),$I14,0)-Settings!$B$24),"")</f>
        <v/>
      </c>
      <c r="AY14">
        <f>IF(ISNUMBER($AX14),$AX14*$AU14,"")</f>
        <v/>
      </c>
      <c r="AZ14">
        <f>IF($A14="","",IFERROR(INDEX(Company_List!$H$3:$H$207,MATCH($A14,Company_List!$A$3:$A$207,0)),"unassigned"))</f>
        <v/>
      </c>
      <c r="BC14">
        <f>IF($A14="","",IF(COUNTIFS($A$3:$A14,$A14,$C$3:$C14,$C14,$D$3:$D14,$D14,$G$3:$G14,$G14)=1,1,0))</f>
        <v/>
      </c>
      <c r="BG14" t="inlineStr">
        <is>
          <t>no</t>
        </is>
      </c>
      <c r="BK14">
        <f>IF(OR($H14&lt;&gt;"Human",$S14="",$J14="",$Y14="",$Z14=""),"",IF(EXACT(UPPER($J14),UPPER($Y14)),1,0))</f>
        <v/>
      </c>
      <c r="BL14" t="inlineStr">
        <is>
          <t>assumed - no rater record</t>
        </is>
      </c>
      <c r="BM14" t="n">
        <v>1</v>
      </c>
      <c r="BN14" t="inlineStr">
        <is>
          <t>not publisher-identified</t>
        </is>
      </c>
      <c r="BO14" t="inlineStr">
        <is>
          <t>not publisher-identified</t>
        </is>
      </c>
      <c r="BP14" t="inlineStr">
        <is>
          <t>no</t>
        </is>
      </c>
      <c r="BQ14" t="inlineStr">
        <is>
          <t>yes</t>
        </is>
      </c>
    </row>
    <row r="15" ht="16.35" customHeight="1">
      <c r="A15" s="95" t="inlineStr">
        <is>
          <t>Nvidia</t>
        </is>
      </c>
      <c r="B15" s="96">
        <f>IF(A15="","",_xlfn.XLOOKUP(A15, Company_List!$A:$A, Company_List!$B:$B, ""))</f>
        <v/>
      </c>
      <c r="C15" s="21" t="n">
        <v>2025</v>
      </c>
      <c r="D15" s="20" t="inlineStr">
        <is>
          <t>Q1</t>
        </is>
      </c>
      <c r="E15" s="19" t="inlineStr">
        <is>
          <t>All</t>
        </is>
      </c>
      <c r="F15" s="19" t="inlineStr">
        <is>
          <t>All</t>
        </is>
      </c>
      <c r="G15" s="20" t="inlineStr">
        <is>
          <t>Dragos</t>
        </is>
      </c>
      <c r="H15" s="20" t="inlineStr">
        <is>
          <t>Human</t>
        </is>
      </c>
      <c r="I15" s="127" t="n">
        <v>0.55</v>
      </c>
      <c r="J15" s="145">
        <f>IF(OR(I15="",Settings!$B$6=""),"",IF(I15&gt;Settings!$B$6,"BUY",IF(I15&lt;-Settings!$B$6,"SELL","HOLD")))</f>
        <v/>
      </c>
      <c r="K15" s="139" t="n">
        <v>50</v>
      </c>
      <c r="L15" s="123" t="n">
        <v>45714</v>
      </c>
      <c r="M15" s="123" t="n">
        <v>45714</v>
      </c>
      <c r="N15" s="127" t="n">
        <v>131.28</v>
      </c>
      <c r="O15" s="123" t="n">
        <v>45715</v>
      </c>
      <c r="P15" s="22" t="n">
        <v>135</v>
      </c>
      <c r="Q15" s="148">
        <f>IF(OR(N15="",P15=""),"",ROUND((P15-N15)/N15,4))</f>
        <v/>
      </c>
      <c r="R15" s="20">
        <f>IF(OR(N15="",P15=""),"",IF(Q15&gt;Settings!$B$3/100,"UP",IF(Q15&lt;-Settings!$B$3/100,"DOWN","FLAT")))</f>
        <v/>
      </c>
      <c r="S15" s="20">
        <f>IF(OR(N15="",P15="",J15=""),"",IF(OR(AND(J15="BUY",R15="UP"),AND(J15="SELL",R15="DOWN"),AND(J15="HOLD",R15="FLAT")),"YES","NO"))</f>
        <v/>
      </c>
      <c r="T15" s="21">
        <f>IF(J15="","",IF(J15="BUY",1,IF(J15="SELL",-1,0)))</f>
        <v/>
      </c>
      <c r="U15" s="148">
        <f>IFERROR(IF(OR(J15="",N15="",P15=""),"",IF(T15=0,0,T15*Q15-Settings!$B$4/10000-IF(T15&lt;0,Settings!$B$5/10000,0))),"")</f>
        <v/>
      </c>
      <c r="V15" s="23" t="inlineStr">
        <is>
          <t>NVIDIA fiscal Q4 FY25, released 26 Feb 2025 (calendar label by release date). Beat on every line but margin-trough guide (71%), growth 262%-&gt;65%, tariffs unknown. Opened +2.8% then closed -8.5% - overnight window called it BUY.</t>
        </is>
      </c>
      <c r="W15" s="21">
        <f>IF($K15="","",$K15*60)</f>
        <v/>
      </c>
      <c r="X15" s="91">
        <f>IF($A15="","",$A15&amp;"|"&amp;$C15&amp;"|"&amp;$D15)</f>
        <v/>
      </c>
      <c r="Y15" s="91">
        <f>IFERROR(IF($X15="","",INDEX(LLM_Data_Entry!$H$3:$H$548,MATCH($X15,INDEX(LLM_Data_Entry!$A$3:$A$548&amp;"|"&amp;LLM_Data_Entry!$C$3:$C$548&amp;"|"&amp;LLM_Data_Entry!$D$3:$D$548,0),0))),"")</f>
        <v/>
      </c>
      <c r="Z15" s="91">
        <f>IFERROR(IF($X15="","",INDEX(LLM_Data_Entry!$R$3:$R$548,MATCH($X15,INDEX(LLM_Data_Entry!$A$3:$A$548&amp;"|"&amp;LLM_Data_Entry!$C$3:$C$548&amp;"|"&amp;LLM_Data_Entry!$D$3:$D$548,0),0))),"")</f>
        <v/>
      </c>
      <c r="AB15" t="inlineStr">
        <is>
          <t>release date + stated time in the document (rater worksheet)</t>
        </is>
      </c>
      <c r="AC15" t="inlineStr">
        <is>
          <t>NVDA</t>
        </is>
      </c>
      <c r="AD15" t="inlineStr">
        <is>
          <t>2025-02-26</t>
        </is>
      </c>
      <c r="AE15" t="n">
        <v>131.0842</v>
      </c>
      <c r="AF15" t="inlineStr">
        <is>
          <t>2025-02-27</t>
        </is>
      </c>
      <c r="AG15" t="n">
        <v>134.7987</v>
      </c>
      <c r="AH15" t="n">
        <v>0.0283364750524236</v>
      </c>
      <c r="AI15" t="inlineStr">
        <is>
          <t>UP</t>
        </is>
      </c>
      <c r="AJ15" t="inlineStr">
        <is>
          <t>YES</t>
        </is>
      </c>
      <c r="AK15" t="n">
        <v>0.027336</v>
      </c>
      <c r="AL15">
        <f>IF($A15="","",IFERROR(INDEX(Company_List!$G$3:$G$207,MATCH($A15,Company_List!$A$3:$A$207,0)),"unassigned"))</f>
        <v/>
      </c>
      <c r="AM15"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O15" t="inlineStr">
        <is>
          <t>whole bundle (Document = All)</t>
        </is>
      </c>
      <c r="AP15">
        <f>IF($A15="","",IF(COUNTIFS(LLM_Data_Entry!$A$3:$A$548,$A15)&gt;0,"YES","NO"))</f>
        <v/>
      </c>
      <c r="AQ15">
        <f>IF($A15="","",IF(COUNTIFS($A$3:$A15,$A15,$C$3:$C15,$C15,$D$3:$D15,$D15)=1,"YES","NO"))</f>
        <v/>
      </c>
      <c r="AR15">
        <f>IF($A15="","",IF(AND($C15&amp;"-"&amp;$D15&gt;=Settings!$B$19,$C15&amp;"-"&amp;$D15&lt;=Settings!$B$20),"IN","OUT"))</f>
        <v/>
      </c>
      <c r="AS15">
        <f>IF($A15="","",IF($F15="Financial Results","financials",IF($F15="Outlook/Guidance","guidance",IF($F15="Transcript Q&amp;A","qanda",IF($F15="","unrecorded",IF($E15="All","full",IF($E15="","unrecorded",LOWER($E15)&amp;" only")))))))</f>
        <v/>
      </c>
      <c r="AT15">
        <f>IF(AND(OR($J15="BUY",$J15="SELL"),ISNUMBER($U15)),$U15,"")</f>
        <v/>
      </c>
      <c r="AU15">
        <f>IF(AND(OR($J15="BUY",$J15="SELL"),ISNUMBER($AK15)),$AK15,"")</f>
        <v/>
      </c>
      <c r="AV15">
        <f>IF(ISNUMBER($AT15),ABS(IF(ISNUMBER($I15),$I15,0)-Settings!$B$24),"")</f>
        <v/>
      </c>
      <c r="AW15">
        <f>IF(ISNUMBER($AV15),$AV15*$AT15,"")</f>
        <v/>
      </c>
      <c r="AX15">
        <f>IF(ISNUMBER($AU15),ABS(IF(ISNUMBER($I15),$I15,0)-Settings!$B$24),"")</f>
        <v/>
      </c>
      <c r="AY15">
        <f>IF(ISNUMBER($AX15),$AX15*$AU15,"")</f>
        <v/>
      </c>
      <c r="AZ15">
        <f>IF($A15="","",IFERROR(INDEX(Company_List!$H$3:$H$207,MATCH($A15,Company_List!$A$3:$A$207,0)),"unassigned"))</f>
        <v/>
      </c>
      <c r="BC15">
        <f>IF($A15="","",IF(COUNTIFS($A$3:$A15,$A15,$C$3:$C15,$C15,$D$3:$D15,$D15,$G$3:$G15,$G15)=1,1,0))</f>
        <v/>
      </c>
      <c r="BG15" t="inlineStr">
        <is>
          <t>no</t>
        </is>
      </c>
      <c r="BK15">
        <f>IF(OR($H15&lt;&gt;"Human",$S15="",$J15="",$Y15="",$Z15=""),"",IF(EXACT(UPPER($J15),UPPER($Y15)),1,0))</f>
        <v/>
      </c>
      <c r="BL15" t="inlineStr">
        <is>
          <t>assumed - blind unless stated otherwise; the note names the realised move (query E-a, settled 10 Aug 2026)</t>
        </is>
      </c>
      <c r="BM15" t="n">
        <v>6</v>
      </c>
      <c r="BN15" t="inlineStr">
        <is>
          <t>The Motley Fool</t>
        </is>
      </c>
      <c r="BO15" t="inlineStr">
        <is>
          <t>free to read, copyright asserted</t>
        </is>
      </c>
      <c r="BP15" t="inlineStr">
        <is>
          <t>no</t>
        </is>
      </c>
      <c r="BQ15" t="inlineStr">
        <is>
          <t>yes</t>
        </is>
      </c>
    </row>
    <row r="16" ht="16.35" customHeight="1">
      <c r="A16" s="95" t="inlineStr">
        <is>
          <t>Nvidia</t>
        </is>
      </c>
      <c r="B16" s="96">
        <f>IF(A16="","",_xlfn.XLOOKUP(A16, Company_List!$A:$A, Company_List!$B:$B, ""))</f>
        <v/>
      </c>
      <c r="C16" s="21" t="n">
        <v>2025</v>
      </c>
      <c r="D16" s="20" t="inlineStr">
        <is>
          <t>Q2</t>
        </is>
      </c>
      <c r="E16" s="19" t="inlineStr">
        <is>
          <t>All</t>
        </is>
      </c>
      <c r="F16" s="19" t="inlineStr">
        <is>
          <t>All</t>
        </is>
      </c>
      <c r="G16" s="20" t="inlineStr">
        <is>
          <t>Dragos</t>
        </is>
      </c>
      <c r="H16" s="20" t="inlineStr">
        <is>
          <t>Human</t>
        </is>
      </c>
      <c r="I16" s="127" t="n">
        <v>0.35</v>
      </c>
      <c r="J16" s="145">
        <f>IF(OR(I16="",Settings!$B$6=""),"",IF(I16&gt;Settings!$B$6,"BUY",IF(I16&lt;-Settings!$B$6,"SELL","HOLD")))</f>
        <v/>
      </c>
      <c r="K16" s="139" t="n">
        <v>48</v>
      </c>
      <c r="L16" s="123" t="n">
        <v>45805</v>
      </c>
      <c r="M16" s="123" t="n">
        <v>45805</v>
      </c>
      <c r="N16" s="127" t="n">
        <v>134.81</v>
      </c>
      <c r="O16" s="123" t="n">
        <v>45806</v>
      </c>
      <c r="P16" s="22" t="n">
        <v>142.25</v>
      </c>
      <c r="Q16" s="148">
        <f>IF(OR(N16="",P16=""),"",ROUND((P16-N16)/N16,4))</f>
        <v/>
      </c>
      <c r="R16" s="20">
        <f>IF(OR(N16="",P16=""),"",IF(Q16&gt;Settings!$B$3/100,"UP",IF(Q16&lt;-Settings!$B$3/100,"DOWN","FLAT")))</f>
        <v/>
      </c>
      <c r="S16" s="20">
        <f>IF(OR(N16="",P16="",J16=""),"",IF(OR(AND(J16="BUY",R16="UP"),AND(J16="SELL",R16="DOWN"),AND(J16="HOLD",R16="FLAT")),"YES","NO"))</f>
        <v/>
      </c>
      <c r="T16" s="21">
        <f>IF(J16="","",IF(J16="BUY",1,IF(J16="SELL",-1,0)))</f>
        <v/>
      </c>
      <c r="U16" s="148">
        <f>IFERROR(IF(OR(J16="",N16="",P16=""),"",IF(T16=0,0,T16*Q16-Settings!$B$4/10000-IF(T16&lt;0,Settings!$B$5/10000,0))),"")</f>
        <v/>
      </c>
      <c r="V16" s="23" t="inlineStr">
        <is>
          <t>NVIDIA fiscal Q1 FY26, released 28 May 2025. Ugly headline (China/H20 charge) but underlying demand intact; market looked through it.</t>
        </is>
      </c>
      <c r="W16" s="21">
        <f>IF($K16="","",$K16*60)</f>
        <v/>
      </c>
      <c r="X16" s="91">
        <f>IF($A16="","",$A16&amp;"|"&amp;$C16&amp;"|"&amp;$D16)</f>
        <v/>
      </c>
      <c r="Y16" s="91">
        <f>IFERROR(IF($X16="","",INDEX(LLM_Data_Entry!$H$3:$H$548,MATCH($X16,INDEX(LLM_Data_Entry!$A$3:$A$548&amp;"|"&amp;LLM_Data_Entry!$C$3:$C$548&amp;"|"&amp;LLM_Data_Entry!$D$3:$D$548,0),0))),"")</f>
        <v/>
      </c>
      <c r="Z16" s="91">
        <f>IFERROR(IF($X16="","",INDEX(LLM_Data_Entry!$R$3:$R$548,MATCH($X16,INDEX(LLM_Data_Entry!$A$3:$A$548&amp;"|"&amp;LLM_Data_Entry!$C$3:$C$548&amp;"|"&amp;LLM_Data_Entry!$D$3:$D$548,0),0))),"")</f>
        <v/>
      </c>
      <c r="AB16" t="inlineStr">
        <is>
          <t>release date + stated time in the document (rater worksheet)</t>
        </is>
      </c>
      <c r="AC16" t="inlineStr">
        <is>
          <t>NVDA</t>
        </is>
      </c>
      <c r="AD16" t="inlineStr">
        <is>
          <t>2025-05-28</t>
        </is>
      </c>
      <c r="AE16" t="n">
        <v>134.6213</v>
      </c>
      <c r="AF16" t="inlineStr">
        <is>
          <t>2025-05-29</t>
        </is>
      </c>
      <c r="AG16" t="n">
        <v>142.0509</v>
      </c>
      <c r="AH16" t="n">
        <v>0.05518877406876717</v>
      </c>
      <c r="AI16" t="inlineStr">
        <is>
          <t>UP</t>
        </is>
      </c>
      <c r="AJ16" t="inlineStr">
        <is>
          <t>YES</t>
        </is>
      </c>
      <c r="AK16" t="n">
        <v>0.054189</v>
      </c>
      <c r="AL16">
        <f>IF($A16="","",IFERROR(INDEX(Company_List!$G$3:$G$207,MATCH($A16,Company_List!$A$3:$A$207,0)),"unassigned"))</f>
        <v/>
      </c>
      <c r="AM16"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O16" t="inlineStr">
        <is>
          <t>whole bundle (Document = All)</t>
        </is>
      </c>
      <c r="AP16">
        <f>IF($A16="","",IF(COUNTIFS(LLM_Data_Entry!$A$3:$A$548,$A16)&gt;0,"YES","NO"))</f>
        <v/>
      </c>
      <c r="AQ16">
        <f>IF($A16="","",IF(COUNTIFS($A$3:$A16,$A16,$C$3:$C16,$C16,$D$3:$D16,$D16)=1,"YES","NO"))</f>
        <v/>
      </c>
      <c r="AR16">
        <f>IF($A16="","",IF(AND($C16&amp;"-"&amp;$D16&gt;=Settings!$B$19,$C16&amp;"-"&amp;$D16&lt;=Settings!$B$20),"IN","OUT"))</f>
        <v/>
      </c>
      <c r="AS16">
        <f>IF($A16="","",IF($F16="Financial Results","financials",IF($F16="Outlook/Guidance","guidance",IF($F16="Transcript Q&amp;A","qanda",IF($F16="","unrecorded",IF($E16="All","full",IF($E16="","unrecorded",LOWER($E16)&amp;" only")))))))</f>
        <v/>
      </c>
      <c r="AT16">
        <f>IF(AND(OR($J16="BUY",$J16="SELL"),ISNUMBER($U16)),$U16,"")</f>
        <v/>
      </c>
      <c r="AU16">
        <f>IF(AND(OR($J16="BUY",$J16="SELL"),ISNUMBER($AK16)),$AK16,"")</f>
        <v/>
      </c>
      <c r="AV16">
        <f>IF(ISNUMBER($AT16),ABS(IF(ISNUMBER($I16),$I16,0)-Settings!$B$24),"")</f>
        <v/>
      </c>
      <c r="AW16">
        <f>IF(ISNUMBER($AV16),$AV16*$AT16,"")</f>
        <v/>
      </c>
      <c r="AX16">
        <f>IF(ISNUMBER($AU16),ABS(IF(ISNUMBER($I16),$I16,0)-Settings!$B$24),"")</f>
        <v/>
      </c>
      <c r="AY16">
        <f>IF(ISNUMBER($AX16),$AX16*$AU16,"")</f>
        <v/>
      </c>
      <c r="AZ16">
        <f>IF($A16="","",IFERROR(INDEX(Company_List!$H$3:$H$207,MATCH($A16,Company_List!$A$3:$A$207,0)),"unassigned"))</f>
        <v/>
      </c>
      <c r="BC16">
        <f>IF($A16="","",IF(COUNTIFS($A$3:$A16,$A16,$C$3:$C16,$C16,$D$3:$D16,$D16,$G$3:$G16,$G16)=1,1,0))</f>
        <v/>
      </c>
      <c r="BG16" t="inlineStr">
        <is>
          <t>no</t>
        </is>
      </c>
      <c r="BK16">
        <f>IF(OR($H16&lt;&gt;"Human",$S16="",$J16="",$Y16="",$Z16=""),"",IF(EXACT(UPPER($J16),UPPER($Y16)),1,0))</f>
        <v/>
      </c>
      <c r="BL16" t="inlineStr">
        <is>
          <t>assumed - no rater record</t>
        </is>
      </c>
      <c r="BM16" t="n">
        <v>6</v>
      </c>
      <c r="BN16" t="inlineStr">
        <is>
          <t>not publisher-identified</t>
        </is>
      </c>
      <c r="BO16" t="inlineStr">
        <is>
          <t>not publisher-identified</t>
        </is>
      </c>
      <c r="BP16" t="inlineStr">
        <is>
          <t>no</t>
        </is>
      </c>
      <c r="BQ16" t="inlineStr">
        <is>
          <t>yes</t>
        </is>
      </c>
    </row>
    <row r="17" ht="16.35" customHeight="1">
      <c r="A17" s="95" t="inlineStr">
        <is>
          <t>Nvidia</t>
        </is>
      </c>
      <c r="B17" s="96">
        <f>IF(A17="","",_xlfn.XLOOKUP(A17, Company_List!$A:$A, Company_List!$B:$B, ""))</f>
        <v/>
      </c>
      <c r="C17" s="21" t="n">
        <v>2025</v>
      </c>
      <c r="D17" s="20" t="inlineStr">
        <is>
          <t>Q3</t>
        </is>
      </c>
      <c r="E17" s="19" t="inlineStr">
        <is>
          <t>All</t>
        </is>
      </c>
      <c r="F17" s="19" t="inlineStr">
        <is>
          <t>All</t>
        </is>
      </c>
      <c r="G17" s="20" t="inlineStr">
        <is>
          <t>Dragos</t>
        </is>
      </c>
      <c r="H17" s="20" t="inlineStr">
        <is>
          <t>Human</t>
        </is>
      </c>
      <c r="I17" s="127" t="n">
        <v>0.6</v>
      </c>
      <c r="J17" s="145">
        <f>IF(OR(I17="",Settings!$B$6=""),"",IF(I17&gt;Settings!$B$6,"BUY",IF(I17&lt;-Settings!$B$6,"SELL","HOLD")))</f>
        <v/>
      </c>
      <c r="K17" s="139" t="n">
        <v>40</v>
      </c>
      <c r="L17" s="123" t="n">
        <v>45896</v>
      </c>
      <c r="M17" s="123" t="n">
        <v>45896</v>
      </c>
      <c r="N17" s="127" t="n">
        <v>181.6</v>
      </c>
      <c r="O17" s="123" t="n">
        <v>45897</v>
      </c>
      <c r="P17" s="22" t="n">
        <v>180.82</v>
      </c>
      <c r="Q17" s="148">
        <f>IF(OR(N17="",P17=""),"",ROUND((P17-N17)/N17,4))</f>
        <v/>
      </c>
      <c r="R17" s="20">
        <f>IF(OR(N17="",P17=""),"",IF(Q17&gt;Settings!$B$3/100,"UP",IF(Q17&lt;-Settings!$B$3/100,"DOWN","FLAT")))</f>
        <v/>
      </c>
      <c r="S17" s="20">
        <f>IF(OR(N17="",P17="",J17=""),"",IF(OR(AND(J17="BUY",R17="UP"),AND(J17="SELL",R17="DOWN"),AND(J17="HOLD",R17="FLAT")),"YES","NO"))</f>
        <v/>
      </c>
      <c r="T17" s="21">
        <f>IF(J17="","",IF(J17="BUY",1,IF(J17="SELL",-1,0)))</f>
        <v/>
      </c>
      <c r="U17" s="148">
        <f>IFERROR(IF(OR(J17="",N17="",P17=""),"",IF(T17=0,0,T17*Q17-Settings!$B$4/10000-IF(T17&lt;0,Settings!$B$5/10000,0))),"")</f>
        <v/>
      </c>
      <c r="V17" s="23" t="inlineStr">
        <is>
          <t>NVIDIA fiscal Q2 FY26, released 27 Aug 2025. Strong records but reaction flat (-0.43%) - correct call was HOLD.</t>
        </is>
      </c>
      <c r="W17" s="21">
        <f>IF($K17="","",$K17*60)</f>
        <v/>
      </c>
      <c r="X17" s="91">
        <f>IF($A17="","",$A17&amp;"|"&amp;$C17&amp;"|"&amp;$D17)</f>
        <v/>
      </c>
      <c r="Y17" s="91">
        <f>IFERROR(IF($X17="","",INDEX(LLM_Data_Entry!$H$3:$H$548,MATCH($X17,INDEX(LLM_Data_Entry!$A$3:$A$548&amp;"|"&amp;LLM_Data_Entry!$C$3:$C$548&amp;"|"&amp;LLM_Data_Entry!$D$3:$D$548,0),0))),"")</f>
        <v/>
      </c>
      <c r="Z17" s="91">
        <f>IFERROR(IF($X17="","",INDEX(LLM_Data_Entry!$R$3:$R$548,MATCH($X17,INDEX(LLM_Data_Entry!$A$3:$A$548&amp;"|"&amp;LLM_Data_Entry!$C$3:$C$548&amp;"|"&amp;LLM_Data_Entry!$D$3:$D$548,0),0))),"")</f>
        <v/>
      </c>
      <c r="AB17" t="inlineStr">
        <is>
          <t>release date + stated time in the document (rater worksheet)</t>
        </is>
      </c>
      <c r="AC17" t="inlineStr">
        <is>
          <t>NVDA</t>
        </is>
      </c>
      <c r="AD17" t="inlineStr">
        <is>
          <t>2025-08-27</t>
        </is>
      </c>
      <c r="AE17" t="n">
        <v>181.3585</v>
      </c>
      <c r="AF17" t="inlineStr">
        <is>
          <t>2025-08-28</t>
        </is>
      </c>
      <c r="AG17" t="n">
        <v>180.5795</v>
      </c>
      <c r="AH17" t="n">
        <v>-0.004295198674112745</v>
      </c>
      <c r="AI17" t="inlineStr">
        <is>
          <t>FLAT</t>
        </is>
      </c>
      <c r="AJ17" t="inlineStr">
        <is>
          <t>NO</t>
        </is>
      </c>
      <c r="AK17" t="n">
        <v>-0.005295</v>
      </c>
      <c r="AL17">
        <f>IF($A17="","",IFERROR(INDEX(Company_List!$G$3:$G$207,MATCH($A17,Company_List!$A$3:$A$207,0)),"unassigned"))</f>
        <v/>
      </c>
      <c r="AM17"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O17" t="inlineStr">
        <is>
          <t>whole bundle (Document = All)</t>
        </is>
      </c>
      <c r="AP17">
        <f>IF($A17="","",IF(COUNTIFS(LLM_Data_Entry!$A$3:$A$548,$A17)&gt;0,"YES","NO"))</f>
        <v/>
      </c>
      <c r="AQ17">
        <f>IF($A17="","",IF(COUNTIFS($A$3:$A17,$A17,$C$3:$C17,$C17,$D$3:$D17,$D17)=1,"YES","NO"))</f>
        <v/>
      </c>
      <c r="AR17">
        <f>IF($A17="","",IF(AND($C17&amp;"-"&amp;$D17&gt;=Settings!$B$19,$C17&amp;"-"&amp;$D17&lt;=Settings!$B$20),"IN","OUT"))</f>
        <v/>
      </c>
      <c r="AS17">
        <f>IF($A17="","",IF($F17="Financial Results","financials",IF($F17="Outlook/Guidance","guidance",IF($F17="Transcript Q&amp;A","qanda",IF($F17="","unrecorded",IF($E17="All","full",IF($E17="","unrecorded",LOWER($E17)&amp;" only")))))))</f>
        <v/>
      </c>
      <c r="AT17">
        <f>IF(AND(OR($J17="BUY",$J17="SELL"),ISNUMBER($U17)),$U17,"")</f>
        <v/>
      </c>
      <c r="AU17">
        <f>IF(AND(OR($J17="BUY",$J17="SELL"),ISNUMBER($AK17)),$AK17,"")</f>
        <v/>
      </c>
      <c r="AV17">
        <f>IF(ISNUMBER($AT17),ABS(IF(ISNUMBER($I17),$I17,0)-Settings!$B$24),"")</f>
        <v/>
      </c>
      <c r="AW17">
        <f>IF(ISNUMBER($AV17),$AV17*$AT17,"")</f>
        <v/>
      </c>
      <c r="AX17">
        <f>IF(ISNUMBER($AU17),ABS(IF(ISNUMBER($I17),$I17,0)-Settings!$B$24),"")</f>
        <v/>
      </c>
      <c r="AY17">
        <f>IF(ISNUMBER($AX17),$AX17*$AU17,"")</f>
        <v/>
      </c>
      <c r="AZ17">
        <f>IF($A17="","",IFERROR(INDEX(Company_List!$H$3:$H$207,MATCH($A17,Company_List!$A$3:$A$207,0)),"unassigned"))</f>
        <v/>
      </c>
      <c r="BC17">
        <f>IF($A17="","",IF(COUNTIFS($A$3:$A17,$A17,$C$3:$C17,$C17,$D$3:$D17,$D17,$G$3:$G17,$G17)=1,1,0))</f>
        <v/>
      </c>
      <c r="BG17" t="inlineStr">
        <is>
          <t>no</t>
        </is>
      </c>
      <c r="BK17">
        <f>IF(OR($H17&lt;&gt;"Human",$S17="",$J17="",$Y17="",$Z17=""),"",IF(EXACT(UPPER($J17),UPPER($Y17)),1,0))</f>
        <v/>
      </c>
      <c r="BL17" t="inlineStr">
        <is>
          <t>assumed - blind unless stated otherwise; the note names the realised move (query E-a, settled 10 Aug 2026)</t>
        </is>
      </c>
      <c r="BM17" t="n">
        <v>6</v>
      </c>
      <c r="BN17" t="inlineStr">
        <is>
          <t>The Motley Fool</t>
        </is>
      </c>
      <c r="BO17" t="inlineStr">
        <is>
          <t>free to read, copyright asserted</t>
        </is>
      </c>
      <c r="BP17" t="inlineStr">
        <is>
          <t>no</t>
        </is>
      </c>
      <c r="BQ17" t="inlineStr">
        <is>
          <t>yes</t>
        </is>
      </c>
    </row>
    <row r="18" ht="16.35" customHeight="1">
      <c r="A18" s="95" t="inlineStr">
        <is>
          <t>Nvidia</t>
        </is>
      </c>
      <c r="B18" s="96">
        <f>IF(A18="","",_xlfn.XLOOKUP(A18, Company_List!$A:$A, Company_List!$B:$B, ""))</f>
        <v/>
      </c>
      <c r="C18" s="21" t="n">
        <v>2025</v>
      </c>
      <c r="D18" s="20" t="inlineStr">
        <is>
          <t>Q4</t>
        </is>
      </c>
      <c r="E18" s="19" t="inlineStr">
        <is>
          <t>All</t>
        </is>
      </c>
      <c r="F18" s="19" t="inlineStr">
        <is>
          <t>All</t>
        </is>
      </c>
      <c r="G18" s="20" t="inlineStr">
        <is>
          <t>Dragos</t>
        </is>
      </c>
      <c r="H18" s="20" t="inlineStr">
        <is>
          <t>Human</t>
        </is>
      </c>
      <c r="I18" s="127" t="n">
        <v>0.75</v>
      </c>
      <c r="J18" s="145">
        <f>IF(OR(I18="",Settings!$B$6=""),"",IF(I18&gt;Settings!$B$6,"BUY",IF(I18&lt;-Settings!$B$6,"SELL","HOLD")))</f>
        <v/>
      </c>
      <c r="K18" s="139" t="n">
        <v>44</v>
      </c>
      <c r="L18" s="123" t="n">
        <v>45980</v>
      </c>
      <c r="M18" s="123" t="n">
        <v>45980</v>
      </c>
      <c r="N18" s="127" t="n">
        <v>186.52</v>
      </c>
      <c r="O18" s="123" t="n">
        <v>45981</v>
      </c>
      <c r="P18" s="22" t="n">
        <v>195.95</v>
      </c>
      <c r="Q18" s="148">
        <f>IF(OR(N18="",P18=""),"",ROUND((P18-N18)/N18,4))</f>
        <v/>
      </c>
      <c r="R18" s="20">
        <f>IF(OR(N18="",P18=""),"",IF(Q18&gt;Settings!$B$3/100,"UP",IF(Q18&lt;-Settings!$B$3/100,"DOWN","FLAT")))</f>
        <v/>
      </c>
      <c r="S18" s="20">
        <f>IF(OR(N18="",P18="",J18=""),"",IF(OR(AND(J18="BUY",R18="UP"),AND(J18="SELL",R18="DOWN"),AND(J18="HOLD",R18="FLAT")),"YES","NO"))</f>
        <v/>
      </c>
      <c r="T18" s="21">
        <f>IF(J18="","",IF(J18="BUY",1,IF(J18="SELL",-1,0)))</f>
        <v/>
      </c>
      <c r="U18" s="148">
        <f>IFERROR(IF(OR(J18="",N18="",P18=""),"",IF(T18=0,0,T18*Q18-Settings!$B$4/10000-IF(T18&lt;0,Settings!$B$5/10000,0))),"")</f>
        <v/>
      </c>
      <c r="V18" s="23" t="inlineStr">
        <is>
          <t>NVIDIA fiscal Q3 FY26, released 19 Nov 2025. Strongest print of the four; +5.1% overnight.</t>
        </is>
      </c>
      <c r="W18" s="21">
        <f>IF($K18="","",$K18*60)</f>
        <v/>
      </c>
      <c r="X18" s="91">
        <f>IF($A18="","",$A18&amp;"|"&amp;$C18&amp;"|"&amp;$D18)</f>
        <v/>
      </c>
      <c r="Y18" s="91">
        <f>IFERROR(IF($X18="","",INDEX(LLM_Data_Entry!$H$3:$H$548,MATCH($X18,INDEX(LLM_Data_Entry!$A$3:$A$548&amp;"|"&amp;LLM_Data_Entry!$C$3:$C$548&amp;"|"&amp;LLM_Data_Entry!$D$3:$D$548,0),0))),"")</f>
        <v/>
      </c>
      <c r="Z18" s="91">
        <f>IFERROR(IF($X18="","",INDEX(LLM_Data_Entry!$R$3:$R$548,MATCH($X18,INDEX(LLM_Data_Entry!$A$3:$A$548&amp;"|"&amp;LLM_Data_Entry!$C$3:$C$548&amp;"|"&amp;LLM_Data_Entry!$D$3:$D$548,0),0))),"")</f>
        <v/>
      </c>
      <c r="AB18" t="inlineStr">
        <is>
          <t>release date + stated time in the document (rater worksheet)</t>
        </is>
      </c>
      <c r="AC18" t="inlineStr">
        <is>
          <t>NVDA</t>
        </is>
      </c>
      <c r="AD18" t="inlineStr">
        <is>
          <t>2025-11-19</t>
        </is>
      </c>
      <c r="AE18" t="n">
        <v>186.2824</v>
      </c>
      <c r="AF18" t="inlineStr">
        <is>
          <t>2025-11-20</t>
        </is>
      </c>
      <c r="AG18" t="n">
        <v>195.7004</v>
      </c>
      <c r="AH18" t="n">
        <v>0.0505575533934741</v>
      </c>
      <c r="AI18" t="inlineStr">
        <is>
          <t>UP</t>
        </is>
      </c>
      <c r="AJ18" t="inlineStr">
        <is>
          <t>YES</t>
        </is>
      </c>
      <c r="AK18" t="n">
        <v>0.049558</v>
      </c>
      <c r="AL18">
        <f>IF($A18="","",IFERROR(INDEX(Company_List!$G$3:$G$207,MATCH($A18,Company_List!$A$3:$A$207,0)),"unassigned"))</f>
        <v/>
      </c>
      <c r="AM18"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O18" t="inlineStr">
        <is>
          <t>whole bundle (Document = All)</t>
        </is>
      </c>
      <c r="AP18">
        <f>IF($A18="","",IF(COUNTIFS(LLM_Data_Entry!$A$3:$A$548,$A18)&gt;0,"YES","NO"))</f>
        <v/>
      </c>
      <c r="AQ18">
        <f>IF($A18="","",IF(COUNTIFS($A$3:$A18,$A18,$C$3:$C18,$C18,$D$3:$D18,$D18)=1,"YES","NO"))</f>
        <v/>
      </c>
      <c r="AR18">
        <f>IF($A18="","",IF(AND($C18&amp;"-"&amp;$D18&gt;=Settings!$B$19,$C18&amp;"-"&amp;$D18&lt;=Settings!$B$20),"IN","OUT"))</f>
        <v/>
      </c>
      <c r="AS18">
        <f>IF($A18="","",IF($F18="Financial Results","financials",IF($F18="Outlook/Guidance","guidance",IF($F18="Transcript Q&amp;A","qanda",IF($F18="","unrecorded",IF($E18="All","full",IF($E18="","unrecorded",LOWER($E18)&amp;" only")))))))</f>
        <v/>
      </c>
      <c r="AT18">
        <f>IF(AND(OR($J18="BUY",$J18="SELL"),ISNUMBER($U18)),$U18,"")</f>
        <v/>
      </c>
      <c r="AU18">
        <f>IF(AND(OR($J18="BUY",$J18="SELL"),ISNUMBER($AK18)),$AK18,"")</f>
        <v/>
      </c>
      <c r="AV18">
        <f>IF(ISNUMBER($AT18),ABS(IF(ISNUMBER($I18),$I18,0)-Settings!$B$24),"")</f>
        <v/>
      </c>
      <c r="AW18">
        <f>IF(ISNUMBER($AV18),$AV18*$AT18,"")</f>
        <v/>
      </c>
      <c r="AX18">
        <f>IF(ISNUMBER($AU18),ABS(IF(ISNUMBER($I18),$I18,0)-Settings!$B$24),"")</f>
        <v/>
      </c>
      <c r="AY18">
        <f>IF(ISNUMBER($AX18),$AX18*$AU18,"")</f>
        <v/>
      </c>
      <c r="AZ18">
        <f>IF($A18="","",IFERROR(INDEX(Company_List!$H$3:$H$207,MATCH($A18,Company_List!$A$3:$A$207,0)),"unassigned"))</f>
        <v/>
      </c>
      <c r="BC18">
        <f>IF($A18="","",IF(COUNTIFS($A$3:$A18,$A18,$C$3:$C18,$C18,$D$3:$D18,$D18,$G$3:$G18,$G18)=1,1,0))</f>
        <v/>
      </c>
      <c r="BG18" t="inlineStr">
        <is>
          <t>no</t>
        </is>
      </c>
      <c r="BK18">
        <f>IF(OR($H18&lt;&gt;"Human",$S18="",$J18="",$Y18="",$Z18=""),"",IF(EXACT(UPPER($J18),UPPER($Y18)),1,0))</f>
        <v/>
      </c>
      <c r="BL18" t="inlineStr">
        <is>
          <t>assumed - no rater record</t>
        </is>
      </c>
      <c r="BM18" t="n">
        <v>6</v>
      </c>
      <c r="BN18" t="inlineStr">
        <is>
          <t>The Motley Fool</t>
        </is>
      </c>
      <c r="BO18" t="inlineStr">
        <is>
          <t>free to read, copyright asserted</t>
        </is>
      </c>
      <c r="BP18" t="inlineStr">
        <is>
          <t>no</t>
        </is>
      </c>
      <c r="BQ18" t="inlineStr">
        <is>
          <t>yes</t>
        </is>
      </c>
    </row>
    <row r="19" ht="16.35" customHeight="1">
      <c r="A19" s="95" t="inlineStr">
        <is>
          <t>Boeing</t>
        </is>
      </c>
      <c r="B19" s="96">
        <f>IF(A19="","",_xlfn.XLOOKUP(A19, Company_List!$A:$A, Company_List!$B:$B, ""))</f>
        <v/>
      </c>
      <c r="C19" s="21" t="n">
        <v>2025</v>
      </c>
      <c r="D19" s="20" t="inlineStr">
        <is>
          <t>Q1</t>
        </is>
      </c>
      <c r="E19" s="19" t="inlineStr">
        <is>
          <t>All</t>
        </is>
      </c>
      <c r="F19" s="19" t="inlineStr">
        <is>
          <t>All</t>
        </is>
      </c>
      <c r="G19" s="20" t="inlineStr">
        <is>
          <t>Nigel</t>
        </is>
      </c>
      <c r="H19" s="20" t="inlineStr">
        <is>
          <t>Human</t>
        </is>
      </c>
      <c r="I19" s="127" t="n">
        <v>-0.5</v>
      </c>
      <c r="J19" s="145">
        <f>IF(OR(I19="",Settings!$B$6=""),"",IF(I19&gt;Settings!$B$6,"BUY",IF(I19&lt;-Settings!$B$6,"SELL","HOLD")))</f>
        <v/>
      </c>
      <c r="K19" s="139" t="n">
        <v>32</v>
      </c>
      <c r="L19" s="123" t="n">
        <v>45770</v>
      </c>
      <c r="M19" s="123" t="n">
        <v>45770</v>
      </c>
      <c r="N19" s="127" t="n">
        <v>172.37</v>
      </c>
      <c r="O19" s="123" t="n">
        <v>45771</v>
      </c>
      <c r="P19" s="22" t="n">
        <v>171.2</v>
      </c>
      <c r="Q19" s="148">
        <f>IF(OR(N19="",P19=""),"",ROUND((P19-N19)/N19,4))</f>
        <v/>
      </c>
      <c r="R19" s="20">
        <f>IF(OR(N19="",P19=""),"",IF(Q19&gt;Settings!$B$3/100,"UP",IF(Q19&lt;-Settings!$B$3/100,"DOWN","FLAT")))</f>
        <v/>
      </c>
      <c r="S19" s="20">
        <f>IF(OR(N19="",P19="",J19=""),"",IF(OR(AND(J19="BUY",R19="UP"),AND(J19="SELL",R19="DOWN"),AND(J19="HOLD",R19="FLAT")),"YES","NO"))</f>
        <v/>
      </c>
      <c r="T19" s="21">
        <f>IF(J19="","",IF(J19="BUY",1,IF(J19="SELL",-1,0)))</f>
        <v/>
      </c>
      <c r="U19" s="148">
        <f>IFERROR(IF(OR(J19="",N19="",P19=""),"",IF(T19=0,0,T19*Q19-Settings!$B$4/10000-IF(T19&lt;0,Settings!$B$5/10000,0))),"")</f>
        <v/>
      </c>
      <c r="V19" s="15" t="inlineStr">
        <is>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is>
      </c>
      <c r="W19" s="21">
        <f>IF($K19="","",$K19*60)</f>
        <v/>
      </c>
      <c r="X19" s="91">
        <f>IF($A19="","",$A19&amp;"|"&amp;$C19&amp;"|"&amp;$D19)</f>
        <v/>
      </c>
      <c r="Y19" s="91">
        <f>IFERROR(IF($X19="","",INDEX(LLM_Data_Entry!$H$3:$H$548,MATCH($X19,INDEX(LLM_Data_Entry!$A$3:$A$548&amp;"|"&amp;LLM_Data_Entry!$C$3:$C$548&amp;"|"&amp;LLM_Data_Entry!$D$3:$D$548,0),0))),"")</f>
        <v/>
      </c>
      <c r="Z19" s="91">
        <f>IFERROR(IF($X19="","",INDEX(LLM_Data_Entry!$R$3:$R$548,MATCH($X19,INDEX(LLM_Data_Entry!$A$3:$A$548&amp;"|"&amp;LLM_Data_Entry!$C$3:$C$548&amp;"|"&amp;LLM_Data_Entry!$D$3:$D$548,0),0))),"")</f>
        <v/>
      </c>
      <c r="AB19" t="inlineStr">
        <is>
          <t>price signal</t>
        </is>
      </c>
      <c r="AC19" t="inlineStr">
        <is>
          <t>BA</t>
        </is>
      </c>
      <c r="AD19" t="inlineStr">
        <is>
          <t>2025-04-22</t>
        </is>
      </c>
      <c r="AE19" t="n">
        <v>162.52</v>
      </c>
      <c r="AF19" t="inlineStr">
        <is>
          <t>2025-04-23</t>
        </is>
      </c>
      <c r="AG19" t="n">
        <v>174</v>
      </c>
      <c r="AH19" t="n">
        <v>0.07063743365401344</v>
      </c>
      <c r="AI19" t="inlineStr">
        <is>
          <t>UP</t>
        </is>
      </c>
      <c r="AJ19" t="inlineStr">
        <is>
          <t>NO</t>
        </is>
      </c>
      <c r="AK19" t="n">
        <v>-0.07163700000000001</v>
      </c>
      <c r="AL19">
        <f>IF($A19="","",IFERROR(INDEX(Company_List!$G$3:$G$207,MATCH($A19,Company_List!$A$3:$A$207,0)),"unassigned"))</f>
        <v/>
      </c>
      <c r="AM19" t="inlineStr">
        <is>
          <t>Phase 2/Boeing/Q1/Transcript-Q1-2025-Earnings-Call.pdf</t>
        </is>
      </c>
      <c r="AO19" t="inlineStr">
        <is>
          <t>unique filename match</t>
        </is>
      </c>
      <c r="AP19">
        <f>IF($A19="","",IF(COUNTIFS(LLM_Data_Entry!$A$3:$A$548,$A19)&gt;0,"YES","NO"))</f>
        <v/>
      </c>
      <c r="AQ19">
        <f>IF($A19="","",IF(COUNTIFS($A$3:$A19,$A19,$C$3:$C19,$C19,$D$3:$D19,$D19)=1,"YES","NO"))</f>
        <v/>
      </c>
      <c r="AR19">
        <f>IF($A19="","",IF(AND($C19&amp;"-"&amp;$D19&gt;=Settings!$B$19,$C19&amp;"-"&amp;$D19&lt;=Settings!$B$20),"IN","OUT"))</f>
        <v/>
      </c>
      <c r="AS19">
        <f>IF($A19="","",IF($F19="Financial Results","financials",IF($F19="Outlook/Guidance","guidance",IF($F19="Transcript Q&amp;A","qanda",IF($F19="","unrecorded",IF($E19="All","full",IF($E19="","unrecorded",LOWER($E19)&amp;" only")))))))</f>
        <v/>
      </c>
      <c r="AT19">
        <f>IF(AND(OR($J19="BUY",$J19="SELL"),ISNUMBER($U19)),$U19,"")</f>
        <v/>
      </c>
      <c r="AU19">
        <f>IF(AND(OR($J19="BUY",$J19="SELL"),ISNUMBER($AK19)),$AK19,"")</f>
        <v/>
      </c>
      <c r="AV19">
        <f>IF(ISNUMBER($AT19),ABS(IF(ISNUMBER($I19),$I19,0)-Settings!$B$24),"")</f>
        <v/>
      </c>
      <c r="AW19">
        <f>IF(ISNUMBER($AV19),$AV19*$AT19,"")</f>
        <v/>
      </c>
      <c r="AX19">
        <f>IF(ISNUMBER($AU19),ABS(IF(ISNUMBER($I19),$I19,0)-Settings!$B$24),"")</f>
        <v/>
      </c>
      <c r="AY19">
        <f>IF(ISNUMBER($AX19),$AX19*$AU19,"")</f>
        <v/>
      </c>
      <c r="AZ19">
        <f>IF($A19="","",IFERROR(INDEX(Company_List!$H$3:$H$207,MATCH($A19,Company_List!$A$3:$A$207,0)),"unassigned"))</f>
        <v/>
      </c>
      <c r="BC19">
        <f>IF($A19="","",IF(COUNTIFS($A$3:$A19,$A19,$C$3:$C19,$C19,$D$3:$D19,$D19,$G$3:$G19,$G19)=1,1,0))</f>
        <v/>
      </c>
      <c r="BG19" t="inlineStr">
        <is>
          <t>no</t>
        </is>
      </c>
      <c r="BK19">
        <f>IF(OR($H19&lt;&gt;"Human",$S19="",$J19="",$Y19="",$Z19=""),"",IF(EXACT(UPPER($J19),UPPER($Y19)),1,0))</f>
        <v/>
      </c>
      <c r="BL19" t="inlineStr">
        <is>
          <t>assumed - no rater record</t>
        </is>
      </c>
      <c r="BM19" t="n">
        <v>1</v>
      </c>
      <c r="BN19" t="inlineStr">
        <is>
          <t>FactSet CallStreet</t>
        </is>
      </c>
      <c r="BO19" t="inlineStr">
        <is>
          <t>licensed vendor</t>
        </is>
      </c>
      <c r="BP19" t="inlineStr">
        <is>
          <t>no</t>
        </is>
      </c>
      <c r="BQ19" t="inlineStr">
        <is>
          <t>no</t>
        </is>
      </c>
    </row>
    <row r="20" ht="16.35" customHeight="1">
      <c r="A20" s="95" t="inlineStr">
        <is>
          <t>Boeing</t>
        </is>
      </c>
      <c r="B20" s="96">
        <f>IF(A20="","",_xlfn.XLOOKUP(A20, Company_List!$A:$A, Company_List!$B:$B, ""))</f>
        <v/>
      </c>
      <c r="C20" s="21" t="n">
        <v>2025</v>
      </c>
      <c r="D20" s="20" t="inlineStr">
        <is>
          <t>Q2</t>
        </is>
      </c>
      <c r="E20" s="19" t="inlineStr">
        <is>
          <t>All</t>
        </is>
      </c>
      <c r="F20" s="19" t="inlineStr">
        <is>
          <t>All</t>
        </is>
      </c>
      <c r="G20" s="20" t="inlineStr">
        <is>
          <t>Nigel</t>
        </is>
      </c>
      <c r="H20" s="20" t="inlineStr">
        <is>
          <t>Human</t>
        </is>
      </c>
      <c r="I20" s="127" t="n">
        <v>0.6</v>
      </c>
      <c r="J20" s="145">
        <f>IF(OR(I20="",Settings!$B$6=""),"",IF(I20&gt;Settings!$B$6,"BUY",IF(I20&lt;-Settings!$B$6,"SELL","HOLD")))</f>
        <v/>
      </c>
      <c r="K20" s="139" t="n">
        <v>28</v>
      </c>
      <c r="L20" s="123" t="n">
        <v>45867</v>
      </c>
      <c r="M20" s="123" t="n">
        <v>45867</v>
      </c>
      <c r="N20" s="127" t="n">
        <v>226.08</v>
      </c>
      <c r="O20" s="123" t="n">
        <v>45868</v>
      </c>
      <c r="P20" s="22" t="n">
        <v>227.84</v>
      </c>
      <c r="Q20" s="148">
        <f>IF(OR(N20="",P20=""),"",ROUND((P20-N20)/N20,4))</f>
        <v/>
      </c>
      <c r="R20" s="20">
        <f>IF(OR(N20="",P20=""),"",IF(Q20&gt;Settings!$B$3/100,"UP",IF(Q20&lt;-Settings!$B$3/100,"DOWN","FLAT")))</f>
        <v/>
      </c>
      <c r="S20" s="20">
        <f>IF(OR(N20="",P20="",J20=""),"",IF(OR(AND(J20="BUY",R20="UP"),AND(J20="SELL",R20="DOWN"),AND(J20="HOLD",R20="FLAT")),"YES","NO"))</f>
        <v/>
      </c>
      <c r="T20" s="21">
        <f>IF(J20="","",IF(J20="BUY",1,IF(J20="SELL",-1,0)))</f>
        <v/>
      </c>
      <c r="U20" s="148">
        <f>IFERROR(IF(OR(J20="",N20="",P20=""),"",IF(T20=0,0,T20*Q20-Settings!$B$4/10000-IF(T20&lt;0,Settings!$B$5/10000,0))),"")</f>
        <v/>
      </c>
      <c r="V20" s="15" t="inlineStr">
        <is>
          <t>Demand growing and finances healthier with stronger revenues; production plan improving as intended; contract wins in defence and space; tariff worries easing and geopolitical risk stabilising; 737 deliveries below last year but in line with the action plan. Improving tone.</t>
        </is>
      </c>
      <c r="W20" s="21">
        <f>IF($K20="","",$K20*60)</f>
        <v/>
      </c>
      <c r="X20" s="91">
        <f>IF($A20="","",$A20&amp;"|"&amp;$C20&amp;"|"&amp;$D20)</f>
        <v/>
      </c>
      <c r="Y20" s="91">
        <f>IFERROR(IF($X20="","",INDEX(LLM_Data_Entry!$H$3:$H$548,MATCH($X20,INDEX(LLM_Data_Entry!$A$3:$A$548&amp;"|"&amp;LLM_Data_Entry!$C$3:$C$548&amp;"|"&amp;LLM_Data_Entry!$D$3:$D$548,0),0))),"")</f>
        <v/>
      </c>
      <c r="Z20" s="91">
        <f>IFERROR(IF($X20="","",INDEX(LLM_Data_Entry!$R$3:$R$548,MATCH($X20,INDEX(LLM_Data_Entry!$A$3:$A$548&amp;"|"&amp;LLM_Data_Entry!$C$3:$C$548&amp;"|"&amp;LLM_Data_Entry!$D$3:$D$548,0),0))),"")</f>
        <v/>
      </c>
      <c r="AB20" t="inlineStr">
        <is>
          <t>price signal</t>
        </is>
      </c>
      <c r="AC20" t="inlineStr">
        <is>
          <t>BA</t>
        </is>
      </c>
      <c r="AD20" t="inlineStr">
        <is>
          <t>2025-07-28</t>
        </is>
      </c>
      <c r="AE20" t="n">
        <v>236.41</v>
      </c>
      <c r="AF20" t="inlineStr">
        <is>
          <t>2025-07-29</t>
        </is>
      </c>
      <c r="AG20" t="n">
        <v>239.5</v>
      </c>
      <c r="AH20" t="n">
        <v>0.01307049595075505</v>
      </c>
      <c r="AI20" t="inlineStr">
        <is>
          <t>FLAT</t>
        </is>
      </c>
      <c r="AJ20" t="inlineStr">
        <is>
          <t>NO</t>
        </is>
      </c>
      <c r="AK20" t="n">
        <v>0.01207</v>
      </c>
      <c r="AL20">
        <f>IF($A20="","",IFERROR(INDEX(Company_List!$G$3:$G$207,MATCH($A20,Company_List!$A$3:$A$207,0)),"unassigned"))</f>
        <v/>
      </c>
      <c r="AM20" t="inlineStr">
        <is>
          <t>Phase 2/Boeing/2025-Q2/BA-2025-Q2-press-release-SEC-EX-99-1.htm</t>
        </is>
      </c>
      <c r="AN20" t="inlineStr">
        <is>
          <t>https://www.sec.gov/Archives/edgar/data/12927/000001292725000058/a202506jun308kprex991.htm</t>
        </is>
      </c>
      <c r="AO20" t="inlineStr">
        <is>
          <t>manifest</t>
        </is>
      </c>
      <c r="AP20">
        <f>IF($A20="","",IF(COUNTIFS(LLM_Data_Entry!$A$3:$A$548,$A20)&gt;0,"YES","NO"))</f>
        <v/>
      </c>
      <c r="AQ20">
        <f>IF($A20="","",IF(COUNTIFS($A$3:$A20,$A20,$C$3:$C20,$C20,$D$3:$D20,$D20)=1,"YES","NO"))</f>
        <v/>
      </c>
      <c r="AR20">
        <f>IF($A20="","",IF(AND($C20&amp;"-"&amp;$D20&gt;=Settings!$B$19,$C20&amp;"-"&amp;$D20&lt;=Settings!$B$20),"IN","OUT"))</f>
        <v/>
      </c>
      <c r="AS20">
        <f>IF($A20="","",IF($F20="Financial Results","financials",IF($F20="Outlook/Guidance","guidance",IF($F20="Transcript Q&amp;A","qanda",IF($F20="","unrecorded",IF($E20="All","full",IF($E20="","unrecorded",LOWER($E20)&amp;" only")))))))</f>
        <v/>
      </c>
      <c r="AT20">
        <f>IF(AND(OR($J20="BUY",$J20="SELL"),ISNUMBER($U20)),$U20,"")</f>
        <v/>
      </c>
      <c r="AU20">
        <f>IF(AND(OR($J20="BUY",$J20="SELL"),ISNUMBER($AK20)),$AK20,"")</f>
        <v/>
      </c>
      <c r="AV20">
        <f>IF(ISNUMBER($AT20),ABS(IF(ISNUMBER($I20),$I20,0)-Settings!$B$24),"")</f>
        <v/>
      </c>
      <c r="AW20">
        <f>IF(ISNUMBER($AV20),$AV20*$AT20,"")</f>
        <v/>
      </c>
      <c r="AX20">
        <f>IF(ISNUMBER($AU20),ABS(IF(ISNUMBER($I20),$I20,0)-Settings!$B$24),"")</f>
        <v/>
      </c>
      <c r="AY20">
        <f>IF(ISNUMBER($AX20),$AX20*$AU20,"")</f>
        <v/>
      </c>
      <c r="AZ20">
        <f>IF($A20="","",IFERROR(INDEX(Company_List!$H$3:$H$207,MATCH($A20,Company_List!$A$3:$A$207,0)),"unassigned"))</f>
        <v/>
      </c>
      <c r="BC20">
        <f>IF($A20="","",IF(COUNTIFS($A$3:$A20,$A20,$C$3:$C20,$C20,$D$3:$D20,$D20,$G$3:$G20,$G20)=1,1,0))</f>
        <v/>
      </c>
      <c r="BG20" t="inlineStr">
        <is>
          <t>no</t>
        </is>
      </c>
      <c r="BK20">
        <f>IF(OR($H20&lt;&gt;"Human",$S20="",$J20="",$Y20="",$Z20=""),"",IF(EXACT(UPPER($J20),UPPER($Y20)),1,0))</f>
        <v/>
      </c>
      <c r="BL20" t="inlineStr">
        <is>
          <t>assumed - no rater record</t>
        </is>
      </c>
      <c r="BM20" t="n">
        <v>1</v>
      </c>
      <c r="BN20" t="inlineStr">
        <is>
          <t>not publisher-identified</t>
        </is>
      </c>
      <c r="BO20" t="inlineStr">
        <is>
          <t>not publisher-identified</t>
        </is>
      </c>
      <c r="BP20" t="inlineStr">
        <is>
          <t>no</t>
        </is>
      </c>
      <c r="BQ20" t="inlineStr">
        <is>
          <t>yes</t>
        </is>
      </c>
    </row>
    <row r="21" ht="16.35" customHeight="1">
      <c r="A21" s="95" t="inlineStr">
        <is>
          <t>Boeing</t>
        </is>
      </c>
      <c r="B21" s="96">
        <f>IF(A21="","",_xlfn.XLOOKUP(A21, Company_List!$A:$A, Company_List!$B:$B, ""))</f>
        <v/>
      </c>
      <c r="C21" s="21" t="n">
        <v>2025</v>
      </c>
      <c r="D21" s="20" t="inlineStr">
        <is>
          <t>Q3</t>
        </is>
      </c>
      <c r="E21" s="19" t="inlineStr">
        <is>
          <t>All</t>
        </is>
      </c>
      <c r="F21" s="19" t="inlineStr">
        <is>
          <t>All</t>
        </is>
      </c>
      <c r="G21" s="20" t="inlineStr">
        <is>
          <t>Nigel</t>
        </is>
      </c>
      <c r="H21" s="20" t="inlineStr">
        <is>
          <t>Human</t>
        </is>
      </c>
      <c r="I21" s="127" t="n">
        <v>-0.1</v>
      </c>
      <c r="J21" s="145">
        <f>IF(OR(I21="",Settings!$B$6=""),"",IF(I21&gt;Settings!$B$6,"BUY",IF(I21&lt;-Settings!$B$6,"SELL","HOLD")))</f>
        <v/>
      </c>
      <c r="K21" s="139" t="n">
        <v>26</v>
      </c>
      <c r="L21" s="123" t="n">
        <v>45959</v>
      </c>
      <c r="M21" s="123" t="n">
        <v>45959</v>
      </c>
      <c r="N21" s="127" t="n">
        <v>213.58</v>
      </c>
      <c r="O21" s="123" t="n">
        <v>45960</v>
      </c>
      <c r="P21" s="22" t="n">
        <v>210.01</v>
      </c>
      <c r="Q21" s="148">
        <f>IF(OR(N21="",P21=""),"",ROUND((P21-N21)/N21,4))</f>
        <v/>
      </c>
      <c r="R21" s="20">
        <f>IF(OR(N21="",P21=""),"",IF(Q21&gt;Settings!$B$3/100,"UP",IF(Q21&lt;-Settings!$B$3/100,"DOWN","FLAT")))</f>
        <v/>
      </c>
      <c r="S21" s="20">
        <f>IF(OR(N21="",P21="",J21=""),"",IF(OR(AND(J21="BUY",R21="UP"),AND(J21="SELL",R21="DOWN"),AND(J21="HOLD",R21="FLAT")),"YES","NO"))</f>
        <v/>
      </c>
      <c r="T21" s="21">
        <f>IF(J21="","",IF(J21="BUY",1,IF(J21="SELL",-1,0)))</f>
        <v/>
      </c>
      <c r="U21" s="148">
        <f>IFERROR(IF(OR(J21="",N21="",P21=""),"",IF(T21=0,0,T21*Q21-Settings!$B$4/10000-IF(T21&lt;0,Settings!$B$5/10000,0))),"")</f>
        <v/>
      </c>
      <c r="V21" s="15" t="inlineStr">
        <is>
          <t>Good progress on the 737 programme though 777X production delayed; US Space Force contract secured; KPIs being met and demand still strong; finances healthier; supply chain still tough but stable. Steady tone.</t>
        </is>
      </c>
      <c r="W21" s="21">
        <f>IF($K21="","",$K21*60)</f>
        <v/>
      </c>
      <c r="X21" s="91">
        <f>IF($A21="","",$A21&amp;"|"&amp;$C21&amp;"|"&amp;$D21)</f>
        <v/>
      </c>
      <c r="Y21" s="91">
        <f>IFERROR(IF($X21="","",INDEX(LLM_Data_Entry!$H$3:$H$548,MATCH($X21,INDEX(LLM_Data_Entry!$A$3:$A$548&amp;"|"&amp;LLM_Data_Entry!$C$3:$C$548&amp;"|"&amp;LLM_Data_Entry!$D$3:$D$548,0),0))),"")</f>
        <v/>
      </c>
      <c r="Z21" s="91">
        <f>IFERROR(IF($X21="","",INDEX(LLM_Data_Entry!$R$3:$R$548,MATCH($X21,INDEX(LLM_Data_Entry!$A$3:$A$548&amp;"|"&amp;LLM_Data_Entry!$C$3:$C$548&amp;"|"&amp;LLM_Data_Entry!$D$3:$D$548,0),0))),"")</f>
        <v/>
      </c>
      <c r="AB21" t="inlineStr">
        <is>
          <t>release time published by the issuer</t>
        </is>
      </c>
      <c r="AC21" t="inlineStr">
        <is>
          <t>BA</t>
        </is>
      </c>
      <c r="AD21" t="inlineStr">
        <is>
          <t>2025-10-28</t>
        </is>
      </c>
      <c r="AE21" t="n">
        <v>223.33</v>
      </c>
      <c r="AF21" t="inlineStr">
        <is>
          <t>2025-10-29</t>
        </is>
      </c>
      <c r="AG21" t="n">
        <v>221.36</v>
      </c>
      <c r="AH21" t="n">
        <v>-0.008821031578193405</v>
      </c>
      <c r="AI21" t="inlineStr">
        <is>
          <t>FLAT</t>
        </is>
      </c>
      <c r="AJ21" t="inlineStr">
        <is>
          <t>YES</t>
        </is>
      </c>
      <c r="AK21" t="n">
        <v>0</v>
      </c>
      <c r="AL21">
        <f>IF($A21="","",IFERROR(INDEX(Company_List!$G$3:$G$207,MATCH($A21,Company_List!$A$3:$A$207,0)),"unassigned"))</f>
        <v/>
      </c>
      <c r="AM21" t="inlineStr">
        <is>
          <t>Phase 2/Boeing/2025-Q3/BA-2025-Q3-press-release-SEC-EX-99-1.htm</t>
        </is>
      </c>
      <c r="AN21" t="inlineStr">
        <is>
          <t>https://www.sec.gov/Archives/edgar/data/12927/000162828025046915/a202509sep308kprex991.htm</t>
        </is>
      </c>
      <c r="AO21" t="inlineStr">
        <is>
          <t>manifest</t>
        </is>
      </c>
      <c r="AP21">
        <f>IF($A21="","",IF(COUNTIFS(LLM_Data_Entry!$A$3:$A$548,$A21)&gt;0,"YES","NO"))</f>
        <v/>
      </c>
      <c r="AQ21">
        <f>IF($A21="","",IF(COUNTIFS($A$3:$A21,$A21,$C$3:$C21,$C21,$D$3:$D21,$D21)=1,"YES","NO"))</f>
        <v/>
      </c>
      <c r="AR21">
        <f>IF($A21="","",IF(AND($C21&amp;"-"&amp;$D21&gt;=Settings!$B$19,$C21&amp;"-"&amp;$D21&lt;=Settings!$B$20),"IN","OUT"))</f>
        <v/>
      </c>
      <c r="AS21">
        <f>IF($A21="","",IF($F21="Financial Results","financials",IF($F21="Outlook/Guidance","guidance",IF($F21="Transcript Q&amp;A","qanda",IF($F21="","unrecorded",IF($E21="All","full",IF($E21="","unrecorded",LOWER($E21)&amp;" only")))))))</f>
        <v/>
      </c>
      <c r="AT21">
        <f>IF(AND(OR($J21="BUY",$J21="SELL"),ISNUMBER($U21)),$U21,"")</f>
        <v/>
      </c>
      <c r="AU21">
        <f>IF(AND(OR($J21="BUY",$J21="SELL"),ISNUMBER($AK21)),$AK21,"")</f>
        <v/>
      </c>
      <c r="AV21">
        <f>IF(ISNUMBER($AT21),ABS(IF(ISNUMBER($I21),$I21,0)-Settings!$B$24),"")</f>
        <v/>
      </c>
      <c r="AW21">
        <f>IF(ISNUMBER($AV21),$AV21*$AT21,"")</f>
        <v/>
      </c>
      <c r="AX21">
        <f>IF(ISNUMBER($AU21),ABS(IF(ISNUMBER($I21),$I21,0)-Settings!$B$24),"")</f>
        <v/>
      </c>
      <c r="AY21">
        <f>IF(ISNUMBER($AX21),$AX21*$AU21,"")</f>
        <v/>
      </c>
      <c r="AZ21">
        <f>IF($A21="","",IFERROR(INDEX(Company_List!$H$3:$H$207,MATCH($A21,Company_List!$A$3:$A$207,0)),"unassigned"))</f>
        <v/>
      </c>
      <c r="BC21">
        <f>IF($A21="","",IF(COUNTIFS($A$3:$A21,$A21,$C$3:$C21,$C21,$D$3:$D21,$D21,$G$3:$G21,$G21)=1,1,0))</f>
        <v/>
      </c>
      <c r="BG21" t="inlineStr">
        <is>
          <t>no</t>
        </is>
      </c>
      <c r="BK21">
        <f>IF(OR($H21&lt;&gt;"Human",$S21="",$J21="",$Y21="",$Z21=""),"",IF(EXACT(UPPER($J21),UPPER($Y21)),1,0))</f>
        <v/>
      </c>
      <c r="BL21" t="inlineStr">
        <is>
          <t>assumed - no rater record</t>
        </is>
      </c>
      <c r="BM21" t="n">
        <v>1</v>
      </c>
      <c r="BN21" t="inlineStr">
        <is>
          <t>not publisher-identified</t>
        </is>
      </c>
      <c r="BO21" t="inlineStr">
        <is>
          <t>not publisher-identified</t>
        </is>
      </c>
      <c r="BP21" t="inlineStr">
        <is>
          <t>no</t>
        </is>
      </c>
      <c r="BQ21" t="inlineStr">
        <is>
          <t>yes</t>
        </is>
      </c>
    </row>
    <row r="22" ht="16.35" customHeight="1">
      <c r="A22" s="95" t="inlineStr">
        <is>
          <t>Boeing</t>
        </is>
      </c>
      <c r="B22" s="96">
        <f>IF(A22="","",_xlfn.XLOOKUP(A22, Company_List!$A:$A, Company_List!$B:$B, ""))</f>
        <v/>
      </c>
      <c r="C22" s="21" t="n">
        <v>2025</v>
      </c>
      <c r="D22" s="20" t="inlineStr">
        <is>
          <t>Q4</t>
        </is>
      </c>
      <c r="E22" s="19" t="inlineStr">
        <is>
          <t>All</t>
        </is>
      </c>
      <c r="F22" s="19" t="inlineStr">
        <is>
          <t>All</t>
        </is>
      </c>
      <c r="G22" s="20" t="inlineStr">
        <is>
          <t>Nigel</t>
        </is>
      </c>
      <c r="H22" s="20" t="inlineStr">
        <is>
          <t>Human</t>
        </is>
      </c>
      <c r="I22" s="127" t="n">
        <v>0.7</v>
      </c>
      <c r="J22" s="145">
        <f>IF(OR(I22="",Settings!$B$6=""),"",IF(I22&gt;Settings!$B$6,"BUY",IF(I22&lt;-Settings!$B$6,"SELL","HOLD")))</f>
        <v/>
      </c>
      <c r="K22" s="139" t="n">
        <v>18</v>
      </c>
      <c r="L22" s="123" t="n">
        <v>46049</v>
      </c>
      <c r="M22" s="123" t="n">
        <v>46049</v>
      </c>
      <c r="N22" s="127" t="n">
        <v>244.56</v>
      </c>
      <c r="O22" s="123" t="n">
        <v>46050</v>
      </c>
      <c r="P22" s="22" t="n">
        <v>244.09</v>
      </c>
      <c r="Q22" s="148">
        <f>IF(OR(N22="",P22=""),"",ROUND((P22-N22)/N22,4))</f>
        <v/>
      </c>
      <c r="R22" s="20">
        <f>IF(OR(N22="",P22=""),"",IF(Q22&gt;Settings!$B$3/100,"UP",IF(Q22&lt;-Settings!$B$3/100,"DOWN","FLAT")))</f>
        <v/>
      </c>
      <c r="S22" s="20">
        <f>IF(OR(N22="",P22="",J22=""),"",IF(OR(AND(J22="BUY",R22="UP"),AND(J22="SELL",R22="DOWN"),AND(J22="HOLD",R22="FLAT")),"YES","NO"))</f>
        <v/>
      </c>
      <c r="T22" s="21">
        <f>IF(J22="","",IF(J22="BUY",1,IF(J22="SELL",-1,0)))</f>
        <v/>
      </c>
      <c r="U22" s="148">
        <f>IFERROR(IF(OR(J22="",N22="",P22=""),"",IF(T22=0,0,T22*Q22-Settings!$B$4/10000-IF(T22&lt;0,Settings!$B$5/10000,0))),"")</f>
        <v/>
      </c>
      <c r="V22" s="15" t="inlineStr">
        <is>
          <t>Highest order totals and good progress on delivery plans; leaner production and supply chain; KPIs being met; further defence deals secured; Jeppesen sale completed; finances healthy. Confident tone.</t>
        </is>
      </c>
      <c r="W22" s="21">
        <f>IF($K22="","",$K22*60)</f>
        <v/>
      </c>
      <c r="X22" s="91">
        <f>IF($A22="","",$A22&amp;"|"&amp;$C22&amp;"|"&amp;$D22)</f>
        <v/>
      </c>
      <c r="Y22" s="91">
        <f>IFERROR(IF($X22="","",INDEX(LLM_Data_Entry!$H$3:$H$548,MATCH($X22,INDEX(LLM_Data_Entry!$A$3:$A$548&amp;"|"&amp;LLM_Data_Entry!$C$3:$C$548&amp;"|"&amp;LLM_Data_Entry!$D$3:$D$548,0),0))),"")</f>
        <v/>
      </c>
      <c r="Z22" s="91">
        <f>IFERROR(IF($X22="","",INDEX(LLM_Data_Entry!$R$3:$R$548,MATCH($X22,INDEX(LLM_Data_Entry!$A$3:$A$548&amp;"|"&amp;LLM_Data_Entry!$C$3:$C$548&amp;"|"&amp;LLM_Data_Entry!$D$3:$D$548,0),0))),"")</f>
        <v/>
      </c>
      <c r="AB22" t="inlineStr">
        <is>
          <t>recorded price identified against every pulled series</t>
        </is>
      </c>
      <c r="AC22" t="inlineStr">
        <is>
          <t>BA</t>
        </is>
      </c>
      <c r="AD22" t="inlineStr">
        <is>
          <t>2026-01-26</t>
        </is>
      </c>
      <c r="AE22" t="n">
        <v>248.43</v>
      </c>
      <c r="AF22" t="inlineStr">
        <is>
          <t>2026-01-27</t>
        </is>
      </c>
      <c r="AG22" t="n">
        <v>242.5</v>
      </c>
      <c r="AH22" t="n">
        <v>-0.02386987548641116</v>
      </c>
      <c r="AI22" t="inlineStr">
        <is>
          <t>DOWN</t>
        </is>
      </c>
      <c r="AJ22" t="inlineStr">
        <is>
          <t>NO</t>
        </is>
      </c>
      <c r="AK22" t="n">
        <v>-0.02487</v>
      </c>
      <c r="AL22">
        <f>IF($A22="","",IFERROR(INDEX(Company_List!$G$3:$G$207,MATCH($A22,Company_List!$A$3:$A$207,0)),"unassigned"))</f>
        <v/>
      </c>
      <c r="AM22" t="inlineStr">
        <is>
          <t>Phase 2/Boeing/2025-Q4/BA-2025-Q4-press-release-SEC-EX-99-1.htm</t>
        </is>
      </c>
      <c r="AN22" t="inlineStr">
        <is>
          <t>https://www.sec.gov/Archives/edgar/data/12927/000162828026003518/a202512dec318kprex991.htm</t>
        </is>
      </c>
      <c r="AO22" t="inlineStr">
        <is>
          <t>manifest</t>
        </is>
      </c>
      <c r="AP22">
        <f>IF($A22="","",IF(COUNTIFS(LLM_Data_Entry!$A$3:$A$548,$A22)&gt;0,"YES","NO"))</f>
        <v/>
      </c>
      <c r="AQ22">
        <f>IF($A22="","",IF(COUNTIFS($A$3:$A22,$A22,$C$3:$C22,$C22,$D$3:$D22,$D22)=1,"YES","NO"))</f>
        <v/>
      </c>
      <c r="AR22">
        <f>IF($A22="","",IF(AND($C22&amp;"-"&amp;$D22&gt;=Settings!$B$19,$C22&amp;"-"&amp;$D22&lt;=Settings!$B$20),"IN","OUT"))</f>
        <v/>
      </c>
      <c r="AS22">
        <f>IF($A22="","",IF($F22="Financial Results","financials",IF($F22="Outlook/Guidance","guidance",IF($F22="Transcript Q&amp;A","qanda",IF($F22="","unrecorded",IF($E22="All","full",IF($E22="","unrecorded",LOWER($E22)&amp;" only")))))))</f>
        <v/>
      </c>
      <c r="AT22">
        <f>IF(AND(OR($J22="BUY",$J22="SELL"),ISNUMBER($U22)),$U22,"")</f>
        <v/>
      </c>
      <c r="AU22">
        <f>IF(AND(OR($J22="BUY",$J22="SELL"),ISNUMBER($AK22)),$AK22,"")</f>
        <v/>
      </c>
      <c r="AV22">
        <f>IF(ISNUMBER($AT22),ABS(IF(ISNUMBER($I22),$I22,0)-Settings!$B$24),"")</f>
        <v/>
      </c>
      <c r="AW22">
        <f>IF(ISNUMBER($AV22),$AV22*$AT22,"")</f>
        <v/>
      </c>
      <c r="AX22">
        <f>IF(ISNUMBER($AU22),ABS(IF(ISNUMBER($I22),$I22,0)-Settings!$B$24),"")</f>
        <v/>
      </c>
      <c r="AY22">
        <f>IF(ISNUMBER($AX22),$AX22*$AU22,"")</f>
        <v/>
      </c>
      <c r="AZ22">
        <f>IF($A22="","",IFERROR(INDEX(Company_List!$H$3:$H$207,MATCH($A22,Company_List!$A$3:$A$207,0)),"unassigned"))</f>
        <v/>
      </c>
      <c r="BC22">
        <f>IF($A22="","",IF(COUNTIFS($A$3:$A22,$A22,$C$3:$C22,$C22,$D$3:$D22,$D22,$G$3:$G22,$G22)=1,1,0))</f>
        <v/>
      </c>
      <c r="BG22" t="inlineStr">
        <is>
          <t>no</t>
        </is>
      </c>
      <c r="BK22">
        <f>IF(OR($H22&lt;&gt;"Human",$S22="",$J22="",$Y22="",$Z22=""),"",IF(EXACT(UPPER($J22),UPPER($Y22)),1,0))</f>
        <v/>
      </c>
      <c r="BL22" t="inlineStr">
        <is>
          <t>assumed - no rater record</t>
        </is>
      </c>
      <c r="BM22" t="n">
        <v>1</v>
      </c>
      <c r="BN22" t="inlineStr">
        <is>
          <t>not publisher-identified</t>
        </is>
      </c>
      <c r="BO22" t="inlineStr">
        <is>
          <t>not publisher-identified</t>
        </is>
      </c>
      <c r="BP22" t="inlineStr">
        <is>
          <t>no</t>
        </is>
      </c>
      <c r="BQ22" t="inlineStr">
        <is>
          <t>yes</t>
        </is>
      </c>
    </row>
    <row r="23" ht="16.35" customHeight="1">
      <c r="A23" s="95" t="inlineStr">
        <is>
          <t>Disney</t>
        </is>
      </c>
      <c r="B23" s="96">
        <f>IF(A23="","",_xlfn.XLOOKUP(A23, Company_List!$A:$A, Company_List!$B:$B, ""))</f>
        <v/>
      </c>
      <c r="C23" s="21" t="n">
        <v>2025</v>
      </c>
      <c r="D23" s="20" t="inlineStr">
        <is>
          <t>Q1</t>
        </is>
      </c>
      <c r="E23" s="19" t="inlineStr">
        <is>
          <t>All</t>
        </is>
      </c>
      <c r="F23" s="19" t="inlineStr">
        <is>
          <t>All</t>
        </is>
      </c>
      <c r="G23" s="20" t="inlineStr">
        <is>
          <t>Meriem</t>
        </is>
      </c>
      <c r="H23" s="20" t="inlineStr">
        <is>
          <t>Human</t>
        </is>
      </c>
      <c r="I23" s="127" t="n">
        <v>0.4</v>
      </c>
      <c r="J23" s="145">
        <f>IF(OR(I23="",Settings!$B$6=""),"",IF(I23&gt;Settings!$B$6,"BUY",IF(I23&lt;-Settings!$B$6,"SELL","HOLD")))</f>
        <v/>
      </c>
      <c r="K23" s="139" t="n">
        <v>60</v>
      </c>
      <c r="L23" s="123" t="n">
        <v>45693</v>
      </c>
      <c r="M23" s="123" t="n">
        <v>45693</v>
      </c>
      <c r="N23" s="127" t="n">
        <v>110.54</v>
      </c>
      <c r="O23" s="123" t="n">
        <v>45694</v>
      </c>
      <c r="P23" s="22" t="n">
        <v>115.7</v>
      </c>
      <c r="Q23" s="148">
        <f>IF(OR(N23="",P23=""),"",ROUND((P23-N23)/N23,4))</f>
        <v/>
      </c>
      <c r="R23" s="20">
        <f>IF(OR(N23="",P23=""),"",IF(Q23&gt;Settings!$B$3/100,"UP",IF(Q23&lt;-Settings!$B$3/100,"DOWN","FLAT")))</f>
        <v/>
      </c>
      <c r="S23" s="20">
        <f>IF(OR(N23="",P23="",J23=""),"",IF(OR(AND(J23="BUY",R23="UP"),AND(J23="SELL",R23="DOWN"),AND(J23="HOLD",R23="FLAT")),"YES","NO"))</f>
        <v/>
      </c>
      <c r="T23" s="21">
        <f>IF(J23="","",IF(J23="BUY",1,IF(J23="SELL",-1,0)))</f>
        <v/>
      </c>
      <c r="U23" s="148">
        <f>IFERROR(IF(OR(J23="",N23="",P23=""),"",IF(T23=0,0,T23*Q23-Settings!$B$4/10000-IF(T23&lt;0,Settings!$B$5/10000,0))),"")</f>
        <v/>
      </c>
      <c r="V23" s="23" t="n"/>
      <c r="W23" s="21">
        <f>IF($K23="","",$K23*60)</f>
        <v/>
      </c>
      <c r="X23" s="91">
        <f>IF($A23="","",$A23&amp;"|"&amp;$C23&amp;"|"&amp;$D23)</f>
        <v/>
      </c>
      <c r="Y23" s="91">
        <f>IFERROR(IF($X23="","",INDEX(LLM_Data_Entry!$H$3:$H$548,MATCH($X23,INDEX(LLM_Data_Entry!$A$3:$A$548&amp;"|"&amp;LLM_Data_Entry!$C$3:$C$548&amp;"|"&amp;LLM_Data_Entry!$D$3:$D$548,0),0))),"")</f>
        <v/>
      </c>
      <c r="Z23" s="91">
        <f>IFERROR(IF($X23="","",INDEX(LLM_Data_Entry!$R$3:$R$548,MATCH($X23,INDEX(LLM_Data_Entry!$A$3:$A$548&amp;"|"&amp;LLM_Data_Entry!$C$3:$C$548&amp;"|"&amp;LLM_Data_Entry!$D$3:$D$548,0),0))),"")</f>
        <v/>
      </c>
      <c r="AB23" t="inlineStr">
        <is>
          <t>release date + stated time</t>
        </is>
      </c>
      <c r="AC23" t="inlineStr">
        <is>
          <t>DIS</t>
        </is>
      </c>
      <c r="AD23" t="inlineStr">
        <is>
          <t>2025-02-04</t>
        </is>
      </c>
      <c r="AE23" t="n">
        <v>111.2086</v>
      </c>
      <c r="AF23" t="inlineStr">
        <is>
          <t>2025-02-05</t>
        </is>
      </c>
      <c r="AG23" t="n">
        <v>113.5643</v>
      </c>
      <c r="AH23" t="n">
        <v>0.02118258778095112</v>
      </c>
      <c r="AI23" t="inlineStr">
        <is>
          <t>UP</t>
        </is>
      </c>
      <c r="AJ23" t="inlineStr">
        <is>
          <t>YES</t>
        </is>
      </c>
      <c r="AK23" t="n">
        <v>0.020183</v>
      </c>
      <c r="AL23">
        <f>IF($A23="","",IFERROR(INDEX(Company_List!$G$3:$G$207,MATCH($A23,Company_List!$A$3:$A$207,0)),"unassigned"))</f>
        <v/>
      </c>
      <c r="AM23" t="inlineStr">
        <is>
          <t>Phase 2/Disney/q1-fy25-earnings-transcriptpdf.pdf</t>
        </is>
      </c>
      <c r="AO23" t="inlineStr">
        <is>
          <t>unique filename match</t>
        </is>
      </c>
      <c r="AP23">
        <f>IF($A23="","",IF(COUNTIFS(LLM_Data_Entry!$A$3:$A$548,$A23)&gt;0,"YES","NO"))</f>
        <v/>
      </c>
      <c r="AQ23">
        <f>IF($A23="","",IF(COUNTIFS($A$3:$A23,$A23,$C$3:$C23,$C23,$D$3:$D23,$D23)=1,"YES","NO"))</f>
        <v/>
      </c>
      <c r="AR23">
        <f>IF($A23="","",IF(AND($C23&amp;"-"&amp;$D23&gt;=Settings!$B$19,$C23&amp;"-"&amp;$D23&lt;=Settings!$B$20),"IN","OUT"))</f>
        <v/>
      </c>
      <c r="AS23">
        <f>IF($A23="","",IF($F23="Financial Results","financials",IF($F23="Outlook/Guidance","guidance",IF($F23="Transcript Q&amp;A","qanda",IF($F23="","unrecorded",IF($E23="All","full",IF($E23="","unrecorded",LOWER($E23)&amp;" only")))))))</f>
        <v/>
      </c>
      <c r="AT23">
        <f>IF(AND(OR($J23="BUY",$J23="SELL"),ISNUMBER($U23)),$U23,"")</f>
        <v/>
      </c>
      <c r="AU23">
        <f>IF(AND(OR($J23="BUY",$J23="SELL"),ISNUMBER($AK23)),$AK23,"")</f>
        <v/>
      </c>
      <c r="AV23">
        <f>IF(ISNUMBER($AT23),ABS(IF(ISNUMBER($I23),$I23,0)-Settings!$B$24),"")</f>
        <v/>
      </c>
      <c r="AW23">
        <f>IF(ISNUMBER($AV23),$AV23*$AT23,"")</f>
        <v/>
      </c>
      <c r="AX23">
        <f>IF(ISNUMBER($AU23),ABS(IF(ISNUMBER($I23),$I23,0)-Settings!$B$24),"")</f>
        <v/>
      </c>
      <c r="AY23">
        <f>IF(ISNUMBER($AX23),$AX23*$AU23,"")</f>
        <v/>
      </c>
      <c r="AZ23">
        <f>IF($A23="","",IFERROR(INDEX(Company_List!$H$3:$H$207,MATCH($A23,Company_List!$A$3:$A$207,0)),"unassigned"))</f>
        <v/>
      </c>
      <c r="BC23">
        <f>IF($A23="","",IF(COUNTIFS($A$3:$A23,$A23,$C$3:$C23,$C23,$D$3:$D23,$D23,$G$3:$G23,$G23)=1,1,0))</f>
        <v/>
      </c>
      <c r="BG23" t="inlineStr">
        <is>
          <t>no</t>
        </is>
      </c>
      <c r="BK23">
        <f>IF(OR($H23&lt;&gt;"Human",$S23="",$J23="",$Y23="",$Z23=""),"",IF(EXACT(UPPER($J23),UPPER($Y23)),1,0))</f>
        <v/>
      </c>
      <c r="BL23" t="inlineStr">
        <is>
          <t>assumed - no rater record</t>
        </is>
      </c>
      <c r="BM23" t="n">
        <v>1</v>
      </c>
      <c r="BN23" t="inlineStr">
        <is>
          <t>The Motley Fool</t>
        </is>
      </c>
      <c r="BO23" t="inlineStr">
        <is>
          <t>free to read, copyright asserted</t>
        </is>
      </c>
      <c r="BP23" t="inlineStr">
        <is>
          <t>no</t>
        </is>
      </c>
      <c r="BQ23" t="inlineStr">
        <is>
          <t>no</t>
        </is>
      </c>
    </row>
    <row r="24" ht="16.35" customHeight="1">
      <c r="A24" s="95" t="inlineStr">
        <is>
          <t>Disney</t>
        </is>
      </c>
      <c r="B24" s="96">
        <f>IF(A24="","",_xlfn.XLOOKUP(A24, Company_List!$A:$A, Company_List!$B:$B, ""))</f>
        <v/>
      </c>
      <c r="C24" s="21" t="n">
        <v>2025</v>
      </c>
      <c r="D24" s="20" t="inlineStr">
        <is>
          <t>Q3</t>
        </is>
      </c>
      <c r="E24" s="19" t="inlineStr">
        <is>
          <t>All</t>
        </is>
      </c>
      <c r="F24" s="19" t="inlineStr">
        <is>
          <t>All</t>
        </is>
      </c>
      <c r="G24" s="20" t="inlineStr">
        <is>
          <t>Meriem</t>
        </is>
      </c>
      <c r="H24" s="20" t="inlineStr">
        <is>
          <t>Human</t>
        </is>
      </c>
      <c r="I24" s="127" t="n">
        <v>0.5</v>
      </c>
      <c r="J24" s="145">
        <f>IF(OR(I24="",Settings!$B$6=""),"",IF(I24&gt;Settings!$B$6,"BUY",IF(I24&lt;-Settings!$B$6,"SELL","HOLD")))</f>
        <v/>
      </c>
      <c r="K24" s="139" t="n">
        <v>45</v>
      </c>
      <c r="L24" s="123" t="n">
        <v>45875</v>
      </c>
      <c r="M24" s="123" t="n">
        <v>45875</v>
      </c>
      <c r="N24" s="127" t="n">
        <v>118.32</v>
      </c>
      <c r="O24" s="123" t="n">
        <v>45876</v>
      </c>
      <c r="P24" s="22" t="n">
        <v>115.78</v>
      </c>
      <c r="Q24" s="148">
        <f>IF(OR(N24="",P24=""),"",ROUND((P24-N24)/N24,4))</f>
        <v/>
      </c>
      <c r="R24" s="20">
        <f>IF(OR(N24="",P24=""),"",IF(Q24&gt;Settings!$B$3/100,"UP",IF(Q24&lt;-Settings!$B$3/100,"DOWN","FLAT")))</f>
        <v/>
      </c>
      <c r="S24" s="20">
        <f>IF(OR(N24="",P24="",J24=""),"",IF(OR(AND(J24="BUY",R24="UP"),AND(J24="SELL",R24="DOWN"),AND(J24="HOLD",R24="FLAT")),"YES","NO"))</f>
        <v/>
      </c>
      <c r="T24" s="21">
        <f>IF(J24="","",IF(J24="BUY",1,IF(J24="SELL",-1,0)))</f>
        <v/>
      </c>
      <c r="U24" s="148">
        <f>IFERROR(IF(OR(J24="",N24="",P24=""),"",IF(T24=0,0,T24*Q24-Settings!$B$4/10000-IF(T24&lt;0,Settings!$B$5/10000,0))),"")</f>
        <v/>
      </c>
      <c r="V24" s="23" t="n"/>
      <c r="W24" s="21">
        <f>IF($K24="","",$K24*60)</f>
        <v/>
      </c>
      <c r="X24" s="91">
        <f>IF($A24="","",$A24&amp;"|"&amp;$C24&amp;"|"&amp;$D24)</f>
        <v/>
      </c>
      <c r="Y24" s="91">
        <f>IFERROR(IF($X24="","",INDEX(LLM_Data_Entry!$H$3:$H$548,MATCH($X24,INDEX(LLM_Data_Entry!$A$3:$A$548&amp;"|"&amp;LLM_Data_Entry!$C$3:$C$548&amp;"|"&amp;LLM_Data_Entry!$D$3:$D$548,0),0))),"")</f>
        <v/>
      </c>
      <c r="Z24" s="91">
        <f>IFERROR(IF($X24="","",INDEX(LLM_Data_Entry!$R$3:$R$548,MATCH($X24,INDEX(LLM_Data_Entry!$A$3:$A$548&amp;"|"&amp;LLM_Data_Entry!$C$3:$C$548&amp;"|"&amp;LLM_Data_Entry!$D$3:$D$548,0),0))),"")</f>
        <v/>
      </c>
      <c r="AB24" t="inlineStr">
        <is>
          <t>price signal — only this window shows an abnormal move</t>
        </is>
      </c>
      <c r="AC24" t="inlineStr">
        <is>
          <t>DIS</t>
        </is>
      </c>
      <c r="AD24" t="inlineStr">
        <is>
          <t>2025-08-05</t>
        </is>
      </c>
      <c r="AE24" t="n">
        <v>116.6312</v>
      </c>
      <c r="AF24" t="inlineStr">
        <is>
          <t>2025-08-06</t>
        </is>
      </c>
      <c r="AG24" t="n">
        <v>114.1274</v>
      </c>
      <c r="AH24" t="n">
        <v>-0.02146729710397124</v>
      </c>
      <c r="AI24" t="inlineStr">
        <is>
          <t>DOWN</t>
        </is>
      </c>
      <c r="AJ24" t="inlineStr">
        <is>
          <t>NO</t>
        </is>
      </c>
      <c r="AK24" t="n">
        <v>-0.022467</v>
      </c>
      <c r="AL24">
        <f>IF($A24="","",IFERROR(INDEX(Company_List!$G$3:$G$207,MATCH($A24,Company_List!$A$3:$A$207,0)),"unassigned"))</f>
        <v/>
      </c>
      <c r="AM24" t="inlineStr">
        <is>
          <t>Phase 2/Disney/q3-fy25-earnings-transcript.pdf</t>
        </is>
      </c>
      <c r="AO24" t="inlineStr">
        <is>
          <t>unique filename match</t>
        </is>
      </c>
      <c r="AP24">
        <f>IF($A24="","",IF(COUNTIFS(LLM_Data_Entry!$A$3:$A$548,$A24)&gt;0,"YES","NO"))</f>
        <v/>
      </c>
      <c r="AQ24">
        <f>IF($A24="","",IF(COUNTIFS($A$3:$A24,$A24,$C$3:$C24,$C24,$D$3:$D24,$D24)=1,"YES","NO"))</f>
        <v/>
      </c>
      <c r="AR24">
        <f>IF($A24="","",IF(AND($C24&amp;"-"&amp;$D24&gt;=Settings!$B$19,$C24&amp;"-"&amp;$D24&lt;=Settings!$B$20),"IN","OUT"))</f>
        <v/>
      </c>
      <c r="AS24">
        <f>IF($A24="","",IF($F24="Financial Results","financials",IF($F24="Outlook/Guidance","guidance",IF($F24="Transcript Q&amp;A","qanda",IF($F24="","unrecorded",IF($E24="All","full",IF($E24="","unrecorded",LOWER($E24)&amp;" only")))))))</f>
        <v/>
      </c>
      <c r="AT24">
        <f>IF(AND(OR($J24="BUY",$J24="SELL"),ISNUMBER($U24)),$U24,"")</f>
        <v/>
      </c>
      <c r="AU24">
        <f>IF(AND(OR($J24="BUY",$J24="SELL"),ISNUMBER($AK24)),$AK24,"")</f>
        <v/>
      </c>
      <c r="AV24">
        <f>IF(ISNUMBER($AT24),ABS(IF(ISNUMBER($I24),$I24,0)-Settings!$B$24),"")</f>
        <v/>
      </c>
      <c r="AW24">
        <f>IF(ISNUMBER($AV24),$AV24*$AT24,"")</f>
        <v/>
      </c>
      <c r="AX24">
        <f>IF(ISNUMBER($AU24),ABS(IF(ISNUMBER($I24),$I24,0)-Settings!$B$24),"")</f>
        <v/>
      </c>
      <c r="AY24">
        <f>IF(ISNUMBER($AX24),$AX24*$AU24,"")</f>
        <v/>
      </c>
      <c r="AZ24">
        <f>IF($A24="","",IFERROR(INDEX(Company_List!$H$3:$H$207,MATCH($A24,Company_List!$A$3:$A$207,0)),"unassigned"))</f>
        <v/>
      </c>
      <c r="BC24">
        <f>IF($A24="","",IF(COUNTIFS($A$3:$A24,$A24,$C$3:$C24,$C24,$D$3:$D24,$D24,$G$3:$G24,$G24)=1,1,0))</f>
        <v/>
      </c>
      <c r="BG24" t="inlineStr">
        <is>
          <t>no</t>
        </is>
      </c>
      <c r="BK24">
        <f>IF(OR($H24&lt;&gt;"Human",$S24="",$J24="",$Y24="",$Z24=""),"",IF(EXACT(UPPER($J24),UPPER($Y24)),1,0))</f>
        <v/>
      </c>
      <c r="BL24" t="inlineStr">
        <is>
          <t>assumed - no rater record</t>
        </is>
      </c>
      <c r="BM24" t="n">
        <v>1</v>
      </c>
      <c r="BN24" t="inlineStr">
        <is>
          <t>not publisher-identified</t>
        </is>
      </c>
      <c r="BO24" t="inlineStr">
        <is>
          <t>not publisher-identified</t>
        </is>
      </c>
      <c r="BP24" t="inlineStr">
        <is>
          <t>no</t>
        </is>
      </c>
      <c r="BQ24" t="inlineStr">
        <is>
          <t>no</t>
        </is>
      </c>
    </row>
    <row r="25" ht="16.35" customHeight="1">
      <c r="A25" s="95" t="inlineStr">
        <is>
          <t>Disney</t>
        </is>
      </c>
      <c r="B25" s="96">
        <f>IF(A25="","",_xlfn.XLOOKUP(A25, Company_List!$A:$A, Company_List!$B:$B, ""))</f>
        <v/>
      </c>
      <c r="C25" s="21" t="n">
        <v>2025</v>
      </c>
      <c r="D25" s="20" t="inlineStr">
        <is>
          <t>Q4</t>
        </is>
      </c>
      <c r="E25" s="19" t="inlineStr">
        <is>
          <t>All</t>
        </is>
      </c>
      <c r="F25" s="19" t="inlineStr">
        <is>
          <t>All</t>
        </is>
      </c>
      <c r="G25" s="20" t="inlineStr">
        <is>
          <t>Meriem</t>
        </is>
      </c>
      <c r="H25" s="20" t="inlineStr">
        <is>
          <t>Human</t>
        </is>
      </c>
      <c r="I25" s="127" t="n">
        <v>0.6</v>
      </c>
      <c r="J25" s="145">
        <f>IF(OR(I25="",Settings!$B$6=""),"",IF(I25&gt;Settings!$B$6,"BUY",IF(I25&lt;-Settings!$B$6,"SELL","HOLD")))</f>
        <v/>
      </c>
      <c r="K25" s="139" t="n">
        <v>60</v>
      </c>
      <c r="L25" s="123" t="n">
        <v>45974</v>
      </c>
      <c r="M25" s="123" t="n">
        <v>45974</v>
      </c>
      <c r="N25" s="127" t="n">
        <v>116.65</v>
      </c>
      <c r="O25" s="123" t="n">
        <v>45975</v>
      </c>
      <c r="P25" s="22" t="n">
        <v>108.89</v>
      </c>
      <c r="Q25" s="148">
        <f>IF(OR(N25="",P25=""),"",ROUND((P25-N25)/N25,4))</f>
        <v/>
      </c>
      <c r="R25" s="20">
        <f>IF(OR(N25="",P25=""),"",IF(Q25&gt;Settings!$B$3/100,"UP",IF(Q25&lt;-Settings!$B$3/100,"DOWN","FLAT")))</f>
        <v/>
      </c>
      <c r="S25" s="20">
        <f>IF(OR(N25="",P25="",J25=""),"",IF(OR(AND(J25="BUY",R25="UP"),AND(J25="SELL",R25="DOWN"),AND(J25="HOLD",R25="FLAT")),"YES","NO"))</f>
        <v/>
      </c>
      <c r="T25" s="21">
        <f>IF(J25="","",IF(J25="BUY",1,IF(J25="SELL",-1,0)))</f>
        <v/>
      </c>
      <c r="U25" s="148">
        <f>IFERROR(IF(OR(J25="",N25="",P25=""),"",IF(T25=0,0,T25*Q25-Settings!$B$4/10000-IF(T25&lt;0,Settings!$B$5/10000,0))),"")</f>
        <v/>
      </c>
      <c r="V25" s="23" t="n"/>
      <c r="W25" s="21">
        <f>IF($K25="","",$K25*60)</f>
        <v/>
      </c>
      <c r="X25" s="91">
        <f>IF($A25="","",$A25&amp;"|"&amp;$C25&amp;"|"&amp;$D25)</f>
        <v/>
      </c>
      <c r="Y25" s="91">
        <f>IFERROR(IF($X25="","",INDEX(LLM_Data_Entry!$H$3:$H$548,MATCH($X25,INDEX(LLM_Data_Entry!$A$3:$A$548&amp;"|"&amp;LLM_Data_Entry!$C$3:$C$548&amp;"|"&amp;LLM_Data_Entry!$D$3:$D$548,0),0))),"")</f>
        <v/>
      </c>
      <c r="Z25" s="91">
        <f>IFERROR(IF($X25="","",INDEX(LLM_Data_Entry!$R$3:$R$548,MATCH($X25,INDEX(LLM_Data_Entry!$A$3:$A$548&amp;"|"&amp;LLM_Data_Entry!$C$3:$C$548&amp;"|"&amp;LLM_Data_Entry!$D$3:$D$548,0),0))),"")</f>
        <v/>
      </c>
      <c r="AB25" t="inlineStr">
        <is>
          <t>price signal — only this window shows an abnormal move</t>
        </is>
      </c>
      <c r="AC25" t="inlineStr">
        <is>
          <t>DIS</t>
        </is>
      </c>
      <c r="AD25" t="inlineStr">
        <is>
          <t>2025-11-12</t>
        </is>
      </c>
      <c r="AE25" t="n">
        <v>114.985</v>
      </c>
      <c r="AF25" t="inlineStr">
        <is>
          <t>2025-11-13</t>
        </is>
      </c>
      <c r="AG25" t="n">
        <v>107.3358</v>
      </c>
      <c r="AH25" t="n">
        <v>-0.06652385097677246</v>
      </c>
      <c r="AI25" t="inlineStr">
        <is>
          <t>DOWN</t>
        </is>
      </c>
      <c r="AJ25" t="inlineStr">
        <is>
          <t>NO</t>
        </is>
      </c>
      <c r="AK25" t="n">
        <v>-0.067524</v>
      </c>
      <c r="AL25">
        <f>IF($A25="","",IFERROR(INDEX(Company_List!$G$3:$G$207,MATCH($A25,Company_List!$A$3:$A$207,0)),"unassigned"))</f>
        <v/>
      </c>
      <c r="AM25" t="inlineStr">
        <is>
          <t>Phase 2/Disney/q4-fy25-earnings-transcript.pdf</t>
        </is>
      </c>
      <c r="AO25" t="inlineStr">
        <is>
          <t>unique filename match</t>
        </is>
      </c>
      <c r="AP25">
        <f>IF($A25="","",IF(COUNTIFS(LLM_Data_Entry!$A$3:$A$548,$A25)&gt;0,"YES","NO"))</f>
        <v/>
      </c>
      <c r="AQ25">
        <f>IF($A25="","",IF(COUNTIFS($A$3:$A25,$A25,$C$3:$C25,$C25,$D$3:$D25,$D25)=1,"YES","NO"))</f>
        <v/>
      </c>
      <c r="AR25">
        <f>IF($A25="","",IF(AND($C25&amp;"-"&amp;$D25&gt;=Settings!$B$19,$C25&amp;"-"&amp;$D25&lt;=Settings!$B$20),"IN","OUT"))</f>
        <v/>
      </c>
      <c r="AS25">
        <f>IF($A25="","",IF($F25="Financial Results","financials",IF($F25="Outlook/Guidance","guidance",IF($F25="Transcript Q&amp;A","qanda",IF($F25="","unrecorded",IF($E25="All","full",IF($E25="","unrecorded",LOWER($E25)&amp;" only")))))))</f>
        <v/>
      </c>
      <c r="AT25">
        <f>IF(AND(OR($J25="BUY",$J25="SELL"),ISNUMBER($U25)),$U25,"")</f>
        <v/>
      </c>
      <c r="AU25">
        <f>IF(AND(OR($J25="BUY",$J25="SELL"),ISNUMBER($AK25)),$AK25,"")</f>
        <v/>
      </c>
      <c r="AV25">
        <f>IF(ISNUMBER($AT25),ABS(IF(ISNUMBER($I25),$I25,0)-Settings!$B$24),"")</f>
        <v/>
      </c>
      <c r="AW25">
        <f>IF(ISNUMBER($AV25),$AV25*$AT25,"")</f>
        <v/>
      </c>
      <c r="AX25">
        <f>IF(ISNUMBER($AU25),ABS(IF(ISNUMBER($I25),$I25,0)-Settings!$B$24),"")</f>
        <v/>
      </c>
      <c r="AY25">
        <f>IF(ISNUMBER($AX25),$AX25*$AU25,"")</f>
        <v/>
      </c>
      <c r="AZ25">
        <f>IF($A25="","",IFERROR(INDEX(Company_List!$H$3:$H$207,MATCH($A25,Company_List!$A$3:$A$207,0)),"unassigned"))</f>
        <v/>
      </c>
      <c r="BC25">
        <f>IF($A25="","",IF(COUNTIFS($A$3:$A25,$A25,$C$3:$C25,$C25,$D$3:$D25,$D25,$G$3:$G25,$G25)=1,1,0))</f>
        <v/>
      </c>
      <c r="BG25" t="inlineStr">
        <is>
          <t>no</t>
        </is>
      </c>
      <c r="BK25">
        <f>IF(OR($H25&lt;&gt;"Human",$S25="",$J25="",$Y25="",$Z25=""),"",IF(EXACT(UPPER($J25),UPPER($Y25)),1,0))</f>
        <v/>
      </c>
      <c r="BL25" t="inlineStr">
        <is>
          <t>assumed - no rater record</t>
        </is>
      </c>
      <c r="BM25" t="n">
        <v>1</v>
      </c>
      <c r="BN25" t="inlineStr">
        <is>
          <t>not publisher-identified</t>
        </is>
      </c>
      <c r="BO25" t="inlineStr">
        <is>
          <t>not publisher-identified</t>
        </is>
      </c>
      <c r="BP25" t="inlineStr">
        <is>
          <t>no</t>
        </is>
      </c>
      <c r="BQ25" t="inlineStr">
        <is>
          <t>no</t>
        </is>
      </c>
    </row>
    <row r="26" ht="16.35" customHeight="1">
      <c r="A26" s="95" t="inlineStr">
        <is>
          <t>Netflix</t>
        </is>
      </c>
      <c r="B26" s="96">
        <f>IF(A26="","",_xlfn.XLOOKUP(A26, Company_List!$A:$A, Company_List!$B:$B, ""))</f>
        <v/>
      </c>
      <c r="C26" s="21" t="n">
        <v>2025</v>
      </c>
      <c r="D26" s="20" t="inlineStr">
        <is>
          <t>Q3</t>
        </is>
      </c>
      <c r="E26" s="19" t="inlineStr">
        <is>
          <t>Transcript</t>
        </is>
      </c>
      <c r="F26" s="19" t="inlineStr">
        <is>
          <t>All</t>
        </is>
      </c>
      <c r="G26" s="20" t="inlineStr">
        <is>
          <t>David</t>
        </is>
      </c>
      <c r="H26" s="20" t="inlineStr">
        <is>
          <t>Human</t>
        </is>
      </c>
      <c r="I26" s="127" t="n">
        <v>0.5</v>
      </c>
      <c r="J26" s="145">
        <f>IF(OR(I26="",Settings!$B$6=""),"",IF(I26&gt;Settings!$B$6,"BUY",IF(I26&lt;-Settings!$B$6,"SELL","HOLD")))</f>
        <v/>
      </c>
      <c r="K26" s="139" t="n">
        <v>62</v>
      </c>
      <c r="L26" s="123" t="n">
        <v>45951</v>
      </c>
      <c r="M26" s="123" t="n">
        <v>45951</v>
      </c>
      <c r="N26" s="127" t="n">
        <v>124.14</v>
      </c>
      <c r="O26" s="123" t="n">
        <v>45952</v>
      </c>
      <c r="P26" s="22" t="n">
        <v>114.29</v>
      </c>
      <c r="Q26" s="148">
        <f>IF(OR(N26="",P26=""),"",ROUND((P26-N26)/N26,4))</f>
        <v/>
      </c>
      <c r="R26" s="20">
        <f>IF(OR(N26="",P26=""),"",IF(Q26&gt;Settings!$B$3/100,"UP",IF(Q26&lt;-Settings!$B$3/100,"DOWN","FLAT")))</f>
        <v/>
      </c>
      <c r="S26" s="20">
        <f>IF(OR(N26="",P26="",J26=""),"",IF(OR(AND(J26="BUY",R26="UP"),AND(J26="SELL",R26="DOWN"),AND(J26="HOLD",R26="FLAT")),"YES","NO"))</f>
        <v/>
      </c>
      <c r="T26" s="21">
        <f>IF(J26="","",IF(J26="BUY",1,IF(J26="SELL",-1,0)))</f>
        <v/>
      </c>
      <c r="U26" s="148">
        <f>IFERROR(IF(OR(J26="",N26="",P26=""),"",IF(T26=0,0,T26*Q26-Settings!$B$4/10000-IF(T26&lt;0,Settings!$B$5/10000,0))),"")</f>
        <v/>
      </c>
      <c r="V26" s="23" t="n"/>
      <c r="W26" s="21">
        <f>IF($K26="","",$K26*60)</f>
        <v/>
      </c>
      <c r="X26" s="91">
        <f>IF($A26="","",$A26&amp;"|"&amp;$C26&amp;"|"&amp;$D26)</f>
        <v/>
      </c>
      <c r="Y26" s="91">
        <f>IFERROR(IF($X26="","",INDEX(LLM_Data_Entry!$H$3:$H$548,MATCH($X26,INDEX(LLM_Data_Entry!$A$3:$A$548&amp;"|"&amp;LLM_Data_Entry!$C$3:$C$548&amp;"|"&amp;LLM_Data_Entry!$D$3:$D$548,0),0))),"")</f>
        <v/>
      </c>
      <c r="Z26" s="91">
        <f>IFERROR(IF($X26="","",INDEX(LLM_Data_Entry!$R$3:$R$548,MATCH($X26,INDEX(LLM_Data_Entry!$A$3:$A$548&amp;"|"&amp;LLM_Data_Entry!$C$3:$C$548&amp;"|"&amp;LLM_Data_Entry!$D$3:$D$548,0),0))),"")</f>
        <v/>
      </c>
      <c r="AB26" t="inlineStr">
        <is>
          <t>release date + stated time in the document (rater worksheet)</t>
        </is>
      </c>
      <c r="AC26" t="inlineStr">
        <is>
          <t>NFLX</t>
        </is>
      </c>
      <c r="AD26" t="inlineStr">
        <is>
          <t>2025-10-21</t>
        </is>
      </c>
      <c r="AE26" t="n">
        <v>124.135</v>
      </c>
      <c r="AF26" t="inlineStr">
        <is>
          <t>2025-10-22</t>
        </is>
      </c>
      <c r="AG26" t="n">
        <v>114.29</v>
      </c>
      <c r="AH26" t="n">
        <v>-0.07930882379169744</v>
      </c>
      <c r="AI26" t="inlineStr">
        <is>
          <t>DOWN</t>
        </is>
      </c>
      <c r="AJ26" t="inlineStr">
        <is>
          <t>NO</t>
        </is>
      </c>
      <c r="AK26" t="n">
        <v>-0.08030900000000001</v>
      </c>
      <c r="AL26">
        <f>IF($A26="","",IFERROR(INDEX(Company_List!$G$3:$G$207,MATCH($A26,Company_List!$A$3:$A$207,0)),"unassigned"))</f>
        <v/>
      </c>
      <c r="AM26" t="inlineStr">
        <is>
          <t>Phase 2/Netflix/2025-Q3/NFLX-2025-Q3-press-release-SEC-EX-99-1.htm</t>
        </is>
      </c>
      <c r="AN26" t="inlineStr">
        <is>
          <t>https://www.sec.gov/Archives/edgar/data/1065280/000106528025000404/ex991_q325.htm</t>
        </is>
      </c>
      <c r="AO26" t="inlineStr">
        <is>
          <t>manifest</t>
        </is>
      </c>
      <c r="AP26">
        <f>IF($A26="","",IF(COUNTIFS(LLM_Data_Entry!$A$3:$A$548,$A26)&gt;0,"YES","NO"))</f>
        <v/>
      </c>
      <c r="AQ26">
        <f>IF($A26="","",IF(COUNTIFS($A$3:$A26,$A26,$C$3:$C26,$C26,$D$3:$D26,$D26)=1,"YES","NO"))</f>
        <v/>
      </c>
      <c r="AR26">
        <f>IF($A26="","",IF(AND($C26&amp;"-"&amp;$D26&gt;=Settings!$B$19,$C26&amp;"-"&amp;$D26&lt;=Settings!$B$20),"IN","OUT"))</f>
        <v/>
      </c>
      <c r="AS26">
        <f>IF($A26="","",IF($F26="Financial Results","financials",IF($F26="Outlook/Guidance","guidance",IF($F26="Transcript Q&amp;A","qanda",IF($F26="","unrecorded",IF($E26="All","full",IF($E26="","unrecorded",LOWER($E26)&amp;" only")))))))</f>
        <v/>
      </c>
      <c r="AT26">
        <f>IF(AND(OR($J26="BUY",$J26="SELL"),ISNUMBER($U26)),$U26,"")</f>
        <v/>
      </c>
      <c r="AU26">
        <f>IF(AND(OR($J26="BUY",$J26="SELL"),ISNUMBER($AK26)),$AK26,"")</f>
        <v/>
      </c>
      <c r="AV26">
        <f>IF(ISNUMBER($AT26),ABS(IF(ISNUMBER($I26),$I26,0)-Settings!$B$24),"")</f>
        <v/>
      </c>
      <c r="AW26">
        <f>IF(ISNUMBER($AV26),$AV26*$AT26,"")</f>
        <v/>
      </c>
      <c r="AX26">
        <f>IF(ISNUMBER($AU26),ABS(IF(ISNUMBER($I26),$I26,0)-Settings!$B$24),"")</f>
        <v/>
      </c>
      <c r="AY26">
        <f>IF(ISNUMBER($AX26),$AX26*$AU26,"")</f>
        <v/>
      </c>
      <c r="AZ26">
        <f>IF($A26="","",IFERROR(INDEX(Company_List!$H$3:$H$207,MATCH($A26,Company_List!$A$3:$A$207,0)),"unassigned"))</f>
        <v/>
      </c>
      <c r="BC26">
        <f>IF($A26="","",IF(COUNTIFS($A$3:$A26,$A26,$C$3:$C26,$C26,$D$3:$D26,$D26,$G$3:$G26,$G26)=1,1,0))</f>
        <v/>
      </c>
      <c r="BG26" t="inlineStr">
        <is>
          <t>no</t>
        </is>
      </c>
      <c r="BK26">
        <f>IF(OR($H26&lt;&gt;"Human",$S26="",$J26="",$Y26="",$Z26=""),"",IF(EXACT(UPPER($J26),UPPER($Y26)),1,0))</f>
        <v/>
      </c>
      <c r="BL26" t="inlineStr">
        <is>
          <t>assumed - no rater record</t>
        </is>
      </c>
      <c r="BM26" t="n">
        <v>1</v>
      </c>
      <c r="BN26" t="inlineStr">
        <is>
          <t>not publisher-identified</t>
        </is>
      </c>
      <c r="BO26" t="inlineStr">
        <is>
          <t>not publisher-identified</t>
        </is>
      </c>
      <c r="BP26" t="inlineStr">
        <is>
          <t>no</t>
        </is>
      </c>
      <c r="BQ26" t="inlineStr">
        <is>
          <t>yes</t>
        </is>
      </c>
      <c r="BR26" t="inlineStr">
        <is>
          <t>filled 11 Aug 2026 from the corpus manifest: the company-quarter holds exactly one document and the manifest carries its release date</t>
        </is>
      </c>
    </row>
    <row r="27" ht="16.35" customHeight="1">
      <c r="A27" s="95" t="inlineStr">
        <is>
          <t>Netflix</t>
        </is>
      </c>
      <c r="B27" s="96">
        <f>IF(A27="","",_xlfn.XLOOKUP(A27, Company_List!$A:$A, Company_List!$B:$B, ""))</f>
        <v/>
      </c>
      <c r="C27" s="21" t="n">
        <v>2025</v>
      </c>
      <c r="D27" s="20" t="inlineStr">
        <is>
          <t>Q4</t>
        </is>
      </c>
      <c r="E27" s="19" t="inlineStr">
        <is>
          <t>Transcript</t>
        </is>
      </c>
      <c r="F27" s="19" t="inlineStr">
        <is>
          <t>All</t>
        </is>
      </c>
      <c r="G27" s="20" t="inlineStr">
        <is>
          <t>David</t>
        </is>
      </c>
      <c r="H27" s="20" t="inlineStr">
        <is>
          <t>Human</t>
        </is>
      </c>
      <c r="I27" s="127" t="n">
        <v>0.6</v>
      </c>
      <c r="J27" s="145">
        <f>IF(OR(I27="",Settings!$B$6=""),"",IF(I27&gt;Settings!$B$6,"BUY",IF(I27&lt;-Settings!$B$6,"SELL","HOLD")))</f>
        <v/>
      </c>
      <c r="K27" s="139" t="n">
        <v>60</v>
      </c>
      <c r="L27" s="123" t="n">
        <v>46042</v>
      </c>
      <c r="M27" s="123" t="n">
        <v>46042</v>
      </c>
      <c r="N27" s="127" t="n">
        <v>87.26000000000001</v>
      </c>
      <c r="O27" s="123" t="n">
        <v>46043</v>
      </c>
      <c r="P27" s="22" t="n">
        <v>82.52</v>
      </c>
      <c r="Q27" s="148">
        <f>IF(OR(N27="",P27=""),"",ROUND((P27-N27)/N27,4))</f>
        <v/>
      </c>
      <c r="R27" s="20">
        <f>IF(OR(N27="",P27=""),"",IF(Q27&gt;Settings!$B$3/100,"UP",IF(Q27&lt;-Settings!$B$3/100,"DOWN","FLAT")))</f>
        <v/>
      </c>
      <c r="S27" s="20">
        <f>IF(OR(N27="",P27="",J27=""),"",IF(OR(AND(J27="BUY",R27="UP"),AND(J27="SELL",R27="DOWN"),AND(J27="HOLD",R27="FLAT")),"YES","NO"))</f>
        <v/>
      </c>
      <c r="T27" s="21">
        <f>IF(J27="","",IF(J27="BUY",1,IF(J27="SELL",-1,0)))</f>
        <v/>
      </c>
      <c r="U27" s="148">
        <f>IFERROR(IF(OR(J27="",N27="",P27=""),"",IF(T27=0,0,T27*Q27-Settings!$B$4/10000-IF(T27&lt;0,Settings!$B$5/10000,0))),"")</f>
        <v/>
      </c>
      <c r="V27" s="23" t="n"/>
      <c r="W27" s="21">
        <f>IF($K27="","",$K27*60)</f>
        <v/>
      </c>
      <c r="X27" s="91">
        <f>IF($A27="","",$A27&amp;"|"&amp;$C27&amp;"|"&amp;$D27)</f>
        <v/>
      </c>
      <c r="Y27" s="91">
        <f>IFERROR(IF($X27="","",INDEX(LLM_Data_Entry!$H$3:$H$548,MATCH($X27,INDEX(LLM_Data_Entry!$A$3:$A$548&amp;"|"&amp;LLM_Data_Entry!$C$3:$C$548&amp;"|"&amp;LLM_Data_Entry!$D$3:$D$548,0),0))),"")</f>
        <v/>
      </c>
      <c r="Z27" s="91">
        <f>IFERROR(IF($X27="","",INDEX(LLM_Data_Entry!$R$3:$R$548,MATCH($X27,INDEX(LLM_Data_Entry!$A$3:$A$548&amp;"|"&amp;LLM_Data_Entry!$C$3:$C$548&amp;"|"&amp;LLM_Data_Entry!$D$3:$D$548,0),0))),"")</f>
        <v/>
      </c>
      <c r="AB27" t="inlineStr">
        <is>
          <t>release date + stated time in the document (rater worksheet)</t>
        </is>
      </c>
      <c r="AC27" t="inlineStr">
        <is>
          <t>NFLX</t>
        </is>
      </c>
      <c r="AD27" t="inlineStr">
        <is>
          <t>2026-01-20</t>
        </is>
      </c>
      <c r="AE27" t="n">
        <v>87.26000000000001</v>
      </c>
      <c r="AF27" t="inlineStr">
        <is>
          <t>2026-01-21</t>
        </is>
      </c>
      <c r="AG27" t="n">
        <v>82.52</v>
      </c>
      <c r="AH27" t="n">
        <v>-0.05432047778316572</v>
      </c>
      <c r="AI27" t="inlineStr">
        <is>
          <t>DOWN</t>
        </is>
      </c>
      <c r="AJ27" t="inlineStr">
        <is>
          <t>NO</t>
        </is>
      </c>
      <c r="AK27" t="n">
        <v>-0.05532</v>
      </c>
      <c r="AL27">
        <f>IF($A27="","",IFERROR(INDEX(Company_List!$G$3:$G$207,MATCH($A27,Company_List!$A$3:$A$207,0)),"unassigned"))</f>
        <v/>
      </c>
      <c r="AM27" t="inlineStr">
        <is>
          <t>Phase 2/Netflix/2025-Q4/NFLX-2025-Q4-press-release-SEC-EX-99-1.htm</t>
        </is>
      </c>
      <c r="AN27" t="inlineStr">
        <is>
          <t>https://www.sec.gov/Archives/edgar/data/1065280/000106528026000033/ex991_q425.htm</t>
        </is>
      </c>
      <c r="AO27" t="inlineStr">
        <is>
          <t>manifest</t>
        </is>
      </c>
      <c r="AP27">
        <f>IF($A27="","",IF(COUNTIFS(LLM_Data_Entry!$A$3:$A$548,$A27)&gt;0,"YES","NO"))</f>
        <v/>
      </c>
      <c r="AQ27">
        <f>IF($A27="","",IF(COUNTIFS($A$3:$A27,$A27,$C$3:$C27,$C27,$D$3:$D27,$D27)=1,"YES","NO"))</f>
        <v/>
      </c>
      <c r="AR27">
        <f>IF($A27="","",IF(AND($C27&amp;"-"&amp;$D27&gt;=Settings!$B$19,$C27&amp;"-"&amp;$D27&lt;=Settings!$B$20),"IN","OUT"))</f>
        <v/>
      </c>
      <c r="AS27">
        <f>IF($A27="","",IF($F27="Financial Results","financials",IF($F27="Outlook/Guidance","guidance",IF($F27="Transcript Q&amp;A","qanda",IF($F27="","unrecorded",IF($E27="All","full",IF($E27="","unrecorded",LOWER($E27)&amp;" only")))))))</f>
        <v/>
      </c>
      <c r="AT27">
        <f>IF(AND(OR($J27="BUY",$J27="SELL"),ISNUMBER($U27)),$U27,"")</f>
        <v/>
      </c>
      <c r="AU27">
        <f>IF(AND(OR($J27="BUY",$J27="SELL"),ISNUMBER($AK27)),$AK27,"")</f>
        <v/>
      </c>
      <c r="AV27">
        <f>IF(ISNUMBER($AT27),ABS(IF(ISNUMBER($I27),$I27,0)-Settings!$B$24),"")</f>
        <v/>
      </c>
      <c r="AW27">
        <f>IF(ISNUMBER($AV27),$AV27*$AT27,"")</f>
        <v/>
      </c>
      <c r="AX27">
        <f>IF(ISNUMBER($AU27),ABS(IF(ISNUMBER($I27),$I27,0)-Settings!$B$24),"")</f>
        <v/>
      </c>
      <c r="AY27">
        <f>IF(ISNUMBER($AX27),$AX27*$AU27,"")</f>
        <v/>
      </c>
      <c r="AZ27">
        <f>IF($A27="","",IFERROR(INDEX(Company_List!$H$3:$H$207,MATCH($A27,Company_List!$A$3:$A$207,0)),"unassigned"))</f>
        <v/>
      </c>
      <c r="BC27">
        <f>IF($A27="","",IF(COUNTIFS($A$3:$A27,$A27,$C$3:$C27,$C27,$D$3:$D27,$D27,$G$3:$G27,$G27)=1,1,0))</f>
        <v/>
      </c>
      <c r="BG27" t="inlineStr">
        <is>
          <t>no</t>
        </is>
      </c>
      <c r="BK27">
        <f>IF(OR($H27&lt;&gt;"Human",$S27="",$J27="",$Y27="",$Z27=""),"",IF(EXACT(UPPER($J27),UPPER($Y27)),1,0))</f>
        <v/>
      </c>
      <c r="BL27" t="inlineStr">
        <is>
          <t>assumed - no rater record</t>
        </is>
      </c>
      <c r="BM27" t="n">
        <v>1</v>
      </c>
      <c r="BN27" t="inlineStr">
        <is>
          <t>not publisher-identified</t>
        </is>
      </c>
      <c r="BO27" t="inlineStr">
        <is>
          <t>not publisher-identified</t>
        </is>
      </c>
      <c r="BP27" t="inlineStr">
        <is>
          <t>no</t>
        </is>
      </c>
      <c r="BQ27" t="inlineStr">
        <is>
          <t>yes</t>
        </is>
      </c>
      <c r="BR27" t="inlineStr">
        <is>
          <t>filled 11 Aug 2026 from the corpus manifest: the company-quarter holds exactly one document and the manifest carries its release date</t>
        </is>
      </c>
    </row>
    <row r="28" ht="16.35" customHeight="1">
      <c r="A28" s="95" t="inlineStr">
        <is>
          <t>Netflix</t>
        </is>
      </c>
      <c r="B28" s="96">
        <f>IF(A28="","",_xlfn.XLOOKUP(A28, Company_List!$A:$A, Company_List!$B:$B, ""))</f>
        <v/>
      </c>
      <c r="C28" s="21" t="n">
        <v>2024</v>
      </c>
      <c r="D28" s="20" t="inlineStr">
        <is>
          <t>Q4</t>
        </is>
      </c>
      <c r="E28" s="19" t="inlineStr">
        <is>
          <t>Transcript</t>
        </is>
      </c>
      <c r="F28" s="19" t="inlineStr">
        <is>
          <t>All</t>
        </is>
      </c>
      <c r="G28" s="20" t="inlineStr">
        <is>
          <t>David</t>
        </is>
      </c>
      <c r="H28" s="20" t="inlineStr">
        <is>
          <t>Human</t>
        </is>
      </c>
      <c r="I28" s="127" t="n">
        <v>0.8</v>
      </c>
      <c r="J28" s="145">
        <f>IF(OR(I28="",Settings!$B$6=""),"",IF(I28&gt;Settings!$B$6,"BUY",IF(I28&lt;-Settings!$B$6,"SELL","HOLD")))</f>
        <v/>
      </c>
      <c r="K28" s="139" t="n">
        <v>47</v>
      </c>
      <c r="L28" s="123" t="n">
        <v>45678</v>
      </c>
      <c r="M28" s="123" t="n">
        <v>45678</v>
      </c>
      <c r="N28" s="127" t="n">
        <v>86.97</v>
      </c>
      <c r="O28" s="123" t="n">
        <v>45679</v>
      </c>
      <c r="P28" s="22" t="n">
        <v>99.8</v>
      </c>
      <c r="Q28" s="148">
        <f>IF(OR(N28="",P28=""),"",ROUND((P28-N28)/N28,4))</f>
        <v/>
      </c>
      <c r="R28" s="20">
        <f>IF(OR(N28="",P28=""),"",IF(Q28&gt;Settings!$B$3/100,"UP",IF(Q28&lt;-Settings!$B$3/100,"DOWN","FLAT")))</f>
        <v/>
      </c>
      <c r="S28" s="20">
        <f>IF(OR(N28="",P28="",J28=""),"",IF(OR(AND(J28="BUY",R28="UP"),AND(J28="SELL",R28="DOWN"),AND(J28="HOLD",R28="FLAT")),"YES","NO"))</f>
        <v/>
      </c>
      <c r="T28" s="21">
        <f>IF(J28="","",IF(J28="BUY",1,IF(J28="SELL",-1,0)))</f>
        <v/>
      </c>
      <c r="U28" s="148">
        <f>IFERROR(IF(OR(J28="",N28="",P28=""),"",IF(T28=0,0,T28*Q28-Settings!$B$4/10000-IF(T28&lt;0,Settings!$B$5/10000,0))),"")</f>
        <v/>
      </c>
      <c r="V28" s="23" t="n"/>
      <c r="W28" s="21">
        <f>IF($K28="","",$K28*60)</f>
        <v/>
      </c>
      <c r="X28" s="91">
        <f>IF($A28="","",$A28&amp;"|"&amp;$C28&amp;"|"&amp;$D28)</f>
        <v/>
      </c>
      <c r="Y28" s="91">
        <f>IFERROR(IF($X28="","",INDEX(LLM_Data_Entry!$H$3:$H$548,MATCH($X28,INDEX(LLM_Data_Entry!$A$3:$A$548&amp;"|"&amp;LLM_Data_Entry!$C$3:$C$548&amp;"|"&amp;LLM_Data_Entry!$D$3:$D$548,0),0))),"")</f>
        <v/>
      </c>
      <c r="Z28" s="91">
        <f>IFERROR(IF($X28="","",INDEX(LLM_Data_Entry!$R$3:$R$548,MATCH($X28,INDEX(LLM_Data_Entry!$A$3:$A$548&amp;"|"&amp;LLM_Data_Entry!$C$3:$C$548&amp;"|"&amp;LLM_Data_Entry!$D$3:$D$548,0),0))),"")</f>
        <v/>
      </c>
      <c r="AB28" t="inlineStr">
        <is>
          <t>release date + stated time in the document (rater worksheet)</t>
        </is>
      </c>
      <c r="AC28" t="inlineStr">
        <is>
          <t>NFLX</t>
        </is>
      </c>
      <c r="AD28" t="inlineStr">
        <is>
          <t>2025-01-21</t>
        </is>
      </c>
      <c r="AE28" t="n">
        <v>86.968</v>
      </c>
      <c r="AF28" t="inlineStr">
        <is>
          <t>2025-01-22</t>
        </is>
      </c>
      <c r="AG28" t="n">
        <v>99.803</v>
      </c>
      <c r="AH28" t="n">
        <v>0.1475830041490432</v>
      </c>
      <c r="AI28" t="inlineStr">
        <is>
          <t>UP</t>
        </is>
      </c>
      <c r="AJ28" t="inlineStr">
        <is>
          <t>YES</t>
        </is>
      </c>
      <c r="AK28" t="n">
        <v>0.146583</v>
      </c>
      <c r="AL28">
        <f>IF($A28="","",IFERROR(INDEX(Company_List!$G$3:$G$207,MATCH($A28,Company_List!$A$3:$A$207,0)),"unassigned"))</f>
        <v/>
      </c>
      <c r="AM28" t="inlineStr">
        <is>
          <t>Phase 2/Netflix/2024-Q4/NFLX-2024-Q4-press-release-SEC-EX-99-1.htm</t>
        </is>
      </c>
      <c r="AN28" t="inlineStr">
        <is>
          <t>https://www.sec.gov/Archives/edgar/data/1065280/000106528025000033/ex991_q424.htm</t>
        </is>
      </c>
      <c r="AO28" t="inlineStr">
        <is>
          <t>manifest</t>
        </is>
      </c>
      <c r="AP28">
        <f>IF($A28="","",IF(COUNTIFS(LLM_Data_Entry!$A$3:$A$548,$A28)&gt;0,"YES","NO"))</f>
        <v/>
      </c>
      <c r="AQ28">
        <f>IF($A28="","",IF(COUNTIFS($A$3:$A28,$A28,$C$3:$C28,$C28,$D$3:$D28,$D28)=1,"YES","NO"))</f>
        <v/>
      </c>
      <c r="AR28">
        <f>IF($A28="","",IF(AND($C28&amp;"-"&amp;$D28&gt;=Settings!$B$19,$C28&amp;"-"&amp;$D28&lt;=Settings!$B$20),"IN","OUT"))</f>
        <v/>
      </c>
      <c r="AS28">
        <f>IF($A28="","",IF($F28="Financial Results","financials",IF($F28="Outlook/Guidance","guidance",IF($F28="Transcript Q&amp;A","qanda",IF($F28="","unrecorded",IF($E28="All","full",IF($E28="","unrecorded",LOWER($E28)&amp;" only")))))))</f>
        <v/>
      </c>
      <c r="AT28">
        <f>IF(AND(OR($J28="BUY",$J28="SELL"),ISNUMBER($U28)),$U28,"")</f>
        <v/>
      </c>
      <c r="AU28">
        <f>IF(AND(OR($J28="BUY",$J28="SELL"),ISNUMBER($AK28)),$AK28,"")</f>
        <v/>
      </c>
      <c r="AV28">
        <f>IF(ISNUMBER($AT28),ABS(IF(ISNUMBER($I28),$I28,0)-Settings!$B$24),"")</f>
        <v/>
      </c>
      <c r="AW28">
        <f>IF(ISNUMBER($AV28),$AV28*$AT28,"")</f>
        <v/>
      </c>
      <c r="AX28">
        <f>IF(ISNUMBER($AU28),ABS(IF(ISNUMBER($I28),$I28,0)-Settings!$B$24),"")</f>
        <v/>
      </c>
      <c r="AY28">
        <f>IF(ISNUMBER($AX28),$AX28*$AU28,"")</f>
        <v/>
      </c>
      <c r="AZ28">
        <f>IF($A28="","",IFERROR(INDEX(Company_List!$H$3:$H$207,MATCH($A28,Company_List!$A$3:$A$207,0)),"unassigned"))</f>
        <v/>
      </c>
      <c r="BC28">
        <f>IF($A28="","",IF(COUNTIFS($A$3:$A28,$A28,$C$3:$C28,$C28,$D$3:$D28,$D28,$G$3:$G28,$G28)=1,1,0))</f>
        <v/>
      </c>
      <c r="BG28" t="inlineStr">
        <is>
          <t>no</t>
        </is>
      </c>
      <c r="BK28">
        <f>IF(OR($H28&lt;&gt;"Human",$S28="",$J28="",$Y28="",$Z28=""),"",IF(EXACT(UPPER($J28),UPPER($Y28)),1,0))</f>
        <v/>
      </c>
      <c r="BL28" t="inlineStr">
        <is>
          <t>assumed - no rater record</t>
        </is>
      </c>
      <c r="BM28" t="n">
        <v>1</v>
      </c>
      <c r="BN28" t="inlineStr">
        <is>
          <t>not publisher-identified</t>
        </is>
      </c>
      <c r="BO28" t="inlineStr">
        <is>
          <t>not publisher-identified</t>
        </is>
      </c>
      <c r="BP28" t="inlineStr">
        <is>
          <t>no</t>
        </is>
      </c>
      <c r="BQ28" t="inlineStr">
        <is>
          <t>yes</t>
        </is>
      </c>
      <c r="BR28" t="inlineStr">
        <is>
          <t>filled 11 Aug 2026 from the corpus manifest: the company-quarter holds exactly one document and the manifest carries its release date</t>
        </is>
      </c>
    </row>
    <row r="29" ht="16.35" customHeight="1">
      <c r="A29" s="95" t="inlineStr">
        <is>
          <t>Amazon</t>
        </is>
      </c>
      <c r="B29" s="96">
        <f>IF(A29="","",_xlfn.XLOOKUP(A29, Company_List!$A:$A, Company_List!$B:$B, ""))</f>
        <v/>
      </c>
      <c r="C29" s="21" t="n">
        <v>2026</v>
      </c>
      <c r="D29" s="20" t="inlineStr">
        <is>
          <t>Q1</t>
        </is>
      </c>
      <c r="E29" s="19" t="inlineStr">
        <is>
          <t>All</t>
        </is>
      </c>
      <c r="F29" s="19" t="inlineStr">
        <is>
          <t>All</t>
        </is>
      </c>
      <c r="G29" s="20" t="inlineStr">
        <is>
          <t>David</t>
        </is>
      </c>
      <c r="H29" s="20" t="inlineStr">
        <is>
          <t>Human</t>
        </is>
      </c>
      <c r="I29" s="127" t="n">
        <v>0.8</v>
      </c>
      <c r="J29" s="145">
        <f>IF(OR(I29="",Settings!$B$6=""),"",IF(I29&gt;Settings!$B$6,"BUY",IF(I29&lt;-Settings!$B$6,"SELL","HOLD")))</f>
        <v/>
      </c>
      <c r="K29" s="139" t="n">
        <v>52</v>
      </c>
      <c r="L29" s="123" t="n">
        <v>46141</v>
      </c>
      <c r="M29" s="123" t="n">
        <v>46141</v>
      </c>
      <c r="N29" s="127" t="n">
        <v>263.04</v>
      </c>
      <c r="O29" s="123" t="n">
        <v>46142</v>
      </c>
      <c r="P29" s="22" t="n">
        <v>273.17</v>
      </c>
      <c r="Q29" s="148">
        <f>IF(OR(N29="",P29=""),"",ROUND((P29-N29)/N29,4))</f>
        <v/>
      </c>
      <c r="R29" s="20">
        <f>IF(OR(N29="",P29=""),"",IF(Q29&gt;Settings!$B$3/100,"UP",IF(Q29&lt;-Settings!$B$3/100,"DOWN","FLAT")))</f>
        <v/>
      </c>
      <c r="S29" s="20">
        <f>IF(OR(N29="",P29="",J29=""),"",IF(OR(AND(J29="BUY",R29="UP"),AND(J29="SELL",R29="DOWN"),AND(J29="HOLD",R29="FLAT")),"YES","NO"))</f>
        <v/>
      </c>
      <c r="T29" s="21">
        <f>IF(J29="","",IF(J29="BUY",1,IF(J29="SELL",-1,0)))</f>
        <v/>
      </c>
      <c r="U29" s="148">
        <f>IFERROR(IF(OR(J29="",N29="",P29=""),"",IF(T29=0,0,T29*Q29-Settings!$B$4/10000-IF(T29&lt;0,Settings!$B$5/10000,0))),"")</f>
        <v/>
      </c>
      <c r="V29" s="23" t="n"/>
      <c r="W29" s="21">
        <f>IF($K29="","",$K29*60)</f>
        <v/>
      </c>
      <c r="X29" s="91">
        <f>IF($A29="","",$A29&amp;"|"&amp;$C29&amp;"|"&amp;$D29)</f>
        <v/>
      </c>
      <c r="Y29" s="91">
        <f>IFERROR(IF($X29="","",INDEX(LLM_Data_Entry!$H$3:$H$548,MATCH($X29,INDEX(LLM_Data_Entry!$A$3:$A$548&amp;"|"&amp;LLM_Data_Entry!$C$3:$C$548&amp;"|"&amp;LLM_Data_Entry!$D$3:$D$548,0),0))),"")</f>
        <v/>
      </c>
      <c r="Z29" s="91">
        <f>IFERROR(IF($X29="","",INDEX(LLM_Data_Entry!$R$3:$R$548,MATCH($X29,INDEX(LLM_Data_Entry!$A$3:$A$548&amp;"|"&amp;LLM_Data_Entry!$C$3:$C$548&amp;"|"&amp;LLM_Data_Entry!$D$3:$D$548,0),0))),"")</f>
        <v/>
      </c>
      <c r="AB29" t="inlineStr">
        <is>
          <t>release date + stated time in the document (rater worksheet)</t>
        </is>
      </c>
      <c r="AC29" t="inlineStr">
        <is>
          <t>AMZN</t>
        </is>
      </c>
      <c r="AD29" t="inlineStr">
        <is>
          <t>2026-04-29</t>
        </is>
      </c>
      <c r="AE29" t="n">
        <v>263.04</v>
      </c>
      <c r="AF29" t="inlineStr">
        <is>
          <t>2026-04-30</t>
        </is>
      </c>
      <c r="AG29" t="n">
        <v>273.17</v>
      </c>
      <c r="AH29" t="n">
        <v>0.03851126693049948</v>
      </c>
      <c r="AI29" t="inlineStr">
        <is>
          <t>UP</t>
        </is>
      </c>
      <c r="AJ29" t="inlineStr">
        <is>
          <t>YES</t>
        </is>
      </c>
      <c r="AK29" t="n">
        <v>0.037511</v>
      </c>
      <c r="AL29">
        <f>IF($A29="","",IFERROR(INDEX(Company_List!$G$3:$G$207,MATCH($A29,Company_List!$A$3:$A$207,0)),"unassigned"))</f>
        <v/>
      </c>
      <c r="AM29" t="inlineStr">
        <is>
          <t>Phase 2/Amazon/2026-Q1/AMZN-2026-Q1-press-release-SEC-EX-99-1.htm</t>
        </is>
      </c>
      <c r="AN29" t="inlineStr">
        <is>
          <t>https://www.sec.gov/Archives/edgar/data/1018724/000101872426000012/amzn-20260331xex991.htm</t>
        </is>
      </c>
      <c r="AO29" t="inlineStr">
        <is>
          <t>manifest</t>
        </is>
      </c>
      <c r="AP29">
        <f>IF($A29="","",IF(COUNTIFS(LLM_Data_Entry!$A$3:$A$548,$A29)&gt;0,"YES","NO"))</f>
        <v/>
      </c>
      <c r="AQ29">
        <f>IF($A29="","",IF(COUNTIFS($A$3:$A29,$A29,$C$3:$C29,$C29,$D$3:$D29,$D29)=1,"YES","NO"))</f>
        <v/>
      </c>
      <c r="AR29">
        <f>IF($A29="","",IF(AND($C29&amp;"-"&amp;$D29&gt;=Settings!$B$19,$C29&amp;"-"&amp;$D29&lt;=Settings!$B$20),"IN","OUT"))</f>
        <v/>
      </c>
      <c r="AS29">
        <f>IF($A29="","",IF($F29="Financial Results","financials",IF($F29="Outlook/Guidance","guidance",IF($F29="Transcript Q&amp;A","qanda",IF($F29="","unrecorded",IF($E29="All","full",IF($E29="","unrecorded",LOWER($E29)&amp;" only")))))))</f>
        <v/>
      </c>
      <c r="AT29">
        <f>IF(AND(OR($J29="BUY",$J29="SELL"),ISNUMBER($U29)),$U29,"")</f>
        <v/>
      </c>
      <c r="AU29">
        <f>IF(AND(OR($J29="BUY",$J29="SELL"),ISNUMBER($AK29)),$AK29,"")</f>
        <v/>
      </c>
      <c r="AV29">
        <f>IF(ISNUMBER($AT29),ABS(IF(ISNUMBER($I29),$I29,0)-Settings!$B$24),"")</f>
        <v/>
      </c>
      <c r="AW29">
        <f>IF(ISNUMBER($AV29),$AV29*$AT29,"")</f>
        <v/>
      </c>
      <c r="AX29">
        <f>IF(ISNUMBER($AU29),ABS(IF(ISNUMBER($I29),$I29,0)-Settings!$B$24),"")</f>
        <v/>
      </c>
      <c r="AY29">
        <f>IF(ISNUMBER($AX29),$AX29*$AU29,"")</f>
        <v/>
      </c>
      <c r="AZ29">
        <f>IF($A29="","",IFERROR(INDEX(Company_List!$H$3:$H$207,MATCH($A29,Company_List!$A$3:$A$207,0)),"unassigned"))</f>
        <v/>
      </c>
      <c r="BC29">
        <f>IF($A29="","",IF(COUNTIFS($A$3:$A29,$A29,$C$3:$C29,$C29,$D$3:$D29,$D29,$G$3:$G29,$G29)=1,1,0))</f>
        <v/>
      </c>
      <c r="BG29" t="inlineStr">
        <is>
          <t>no</t>
        </is>
      </c>
      <c r="BK29">
        <f>IF(OR($H29&lt;&gt;"Human",$S29="",$J29="",$Y29="",$Z29=""),"",IF(EXACT(UPPER($J29),UPPER($Y29)),1,0))</f>
        <v/>
      </c>
      <c r="BL29" t="inlineStr">
        <is>
          <t>assumed - no rater record</t>
        </is>
      </c>
      <c r="BM29" t="n">
        <v>1</v>
      </c>
      <c r="BN29" t="inlineStr">
        <is>
          <t>not publisher-identified</t>
        </is>
      </c>
      <c r="BO29" t="inlineStr">
        <is>
          <t>not publisher-identified</t>
        </is>
      </c>
      <c r="BP29" t="inlineStr">
        <is>
          <t>no</t>
        </is>
      </c>
      <c r="BQ29" t="inlineStr">
        <is>
          <t>yes</t>
        </is>
      </c>
      <c r="BR29" t="inlineStr">
        <is>
          <t>filled 11 Aug 2026 from the corpus manifest: the company-quarter holds exactly one document and the manifest carries its release date</t>
        </is>
      </c>
    </row>
    <row r="30" ht="16.35" customHeight="1">
      <c r="A30" s="95" t="inlineStr">
        <is>
          <t>Amazon</t>
        </is>
      </c>
      <c r="B30" s="96">
        <f>IF(A30="","",_xlfn.XLOOKUP(A30, Company_List!$A:$A, Company_List!$B:$B, ""))</f>
        <v/>
      </c>
      <c r="C30" s="21" t="n">
        <v>2025</v>
      </c>
      <c r="D30" s="20" t="inlineStr">
        <is>
          <t>Q3</t>
        </is>
      </c>
      <c r="E30" s="19" t="inlineStr">
        <is>
          <t>All</t>
        </is>
      </c>
      <c r="F30" s="19" t="inlineStr">
        <is>
          <t>All</t>
        </is>
      </c>
      <c r="G30" s="20" t="inlineStr">
        <is>
          <t>David</t>
        </is>
      </c>
      <c r="H30" s="20" t="inlineStr">
        <is>
          <t>Human</t>
        </is>
      </c>
      <c r="I30" s="127" t="n">
        <v>-0.5</v>
      </c>
      <c r="J30" s="145">
        <f>IF(OR(I30="",Settings!$B$6=""),"",IF(I30&gt;Settings!$B$6,"BUY",IF(I30&lt;-Settings!$B$6,"SELL","HOLD")))</f>
        <v/>
      </c>
      <c r="K30" s="139" t="n">
        <v>47</v>
      </c>
      <c r="L30" s="123" t="n">
        <v>45960</v>
      </c>
      <c r="M30" s="123" t="n">
        <v>45960</v>
      </c>
      <c r="N30" s="127" t="n">
        <v>222.86</v>
      </c>
      <c r="O30" s="123" t="n">
        <v>45961</v>
      </c>
      <c r="P30" s="22" t="n">
        <v>250.1</v>
      </c>
      <c r="Q30" s="148">
        <f>IF(OR(N30="",P30=""),"",ROUND((P30-N30)/N30,4))</f>
        <v/>
      </c>
      <c r="R30" s="20">
        <f>IF(OR(N30="",P30=""),"",IF(Q30&gt;Settings!$B$3/100,"UP",IF(Q30&lt;-Settings!$B$3/100,"DOWN","FLAT")))</f>
        <v/>
      </c>
      <c r="S30" s="20">
        <f>IF(OR(N30="",P30="",J30=""),"",IF(OR(AND(J30="BUY",R30="UP"),AND(J30="SELL",R30="DOWN"),AND(J30="HOLD",R30="FLAT")),"YES","NO"))</f>
        <v/>
      </c>
      <c r="T30" s="21">
        <f>IF(J30="","",IF(J30="BUY",1,IF(J30="SELL",-1,0)))</f>
        <v/>
      </c>
      <c r="U30" s="148">
        <f>IFERROR(IF(OR(J30="",N30="",P30=""),"",IF(T30=0,0,T30*Q30-Settings!$B$4/10000-IF(T30&lt;0,Settings!$B$5/10000,0))),"")</f>
        <v/>
      </c>
      <c r="V30" s="23" t="n"/>
      <c r="W30" s="21">
        <f>IF($K30="","",$K30*60)</f>
        <v/>
      </c>
      <c r="X30" s="91">
        <f>IF($A30="","",$A30&amp;"|"&amp;$C30&amp;"|"&amp;$D30)</f>
        <v/>
      </c>
      <c r="Y30" s="91">
        <f>IFERROR(IF($X30="","",INDEX(LLM_Data_Entry!$H$3:$H$548,MATCH($X30,INDEX(LLM_Data_Entry!$A$3:$A$548&amp;"|"&amp;LLM_Data_Entry!$C$3:$C$548&amp;"|"&amp;LLM_Data_Entry!$D$3:$D$548,0),0))),"")</f>
        <v/>
      </c>
      <c r="Z30" s="91">
        <f>IFERROR(IF($X30="","",INDEX(LLM_Data_Entry!$R$3:$R$548,MATCH($X30,INDEX(LLM_Data_Entry!$A$3:$A$548&amp;"|"&amp;LLM_Data_Entry!$C$3:$C$548&amp;"|"&amp;LLM_Data_Entry!$D$3:$D$548,0),0))),"")</f>
        <v/>
      </c>
      <c r="AB30" t="inlineStr">
        <is>
          <t>release date + stated time in the document (rater worksheet)</t>
        </is>
      </c>
      <c r="AC30" t="inlineStr">
        <is>
          <t>AMZN</t>
        </is>
      </c>
      <c r="AD30" t="inlineStr">
        <is>
          <t>2025-10-30</t>
        </is>
      </c>
      <c r="AE30" t="n">
        <v>222.86</v>
      </c>
      <c r="AF30" t="inlineStr">
        <is>
          <t>2025-10-31</t>
        </is>
      </c>
      <c r="AG30" t="n">
        <v>250.1</v>
      </c>
      <c r="AH30" t="n">
        <v>0.1222292240768679</v>
      </c>
      <c r="AI30" t="inlineStr">
        <is>
          <t>UP</t>
        </is>
      </c>
      <c r="AJ30" t="inlineStr">
        <is>
          <t>NO</t>
        </is>
      </c>
      <c r="AK30" t="n">
        <v>-0.123229</v>
      </c>
      <c r="AL30">
        <f>IF($A30="","",IFERROR(INDEX(Company_List!$G$3:$G$207,MATCH($A30,Company_List!$A$3:$A$207,0)),"unassigned"))</f>
        <v/>
      </c>
      <c r="AM30" t="inlineStr">
        <is>
          <t>Phase 2/Amazon/2025-Q3/AMZN-2025-Q3-press-release-SEC-EX-99-1.htm</t>
        </is>
      </c>
      <c r="AN30" t="inlineStr">
        <is>
          <t>https://www.sec.gov/Archives/edgar/data/1018724/000101872425000121/amzn-20250930xex991.htm</t>
        </is>
      </c>
      <c r="AO30" t="inlineStr">
        <is>
          <t>manifest</t>
        </is>
      </c>
      <c r="AP30">
        <f>IF($A30="","",IF(COUNTIFS(LLM_Data_Entry!$A$3:$A$548,$A30)&gt;0,"YES","NO"))</f>
        <v/>
      </c>
      <c r="AQ30">
        <f>IF($A30="","",IF(COUNTIFS($A$3:$A30,$A30,$C$3:$C30,$C30,$D$3:$D30,$D30)=1,"YES","NO"))</f>
        <v/>
      </c>
      <c r="AR30">
        <f>IF($A30="","",IF(AND($C30&amp;"-"&amp;$D30&gt;=Settings!$B$19,$C30&amp;"-"&amp;$D30&lt;=Settings!$B$20),"IN","OUT"))</f>
        <v/>
      </c>
      <c r="AS30">
        <f>IF($A30="","",IF($F30="Financial Results","financials",IF($F30="Outlook/Guidance","guidance",IF($F30="Transcript Q&amp;A","qanda",IF($F30="","unrecorded",IF($E30="All","full",IF($E30="","unrecorded",LOWER($E30)&amp;" only")))))))</f>
        <v/>
      </c>
      <c r="AT30">
        <f>IF(AND(OR($J30="BUY",$J30="SELL"),ISNUMBER($U30)),$U30,"")</f>
        <v/>
      </c>
      <c r="AU30">
        <f>IF(AND(OR($J30="BUY",$J30="SELL"),ISNUMBER($AK30)),$AK30,"")</f>
        <v/>
      </c>
      <c r="AV30">
        <f>IF(ISNUMBER($AT30),ABS(IF(ISNUMBER($I30),$I30,0)-Settings!$B$24),"")</f>
        <v/>
      </c>
      <c r="AW30">
        <f>IF(ISNUMBER($AV30),$AV30*$AT30,"")</f>
        <v/>
      </c>
      <c r="AX30">
        <f>IF(ISNUMBER($AU30),ABS(IF(ISNUMBER($I30),$I30,0)-Settings!$B$24),"")</f>
        <v/>
      </c>
      <c r="AY30">
        <f>IF(ISNUMBER($AX30),$AX30*$AU30,"")</f>
        <v/>
      </c>
      <c r="AZ30">
        <f>IF($A30="","",IFERROR(INDEX(Company_List!$H$3:$H$207,MATCH($A30,Company_List!$A$3:$A$207,0)),"unassigned"))</f>
        <v/>
      </c>
      <c r="BC30">
        <f>IF($A30="","",IF(COUNTIFS($A$3:$A30,$A30,$C$3:$C30,$C30,$D$3:$D30,$D30,$G$3:$G30,$G30)=1,1,0))</f>
        <v/>
      </c>
      <c r="BG30" t="inlineStr">
        <is>
          <t>no</t>
        </is>
      </c>
      <c r="BK30">
        <f>IF(OR($H30&lt;&gt;"Human",$S30="",$J30="",$Y30="",$Z30=""),"",IF(EXACT(UPPER($J30),UPPER($Y30)),1,0))</f>
        <v/>
      </c>
      <c r="BL30" t="inlineStr">
        <is>
          <t>assumed - no rater record</t>
        </is>
      </c>
      <c r="BM30" t="n">
        <v>1</v>
      </c>
      <c r="BN30" t="inlineStr">
        <is>
          <t>not publisher-identified</t>
        </is>
      </c>
      <c r="BO30" t="inlineStr">
        <is>
          <t>not publisher-identified</t>
        </is>
      </c>
      <c r="BP30" t="inlineStr">
        <is>
          <t>no</t>
        </is>
      </c>
      <c r="BQ30" t="inlineStr">
        <is>
          <t>yes</t>
        </is>
      </c>
      <c r="BR30" t="inlineStr">
        <is>
          <t>filled 11 Aug 2026 from the corpus manifest: the company-quarter holds exactly one document and the manifest carries its release date</t>
        </is>
      </c>
    </row>
    <row r="31" ht="16.35" customHeight="1">
      <c r="A31" s="95" t="inlineStr">
        <is>
          <t>Amazon</t>
        </is>
      </c>
      <c r="B31" s="96">
        <f>IF(A31="","",_xlfn.XLOOKUP(A31, Company_List!$A:$A, Company_List!$B:$B, ""))</f>
        <v/>
      </c>
      <c r="C31" s="21" t="n">
        <v>2025</v>
      </c>
      <c r="D31" s="20" t="inlineStr">
        <is>
          <t>Q4</t>
        </is>
      </c>
      <c r="E31" s="19" t="inlineStr">
        <is>
          <t>All</t>
        </is>
      </c>
      <c r="F31" s="19" t="inlineStr">
        <is>
          <t>All</t>
        </is>
      </c>
      <c r="G31" s="20" t="inlineStr">
        <is>
          <t>David</t>
        </is>
      </c>
      <c r="H31" s="20" t="inlineStr">
        <is>
          <t>Human</t>
        </is>
      </c>
      <c r="I31" s="127" t="n">
        <v>0.3</v>
      </c>
      <c r="J31" s="145">
        <f>IF(OR(I31="",Settings!$B$6=""),"",IF(I31&gt;Settings!$B$6,"BUY",IF(I31&lt;-Settings!$B$6,"SELL","HOLD")))</f>
        <v/>
      </c>
      <c r="K31" s="139" t="n">
        <v>58</v>
      </c>
      <c r="L31" s="123" t="n">
        <v>46058</v>
      </c>
      <c r="M31" s="123" t="n">
        <v>46058</v>
      </c>
      <c r="N31" s="127" t="n">
        <v>222.69</v>
      </c>
      <c r="O31" s="123" t="n">
        <v>46059</v>
      </c>
      <c r="P31" s="22" t="n">
        <v>202.7</v>
      </c>
      <c r="Q31" s="148">
        <f>IF(OR(N31="",P31=""),"",ROUND((P31-N31)/N31,4))</f>
        <v/>
      </c>
      <c r="R31" s="20">
        <f>IF(OR(N31="",P31=""),"",IF(Q31&gt;Settings!$B$3/100,"UP",IF(Q31&lt;-Settings!$B$3/100,"DOWN","FLAT")))</f>
        <v/>
      </c>
      <c r="S31" s="20">
        <f>IF(OR(N31="",P31="",J31=""),"",IF(OR(AND(J31="BUY",R31="UP"),AND(J31="SELL",R31="DOWN"),AND(J31="HOLD",R31="FLAT")),"YES","NO"))</f>
        <v/>
      </c>
      <c r="T31" s="21">
        <f>IF(J31="","",IF(J31="BUY",1,IF(J31="SELL",-1,0)))</f>
        <v/>
      </c>
      <c r="U31" s="148">
        <f>IFERROR(IF(OR(J31="",N31="",P31=""),"",IF(T31=0,0,T31*Q31-Settings!$B$4/10000-IF(T31&lt;0,Settings!$B$5/10000,0))),"")</f>
        <v/>
      </c>
      <c r="V31" s="23" t="n"/>
      <c r="W31" s="21">
        <f>IF($K31="","",$K31*60)</f>
        <v/>
      </c>
      <c r="X31" s="91">
        <f>IF($A31="","",$A31&amp;"|"&amp;$C31&amp;"|"&amp;$D31)</f>
        <v/>
      </c>
      <c r="Y31" s="91">
        <f>IFERROR(IF($X31="","",INDEX(LLM_Data_Entry!$H$3:$H$548,MATCH($X31,INDEX(LLM_Data_Entry!$A$3:$A$548&amp;"|"&amp;LLM_Data_Entry!$C$3:$C$548&amp;"|"&amp;LLM_Data_Entry!$D$3:$D$548,0),0))),"")</f>
        <v/>
      </c>
      <c r="Z31" s="91">
        <f>IFERROR(IF($X31="","",INDEX(LLM_Data_Entry!$R$3:$R$548,MATCH($X31,INDEX(LLM_Data_Entry!$A$3:$A$548&amp;"|"&amp;LLM_Data_Entry!$C$3:$C$548&amp;"|"&amp;LLM_Data_Entry!$D$3:$D$548,0),0))),"")</f>
        <v/>
      </c>
      <c r="AB31" t="inlineStr">
        <is>
          <t>recorded price identified against every pulled series</t>
        </is>
      </c>
      <c r="AC31" t="inlineStr">
        <is>
          <t>AMZN</t>
        </is>
      </c>
      <c r="AD31" t="inlineStr">
        <is>
          <t>2026-02-05</t>
        </is>
      </c>
      <c r="AE31" t="n">
        <v>222.69</v>
      </c>
      <c r="AF31" t="inlineStr">
        <is>
          <t>2026-02-06</t>
        </is>
      </c>
      <c r="AG31" t="n">
        <v>202.7</v>
      </c>
      <c r="AH31" t="n">
        <v>-0.08976606412711782</v>
      </c>
      <c r="AI31" t="inlineStr">
        <is>
          <t>DOWN</t>
        </is>
      </c>
      <c r="AJ31" t="inlineStr">
        <is>
          <t>NO</t>
        </is>
      </c>
      <c r="AK31" t="n">
        <v>-0.090766</v>
      </c>
      <c r="AL31">
        <f>IF($A31="","",IFERROR(INDEX(Company_List!$G$3:$G$207,MATCH($A31,Company_List!$A$3:$A$207,0)),"unassigned"))</f>
        <v/>
      </c>
      <c r="AM31" t="inlineStr">
        <is>
          <t>Phase 2/Amazon/2025-Q4/AMZN-2025-Q4-press-release-SEC-EX-99-1.htm</t>
        </is>
      </c>
      <c r="AN31" t="inlineStr">
        <is>
          <t>https://www.sec.gov/Archives/edgar/data/1018724/000101872426000002/amzn-20251231xex991.htm</t>
        </is>
      </c>
      <c r="AO31" t="inlineStr">
        <is>
          <t>manifest</t>
        </is>
      </c>
      <c r="AP31">
        <f>IF($A31="","",IF(COUNTIFS(LLM_Data_Entry!$A$3:$A$548,$A31)&gt;0,"YES","NO"))</f>
        <v/>
      </c>
      <c r="AQ31">
        <f>IF($A31="","",IF(COUNTIFS($A$3:$A31,$A31,$C$3:$C31,$C31,$D$3:$D31,$D31)=1,"YES","NO"))</f>
        <v/>
      </c>
      <c r="AR31">
        <f>IF($A31="","",IF(AND($C31&amp;"-"&amp;$D31&gt;=Settings!$B$19,$C31&amp;"-"&amp;$D31&lt;=Settings!$B$20),"IN","OUT"))</f>
        <v/>
      </c>
      <c r="AS31">
        <f>IF($A31="","",IF($F31="Financial Results","financials",IF($F31="Outlook/Guidance","guidance",IF($F31="Transcript Q&amp;A","qanda",IF($F31="","unrecorded",IF($E31="All","full",IF($E31="","unrecorded",LOWER($E31)&amp;" only")))))))</f>
        <v/>
      </c>
      <c r="AT31">
        <f>IF(AND(OR($J31="BUY",$J31="SELL"),ISNUMBER($U31)),$U31,"")</f>
        <v/>
      </c>
      <c r="AU31">
        <f>IF(AND(OR($J31="BUY",$J31="SELL"),ISNUMBER($AK31)),$AK31,"")</f>
        <v/>
      </c>
      <c r="AV31">
        <f>IF(ISNUMBER($AT31),ABS(IF(ISNUMBER($I31),$I31,0)-Settings!$B$24),"")</f>
        <v/>
      </c>
      <c r="AW31">
        <f>IF(ISNUMBER($AV31),$AV31*$AT31,"")</f>
        <v/>
      </c>
      <c r="AX31">
        <f>IF(ISNUMBER($AU31),ABS(IF(ISNUMBER($I31),$I31,0)-Settings!$B$24),"")</f>
        <v/>
      </c>
      <c r="AY31">
        <f>IF(ISNUMBER($AX31),$AX31*$AU31,"")</f>
        <v/>
      </c>
      <c r="AZ31">
        <f>IF($A31="","",IFERROR(INDEX(Company_List!$H$3:$H$207,MATCH($A31,Company_List!$A$3:$A$207,0)),"unassigned"))</f>
        <v/>
      </c>
      <c r="BC31">
        <f>IF($A31="","",IF(COUNTIFS($A$3:$A31,$A31,$C$3:$C31,$C31,$D$3:$D31,$D31,$G$3:$G31,$G31)=1,1,0))</f>
        <v/>
      </c>
      <c r="BG31" t="inlineStr">
        <is>
          <t>no</t>
        </is>
      </c>
      <c r="BK31">
        <f>IF(OR($H31&lt;&gt;"Human",$S31="",$J31="",$Y31="",$Z31=""),"",IF(EXACT(UPPER($J31),UPPER($Y31)),1,0))</f>
        <v/>
      </c>
      <c r="BL31" t="inlineStr">
        <is>
          <t>assumed - no rater record</t>
        </is>
      </c>
      <c r="BM31" t="n">
        <v>1</v>
      </c>
      <c r="BN31" t="inlineStr">
        <is>
          <t>not publisher-identified</t>
        </is>
      </c>
      <c r="BO31" t="inlineStr">
        <is>
          <t>not publisher-identified</t>
        </is>
      </c>
      <c r="BP31" t="inlineStr">
        <is>
          <t>no</t>
        </is>
      </c>
      <c r="BQ31" t="inlineStr">
        <is>
          <t>yes</t>
        </is>
      </c>
      <c r="BR31" t="inlineStr">
        <is>
          <t>filled 11 Aug 2026 from the corpus manifest: the company-quarter holds exactly one document and the manifest carries its release date</t>
        </is>
      </c>
    </row>
    <row r="32" ht="16.35" customHeight="1">
      <c r="A32" s="95" t="inlineStr">
        <is>
          <t>McDonald's</t>
        </is>
      </c>
      <c r="B32" s="96">
        <f>IF(A32="","",_xlfn.XLOOKUP(A32, Company_List!$A:$A, Company_List!$B:$B, ""))</f>
        <v/>
      </c>
      <c r="C32" s="21" t="n">
        <v>2024</v>
      </c>
      <c r="D32" s="20" t="inlineStr">
        <is>
          <t>Q4</t>
        </is>
      </c>
      <c r="E32" s="19" t="inlineStr">
        <is>
          <t>All</t>
        </is>
      </c>
      <c r="F32" s="19" t="inlineStr">
        <is>
          <t>All</t>
        </is>
      </c>
      <c r="G32" s="20" t="inlineStr">
        <is>
          <t>Meriem</t>
        </is>
      </c>
      <c r="H32" s="20" t="inlineStr">
        <is>
          <t>Human</t>
        </is>
      </c>
      <c r="I32" s="127" t="n">
        <v>-0.5</v>
      </c>
      <c r="J32" s="145">
        <f>IF(OR(I32="",Settings!$B$6=""),"",IF(I32&gt;Settings!$B$6,"BUY",IF(I32&lt;-Settings!$B$6,"SELL","HOLD")))</f>
        <v/>
      </c>
      <c r="K32" s="139" t="n">
        <v>30</v>
      </c>
      <c r="L32" s="123" t="n">
        <v>45698</v>
      </c>
      <c r="M32" s="123" t="n">
        <v>45698</v>
      </c>
      <c r="N32" s="127" t="n">
        <v>308.42</v>
      </c>
      <c r="O32" s="123" t="n">
        <v>45699</v>
      </c>
      <c r="P32" s="22" t="n">
        <v>307.37</v>
      </c>
      <c r="Q32" s="148">
        <f>IF(OR(N32="",P32=""),"",ROUND((P32-N32)/N32,4))</f>
        <v/>
      </c>
      <c r="R32" s="20">
        <f>IF(OR(N32="",P32=""),"",IF(Q32&gt;Settings!$B$3/100,"UP",IF(Q32&lt;-Settings!$B$3/100,"DOWN","FLAT")))</f>
        <v/>
      </c>
      <c r="S32" s="20">
        <f>IF(OR(N32="",P32="",J32=""),"",IF(OR(AND(J32="BUY",R32="UP"),AND(J32="SELL",R32="DOWN"),AND(J32="HOLD",R32="FLAT")),"YES","NO"))</f>
        <v/>
      </c>
      <c r="T32" s="21">
        <f>IF(J32="","",IF(J32="BUY",1,IF(J32="SELL",-1,0)))</f>
        <v/>
      </c>
      <c r="U32" s="148">
        <f>IFERROR(IF(OR(J32="",N32="",P32=""),"",IF(T32=0,0,T32*Q32-Settings!$B$4/10000-IF(T32&lt;0,Settings!$B$5/10000,0))),"")</f>
        <v/>
      </c>
      <c r="V32" s="23" t="inlineStr">
        <is>
          <t>sales went down; revenue asw; EPS diluted down; net income and Current +total assets down; long term debt up. No guidance</t>
        </is>
      </c>
      <c r="W32" s="21">
        <f>IF($K32="","",$K32*60)</f>
        <v/>
      </c>
      <c r="X32" s="91">
        <f>IF($A32="","",$A32&amp;"|"&amp;$C32&amp;"|"&amp;$D32)</f>
        <v/>
      </c>
      <c r="Y32" s="91">
        <f>IFERROR(IF($X32="","",INDEX(LLM_Data_Entry!$H$3:$H$548,MATCH($X32,INDEX(LLM_Data_Entry!$A$3:$A$548&amp;"|"&amp;LLM_Data_Entry!$C$3:$C$548&amp;"|"&amp;LLM_Data_Entry!$D$3:$D$548,0),0))),"")</f>
        <v/>
      </c>
      <c r="Z32" s="91">
        <f>IFERROR(IF($X32="","",INDEX(LLM_Data_Entry!$R$3:$R$548,MATCH($X32,INDEX(LLM_Data_Entry!$A$3:$A$548&amp;"|"&amp;LLM_Data_Entry!$C$3:$C$548&amp;"|"&amp;LLM_Data_Entry!$D$3:$D$548,0),0))),"")</f>
        <v/>
      </c>
      <c r="AB32" t="inlineStr">
        <is>
          <t>price signal — only this window shows an abnormal move</t>
        </is>
      </c>
      <c r="AC32" t="inlineStr">
        <is>
          <t>MCD</t>
        </is>
      </c>
      <c r="AD32" t="inlineStr">
        <is>
          <t>2025-02-07</t>
        </is>
      </c>
      <c r="AE32" t="n">
        <v>284.0678</v>
      </c>
      <c r="AF32" t="inlineStr">
        <is>
          <t>2025-02-10</t>
        </is>
      </c>
      <c r="AG32" t="n">
        <v>291.7607</v>
      </c>
      <c r="AH32" t="n">
        <v>0.02708116902143613</v>
      </c>
      <c r="AI32" t="inlineStr">
        <is>
          <t>UP</t>
        </is>
      </c>
      <c r="AJ32" t="inlineStr">
        <is>
          <t>NO</t>
        </is>
      </c>
      <c r="AK32" t="n">
        <v>-0.028081</v>
      </c>
      <c r="AL32">
        <f>IF($A32="","",IFERROR(INDEX(Company_List!$G$3:$G$207,MATCH($A32,Company_List!$A$3:$A$207,0)),"unassigned"))</f>
        <v/>
      </c>
      <c r="AM32" t="inlineStr">
        <is>
          <t>Phase 2/McDonald's/Q4 2024-numbers.pdf; Phase 2/McDonald's/Q4 2024 Earnings Call Transcript.pdf</t>
        </is>
      </c>
      <c r="AO32" t="inlineStr">
        <is>
          <t>whole bundle (Document = All)</t>
        </is>
      </c>
      <c r="AP32">
        <f>IF($A32="","",IF(COUNTIFS(LLM_Data_Entry!$A$3:$A$548,$A32)&gt;0,"YES","NO"))</f>
        <v/>
      </c>
      <c r="AQ32">
        <f>IF($A32="","",IF(COUNTIFS($A$3:$A32,$A32,$C$3:$C32,$C32,$D$3:$D32,$D32)=1,"YES","NO"))</f>
        <v/>
      </c>
      <c r="AR32">
        <f>IF($A32="","",IF(AND($C32&amp;"-"&amp;$D32&gt;=Settings!$B$19,$C32&amp;"-"&amp;$D32&lt;=Settings!$B$20),"IN","OUT"))</f>
        <v/>
      </c>
      <c r="AS32">
        <f>IF($A32="","",IF($F32="Financial Results","financials",IF($F32="Outlook/Guidance","guidance",IF($F32="Transcript Q&amp;A","qanda",IF($F32="","unrecorded",IF($E32="All","full",IF($E32="","unrecorded",LOWER($E32)&amp;" only")))))))</f>
        <v/>
      </c>
      <c r="AT32">
        <f>IF(AND(OR($J32="BUY",$J32="SELL"),ISNUMBER($U32)),$U32,"")</f>
        <v/>
      </c>
      <c r="AU32">
        <f>IF(AND(OR($J32="BUY",$J32="SELL"),ISNUMBER($AK32)),$AK32,"")</f>
        <v/>
      </c>
      <c r="AV32">
        <f>IF(ISNUMBER($AT32),ABS(IF(ISNUMBER($I32),$I32,0)-Settings!$B$24),"")</f>
        <v/>
      </c>
      <c r="AW32">
        <f>IF(ISNUMBER($AV32),$AV32*$AT32,"")</f>
        <v/>
      </c>
      <c r="AX32">
        <f>IF(ISNUMBER($AU32),ABS(IF(ISNUMBER($I32),$I32,0)-Settings!$B$24),"")</f>
        <v/>
      </c>
      <c r="AY32">
        <f>IF(ISNUMBER($AX32),$AX32*$AU32,"")</f>
        <v/>
      </c>
      <c r="AZ32">
        <f>IF($A32="","",IFERROR(INDEX(Company_List!$H$3:$H$207,MATCH($A32,Company_List!$A$3:$A$207,0)),"unassigned"))</f>
        <v/>
      </c>
      <c r="BC32">
        <f>IF($A32="","",IF(COUNTIFS($A$3:$A32,$A32,$C$3:$C32,$C32,$D$3:$D32,$D32,$G$3:$G32,$G32)=1,1,0))</f>
        <v/>
      </c>
      <c r="BG32" t="inlineStr">
        <is>
          <t>no</t>
        </is>
      </c>
      <c r="BK32">
        <f>IF(OR($H32&lt;&gt;"Human",$S32="",$J32="",$Y32="",$Z32=""),"",IF(EXACT(UPPER($J32),UPPER($Y32)),1,0))</f>
        <v/>
      </c>
      <c r="BL32" t="inlineStr">
        <is>
          <t>assumed - no rater record</t>
        </is>
      </c>
      <c r="BM32" t="n">
        <v>2</v>
      </c>
      <c r="BN32" t="inlineStr">
        <is>
          <t>The Motley Fool</t>
        </is>
      </c>
      <c r="BO32" t="inlineStr">
        <is>
          <t>free to read, copyright asserted</t>
        </is>
      </c>
      <c r="BP32" t="inlineStr">
        <is>
          <t>no</t>
        </is>
      </c>
      <c r="BQ32" t="inlineStr">
        <is>
          <t>no</t>
        </is>
      </c>
    </row>
    <row r="33" ht="16.35" customHeight="1">
      <c r="A33" s="95" t="inlineStr">
        <is>
          <t>McDonald's</t>
        </is>
      </c>
      <c r="B33" s="96">
        <f>IF(A33="","",_xlfn.XLOOKUP(A33, Company_List!$A:$A, Company_List!$B:$B, ""))</f>
        <v/>
      </c>
      <c r="C33" s="21" t="n">
        <v>2025</v>
      </c>
      <c r="D33" s="20" t="inlineStr">
        <is>
          <t>Q4</t>
        </is>
      </c>
      <c r="E33" s="19" t="inlineStr">
        <is>
          <t>All</t>
        </is>
      </c>
      <c r="F33" s="19" t="inlineStr">
        <is>
          <t>All</t>
        </is>
      </c>
      <c r="G33" s="20" t="inlineStr">
        <is>
          <t>Meriem</t>
        </is>
      </c>
      <c r="H33" s="20" t="inlineStr">
        <is>
          <t>Human</t>
        </is>
      </c>
      <c r="I33" s="127" t="n">
        <v>0.3</v>
      </c>
      <c r="J33" s="145">
        <f>IF(OR(I33="",Settings!$B$6=""),"",IF(I33&gt;Settings!$B$6,"BUY",IF(I33&lt;-Settings!$B$6,"SELL","HOLD")))</f>
        <v/>
      </c>
      <c r="K33" s="139" t="n">
        <v>20</v>
      </c>
      <c r="L33" s="123" t="n">
        <v>46064</v>
      </c>
      <c r="M33" s="123" t="n">
        <v>46064</v>
      </c>
      <c r="N33" s="127" t="n">
        <v>323.21</v>
      </c>
      <c r="O33" s="123" t="n">
        <v>46065</v>
      </c>
      <c r="P33" s="22" t="n">
        <v>329.83</v>
      </c>
      <c r="Q33" s="148">
        <f>IF(OR(N33="",P33=""),"",ROUND((P33-N33)/N33,4))</f>
        <v/>
      </c>
      <c r="R33" s="20">
        <f>IF(OR(N33="",P33=""),"",IF(Q33&gt;Settings!$B$3/100,"UP",IF(Q33&lt;-Settings!$B$3/100,"DOWN","FLAT")))</f>
        <v/>
      </c>
      <c r="S33" s="20">
        <f>IF(OR(N33="",P33="",J33=""),"",IF(OR(AND(J33="BUY",R33="UP"),AND(J33="SELL",R33="DOWN"),AND(J33="HOLD",R33="FLAT")),"YES","NO"))</f>
        <v/>
      </c>
      <c r="T33" s="21">
        <f>IF(J33="","",IF(J33="BUY",1,IF(J33="SELL",-1,0)))</f>
        <v/>
      </c>
      <c r="U33" s="148">
        <f>IFERROR(IF(OR(J33="",N33="",P33=""),"",IF(T33=0,0,T33*Q33-Settings!$B$4/10000-IF(T33&lt;0,Settings!$B$5/10000,0))),"")</f>
        <v/>
      </c>
      <c r="V33" s="23" t="inlineStr">
        <is>
          <t>good numbers but guidance isn’t great and tone is not as optimistic as needed but still good</t>
        </is>
      </c>
      <c r="W33" s="21">
        <f>IF($K33="","",$K33*60)</f>
        <v/>
      </c>
      <c r="X33" s="91">
        <f>IF($A33="","",$A33&amp;"|"&amp;$C33&amp;"|"&amp;$D33)</f>
        <v/>
      </c>
      <c r="Y33" s="91">
        <f>IFERROR(IF($X33="","",INDEX(LLM_Data_Entry!$H$3:$H$548,MATCH($X33,INDEX(LLM_Data_Entry!$A$3:$A$548&amp;"|"&amp;LLM_Data_Entry!$C$3:$C$548&amp;"|"&amp;LLM_Data_Entry!$D$3:$D$548,0),0))),"")</f>
        <v/>
      </c>
      <c r="Z33" s="91">
        <f>IFERROR(IF($X33="","",INDEX(LLM_Data_Entry!$R$3:$R$548,MATCH($X33,INDEX(LLM_Data_Entry!$A$3:$A$548&amp;"|"&amp;LLM_Data_Entry!$C$3:$C$548&amp;"|"&amp;LLM_Data_Entry!$D$3:$D$548,0),0))),"")</f>
        <v/>
      </c>
      <c r="AB33" t="inlineStr">
        <is>
          <t>EDGAR acceptance timestamp on the Item 2.02 8-K</t>
        </is>
      </c>
      <c r="AC33" t="inlineStr">
        <is>
          <t>MCD</t>
        </is>
      </c>
      <c r="AD33" t="inlineStr">
        <is>
          <t>2026-02-11</t>
        </is>
      </c>
      <c r="AE33" t="n">
        <v>319.2493</v>
      </c>
      <c r="AF33" t="inlineStr">
        <is>
          <t>2026-02-12</t>
        </is>
      </c>
      <c r="AG33" t="n">
        <v>325.7882</v>
      </c>
      <c r="AH33" t="n">
        <v>0.02048199993826937</v>
      </c>
      <c r="AI33" t="inlineStr">
        <is>
          <t>UP</t>
        </is>
      </c>
      <c r="AJ33" t="inlineStr">
        <is>
          <t>YES</t>
        </is>
      </c>
      <c r="AK33" t="n">
        <v>0.019482</v>
      </c>
      <c r="AL33">
        <f>IF($A33="","",IFERROR(INDEX(Company_List!$G$3:$G$207,MATCH($A33,Company_List!$A$3:$A$207,0)),"unassigned"))</f>
        <v/>
      </c>
      <c r="AM33" t="inlineStr">
        <is>
          <t>Phase 2/McDonald's/Q4 2025 Earnings Call Transcript.pdf; Phase 2/McDonald's/Q4 2025 - numbers.pdf</t>
        </is>
      </c>
      <c r="AO33" t="inlineStr">
        <is>
          <t>whole bundle (Document = All)</t>
        </is>
      </c>
      <c r="AP33">
        <f>IF($A33="","",IF(COUNTIFS(LLM_Data_Entry!$A$3:$A$548,$A33)&gt;0,"YES","NO"))</f>
        <v/>
      </c>
      <c r="AQ33">
        <f>IF($A33="","",IF(COUNTIFS($A$3:$A33,$A33,$C$3:$C33,$C33,$D$3:$D33,$D33)=1,"YES","NO"))</f>
        <v/>
      </c>
      <c r="AR33">
        <f>IF($A33="","",IF(AND($C33&amp;"-"&amp;$D33&gt;=Settings!$B$19,$C33&amp;"-"&amp;$D33&lt;=Settings!$B$20),"IN","OUT"))</f>
        <v/>
      </c>
      <c r="AS33">
        <f>IF($A33="","",IF($F33="Financial Results","financials",IF($F33="Outlook/Guidance","guidance",IF($F33="Transcript Q&amp;A","qanda",IF($F33="","unrecorded",IF($E33="All","full",IF($E33="","unrecorded",LOWER($E33)&amp;" only")))))))</f>
        <v/>
      </c>
      <c r="AT33">
        <f>IF(AND(OR($J33="BUY",$J33="SELL"),ISNUMBER($U33)),$U33,"")</f>
        <v/>
      </c>
      <c r="AU33">
        <f>IF(AND(OR($J33="BUY",$J33="SELL"),ISNUMBER($AK33)),$AK33,"")</f>
        <v/>
      </c>
      <c r="AV33">
        <f>IF(ISNUMBER($AT33),ABS(IF(ISNUMBER($I33),$I33,0)-Settings!$B$24),"")</f>
        <v/>
      </c>
      <c r="AW33">
        <f>IF(ISNUMBER($AV33),$AV33*$AT33,"")</f>
        <v/>
      </c>
      <c r="AX33">
        <f>IF(ISNUMBER($AU33),ABS(IF(ISNUMBER($I33),$I33,0)-Settings!$B$24),"")</f>
        <v/>
      </c>
      <c r="AY33">
        <f>IF(ISNUMBER($AX33),$AX33*$AU33,"")</f>
        <v/>
      </c>
      <c r="AZ33">
        <f>IF($A33="","",IFERROR(INDEX(Company_List!$H$3:$H$207,MATCH($A33,Company_List!$A$3:$A$207,0)),"unassigned"))</f>
        <v/>
      </c>
      <c r="BC33">
        <f>IF($A33="","",IF(COUNTIFS($A$3:$A33,$A33,$C$3:$C33,$C33,$D$3:$D33,$D33,$G$3:$G33,$G33)=1,1,0))</f>
        <v/>
      </c>
      <c r="BG33" t="inlineStr">
        <is>
          <t>no</t>
        </is>
      </c>
      <c r="BK33">
        <f>IF(OR($H33&lt;&gt;"Human",$S33="",$J33="",$Y33="",$Z33=""),"",IF(EXACT(UPPER($J33),UPPER($Y33)),1,0))</f>
        <v/>
      </c>
      <c r="BL33" t="inlineStr">
        <is>
          <t>assumed - no rater record</t>
        </is>
      </c>
      <c r="BM33" t="n">
        <v>2</v>
      </c>
      <c r="BN33" t="inlineStr">
        <is>
          <t>The Motley Fool</t>
        </is>
      </c>
      <c r="BO33" t="inlineStr">
        <is>
          <t>free to read, copyright asserted</t>
        </is>
      </c>
      <c r="BP33" t="inlineStr">
        <is>
          <t>no</t>
        </is>
      </c>
      <c r="BQ33" t="inlineStr">
        <is>
          <t>no</t>
        </is>
      </c>
    </row>
    <row r="34" ht="16.35" customHeight="1">
      <c r="A34" s="95" t="inlineStr">
        <is>
          <t>McDonald's</t>
        </is>
      </c>
      <c r="B34" s="96">
        <f>IF(A34="","",_xlfn.XLOOKUP(A34, Company_List!$A:$A, Company_List!$B:$B, ""))</f>
        <v/>
      </c>
      <c r="C34" s="21" t="n">
        <v>2026</v>
      </c>
      <c r="D34" s="20" t="inlineStr">
        <is>
          <t>Q1</t>
        </is>
      </c>
      <c r="E34" s="19" t="inlineStr">
        <is>
          <t>All</t>
        </is>
      </c>
      <c r="F34" s="19" t="inlineStr">
        <is>
          <t>All</t>
        </is>
      </c>
      <c r="G34" s="20" t="inlineStr">
        <is>
          <t>Meriem</t>
        </is>
      </c>
      <c r="H34" s="20" t="inlineStr">
        <is>
          <t>Human</t>
        </is>
      </c>
      <c r="I34" s="127" t="n">
        <v>0.2</v>
      </c>
      <c r="J34" s="145">
        <f>IF(OR(I34="",Settings!$B$6=""),"",IF(I34&gt;Settings!$B$6,"BUY",IF(I34&lt;-Settings!$B$6,"SELL","HOLD")))</f>
        <v/>
      </c>
      <c r="K34" s="139" t="n">
        <v>34</v>
      </c>
      <c r="L34" s="123" t="n">
        <v>46149</v>
      </c>
      <c r="M34" s="123" t="n">
        <v>46149</v>
      </c>
      <c r="N34" s="127" t="n">
        <v>283.7</v>
      </c>
      <c r="O34" s="123" t="n">
        <v>46150</v>
      </c>
      <c r="P34" s="22" t="n">
        <v>285</v>
      </c>
      <c r="Q34" s="148">
        <f>IF(OR(N34="",P34=""),"",ROUND((P34-N34)/N34,4))</f>
        <v/>
      </c>
      <c r="R34" s="20">
        <f>IF(OR(N34="",P34=""),"",IF(Q34&gt;Settings!$B$3/100,"UP",IF(Q34&lt;-Settings!$B$3/100,"DOWN","FLAT")))</f>
        <v/>
      </c>
      <c r="S34" s="20">
        <f>IF(OR(N34="",P34="",J34=""),"",IF(OR(AND(J34="BUY",R34="UP"),AND(J34="SELL",R34="DOWN"),AND(J34="HOLD",R34="FLAT")),"YES","NO"))</f>
        <v/>
      </c>
      <c r="T34" s="21">
        <f>IF(J34="","",IF(J34="BUY",1,IF(J34="SELL",-1,0)))</f>
        <v/>
      </c>
      <c r="U34" s="148">
        <f>IFERROR(IF(OR(J34="",N34="",P34=""),"",IF(T34=0,0,T34*Q34-Settings!$B$4/10000-IF(T34&lt;0,Settings!$B$5/10000,0))),"")</f>
        <v/>
      </c>
      <c r="V34" s="23" t="inlineStr">
        <is>
          <t>slight increase in sales and revenue and EPS but challenging environment so unsure about future. too many concerns</t>
        </is>
      </c>
      <c r="W34" s="21">
        <f>IF($K34="","",$K34*60)</f>
        <v/>
      </c>
      <c r="X34" s="91">
        <f>IF($A34="","",$A34&amp;"|"&amp;$C34&amp;"|"&amp;$D34)</f>
        <v/>
      </c>
      <c r="Y34" s="91">
        <f>IFERROR(IF($X34="","",INDEX(LLM_Data_Entry!$H$3:$H$548,MATCH($X34,INDEX(LLM_Data_Entry!$A$3:$A$548&amp;"|"&amp;LLM_Data_Entry!$C$3:$C$548&amp;"|"&amp;LLM_Data_Entry!$D$3:$D$548,0),0))),"")</f>
        <v/>
      </c>
      <c r="Z34" s="91">
        <f>IFERROR(IF($X34="","",INDEX(LLM_Data_Entry!$R$3:$R$548,MATCH($X34,INDEX(LLM_Data_Entry!$A$3:$A$548&amp;"|"&amp;LLM_Data_Entry!$C$3:$C$548&amp;"|"&amp;LLM_Data_Entry!$D$3:$D$548,0),0))),"")</f>
        <v/>
      </c>
      <c r="AB34" t="inlineStr">
        <is>
          <t>release date + stated time</t>
        </is>
      </c>
      <c r="AC34" t="inlineStr">
        <is>
          <t>MCD</t>
        </is>
      </c>
      <c r="AD34" t="inlineStr">
        <is>
          <t>2026-05-06</t>
        </is>
      </c>
      <c r="AE34" t="n">
        <v>282.1862</v>
      </c>
      <c r="AF34" t="inlineStr">
        <is>
          <t>2026-05-07</t>
        </is>
      </c>
      <c r="AG34" t="n">
        <v>285.891</v>
      </c>
      <c r="AH34" t="n">
        <v>0.0131290784508832</v>
      </c>
      <c r="AI34" t="inlineStr">
        <is>
          <t>FLAT</t>
        </is>
      </c>
      <c r="AJ34" t="inlineStr">
        <is>
          <t>YES</t>
        </is>
      </c>
      <c r="AK34" t="n">
        <v>0</v>
      </c>
      <c r="AL34">
        <f>IF($A34="","",IFERROR(INDEX(Company_List!$G$3:$G$207,MATCH($A34,Company_List!$A$3:$A$207,0)),"unassigned"))</f>
        <v/>
      </c>
      <c r="AM34" t="inlineStr">
        <is>
          <t>Phase 2/McDonald's/Q1 2026- numbers.pdf; Phase 2/McDonald's/Q1 2026 Earnings Transcript.pdf</t>
        </is>
      </c>
      <c r="AO34" t="inlineStr">
        <is>
          <t>whole bundle (Document = All)</t>
        </is>
      </c>
      <c r="AP34">
        <f>IF($A34="","",IF(COUNTIFS(LLM_Data_Entry!$A$3:$A$548,$A34)&gt;0,"YES","NO"))</f>
        <v/>
      </c>
      <c r="AQ34">
        <f>IF($A34="","",IF(COUNTIFS($A$3:$A34,$A34,$C$3:$C34,$C34,$D$3:$D34,$D34)=1,"YES","NO"))</f>
        <v/>
      </c>
      <c r="AR34">
        <f>IF($A34="","",IF(AND($C34&amp;"-"&amp;$D34&gt;=Settings!$B$19,$C34&amp;"-"&amp;$D34&lt;=Settings!$B$20),"IN","OUT"))</f>
        <v/>
      </c>
      <c r="AS34">
        <f>IF($A34="","",IF($F34="Financial Results","financials",IF($F34="Outlook/Guidance","guidance",IF($F34="Transcript Q&amp;A","qanda",IF($F34="","unrecorded",IF($E34="All","full",IF($E34="","unrecorded",LOWER($E34)&amp;" only")))))))</f>
        <v/>
      </c>
      <c r="AT34">
        <f>IF(AND(OR($J34="BUY",$J34="SELL"),ISNUMBER($U34)),$U34,"")</f>
        <v/>
      </c>
      <c r="AU34">
        <f>IF(AND(OR($J34="BUY",$J34="SELL"),ISNUMBER($AK34)),$AK34,"")</f>
        <v/>
      </c>
      <c r="AV34">
        <f>IF(ISNUMBER($AT34),ABS(IF(ISNUMBER($I34),$I34,0)-Settings!$B$24),"")</f>
        <v/>
      </c>
      <c r="AW34">
        <f>IF(ISNUMBER($AV34),$AV34*$AT34,"")</f>
        <v/>
      </c>
      <c r="AX34">
        <f>IF(ISNUMBER($AU34),ABS(IF(ISNUMBER($I34),$I34,0)-Settings!$B$24),"")</f>
        <v/>
      </c>
      <c r="AY34">
        <f>IF(ISNUMBER($AX34),$AX34*$AU34,"")</f>
        <v/>
      </c>
      <c r="AZ34">
        <f>IF($A34="","",IFERROR(INDEX(Company_List!$H$3:$H$207,MATCH($A34,Company_List!$A$3:$A$207,0)),"unassigned"))</f>
        <v/>
      </c>
      <c r="BC34">
        <f>IF($A34="","",IF(COUNTIFS($A$3:$A34,$A34,$C$3:$C34,$C34,$D$3:$D34,$D34,$G$3:$G34,$G34)=1,1,0))</f>
        <v/>
      </c>
      <c r="BG34" t="inlineStr">
        <is>
          <t>no</t>
        </is>
      </c>
      <c r="BK34">
        <f>IF(OR($H34&lt;&gt;"Human",$S34="",$J34="",$Y34="",$Z34=""),"",IF(EXACT(UPPER($J34),UPPER($Y34)),1,0))</f>
        <v/>
      </c>
      <c r="BL34" t="inlineStr">
        <is>
          <t>assumed - no rater record</t>
        </is>
      </c>
      <c r="BM34" t="n">
        <v>2</v>
      </c>
      <c r="BN34" t="inlineStr">
        <is>
          <t>The Motley Fool</t>
        </is>
      </c>
      <c r="BO34" t="inlineStr">
        <is>
          <t>free to read, copyright asserted</t>
        </is>
      </c>
      <c r="BP34" t="inlineStr">
        <is>
          <t>no</t>
        </is>
      </c>
      <c r="BQ34" t="inlineStr">
        <is>
          <t>no</t>
        </is>
      </c>
    </row>
    <row r="35" ht="16.35" customHeight="1">
      <c r="A35" s="95" t="inlineStr">
        <is>
          <t>Apple</t>
        </is>
      </c>
      <c r="B35" s="96">
        <f>IF(A35="","",_xlfn.XLOOKUP(A35, Company_List!$A:$A, Company_List!$B:$B, ""))</f>
        <v/>
      </c>
      <c r="C35" s="21" t="n">
        <v>2025</v>
      </c>
      <c r="D35" s="20" t="inlineStr">
        <is>
          <t>Q3</t>
        </is>
      </c>
      <c r="E35" s="19" t="inlineStr">
        <is>
          <t>All</t>
        </is>
      </c>
      <c r="F35" s="19" t="inlineStr">
        <is>
          <t>All</t>
        </is>
      </c>
      <c r="G35" s="20" t="inlineStr">
        <is>
          <t>Meriem</t>
        </is>
      </c>
      <c r="H35" s="20" t="inlineStr">
        <is>
          <t>Human</t>
        </is>
      </c>
      <c r="I35" s="127" t="n">
        <v>-0.3</v>
      </c>
      <c r="J35" s="145">
        <f>IF(OR(I35="",Settings!$B$6=""),"",IF(I35&gt;Settings!$B$6,"BUY",IF(I35&lt;-Settings!$B$6,"SELL","HOLD")))</f>
        <v/>
      </c>
      <c r="K35" s="139" t="n">
        <v>25</v>
      </c>
      <c r="L35" s="123" t="n">
        <v>45869</v>
      </c>
      <c r="M35" s="123" t="n">
        <v>45869</v>
      </c>
      <c r="N35" s="127" t="n">
        <v>207.57</v>
      </c>
      <c r="O35" s="123" t="n">
        <v>45870</v>
      </c>
      <c r="P35" s="22" t="n">
        <v>210.87</v>
      </c>
      <c r="Q35" s="148">
        <f>IF(OR(N35="",P35=""),"",ROUND((P35-N35)/N35,4))</f>
        <v/>
      </c>
      <c r="R35" s="20">
        <f>IF(OR(N35="",P35=""),"",IF(Q35&gt;Settings!$B$3/100,"UP",IF(Q35&lt;-Settings!$B$3/100,"DOWN","FLAT")))</f>
        <v/>
      </c>
      <c r="S35" s="20">
        <f>IF(OR(N35="",P35="",J35=""),"",IF(OR(AND(J35="BUY",R35="UP"),AND(J35="SELL",R35="DOWN"),AND(J35="HOLD",R35="FLAT")),"YES","NO"))</f>
        <v/>
      </c>
      <c r="T35" s="21">
        <f>IF(J35="","",IF(J35="BUY",1,IF(J35="SELL",-1,0)))</f>
        <v/>
      </c>
      <c r="U35" s="148">
        <f>IFERROR(IF(OR(J35="",N35="",P35=""),"",IF(T35=0,0,T35*Q35-Settings!$B$4/10000-IF(T35&lt;0,Settings!$B$5/10000,0))),"")</f>
        <v/>
      </c>
      <c r="V35" s="23" t="inlineStr">
        <is>
          <t>tariffs costs; revenue and EPS are up but gross profit margin is down and expenses up. selling bcs tariffs</t>
        </is>
      </c>
      <c r="W35" s="21">
        <f>IF($K35="","",$K35*60)</f>
        <v/>
      </c>
      <c r="X35" s="91">
        <f>IF($A35="","",$A35&amp;"|"&amp;$C35&amp;"|"&amp;$D35)</f>
        <v/>
      </c>
      <c r="Y35" s="91">
        <f>IFERROR(IF($X35="","",INDEX(LLM_Data_Entry!$H$3:$H$548,MATCH($X35,INDEX(LLM_Data_Entry!$A$3:$A$548&amp;"|"&amp;LLM_Data_Entry!$C$3:$C$548&amp;"|"&amp;LLM_Data_Entry!$D$3:$D$548,0),0))),"")</f>
        <v/>
      </c>
      <c r="Z35" s="91">
        <f>IFERROR(IF($X35="","",INDEX(LLM_Data_Entry!$R$3:$R$548,MATCH($X35,INDEX(LLM_Data_Entry!$A$3:$A$548&amp;"|"&amp;LLM_Data_Entry!$C$3:$C$548&amp;"|"&amp;LLM_Data_Entry!$D$3:$D$548,0),0))),"")</f>
        <v/>
      </c>
      <c r="AB35" t="inlineStr">
        <is>
          <t>price signal — both moved; this one dominates</t>
        </is>
      </c>
      <c r="AC35" t="inlineStr">
        <is>
          <t>AAPL</t>
        </is>
      </c>
      <c r="AD35" t="inlineStr">
        <is>
          <t>2025-07-31</t>
        </is>
      </c>
      <c r="AE35" t="n">
        <v>206.7498</v>
      </c>
      <c r="AF35" t="inlineStr">
        <is>
          <t>2025-08-01</t>
        </is>
      </c>
      <c r="AG35" t="n">
        <v>210.0367</v>
      </c>
      <c r="AH35" t="n">
        <v>0.01589826594045488</v>
      </c>
      <c r="AI35" t="inlineStr">
        <is>
          <t>FLAT</t>
        </is>
      </c>
      <c r="AJ35" t="inlineStr">
        <is>
          <t>NO</t>
        </is>
      </c>
      <c r="AK35" t="n">
        <v>-0.016898</v>
      </c>
      <c r="AL35">
        <f>IF($A35="","",IFERROR(INDEX(Company_List!$G$3:$G$207,MATCH($A35,Company_List!$A$3:$A$207,0)),"unassigned"))</f>
        <v/>
      </c>
      <c r="AM35" t="inlineStr">
        <is>
          <t>Phase 2/Apple/Q3 2025 Earnings Call Transcript.pdf; Phase 2/Apple/FY25_Q3_Consolidated_Financial_Statements.pdf</t>
        </is>
      </c>
      <c r="AO35" t="inlineStr">
        <is>
          <t>whole bundle (Document = All)</t>
        </is>
      </c>
      <c r="AP35">
        <f>IF($A35="","",IF(COUNTIFS(LLM_Data_Entry!$A$3:$A$548,$A35)&gt;0,"YES","NO"))</f>
        <v/>
      </c>
      <c r="AQ35">
        <f>IF($A35="","",IF(COUNTIFS($A$3:$A35,$A35,$C$3:$C35,$C35,$D$3:$D35,$D35)=1,"YES","NO"))</f>
        <v/>
      </c>
      <c r="AR35">
        <f>IF($A35="","",IF(AND($C35&amp;"-"&amp;$D35&gt;=Settings!$B$19,$C35&amp;"-"&amp;$D35&lt;=Settings!$B$20),"IN","OUT"))</f>
        <v/>
      </c>
      <c r="AS35">
        <f>IF($A35="","",IF($F35="Financial Results","financials",IF($F35="Outlook/Guidance","guidance",IF($F35="Transcript Q&amp;A","qanda",IF($F35="","unrecorded",IF($E35="All","full",IF($E35="","unrecorded",LOWER($E35)&amp;" only")))))))</f>
        <v/>
      </c>
      <c r="AT35">
        <f>IF(AND(OR($J35="BUY",$J35="SELL"),ISNUMBER($U35)),$U35,"")</f>
        <v/>
      </c>
      <c r="AU35">
        <f>IF(AND(OR($J35="BUY",$J35="SELL"),ISNUMBER($AK35)),$AK35,"")</f>
        <v/>
      </c>
      <c r="AV35">
        <f>IF(ISNUMBER($AT35),ABS(IF(ISNUMBER($I35),$I35,0)-Settings!$B$24),"")</f>
        <v/>
      </c>
      <c r="AW35">
        <f>IF(ISNUMBER($AV35),$AV35*$AT35,"")</f>
        <v/>
      </c>
      <c r="AX35">
        <f>IF(ISNUMBER($AU35),ABS(IF(ISNUMBER($I35),$I35,0)-Settings!$B$24),"")</f>
        <v/>
      </c>
      <c r="AY35">
        <f>IF(ISNUMBER($AX35),$AX35*$AU35,"")</f>
        <v/>
      </c>
      <c r="AZ35">
        <f>IF($A35="","",IFERROR(INDEX(Company_List!$H$3:$H$207,MATCH($A35,Company_List!$A$3:$A$207,0)),"unassigned"))</f>
        <v/>
      </c>
      <c r="BC35">
        <f>IF($A35="","",IF(COUNTIFS($A$3:$A35,$A35,$C$3:$C35,$C35,$D$3:$D35,$D35,$G$3:$G35,$G35)=1,1,0))</f>
        <v/>
      </c>
      <c r="BG35" t="inlineStr">
        <is>
          <t>no</t>
        </is>
      </c>
      <c r="BK35">
        <f>IF(OR($H35&lt;&gt;"Human",$S35="",$J35="",$Y35="",$Z35=""),"",IF(EXACT(UPPER($J35),UPPER($Y35)),1,0))</f>
        <v/>
      </c>
      <c r="BL35" t="inlineStr">
        <is>
          <t>assumed - no rater record</t>
        </is>
      </c>
      <c r="BM35" t="n">
        <v>2</v>
      </c>
      <c r="BN35" t="inlineStr">
        <is>
          <t>The Motley Fool</t>
        </is>
      </c>
      <c r="BO35" t="inlineStr">
        <is>
          <t>free to read, copyright asserted</t>
        </is>
      </c>
      <c r="BP35" t="inlineStr">
        <is>
          <t>no</t>
        </is>
      </c>
      <c r="BQ35" t="inlineStr">
        <is>
          <t>no</t>
        </is>
      </c>
    </row>
    <row r="36" ht="16.35" customHeight="1">
      <c r="A36" s="95" t="inlineStr">
        <is>
          <t>Apple</t>
        </is>
      </c>
      <c r="B36" s="96">
        <f>IF(A36="","",_xlfn.XLOOKUP(A36, Company_List!$A:$A, Company_List!$B:$B, ""))</f>
        <v/>
      </c>
      <c r="C36" s="21" t="n">
        <v>2025</v>
      </c>
      <c r="D36" s="20" t="inlineStr">
        <is>
          <t>Q4</t>
        </is>
      </c>
      <c r="E36" s="19" t="inlineStr">
        <is>
          <t>All</t>
        </is>
      </c>
      <c r="F36" s="19" t="inlineStr">
        <is>
          <t>All</t>
        </is>
      </c>
      <c r="G36" s="20" t="inlineStr">
        <is>
          <t>Meriem</t>
        </is>
      </c>
      <c r="H36" s="20" t="inlineStr">
        <is>
          <t>Human</t>
        </is>
      </c>
      <c r="I36" s="127" t="n">
        <v>0.3</v>
      </c>
      <c r="J36" s="145">
        <f>IF(OR(I36="",Settings!$B$6=""),"",IF(I36&gt;Settings!$B$6,"BUY",IF(I36&lt;-Settings!$B$6,"SELL","HOLD")))</f>
        <v/>
      </c>
      <c r="K36" s="139" t="n">
        <v>30</v>
      </c>
      <c r="L36" s="123" t="n">
        <v>45960</v>
      </c>
      <c r="M36" s="123" t="n">
        <v>45960</v>
      </c>
      <c r="N36" s="127" t="n">
        <v>271.4</v>
      </c>
      <c r="O36" s="123" t="n">
        <v>45961</v>
      </c>
      <c r="P36" s="22" t="n">
        <v>276.99</v>
      </c>
      <c r="Q36" s="148">
        <f>IF(OR(N36="",P36=""),"",ROUND((P36-N36)/N36,4))</f>
        <v/>
      </c>
      <c r="R36" s="20">
        <f>IF(OR(N36="",P36=""),"",IF(Q36&gt;Settings!$B$3/100,"UP",IF(Q36&lt;-Settings!$B$3/100,"DOWN","FLAT")))</f>
        <v/>
      </c>
      <c r="S36" s="20">
        <f>IF(OR(N36="",P36="",J36=""),"",IF(OR(AND(J36="BUY",R36="UP"),AND(J36="SELL",R36="DOWN"),AND(J36="HOLD",R36="FLAT")),"YES","NO"))</f>
        <v/>
      </c>
      <c r="T36" s="21">
        <f>IF(J36="","",IF(J36="BUY",1,IF(J36="SELL",-1,0)))</f>
        <v/>
      </c>
      <c r="U36" s="148">
        <f>IFERROR(IF(OR(J36="",N36="",P36=""),"",IF(T36=0,0,T36*Q36-Settings!$B$4/10000-IF(T36&lt;0,Settings!$B$5/10000,0))),"")</f>
        <v/>
      </c>
      <c r="V36" s="23" t="inlineStr">
        <is>
          <t>revenue up; guidance is good and seems more certain than previous quarter. numbers look better</t>
        </is>
      </c>
      <c r="W36" s="21">
        <f>IF($K36="","",$K36*60)</f>
        <v/>
      </c>
      <c r="X36" s="91">
        <f>IF($A36="","",$A36&amp;"|"&amp;$C36&amp;"|"&amp;$D36)</f>
        <v/>
      </c>
      <c r="Y36" s="91">
        <f>IFERROR(IF($X36="","",INDEX(LLM_Data_Entry!$H$3:$H$548,MATCH($X36,INDEX(LLM_Data_Entry!$A$3:$A$548&amp;"|"&amp;LLM_Data_Entry!$C$3:$C$548&amp;"|"&amp;LLM_Data_Entry!$D$3:$D$548,0),0))),"")</f>
        <v/>
      </c>
      <c r="Z36" s="91">
        <f>IFERROR(IF($X36="","",INDEX(LLM_Data_Entry!$R$3:$R$548,MATCH($X36,INDEX(LLM_Data_Entry!$A$3:$A$548&amp;"|"&amp;LLM_Data_Entry!$C$3:$C$548&amp;"|"&amp;LLM_Data_Entry!$D$3:$D$548,0),0))),"")</f>
        <v/>
      </c>
      <c r="AB36" t="inlineStr">
        <is>
          <t>earnings calendar, seconded independently (section C)</t>
        </is>
      </c>
      <c r="AC36" t="inlineStr">
        <is>
          <t>AAPL</t>
        </is>
      </c>
      <c r="AD36" t="inlineStr">
        <is>
          <t>2025-10-30</t>
        </is>
      </c>
      <c r="AE36" t="n">
        <v>270.6343</v>
      </c>
      <c r="AF36" t="inlineStr">
        <is>
          <t>2025-10-31</t>
        </is>
      </c>
      <c r="AG36" t="n">
        <v>276.2086</v>
      </c>
      <c r="AH36" t="n">
        <v>0.02059686882660206</v>
      </c>
      <c r="AI36" t="inlineStr">
        <is>
          <t>UP</t>
        </is>
      </c>
      <c r="AJ36" t="inlineStr">
        <is>
          <t>YES</t>
        </is>
      </c>
      <c r="AK36" t="n">
        <v>0.019597</v>
      </c>
      <c r="AL36">
        <f>IF($A36="","",IFERROR(INDEX(Company_List!$G$3:$G$207,MATCH($A36,Company_List!$A$3:$A$207,0)),"unassigned"))</f>
        <v/>
      </c>
      <c r="AM36" t="inlineStr">
        <is>
          <t>Phase 2/Apple/Q4 2025 Earnings Call Transcript.pdf; Phase 2/Apple/FY25_Q4_Consolidated_Financial_Statements.pdf</t>
        </is>
      </c>
      <c r="AO36" t="inlineStr">
        <is>
          <t>whole bundle (Document = All)</t>
        </is>
      </c>
      <c r="AP36">
        <f>IF($A36="","",IF(COUNTIFS(LLM_Data_Entry!$A$3:$A$548,$A36)&gt;0,"YES","NO"))</f>
        <v/>
      </c>
      <c r="AQ36">
        <f>IF($A36="","",IF(COUNTIFS($A$3:$A36,$A36,$C$3:$C36,$C36,$D$3:$D36,$D36)=1,"YES","NO"))</f>
        <v/>
      </c>
      <c r="AR36">
        <f>IF($A36="","",IF(AND($C36&amp;"-"&amp;$D36&gt;=Settings!$B$19,$C36&amp;"-"&amp;$D36&lt;=Settings!$B$20),"IN","OUT"))</f>
        <v/>
      </c>
      <c r="AS36">
        <f>IF($A36="","",IF($F36="Financial Results","financials",IF($F36="Outlook/Guidance","guidance",IF($F36="Transcript Q&amp;A","qanda",IF($F36="","unrecorded",IF($E36="All","full",IF($E36="","unrecorded",LOWER($E36)&amp;" only")))))))</f>
        <v/>
      </c>
      <c r="AT36">
        <f>IF(AND(OR($J36="BUY",$J36="SELL"),ISNUMBER($U36)),$U36,"")</f>
        <v/>
      </c>
      <c r="AU36">
        <f>IF(AND(OR($J36="BUY",$J36="SELL"),ISNUMBER($AK36)),$AK36,"")</f>
        <v/>
      </c>
      <c r="AV36">
        <f>IF(ISNUMBER($AT36),ABS(IF(ISNUMBER($I36),$I36,0)-Settings!$B$24),"")</f>
        <v/>
      </c>
      <c r="AW36">
        <f>IF(ISNUMBER($AV36),$AV36*$AT36,"")</f>
        <v/>
      </c>
      <c r="AX36">
        <f>IF(ISNUMBER($AU36),ABS(IF(ISNUMBER($I36),$I36,0)-Settings!$B$24),"")</f>
        <v/>
      </c>
      <c r="AY36">
        <f>IF(ISNUMBER($AX36),$AX36*$AU36,"")</f>
        <v/>
      </c>
      <c r="AZ36">
        <f>IF($A36="","",IFERROR(INDEX(Company_List!$H$3:$H$207,MATCH($A36,Company_List!$A$3:$A$207,0)),"unassigned"))</f>
        <v/>
      </c>
      <c r="BC36">
        <f>IF($A36="","",IF(COUNTIFS($A$3:$A36,$A36,$C$3:$C36,$C36,$D$3:$D36,$D36,$G$3:$G36,$G36)=1,1,0))</f>
        <v/>
      </c>
      <c r="BG36" t="inlineStr">
        <is>
          <t>no</t>
        </is>
      </c>
      <c r="BK36">
        <f>IF(OR($H36&lt;&gt;"Human",$S36="",$J36="",$Y36="",$Z36=""),"",IF(EXACT(UPPER($J36),UPPER($Y36)),1,0))</f>
        <v/>
      </c>
      <c r="BL36" t="inlineStr">
        <is>
          <t>assumed - no rater record</t>
        </is>
      </c>
      <c r="BM36" t="n">
        <v>2</v>
      </c>
      <c r="BN36" t="inlineStr">
        <is>
          <t>The Motley Fool</t>
        </is>
      </c>
      <c r="BO36" t="inlineStr">
        <is>
          <t>free to read, copyright asserted</t>
        </is>
      </c>
      <c r="BP36" t="inlineStr">
        <is>
          <t>no</t>
        </is>
      </c>
      <c r="BQ36" t="inlineStr">
        <is>
          <t>no</t>
        </is>
      </c>
    </row>
    <row r="37" ht="16.35" customHeight="1">
      <c r="A37" s="95" t="inlineStr">
        <is>
          <t>Apple</t>
        </is>
      </c>
      <c r="B37" s="96">
        <f>IF(A37="","",_xlfn.XLOOKUP(A37, Company_List!$A:$A, Company_List!$B:$B, ""))</f>
        <v/>
      </c>
      <c r="C37" s="21" t="n">
        <v>2026</v>
      </c>
      <c r="D37" s="20" t="inlineStr">
        <is>
          <t>Q1</t>
        </is>
      </c>
      <c r="E37" s="19" t="inlineStr">
        <is>
          <t>All</t>
        </is>
      </c>
      <c r="F37" s="19" t="inlineStr">
        <is>
          <t>All</t>
        </is>
      </c>
      <c r="G37" s="20" t="inlineStr">
        <is>
          <t>Meriem</t>
        </is>
      </c>
      <c r="H37" s="20" t="inlineStr">
        <is>
          <t>Human</t>
        </is>
      </c>
      <c r="I37" s="127" t="n">
        <v>0.5</v>
      </c>
      <c r="J37" s="145">
        <f>IF(OR(I37="",Settings!$B$6=""),"",IF(I37&gt;Settings!$B$6,"BUY",IF(I37&lt;-Settings!$B$6,"SELL","HOLD")))</f>
        <v/>
      </c>
      <c r="K37" s="139" t="n">
        <v>22</v>
      </c>
      <c r="L37" s="123" t="n">
        <v>46051</v>
      </c>
      <c r="M37" s="123" t="n">
        <v>46051</v>
      </c>
      <c r="N37" s="127" t="n">
        <v>258.28</v>
      </c>
      <c r="O37" s="123" t="n">
        <v>46052</v>
      </c>
      <c r="P37" s="22" t="n">
        <v>255.17</v>
      </c>
      <c r="Q37" s="148">
        <f>IF(OR(N37="",P37=""),"",ROUND((P37-N37)/N37,4))</f>
        <v/>
      </c>
      <c r="R37" s="20">
        <f>IF(OR(N37="",P37=""),"",IF(Q37&gt;Settings!$B$3/100,"UP",IF(Q37&lt;-Settings!$B$3/100,"DOWN","FLAT")))</f>
        <v/>
      </c>
      <c r="S37" s="20">
        <f>IF(OR(N37="",P37="",J37=""),"",IF(OR(AND(J37="BUY",R37="UP"),AND(J37="SELL",R37="DOWN"),AND(J37="HOLD",R37="FLAT")),"YES","NO"))</f>
        <v/>
      </c>
      <c r="T37" s="21">
        <f>IF(J37="","",IF(J37="BUY",1,IF(J37="SELL",-1,0)))</f>
        <v/>
      </c>
      <c r="U37" s="148">
        <f>IFERROR(IF(OR(J37="",N37="",P37=""),"",IF(T37=0,0,T37*Q37-Settings!$B$4/10000-IF(T37&lt;0,Settings!$B$5/10000,0))),"")</f>
        <v/>
      </c>
      <c r="V37" s="23" t="inlineStr">
        <is>
          <t>revenue is up; numbers are great (better than two previous quarters)</t>
        </is>
      </c>
      <c r="W37" s="21">
        <f>IF($K37="","",$K37*60)</f>
        <v/>
      </c>
      <c r="X37" s="91">
        <f>IF($A37="","",$A37&amp;"|"&amp;$C37&amp;"|"&amp;$D37)</f>
        <v/>
      </c>
      <c r="Y37" s="91">
        <f>IFERROR(IF($X37="","",INDEX(LLM_Data_Entry!$H$3:$H$548,MATCH($X37,INDEX(LLM_Data_Entry!$A$3:$A$548&amp;"|"&amp;LLM_Data_Entry!$C$3:$C$548&amp;"|"&amp;LLM_Data_Entry!$D$3:$D$548,0),0))),"")</f>
        <v/>
      </c>
      <c r="Z37" s="91">
        <f>IFERROR(IF($X37="","",INDEX(LLM_Data_Entry!$R$3:$R$548,MATCH($X37,INDEX(LLM_Data_Entry!$A$3:$A$548&amp;"|"&amp;LLM_Data_Entry!$C$3:$C$548&amp;"|"&amp;LLM_Data_Entry!$D$3:$D$548,0),0))),"")</f>
        <v/>
      </c>
      <c r="AB37" t="inlineStr">
        <is>
          <t>price signal — only this window shows an abnormal move</t>
        </is>
      </c>
      <c r="AC37" t="inlineStr">
        <is>
          <t>AAPL</t>
        </is>
      </c>
      <c r="AD37" t="inlineStr">
        <is>
          <t>2026-01-29</t>
        </is>
      </c>
      <c r="AE37" t="n">
        <v>257.801</v>
      </c>
      <c r="AF37" t="inlineStr">
        <is>
          <t>2026-01-30</t>
        </is>
      </c>
      <c r="AG37" t="n">
        <v>254.6968</v>
      </c>
      <c r="AH37" t="n">
        <v>-0.01204109121342554</v>
      </c>
      <c r="AI37" t="inlineStr">
        <is>
          <t>FLAT</t>
        </is>
      </c>
      <c r="AJ37" t="inlineStr">
        <is>
          <t>NO</t>
        </is>
      </c>
      <c r="AK37" t="n">
        <v>-0.013041</v>
      </c>
      <c r="AL37">
        <f>IF($A37="","",IFERROR(INDEX(Company_List!$G$3:$G$207,MATCH($A37,Company_List!$A$3:$A$207,0)),"unassigned"))</f>
        <v/>
      </c>
      <c r="AM37" t="inlineStr">
        <is>
          <t>Phase 2/Apple/Q1 2026 Earnings Call Transcript.pdf; Phase 2/Apple/FY26_Q1_Consolidated_Financial_Statements.pdf</t>
        </is>
      </c>
      <c r="AO37" t="inlineStr">
        <is>
          <t>whole bundle (Document = All)</t>
        </is>
      </c>
      <c r="AP37">
        <f>IF($A37="","",IF(COUNTIFS(LLM_Data_Entry!$A$3:$A$548,$A37)&gt;0,"YES","NO"))</f>
        <v/>
      </c>
      <c r="AQ37">
        <f>IF($A37="","",IF(COUNTIFS($A$3:$A37,$A37,$C$3:$C37,$C37,$D$3:$D37,$D37)=1,"YES","NO"))</f>
        <v/>
      </c>
      <c r="AR37">
        <f>IF($A37="","",IF(AND($C37&amp;"-"&amp;$D37&gt;=Settings!$B$19,$C37&amp;"-"&amp;$D37&lt;=Settings!$B$20),"IN","OUT"))</f>
        <v/>
      </c>
      <c r="AS37">
        <f>IF($A37="","",IF($F37="Financial Results","financials",IF($F37="Outlook/Guidance","guidance",IF($F37="Transcript Q&amp;A","qanda",IF($F37="","unrecorded",IF($E37="All","full",IF($E37="","unrecorded",LOWER($E37)&amp;" only")))))))</f>
        <v/>
      </c>
      <c r="AT37">
        <f>IF(AND(OR($J37="BUY",$J37="SELL"),ISNUMBER($U37)),$U37,"")</f>
        <v/>
      </c>
      <c r="AU37">
        <f>IF(AND(OR($J37="BUY",$J37="SELL"),ISNUMBER($AK37)),$AK37,"")</f>
        <v/>
      </c>
      <c r="AV37">
        <f>IF(ISNUMBER($AT37),ABS(IF(ISNUMBER($I37),$I37,0)-Settings!$B$24),"")</f>
        <v/>
      </c>
      <c r="AW37">
        <f>IF(ISNUMBER($AV37),$AV37*$AT37,"")</f>
        <v/>
      </c>
      <c r="AX37">
        <f>IF(ISNUMBER($AU37),ABS(IF(ISNUMBER($I37),$I37,0)-Settings!$B$24),"")</f>
        <v/>
      </c>
      <c r="AY37">
        <f>IF(ISNUMBER($AX37),$AX37*$AU37,"")</f>
        <v/>
      </c>
      <c r="AZ37">
        <f>IF($A37="","",IFERROR(INDEX(Company_List!$H$3:$H$207,MATCH($A37,Company_List!$A$3:$A$207,0)),"unassigned"))</f>
        <v/>
      </c>
      <c r="BC37">
        <f>IF($A37="","",IF(COUNTIFS($A$3:$A37,$A37,$C$3:$C37,$C37,$D$3:$D37,$D37,$G$3:$G37,$G37)=1,1,0))</f>
        <v/>
      </c>
      <c r="BG37" t="inlineStr">
        <is>
          <t>no</t>
        </is>
      </c>
      <c r="BK37">
        <f>IF(OR($H37&lt;&gt;"Human",$S37="",$J37="",$Y37="",$Z37=""),"",IF(EXACT(UPPER($J37),UPPER($Y37)),1,0))</f>
        <v/>
      </c>
      <c r="BL37" t="inlineStr">
        <is>
          <t>assumed - no rater record</t>
        </is>
      </c>
      <c r="BM37" t="n">
        <v>2</v>
      </c>
      <c r="BN37" t="inlineStr">
        <is>
          <t>The Motley Fool</t>
        </is>
      </c>
      <c r="BO37" t="inlineStr">
        <is>
          <t>free to read, copyright asserted</t>
        </is>
      </c>
      <c r="BP37" t="inlineStr">
        <is>
          <t>no</t>
        </is>
      </c>
      <c r="BQ37" t="inlineStr">
        <is>
          <t>no</t>
        </is>
      </c>
    </row>
    <row r="38" ht="16.35" customHeight="1">
      <c r="A38" s="95" t="inlineStr">
        <is>
          <t>Coca-Cola</t>
        </is>
      </c>
      <c r="B38" s="96">
        <f>IF(A38="","",_xlfn.XLOOKUP(A38, Company_List!$A:$A, Company_List!$B:$B, ""))</f>
        <v/>
      </c>
      <c r="C38" s="21" t="n">
        <v>2025</v>
      </c>
      <c r="D38" s="20" t="inlineStr">
        <is>
          <t>Q2</t>
        </is>
      </c>
      <c r="E38" s="19" t="inlineStr">
        <is>
          <t>All</t>
        </is>
      </c>
      <c r="F38" s="19" t="inlineStr">
        <is>
          <t>All</t>
        </is>
      </c>
      <c r="G38" s="20" t="inlineStr">
        <is>
          <t>Meriem</t>
        </is>
      </c>
      <c r="H38" s="20" t="inlineStr">
        <is>
          <t>Human</t>
        </is>
      </c>
      <c r="I38" s="127" t="n">
        <v>0.2</v>
      </c>
      <c r="J38" s="145">
        <f>IF(OR(I38="",Settings!$B$6=""),"",IF(I38&gt;Settings!$B$6,"BUY",IF(I38&lt;-Settings!$B$6,"SELL","HOLD")))</f>
        <v/>
      </c>
      <c r="K38" s="139" t="n">
        <v>35</v>
      </c>
      <c r="L38" s="123" t="n">
        <v>45860</v>
      </c>
      <c r="M38" s="123" t="n">
        <v>45860</v>
      </c>
      <c r="N38" s="127" t="n">
        <v>69.66</v>
      </c>
      <c r="O38" s="123" t="n">
        <v>45861</v>
      </c>
      <c r="P38" s="22" t="n">
        <v>69.66</v>
      </c>
      <c r="Q38" s="148">
        <f>IF(OR(N38="",P38=""),"",ROUND((P38-N38)/N38,4))</f>
        <v/>
      </c>
      <c r="R38" s="20">
        <f>IF(OR(N38="",P38=""),"",IF(Q38&gt;Settings!$B$3/100,"UP",IF(Q38&lt;-Settings!$B$3/100,"DOWN","FLAT")))</f>
        <v/>
      </c>
      <c r="S38" s="20">
        <f>IF(OR(N38="",P38="",J38=""),"",IF(OR(AND(J38="BUY",R38="UP"),AND(J38="SELL",R38="DOWN"),AND(J38="HOLD",R38="FLAT")),"YES","NO"))</f>
        <v/>
      </c>
      <c r="T38" s="21">
        <f>IF(J38="","",IF(J38="BUY",1,IF(J38="SELL",-1,0)))</f>
        <v/>
      </c>
      <c r="U38" s="148">
        <f>IFERROR(IF(OR(J38="",N38="",P38=""),"",IF(T38=0,0,T38*Q38-Settings!$B$4/10000-IF(T38&lt;0,Settings!$B$5/10000,0))),"")</f>
        <v/>
      </c>
      <c r="V38" s="23" t="inlineStr">
        <is>
          <t>adverse weather conditions not great so recovery might not be good right now; growth expanded but Asia’s volume is down. so hold</t>
        </is>
      </c>
      <c r="W38" s="21">
        <f>IF($K38="","",$K38*60)</f>
        <v/>
      </c>
      <c r="X38" s="91">
        <f>IF($A38="","",$A38&amp;"|"&amp;$C38&amp;"|"&amp;$D38)</f>
        <v/>
      </c>
      <c r="Y38" s="91">
        <f>IFERROR(IF($X38="","",INDEX(LLM_Data_Entry!$H$3:$H$548,MATCH($X38,INDEX(LLM_Data_Entry!$A$3:$A$548&amp;"|"&amp;LLM_Data_Entry!$C$3:$C$548&amp;"|"&amp;LLM_Data_Entry!$D$3:$D$548,0),0))),"")</f>
        <v/>
      </c>
      <c r="Z38" s="91">
        <f>IFERROR(IF($X38="","",INDEX(LLM_Data_Entry!$R$3:$R$548,MATCH($X38,INDEX(LLM_Data_Entry!$A$3:$A$548&amp;"|"&amp;LLM_Data_Entry!$C$3:$C$548&amp;"|"&amp;LLM_Data_Entry!$D$3:$D$548,0),0))),"")</f>
        <v/>
      </c>
      <c r="AB38" t="inlineStr">
        <is>
          <t>release date + stated time</t>
        </is>
      </c>
      <c r="AC38" t="inlineStr">
        <is>
          <t>KO</t>
        </is>
      </c>
      <c r="AD38" t="inlineStr">
        <is>
          <t>2025-07-21</t>
        </is>
      </c>
      <c r="AE38" t="n">
        <v>68.14019999999999</v>
      </c>
      <c r="AF38" t="inlineStr">
        <is>
          <t>2025-07-22</t>
        </is>
      </c>
      <c r="AG38" t="n">
        <v>67.5373</v>
      </c>
      <c r="AH38" t="n">
        <v>-0.008848346685875993</v>
      </c>
      <c r="AI38" t="inlineStr">
        <is>
          <t>FLAT</t>
        </is>
      </c>
      <c r="AJ38" t="inlineStr">
        <is>
          <t>YES</t>
        </is>
      </c>
      <c r="AK38" t="n">
        <v>0</v>
      </c>
      <c r="AL38">
        <f>IF($A38="","",IFERROR(INDEX(Company_List!$G$3:$G$207,MATCH($A38,Company_List!$A$3:$A$207,0)),"unassigned"))</f>
        <v/>
      </c>
      <c r="AM38" t="inlineStr">
        <is>
          <t>Phase 2/Coca-Cola/Q2 2025 Earnings Call Transcript.pdf</t>
        </is>
      </c>
      <c r="AO38" t="inlineStr">
        <is>
          <t>unique filename match</t>
        </is>
      </c>
      <c r="AP38">
        <f>IF($A38="","",IF(COUNTIFS(LLM_Data_Entry!$A$3:$A$548,$A38)&gt;0,"YES","NO"))</f>
        <v/>
      </c>
      <c r="AQ38">
        <f>IF($A38="","",IF(COUNTIFS($A$3:$A38,$A38,$C$3:$C38,$C38,$D$3:$D38,$D38)=1,"YES","NO"))</f>
        <v/>
      </c>
      <c r="AR38">
        <f>IF($A38="","",IF(AND($C38&amp;"-"&amp;$D38&gt;=Settings!$B$19,$C38&amp;"-"&amp;$D38&lt;=Settings!$B$20),"IN","OUT"))</f>
        <v/>
      </c>
      <c r="AS38">
        <f>IF($A38="","",IF($F38="Financial Results","financials",IF($F38="Outlook/Guidance","guidance",IF($F38="Transcript Q&amp;A","qanda",IF($F38="","unrecorded",IF($E38="All","full",IF($E38="","unrecorded",LOWER($E38)&amp;" only")))))))</f>
        <v/>
      </c>
      <c r="AT38">
        <f>IF(AND(OR($J38="BUY",$J38="SELL"),ISNUMBER($U38)),$U38,"")</f>
        <v/>
      </c>
      <c r="AU38">
        <f>IF(AND(OR($J38="BUY",$J38="SELL"),ISNUMBER($AK38)),$AK38,"")</f>
        <v/>
      </c>
      <c r="AV38">
        <f>IF(ISNUMBER($AT38),ABS(IF(ISNUMBER($I38),$I38,0)-Settings!$B$24),"")</f>
        <v/>
      </c>
      <c r="AW38">
        <f>IF(ISNUMBER($AV38),$AV38*$AT38,"")</f>
        <v/>
      </c>
      <c r="AX38">
        <f>IF(ISNUMBER($AU38),ABS(IF(ISNUMBER($I38),$I38,0)-Settings!$B$24),"")</f>
        <v/>
      </c>
      <c r="AY38">
        <f>IF(ISNUMBER($AX38),$AX38*$AU38,"")</f>
        <v/>
      </c>
      <c r="AZ38">
        <f>IF($A38="","",IFERROR(INDEX(Company_List!$H$3:$H$207,MATCH($A38,Company_List!$A$3:$A$207,0)),"unassigned"))</f>
        <v/>
      </c>
      <c r="BC38">
        <f>IF($A38="","",IF(COUNTIFS($A$3:$A38,$A38,$C$3:$C38,$C38,$D$3:$D38,$D38,$G$3:$G38,$G38)=1,1,0))</f>
        <v/>
      </c>
      <c r="BG38" t="inlineStr">
        <is>
          <t>no</t>
        </is>
      </c>
      <c r="BK38">
        <f>IF(OR($H38&lt;&gt;"Human",$S38="",$J38="",$Y38="",$Z38=""),"",IF(EXACT(UPPER($J38),UPPER($Y38)),1,0))</f>
        <v/>
      </c>
      <c r="BL38" t="inlineStr">
        <is>
          <t>assumed - no rater record</t>
        </is>
      </c>
      <c r="BM38" t="n">
        <v>1</v>
      </c>
      <c r="BN38" t="inlineStr">
        <is>
          <t>The Motley Fool</t>
        </is>
      </c>
      <c r="BO38" t="inlineStr">
        <is>
          <t>free to read, copyright asserted</t>
        </is>
      </c>
      <c r="BP38" t="inlineStr">
        <is>
          <t>no</t>
        </is>
      </c>
      <c r="BQ38" t="inlineStr">
        <is>
          <t>no</t>
        </is>
      </c>
    </row>
    <row r="39" ht="16.35" customHeight="1">
      <c r="A39" s="95" t="inlineStr">
        <is>
          <t>Coca-Cola</t>
        </is>
      </c>
      <c r="B39" s="96">
        <f>IF(A39="","",_xlfn.XLOOKUP(A39, Company_List!$A:$A, Company_List!$B:$B, ""))</f>
        <v/>
      </c>
      <c r="C39" s="21" t="n">
        <v>2025</v>
      </c>
      <c r="D39" s="20" t="inlineStr">
        <is>
          <t>Q4</t>
        </is>
      </c>
      <c r="E39" s="19" t="inlineStr">
        <is>
          <t>All</t>
        </is>
      </c>
      <c r="F39" s="19" t="inlineStr">
        <is>
          <t>All</t>
        </is>
      </c>
      <c r="G39" s="20" t="inlineStr">
        <is>
          <t>Meriem</t>
        </is>
      </c>
      <c r="H39" s="20" t="inlineStr">
        <is>
          <t>Human</t>
        </is>
      </c>
      <c r="I39" s="127" t="n">
        <v>-0.3</v>
      </c>
      <c r="J39" s="145">
        <f>IF(OR(I39="",Settings!$B$6=""),"",IF(I39&gt;Settings!$B$6,"BUY",IF(I39&lt;-Settings!$B$6,"SELL","HOLD")))</f>
        <v/>
      </c>
      <c r="K39" s="139" t="n">
        <v>28</v>
      </c>
      <c r="L39" s="123" t="n">
        <v>46063</v>
      </c>
      <c r="M39" s="123" t="n">
        <v>46063</v>
      </c>
      <c r="N39" s="127" t="n">
        <v>76.81</v>
      </c>
      <c r="O39" s="123" t="n">
        <v>46064</v>
      </c>
      <c r="P39" s="22" t="n">
        <v>76.88</v>
      </c>
      <c r="Q39" s="148">
        <f>IF(OR(N39="",P39=""),"",ROUND((P39-N39)/N39,4))</f>
        <v/>
      </c>
      <c r="R39" s="20">
        <f>IF(OR(N39="",P39=""),"",IF(Q39&gt;Settings!$B$3/100,"UP",IF(Q39&lt;-Settings!$B$3/100,"DOWN","FLAT")))</f>
        <v/>
      </c>
      <c r="S39" s="20">
        <f>IF(OR(N39="",P39="",J39=""),"",IF(OR(AND(J39="BUY",R39="UP"),AND(J39="SELL",R39="DOWN"),AND(J39="HOLD",R39="FLAT")),"YES","NO"))</f>
        <v/>
      </c>
      <c r="T39" s="21">
        <f>IF(J39="","",IF(J39="BUY",1,IF(J39="SELL",-1,0)))</f>
        <v/>
      </c>
      <c r="U39" s="148">
        <f>IFERROR(IF(OR(J39="",N39="",P39=""),"",IF(T39=0,0,T39*Q39-Settings!$B$4/10000-IF(T39&lt;0,Settings!$B$5/10000,0))),"")</f>
        <v/>
      </c>
      <c r="V39" s="23" t="inlineStr">
        <is>
          <t>leadership transition so added risk; Asia’s volume and revenue still down and uncertainty so sell.</t>
        </is>
      </c>
      <c r="W39" s="21">
        <f>IF($K39="","",$K39*60)</f>
        <v/>
      </c>
      <c r="X39" s="91">
        <f>IF($A39="","",$A39&amp;"|"&amp;$C39&amp;"|"&amp;$D39)</f>
        <v/>
      </c>
      <c r="Y39" s="91">
        <f>IFERROR(IF($X39="","",INDEX(LLM_Data_Entry!$H$3:$H$548,MATCH($X39,INDEX(LLM_Data_Entry!$A$3:$A$548&amp;"|"&amp;LLM_Data_Entry!$C$3:$C$548&amp;"|"&amp;LLM_Data_Entry!$D$3:$D$548,0),0))),"")</f>
        <v/>
      </c>
      <c r="Z39" s="91">
        <f>IFERROR(IF($X39="","",INDEX(LLM_Data_Entry!$R$3:$R$548,MATCH($X39,INDEX(LLM_Data_Entry!$A$3:$A$548&amp;"|"&amp;LLM_Data_Entry!$C$3:$C$548&amp;"|"&amp;LLM_Data_Entry!$D$3:$D$548,0),0))),"")</f>
        <v/>
      </c>
      <c r="AB39" t="inlineStr">
        <is>
          <t>release date + stated time</t>
        </is>
      </c>
      <c r="AC39" t="inlineStr">
        <is>
          <t>KO</t>
        </is>
      </c>
      <c r="AD39" t="inlineStr">
        <is>
          <t>2026-02-09</t>
        </is>
      </c>
      <c r="AE39" t="n">
        <v>76.9408</v>
      </c>
      <c r="AF39" t="inlineStr">
        <is>
          <t>2026-02-10</t>
        </is>
      </c>
      <c r="AG39" t="n">
        <v>75.6185</v>
      </c>
      <c r="AH39" t="n">
        <v>-0.01718625273446614</v>
      </c>
      <c r="AI39" t="inlineStr">
        <is>
          <t>FLAT</t>
        </is>
      </c>
      <c r="AJ39" t="inlineStr">
        <is>
          <t>NO</t>
        </is>
      </c>
      <c r="AK39" t="n">
        <v>0.016186</v>
      </c>
      <c r="AL39">
        <f>IF($A39="","",IFERROR(INDEX(Company_List!$G$3:$G$207,MATCH($A39,Company_List!$A$3:$A$207,0)),"unassigned"))</f>
        <v/>
      </c>
      <c r="AM39" t="inlineStr">
        <is>
          <t>Phase 2/Coca-Cola/Q4 2025 Earnings Call Transcript.pdf</t>
        </is>
      </c>
      <c r="AO39" t="inlineStr">
        <is>
          <t>unique filename match</t>
        </is>
      </c>
      <c r="AP39">
        <f>IF($A39="","",IF(COUNTIFS(LLM_Data_Entry!$A$3:$A$548,$A39)&gt;0,"YES","NO"))</f>
        <v/>
      </c>
      <c r="AQ39">
        <f>IF($A39="","",IF(COUNTIFS($A$3:$A39,$A39,$C$3:$C39,$C39,$D$3:$D39,$D39)=1,"YES","NO"))</f>
        <v/>
      </c>
      <c r="AR39">
        <f>IF($A39="","",IF(AND($C39&amp;"-"&amp;$D39&gt;=Settings!$B$19,$C39&amp;"-"&amp;$D39&lt;=Settings!$B$20),"IN","OUT"))</f>
        <v/>
      </c>
      <c r="AS39">
        <f>IF($A39="","",IF($F39="Financial Results","financials",IF($F39="Outlook/Guidance","guidance",IF($F39="Transcript Q&amp;A","qanda",IF($F39="","unrecorded",IF($E39="All","full",IF($E39="","unrecorded",LOWER($E39)&amp;" only")))))))</f>
        <v/>
      </c>
      <c r="AT39">
        <f>IF(AND(OR($J39="BUY",$J39="SELL"),ISNUMBER($U39)),$U39,"")</f>
        <v/>
      </c>
      <c r="AU39">
        <f>IF(AND(OR($J39="BUY",$J39="SELL"),ISNUMBER($AK39)),$AK39,"")</f>
        <v/>
      </c>
      <c r="AV39">
        <f>IF(ISNUMBER($AT39),ABS(IF(ISNUMBER($I39),$I39,0)-Settings!$B$24),"")</f>
        <v/>
      </c>
      <c r="AW39">
        <f>IF(ISNUMBER($AV39),$AV39*$AT39,"")</f>
        <v/>
      </c>
      <c r="AX39">
        <f>IF(ISNUMBER($AU39),ABS(IF(ISNUMBER($I39),$I39,0)-Settings!$B$24),"")</f>
        <v/>
      </c>
      <c r="AY39">
        <f>IF(ISNUMBER($AX39),$AX39*$AU39,"")</f>
        <v/>
      </c>
      <c r="AZ39">
        <f>IF($A39="","",IFERROR(INDEX(Company_List!$H$3:$H$207,MATCH($A39,Company_List!$A$3:$A$207,0)),"unassigned"))</f>
        <v/>
      </c>
      <c r="BC39">
        <f>IF($A39="","",IF(COUNTIFS($A$3:$A39,$A39,$C$3:$C39,$C39,$D$3:$D39,$D39,$G$3:$G39,$G39)=1,1,0))</f>
        <v/>
      </c>
      <c r="BG39" t="inlineStr">
        <is>
          <t>no</t>
        </is>
      </c>
      <c r="BK39">
        <f>IF(OR($H39&lt;&gt;"Human",$S39="",$J39="",$Y39="",$Z39=""),"",IF(EXACT(UPPER($J39),UPPER($Y39)),1,0))</f>
        <v/>
      </c>
      <c r="BL39" t="inlineStr">
        <is>
          <t>assumed - no rater record</t>
        </is>
      </c>
      <c r="BM39" t="n">
        <v>1</v>
      </c>
      <c r="BN39" t="inlineStr">
        <is>
          <t>The Motley Fool</t>
        </is>
      </c>
      <c r="BO39" t="inlineStr">
        <is>
          <t>free to read, copyright asserted</t>
        </is>
      </c>
      <c r="BP39" t="inlineStr">
        <is>
          <t>no</t>
        </is>
      </c>
      <c r="BQ39" t="inlineStr">
        <is>
          <t>no</t>
        </is>
      </c>
    </row>
    <row r="40" ht="16.35" customHeight="1">
      <c r="A40" s="95" t="inlineStr">
        <is>
          <t>Coca-Cola</t>
        </is>
      </c>
      <c r="B40" s="96">
        <f>IF(A40="","",_xlfn.XLOOKUP(A40, Company_List!$A:$A, Company_List!$B:$B, ""))</f>
        <v/>
      </c>
      <c r="C40" s="21" t="n">
        <v>2026</v>
      </c>
      <c r="D40" s="20" t="inlineStr">
        <is>
          <t>Q1</t>
        </is>
      </c>
      <c r="E40" s="19" t="inlineStr">
        <is>
          <t>All</t>
        </is>
      </c>
      <c r="F40" s="19" t="inlineStr">
        <is>
          <t>All</t>
        </is>
      </c>
      <c r="G40" s="20" t="inlineStr">
        <is>
          <t>Meriem</t>
        </is>
      </c>
      <c r="H40" s="20" t="inlineStr">
        <is>
          <t>Human</t>
        </is>
      </c>
      <c r="I40" s="127" t="n">
        <v>0.4</v>
      </c>
      <c r="J40" s="145">
        <f>IF(OR(I40="",Settings!$B$6=""),"",IF(I40&gt;Settings!$B$6,"BUY",IF(I40&lt;-Settings!$B$6,"SELL","HOLD")))</f>
        <v/>
      </c>
      <c r="K40" s="139" t="n">
        <v>25</v>
      </c>
      <c r="L40" s="123" t="n">
        <v>46140</v>
      </c>
      <c r="M40" s="123" t="n">
        <v>46140</v>
      </c>
      <c r="N40" s="127" t="n">
        <v>78.34999999999999</v>
      </c>
      <c r="O40" s="123" t="n">
        <v>46141</v>
      </c>
      <c r="P40" s="22" t="n">
        <v>78.37</v>
      </c>
      <c r="Q40" s="148">
        <f>IF(OR(N40="",P40=""),"",ROUND((P40-N40)/N40,4))</f>
        <v/>
      </c>
      <c r="R40" s="20">
        <f>IF(OR(N40="",P40=""),"",IF(Q40&gt;Settings!$B$3/100,"UP",IF(Q40&lt;-Settings!$B$3/100,"DOWN","FLAT")))</f>
        <v/>
      </c>
      <c r="S40" s="20">
        <f>IF(OR(N40="",P40="",J40=""),"",IF(OR(AND(J40="BUY",R40="UP"),AND(J40="SELL",R40="DOWN"),AND(J40="HOLD",R40="FLAT")),"YES","NO"))</f>
        <v/>
      </c>
      <c r="T40" s="21">
        <f>IF(J40="","",IF(J40="BUY",1,IF(J40="SELL",-1,0)))</f>
        <v/>
      </c>
      <c r="U40" s="148">
        <f>IFERROR(IF(OR(J40="",N40="",P40=""),"",IF(T40=0,0,T40*Q40-Settings!$B$4/10000-IF(T40&lt;0,Settings!$B$5/10000,0))),"")</f>
        <v/>
      </c>
      <c r="V40" s="23" t="inlineStr">
        <is>
          <t>Asia’s volume and revenue finally up; revenue up as well and EPS up 18%; optimistic tone so buy</t>
        </is>
      </c>
      <c r="W40" s="21">
        <f>IF($K40="","",$K40*60)</f>
        <v/>
      </c>
      <c r="X40" s="91">
        <f>IF($A40="","",$A40&amp;"|"&amp;$C40&amp;"|"&amp;$D40)</f>
        <v/>
      </c>
      <c r="Y40" s="91">
        <f>IFERROR(IF($X40="","",INDEX(LLM_Data_Entry!$H$3:$H$548,MATCH($X40,INDEX(LLM_Data_Entry!$A$3:$A$548&amp;"|"&amp;LLM_Data_Entry!$C$3:$C$548&amp;"|"&amp;LLM_Data_Entry!$D$3:$D$548,0),0))),"")</f>
        <v/>
      </c>
      <c r="Z40" s="91">
        <f>IFERROR(IF($X40="","",INDEX(LLM_Data_Entry!$R$3:$R$548,MATCH($X40,INDEX(LLM_Data_Entry!$A$3:$A$548&amp;"|"&amp;LLM_Data_Entry!$C$3:$C$548&amp;"|"&amp;LLM_Data_Entry!$D$3:$D$548,0),0))),"")</f>
        <v/>
      </c>
      <c r="AB40" t="inlineStr">
        <is>
          <t>release date + stated time</t>
        </is>
      </c>
      <c r="AC40" t="inlineStr">
        <is>
          <t>KO</t>
        </is>
      </c>
      <c r="AD40" t="inlineStr">
        <is>
          <t>2026-04-27</t>
        </is>
      </c>
      <c r="AE40" t="n">
        <v>74.95610000000001</v>
      </c>
      <c r="AF40" t="inlineStr">
        <is>
          <t>2026-04-28</t>
        </is>
      </c>
      <c r="AG40" t="n">
        <v>79.0099</v>
      </c>
      <c r="AH40" t="n">
        <v>0.05408262442542064</v>
      </c>
      <c r="AI40" t="inlineStr">
        <is>
          <t>UP</t>
        </is>
      </c>
      <c r="AJ40" t="inlineStr">
        <is>
          <t>YES</t>
        </is>
      </c>
      <c r="AK40" t="n">
        <v>0.053083</v>
      </c>
      <c r="AL40">
        <f>IF($A40="","",IFERROR(INDEX(Company_List!$G$3:$G$207,MATCH($A40,Company_List!$A$3:$A$207,0)),"unassigned"))</f>
        <v/>
      </c>
      <c r="AM40" t="inlineStr">
        <is>
          <t>Phase 2/Coca-Cola/Q1 2026 Earnings Transcript.pdf</t>
        </is>
      </c>
      <c r="AO40" t="inlineStr">
        <is>
          <t>unique filename match</t>
        </is>
      </c>
      <c r="AP40">
        <f>IF($A40="","",IF(COUNTIFS(LLM_Data_Entry!$A$3:$A$548,$A40)&gt;0,"YES","NO"))</f>
        <v/>
      </c>
      <c r="AQ40">
        <f>IF($A40="","",IF(COUNTIFS($A$3:$A40,$A40,$C$3:$C40,$C40,$D$3:$D40,$D40)=1,"YES","NO"))</f>
        <v/>
      </c>
      <c r="AR40">
        <f>IF($A40="","",IF(AND($C40&amp;"-"&amp;$D40&gt;=Settings!$B$19,$C40&amp;"-"&amp;$D40&lt;=Settings!$B$20),"IN","OUT"))</f>
        <v/>
      </c>
      <c r="AS40">
        <f>IF($A40="","",IF($F40="Financial Results","financials",IF($F40="Outlook/Guidance","guidance",IF($F40="Transcript Q&amp;A","qanda",IF($F40="","unrecorded",IF($E40="All","full",IF($E40="","unrecorded",LOWER($E40)&amp;" only")))))))</f>
        <v/>
      </c>
      <c r="AT40">
        <f>IF(AND(OR($J40="BUY",$J40="SELL"),ISNUMBER($U40)),$U40,"")</f>
        <v/>
      </c>
      <c r="AU40">
        <f>IF(AND(OR($J40="BUY",$J40="SELL"),ISNUMBER($AK40)),$AK40,"")</f>
        <v/>
      </c>
      <c r="AV40">
        <f>IF(ISNUMBER($AT40),ABS(IF(ISNUMBER($I40),$I40,0)-Settings!$B$24),"")</f>
        <v/>
      </c>
      <c r="AW40">
        <f>IF(ISNUMBER($AV40),$AV40*$AT40,"")</f>
        <v/>
      </c>
      <c r="AX40">
        <f>IF(ISNUMBER($AU40),ABS(IF(ISNUMBER($I40),$I40,0)-Settings!$B$24),"")</f>
        <v/>
      </c>
      <c r="AY40">
        <f>IF(ISNUMBER($AX40),$AX40*$AU40,"")</f>
        <v/>
      </c>
      <c r="AZ40">
        <f>IF($A40="","",IFERROR(INDEX(Company_List!$H$3:$H$207,MATCH($A40,Company_List!$A$3:$A$207,0)),"unassigned"))</f>
        <v/>
      </c>
      <c r="BC40">
        <f>IF($A40="","",IF(COUNTIFS($A$3:$A40,$A40,$C$3:$C40,$C40,$D$3:$D40,$D40,$G$3:$G40,$G40)=1,1,0))</f>
        <v/>
      </c>
      <c r="BG40" t="inlineStr">
        <is>
          <t>no</t>
        </is>
      </c>
      <c r="BK40">
        <f>IF(OR($H40&lt;&gt;"Human",$S40="",$J40="",$Y40="",$Z40=""),"",IF(EXACT(UPPER($J40),UPPER($Y40)),1,0))</f>
        <v/>
      </c>
      <c r="BL40" t="inlineStr">
        <is>
          <t>assumed - no rater record</t>
        </is>
      </c>
      <c r="BM40" t="n">
        <v>1</v>
      </c>
      <c r="BN40" t="inlineStr">
        <is>
          <t>The Motley Fool</t>
        </is>
      </c>
      <c r="BO40" t="inlineStr">
        <is>
          <t>free to read, copyright asserted</t>
        </is>
      </c>
      <c r="BP40" t="inlineStr">
        <is>
          <t>no</t>
        </is>
      </c>
      <c r="BQ40" t="inlineStr">
        <is>
          <t>no</t>
        </is>
      </c>
    </row>
    <row r="41" ht="16.35" customHeight="1">
      <c r="A41" s="95" t="inlineStr">
        <is>
          <t>Bank of America</t>
        </is>
      </c>
      <c r="B41" s="96">
        <f>IF(A41="","",_xlfn.XLOOKUP(A41, Company_List!$A:$A, Company_List!$B:$B, ""))</f>
        <v/>
      </c>
      <c r="C41" s="21" t="n">
        <v>2025</v>
      </c>
      <c r="D41" s="20" t="inlineStr">
        <is>
          <t>Q1</t>
        </is>
      </c>
      <c r="E41" s="19" t="inlineStr">
        <is>
          <t>Transcript</t>
        </is>
      </c>
      <c r="F41" s="19" t="inlineStr">
        <is>
          <t>All</t>
        </is>
      </c>
      <c r="G41" s="20" t="inlineStr">
        <is>
          <t>Abdul</t>
        </is>
      </c>
      <c r="H41" s="20" t="inlineStr">
        <is>
          <t>Human</t>
        </is>
      </c>
      <c r="I41" s="127" t="n">
        <v>0.4</v>
      </c>
      <c r="J41" s="145">
        <f>IF(OR(I41="",Settings!$B$6=""),"",IF(I41&gt;Settings!$B$6,"BUY",IF(I41&lt;-Settings!$B$6,"SELL","HOLD")))</f>
        <v/>
      </c>
      <c r="K41" s="139" t="n">
        <v>60</v>
      </c>
      <c r="L41" s="123" t="n">
        <v>45762</v>
      </c>
      <c r="M41" s="123" t="n">
        <v>45762</v>
      </c>
      <c r="N41" s="127" t="n">
        <v>36.67</v>
      </c>
      <c r="O41" s="123" t="n">
        <v>45763</v>
      </c>
      <c r="P41" s="22" t="n">
        <v>37.99</v>
      </c>
      <c r="Q41" s="148">
        <f>IF(OR(N41="",P41=""),"",ROUND((P41-N41)/N41,4))</f>
        <v/>
      </c>
      <c r="R41" s="20">
        <f>IF(OR(N41="",P41=""),"",IF(Q41&gt;Settings!$B$3/100,"UP",IF(Q41&lt;-Settings!$B$3/100,"DOWN","FLAT")))</f>
        <v/>
      </c>
      <c r="S41" s="20">
        <f>IF(OR(N41="",P41="",J41=""),"",IF(OR(AND(J41="BUY",R41="UP"),AND(J41="SELL",R41="DOWN"),AND(J41="HOLD",R41="FLAT")),"YES","NO"))</f>
        <v/>
      </c>
      <c r="T41" s="21">
        <f>IF(J41="","",IF(J41="BUY",1,IF(J41="SELL",-1,0)))</f>
        <v/>
      </c>
      <c r="U41" s="148">
        <f>IFERROR(IF(OR(J41="",N41="",P41=""),"",IF(T41=0,0,T41*Q41-Settings!$B$4/10000-IF(T41&lt;0,Settings!$B$5/10000,0))),"")</f>
        <v/>
      </c>
      <c r="V41" s="23" t="n"/>
      <c r="W41" s="21">
        <f>IF($K41="","",$K41*60)</f>
        <v/>
      </c>
      <c r="X41" s="91">
        <f>IF($A41="","",$A41&amp;"|"&amp;$C41&amp;"|"&amp;$D41)</f>
        <v/>
      </c>
      <c r="Y41" s="91">
        <f>IFERROR(IF($X41="","",INDEX(LLM_Data_Entry!$H$3:$H$548,MATCH($X41,INDEX(LLM_Data_Entry!$A$3:$A$548&amp;"|"&amp;LLM_Data_Entry!$C$3:$C$548&amp;"|"&amp;LLM_Data_Entry!$D$3:$D$548,0),0))),"")</f>
        <v/>
      </c>
      <c r="Z41" s="91">
        <f>IFERROR(IF($X41="","",INDEX(LLM_Data_Entry!$R$3:$R$548,MATCH($X41,INDEX(LLM_Data_Entry!$A$3:$A$548&amp;"|"&amp;LLM_Data_Entry!$C$3:$C$548&amp;"|"&amp;LLM_Data_Entry!$D$3:$D$548,0),0))),"")</f>
        <v/>
      </c>
      <c r="AB41" t="inlineStr">
        <is>
          <t>price signal — only this window shows an abnormal move</t>
        </is>
      </c>
      <c r="AC41" t="inlineStr">
        <is>
          <t>BAC</t>
        </is>
      </c>
      <c r="AD41" t="inlineStr">
        <is>
          <t>2025-04-14</t>
        </is>
      </c>
      <c r="AE41" t="n">
        <v>35.678</v>
      </c>
      <c r="AF41" t="inlineStr">
        <is>
          <t>2025-04-15</t>
        </is>
      </c>
      <c r="AG41" t="n">
        <v>36.7774</v>
      </c>
      <c r="AH41" t="n">
        <v>0.03081528922337576</v>
      </c>
      <c r="AI41" t="inlineStr">
        <is>
          <t>UP</t>
        </is>
      </c>
      <c r="AJ41" t="inlineStr">
        <is>
          <t>YES</t>
        </is>
      </c>
      <c r="AK41" t="n">
        <v>0.029815</v>
      </c>
      <c r="AL41">
        <f>IF($A41="","",IFERROR(INDEX(Company_List!$G$3:$G$207,MATCH($A41,Company_List!$A$3:$A$207,0)),"unassigned"))</f>
        <v/>
      </c>
      <c r="AM41" t="inlineStr">
        <is>
          <t>Phase 2/bank of america/2025-Q1/BAC-2025-Q1-earnings-call-transcript-roic-ai.html</t>
        </is>
      </c>
      <c r="AN41" t="inlineStr">
        <is>
          <t>roic.ai API /v2/company/earnings-calls/transcript/BAC?year=2025&amp;quarter=1</t>
        </is>
      </c>
      <c r="AO41" t="inlineStr">
        <is>
          <t>manifest</t>
        </is>
      </c>
      <c r="AP41">
        <f>IF($A41="","",IF(COUNTIFS(LLM_Data_Entry!$A$3:$A$548,$A41)&gt;0,"YES","NO"))</f>
        <v/>
      </c>
      <c r="AQ41">
        <f>IF($A41="","",IF(COUNTIFS($A$3:$A41,$A41,$C$3:$C41,$C41,$D$3:$D41,$D41)=1,"YES","NO"))</f>
        <v/>
      </c>
      <c r="AR41">
        <f>IF($A41="","",IF(AND($C41&amp;"-"&amp;$D41&gt;=Settings!$B$19,$C41&amp;"-"&amp;$D41&lt;=Settings!$B$20),"IN","OUT"))</f>
        <v/>
      </c>
      <c r="AS41">
        <f>IF($A41="","",IF($F41="Financial Results","financials",IF($F41="Outlook/Guidance","guidance",IF($F41="Transcript Q&amp;A","qanda",IF($F41="","unrecorded",IF($E41="All","full",IF($E41="","unrecorded",LOWER($E41)&amp;" only")))))))</f>
        <v/>
      </c>
      <c r="AT41">
        <f>IF(AND(OR($J41="BUY",$J41="SELL"),ISNUMBER($U41)),$U41,"")</f>
        <v/>
      </c>
      <c r="AU41">
        <f>IF(AND(OR($J41="BUY",$J41="SELL"),ISNUMBER($AK41)),$AK41,"")</f>
        <v/>
      </c>
      <c r="AV41">
        <f>IF(ISNUMBER($AT41),ABS(IF(ISNUMBER($I41),$I41,0)-Settings!$B$24),"")</f>
        <v/>
      </c>
      <c r="AW41">
        <f>IF(ISNUMBER($AV41),$AV41*$AT41,"")</f>
        <v/>
      </c>
      <c r="AX41">
        <f>IF(ISNUMBER($AU41),ABS(IF(ISNUMBER($I41),$I41,0)-Settings!$B$24),"")</f>
        <v/>
      </c>
      <c r="AY41">
        <f>IF(ISNUMBER($AX41),$AX41*$AU41,"")</f>
        <v/>
      </c>
      <c r="AZ41">
        <f>IF($A41="","",IFERROR(INDEX(Company_List!$H$3:$H$207,MATCH($A41,Company_List!$A$3:$A$207,0)),"unassigned"))</f>
        <v/>
      </c>
      <c r="BC41">
        <f>IF($A41="","",IF(COUNTIFS($A$3:$A41,$A41,$C$3:$C41,$C41,$D$3:$D41,$D41,$G$3:$G41,$G41)=1,1,0))</f>
        <v/>
      </c>
      <c r="BG41" t="inlineStr">
        <is>
          <t>no</t>
        </is>
      </c>
      <c r="BK41">
        <f>IF(OR($H41&lt;&gt;"Human",$S41="",$J41="",$Y41="",$Z41=""),"",IF(EXACT(UPPER($J41),UPPER($Y41)),1,0))</f>
        <v/>
      </c>
      <c r="BL41" t="inlineStr">
        <is>
          <t>assumed - no rater record</t>
        </is>
      </c>
      <c r="BM41" t="n">
        <v>1</v>
      </c>
      <c r="BN41" t="inlineStr">
        <is>
          <t>not publisher-identified</t>
        </is>
      </c>
      <c r="BO41" t="inlineStr">
        <is>
          <t>not publisher-identified</t>
        </is>
      </c>
      <c r="BP41" t="inlineStr">
        <is>
          <t>no</t>
        </is>
      </c>
      <c r="BQ41" t="inlineStr">
        <is>
          <t>yes</t>
        </is>
      </c>
    </row>
    <row r="42" ht="16.35" customHeight="1">
      <c r="A42" s="95" t="inlineStr">
        <is>
          <t>Bank of America</t>
        </is>
      </c>
      <c r="B42" s="96">
        <f>IF(A42="","",_xlfn.XLOOKUP(A42, Company_List!$A:$A, Company_List!$B:$B, ""))</f>
        <v/>
      </c>
      <c r="C42" s="21" t="n">
        <v>2025</v>
      </c>
      <c r="D42" s="20" t="inlineStr">
        <is>
          <t>Q2</t>
        </is>
      </c>
      <c r="E42" s="19" t="inlineStr">
        <is>
          <t>Transcript</t>
        </is>
      </c>
      <c r="F42" s="19" t="inlineStr">
        <is>
          <t>All</t>
        </is>
      </c>
      <c r="G42" s="20" t="inlineStr">
        <is>
          <t>Abdul</t>
        </is>
      </c>
      <c r="H42" s="20" t="inlineStr">
        <is>
          <t>Human</t>
        </is>
      </c>
      <c r="I42" s="127" t="n">
        <v>0.6</v>
      </c>
      <c r="J42" s="145">
        <f>IF(OR(I42="",Settings!$B$6=""),"",IF(I42&gt;Settings!$B$6,"BUY",IF(I42&lt;-Settings!$B$6,"SELL","HOLD")))</f>
        <v/>
      </c>
      <c r="K42" s="139" t="n">
        <v>41</v>
      </c>
      <c r="L42" s="123" t="n">
        <v>45854</v>
      </c>
      <c r="M42" s="123" t="n">
        <v>45854</v>
      </c>
      <c r="N42" s="127" t="n">
        <v>46.15</v>
      </c>
      <c r="O42" s="123" t="n">
        <v>45855</v>
      </c>
      <c r="P42" s="22" t="n">
        <v>46.25</v>
      </c>
      <c r="Q42" s="148">
        <f>IF(OR(N42="",P42=""),"",ROUND((P42-N42)/N42,4))</f>
        <v/>
      </c>
      <c r="R42" s="20">
        <f>IF(OR(N42="",P42=""),"",IF(Q42&gt;Settings!$B$3/100,"UP",IF(Q42&lt;-Settings!$B$3/100,"DOWN","FLAT")))</f>
        <v/>
      </c>
      <c r="S42" s="20">
        <f>IF(OR(N42="",P42="",J42=""),"",IF(OR(AND(J42="BUY",R42="UP"),AND(J42="SELL",R42="DOWN"),AND(J42="HOLD",R42="FLAT")),"YES","NO"))</f>
        <v/>
      </c>
      <c r="T42" s="21">
        <f>IF(J42="","",IF(J42="BUY",1,IF(J42="SELL",-1,0)))</f>
        <v/>
      </c>
      <c r="U42" s="148">
        <f>IFERROR(IF(OR(J42="",N42="",P42=""),"",IF(T42=0,0,T42*Q42-Settings!$B$4/10000-IF(T42&lt;0,Settings!$B$5/10000,0))),"")</f>
        <v/>
      </c>
      <c r="V42" s="23" t="n"/>
      <c r="W42" s="21">
        <f>IF($K42="","",$K42*60)</f>
        <v/>
      </c>
      <c r="X42" s="91">
        <f>IF($A42="","",$A42&amp;"|"&amp;$C42&amp;"|"&amp;$D42)</f>
        <v/>
      </c>
      <c r="Y42" s="91">
        <f>IFERROR(IF($X42="","",INDEX(LLM_Data_Entry!$H$3:$H$548,MATCH($X42,INDEX(LLM_Data_Entry!$A$3:$A$548&amp;"|"&amp;LLM_Data_Entry!$C$3:$C$548&amp;"|"&amp;LLM_Data_Entry!$D$3:$D$548,0),0))),"")</f>
        <v/>
      </c>
      <c r="Z42" s="91">
        <f>IFERROR(IF($X42="","",INDEX(LLM_Data_Entry!$R$3:$R$548,MATCH($X42,INDEX(LLM_Data_Entry!$A$3:$A$548&amp;"|"&amp;LLM_Data_Entry!$C$3:$C$548&amp;"|"&amp;LLM_Data_Entry!$D$3:$D$548,0),0))),"")</f>
        <v/>
      </c>
      <c r="AB42" t="inlineStr">
        <is>
          <t>price signal</t>
        </is>
      </c>
      <c r="AC42" t="inlineStr">
        <is>
          <t>BAC</t>
        </is>
      </c>
      <c r="AD42" t="inlineStr">
        <is>
          <t>2025-07-14</t>
        </is>
      </c>
      <c r="AE42" t="n">
        <v>46.0665</v>
      </c>
      <c r="AF42" t="inlineStr">
        <is>
          <t>2025-07-15</t>
        </is>
      </c>
      <c r="AG42" t="n">
        <v>45.8806</v>
      </c>
      <c r="AH42" t="n">
        <v>-0.004036662747253092</v>
      </c>
      <c r="AI42" t="inlineStr">
        <is>
          <t>FLAT</t>
        </is>
      </c>
      <c r="AJ42" t="inlineStr">
        <is>
          <t>NO</t>
        </is>
      </c>
      <c r="AK42" t="n">
        <v>-0.005037</v>
      </c>
      <c r="AL42">
        <f>IF($A42="","",IFERROR(INDEX(Company_List!$G$3:$G$207,MATCH($A42,Company_List!$A$3:$A$207,0)),"unassigned"))</f>
        <v/>
      </c>
      <c r="AM42" t="inlineStr">
        <is>
          <t>Phase 2/bank of america/2025-Q2/BAC-2025-Q2-earnings-call-transcript-news-alphastreet-com.html</t>
        </is>
      </c>
      <c r="AN42" t="inlineStr">
        <is>
          <t>https://news.alphastreet.com/bank-of-america-corporation-bac-q2-2025-earnings-call-transcript/</t>
        </is>
      </c>
      <c r="AO42" t="inlineStr">
        <is>
          <t>manifest</t>
        </is>
      </c>
      <c r="AP42">
        <f>IF($A42="","",IF(COUNTIFS(LLM_Data_Entry!$A$3:$A$548,$A42)&gt;0,"YES","NO"))</f>
        <v/>
      </c>
      <c r="AQ42">
        <f>IF($A42="","",IF(COUNTIFS($A$3:$A42,$A42,$C$3:$C42,$C42,$D$3:$D42,$D42)=1,"YES","NO"))</f>
        <v/>
      </c>
      <c r="AR42">
        <f>IF($A42="","",IF(AND($C42&amp;"-"&amp;$D42&gt;=Settings!$B$19,$C42&amp;"-"&amp;$D42&lt;=Settings!$B$20),"IN","OUT"))</f>
        <v/>
      </c>
      <c r="AS42">
        <f>IF($A42="","",IF($F42="Financial Results","financials",IF($F42="Outlook/Guidance","guidance",IF($F42="Transcript Q&amp;A","qanda",IF($F42="","unrecorded",IF($E42="All","full",IF($E42="","unrecorded",LOWER($E42)&amp;" only")))))))</f>
        <v/>
      </c>
      <c r="AT42">
        <f>IF(AND(OR($J42="BUY",$J42="SELL"),ISNUMBER($U42)),$U42,"")</f>
        <v/>
      </c>
      <c r="AU42">
        <f>IF(AND(OR($J42="BUY",$J42="SELL"),ISNUMBER($AK42)),$AK42,"")</f>
        <v/>
      </c>
      <c r="AV42">
        <f>IF(ISNUMBER($AT42),ABS(IF(ISNUMBER($I42),$I42,0)-Settings!$B$24),"")</f>
        <v/>
      </c>
      <c r="AW42">
        <f>IF(ISNUMBER($AV42),$AV42*$AT42,"")</f>
        <v/>
      </c>
      <c r="AX42">
        <f>IF(ISNUMBER($AU42),ABS(IF(ISNUMBER($I42),$I42,0)-Settings!$B$24),"")</f>
        <v/>
      </c>
      <c r="AY42">
        <f>IF(ISNUMBER($AX42),$AX42*$AU42,"")</f>
        <v/>
      </c>
      <c r="AZ42">
        <f>IF($A42="","",IFERROR(INDEX(Company_List!$H$3:$H$207,MATCH($A42,Company_List!$A$3:$A$207,0)),"unassigned"))</f>
        <v/>
      </c>
      <c r="BC42">
        <f>IF($A42="","",IF(COUNTIFS($A$3:$A42,$A42,$C$3:$C42,$C42,$D$3:$D42,$D42,$G$3:$G42,$G42)=1,1,0))</f>
        <v/>
      </c>
      <c r="BG42" t="inlineStr">
        <is>
          <t>no</t>
        </is>
      </c>
      <c r="BK42">
        <f>IF(OR($H42&lt;&gt;"Human",$S42="",$J42="",$Y42="",$Z42=""),"",IF(EXACT(UPPER($J42),UPPER($Y42)),1,0))</f>
        <v/>
      </c>
      <c r="BL42" t="inlineStr">
        <is>
          <t>assumed - no rater record</t>
        </is>
      </c>
      <c r="BM42" t="n">
        <v>1</v>
      </c>
      <c r="BN42" t="inlineStr">
        <is>
          <t>not publisher-identified</t>
        </is>
      </c>
      <c r="BO42" t="inlineStr">
        <is>
          <t>not publisher-identified</t>
        </is>
      </c>
      <c r="BP42" t="inlineStr">
        <is>
          <t>no</t>
        </is>
      </c>
      <c r="BQ42" t="inlineStr">
        <is>
          <t>yes</t>
        </is>
      </c>
    </row>
    <row r="43" ht="16.35" customHeight="1">
      <c r="A43" s="95" t="inlineStr">
        <is>
          <t>Bank of America</t>
        </is>
      </c>
      <c r="B43" s="96">
        <f>IF(A43="","",_xlfn.XLOOKUP(A43, Company_List!$A:$A, Company_List!$B:$B, ""))</f>
        <v/>
      </c>
      <c r="C43" s="21" t="n">
        <v>2025</v>
      </c>
      <c r="D43" s="20" t="inlineStr">
        <is>
          <t>Q3</t>
        </is>
      </c>
      <c r="E43" s="19" t="inlineStr">
        <is>
          <t>Transcript</t>
        </is>
      </c>
      <c r="F43" s="19" t="inlineStr">
        <is>
          <t>All</t>
        </is>
      </c>
      <c r="G43" s="20" t="inlineStr">
        <is>
          <t>Abdul</t>
        </is>
      </c>
      <c r="H43" s="20" t="inlineStr">
        <is>
          <t>Human</t>
        </is>
      </c>
      <c r="I43" s="127" t="n">
        <v>0.7</v>
      </c>
      <c r="J43" s="145">
        <f>IF(OR(I43="",Settings!$B$6=""),"",IF(I43&gt;Settings!$B$6,"BUY",IF(I43&lt;-Settings!$B$6,"SELL","HOLD")))</f>
        <v/>
      </c>
      <c r="K43" s="139" t="n">
        <v>75</v>
      </c>
      <c r="L43" s="123" t="n">
        <v>45945</v>
      </c>
      <c r="M43" s="123" t="n">
        <v>45945</v>
      </c>
      <c r="N43" s="127" t="n">
        <v>50.09</v>
      </c>
      <c r="O43" s="123" t="n">
        <v>45946</v>
      </c>
      <c r="P43" s="22" t="n">
        <v>51.57</v>
      </c>
      <c r="Q43" s="148">
        <f>IF(OR(N43="",P43=""),"",ROUND((P43-N43)/N43,4))</f>
        <v/>
      </c>
      <c r="R43" s="20">
        <f>IF(OR(N43="",P43=""),"",IF(Q43&gt;Settings!$B$3/100,"UP",IF(Q43&lt;-Settings!$B$3/100,"DOWN","FLAT")))</f>
        <v/>
      </c>
      <c r="S43" s="20">
        <f>IF(OR(N43="",P43="",J43=""),"",IF(OR(AND(J43="BUY",R43="UP"),AND(J43="SELL",R43="DOWN"),AND(J43="HOLD",R43="FLAT")),"YES","NO"))</f>
        <v/>
      </c>
      <c r="T43" s="21">
        <f>IF(J43="","",IF(J43="BUY",1,IF(J43="SELL",-1,0)))</f>
        <v/>
      </c>
      <c r="U43" s="148">
        <f>IFERROR(IF(OR(J43="",N43="",P43=""),"",IF(T43=0,0,T43*Q43-Settings!$B$4/10000-IF(T43&lt;0,Settings!$B$5/10000,0))),"")</f>
        <v/>
      </c>
      <c r="V43" s="23" t="inlineStr">
        <is>
          <t xml:space="preserve"> </t>
        </is>
      </c>
      <c r="W43" s="21">
        <f>IF($K43="","",$K43*60)</f>
        <v/>
      </c>
      <c r="X43" s="91">
        <f>IF($A43="","",$A43&amp;"|"&amp;$C43&amp;"|"&amp;$D43)</f>
        <v/>
      </c>
      <c r="Y43" s="91">
        <f>IFERROR(IF($X43="","",INDEX(LLM_Data_Entry!$H$3:$H$548,MATCH($X43,INDEX(LLM_Data_Entry!$A$3:$A$548&amp;"|"&amp;LLM_Data_Entry!$C$3:$C$548&amp;"|"&amp;LLM_Data_Entry!$D$3:$D$548,0),0))),"")</f>
        <v/>
      </c>
      <c r="Z43" s="91">
        <f>IFERROR(IF($X43="","",INDEX(LLM_Data_Entry!$R$3:$R$548,MATCH($X43,INDEX(LLM_Data_Entry!$A$3:$A$548&amp;"|"&amp;LLM_Data_Entry!$C$3:$C$548&amp;"|"&amp;LLM_Data_Entry!$D$3:$D$548,0),0))),"")</f>
        <v/>
      </c>
      <c r="AB43" t="inlineStr">
        <is>
          <t>price signal — both moved; this one dominates</t>
        </is>
      </c>
      <c r="AC43" t="inlineStr">
        <is>
          <t>BAC</t>
        </is>
      </c>
      <c r="AD43" t="inlineStr">
        <is>
          <t>2025-10-14</t>
        </is>
      </c>
      <c r="AE43" t="n">
        <v>49.2948</v>
      </c>
      <c r="AF43" t="inlineStr">
        <is>
          <t>2025-10-15</t>
        </is>
      </c>
      <c r="AG43" t="n">
        <v>50.7513</v>
      </c>
      <c r="AH43" t="n">
        <v>0.02954688252887193</v>
      </c>
      <c r="AI43" t="inlineStr">
        <is>
          <t>UP</t>
        </is>
      </c>
      <c r="AJ43" t="inlineStr">
        <is>
          <t>YES</t>
        </is>
      </c>
      <c r="AK43" t="n">
        <v>0.028547</v>
      </c>
      <c r="AL43">
        <f>IF($A43="","",IFERROR(INDEX(Company_List!$G$3:$G$207,MATCH($A43,Company_List!$A$3:$A$207,0)),"unassigned"))</f>
        <v/>
      </c>
      <c r="AM43" t="inlineStr">
        <is>
          <t>Phase 2/bank of america/2025-Q3/BAC-2025-Q3-earnings-call-transcript-news-alphastreet-com.html</t>
        </is>
      </c>
      <c r="AN43" t="inlineStr">
        <is>
          <t>https://news.alphastreet.com/bank-of-america-corporation-bac-q3-2025-earnings-call-transcript/</t>
        </is>
      </c>
      <c r="AO43" t="inlineStr">
        <is>
          <t>manifest</t>
        </is>
      </c>
      <c r="AP43">
        <f>IF($A43="","",IF(COUNTIFS(LLM_Data_Entry!$A$3:$A$548,$A43)&gt;0,"YES","NO"))</f>
        <v/>
      </c>
      <c r="AQ43">
        <f>IF($A43="","",IF(COUNTIFS($A$3:$A43,$A43,$C$3:$C43,$C43,$D$3:$D43,$D43)=1,"YES","NO"))</f>
        <v/>
      </c>
      <c r="AR43">
        <f>IF($A43="","",IF(AND($C43&amp;"-"&amp;$D43&gt;=Settings!$B$19,$C43&amp;"-"&amp;$D43&lt;=Settings!$B$20),"IN","OUT"))</f>
        <v/>
      </c>
      <c r="AS43">
        <f>IF($A43="","",IF($F43="Financial Results","financials",IF($F43="Outlook/Guidance","guidance",IF($F43="Transcript Q&amp;A","qanda",IF($F43="","unrecorded",IF($E43="All","full",IF($E43="","unrecorded",LOWER($E43)&amp;" only")))))))</f>
        <v/>
      </c>
      <c r="AT43">
        <f>IF(AND(OR($J43="BUY",$J43="SELL"),ISNUMBER($U43)),$U43,"")</f>
        <v/>
      </c>
      <c r="AU43">
        <f>IF(AND(OR($J43="BUY",$J43="SELL"),ISNUMBER($AK43)),$AK43,"")</f>
        <v/>
      </c>
      <c r="AV43">
        <f>IF(ISNUMBER($AT43),ABS(IF(ISNUMBER($I43),$I43,0)-Settings!$B$24),"")</f>
        <v/>
      </c>
      <c r="AW43">
        <f>IF(ISNUMBER($AV43),$AV43*$AT43,"")</f>
        <v/>
      </c>
      <c r="AX43">
        <f>IF(ISNUMBER($AU43),ABS(IF(ISNUMBER($I43),$I43,0)-Settings!$B$24),"")</f>
        <v/>
      </c>
      <c r="AY43">
        <f>IF(ISNUMBER($AX43),$AX43*$AU43,"")</f>
        <v/>
      </c>
      <c r="AZ43">
        <f>IF($A43="","",IFERROR(INDEX(Company_List!$H$3:$H$207,MATCH($A43,Company_List!$A$3:$A$207,0)),"unassigned"))</f>
        <v/>
      </c>
      <c r="BC43">
        <f>IF($A43="","",IF(COUNTIFS($A$3:$A43,$A43,$C$3:$C43,$C43,$D$3:$D43,$D43,$G$3:$G43,$G43)=1,1,0))</f>
        <v/>
      </c>
      <c r="BG43" t="inlineStr">
        <is>
          <t>no</t>
        </is>
      </c>
      <c r="BK43">
        <f>IF(OR($H43&lt;&gt;"Human",$S43="",$J43="",$Y43="",$Z43=""),"",IF(EXACT(UPPER($J43),UPPER($Y43)),1,0))</f>
        <v/>
      </c>
      <c r="BL43" t="inlineStr">
        <is>
          <t>assumed - no rater record</t>
        </is>
      </c>
      <c r="BM43" t="n">
        <v>1</v>
      </c>
      <c r="BN43" t="inlineStr">
        <is>
          <t>not publisher-identified</t>
        </is>
      </c>
      <c r="BO43" t="inlineStr">
        <is>
          <t>not publisher-identified</t>
        </is>
      </c>
      <c r="BP43" t="inlineStr">
        <is>
          <t>no</t>
        </is>
      </c>
      <c r="BQ43" t="inlineStr">
        <is>
          <t>yes</t>
        </is>
      </c>
    </row>
    <row r="44" ht="16.35" customHeight="1">
      <c r="A44" s="95" t="inlineStr">
        <is>
          <t>Bank of America</t>
        </is>
      </c>
      <c r="B44" s="96">
        <f>IF(A44="","",_xlfn.XLOOKUP(A44, Company_List!$A:$A, Company_List!$B:$B, ""))</f>
        <v/>
      </c>
      <c r="C44" s="21" t="n">
        <v>2025</v>
      </c>
      <c r="D44" s="20" t="inlineStr">
        <is>
          <t>Q4</t>
        </is>
      </c>
      <c r="E44" s="19" t="inlineStr">
        <is>
          <t>Transcript</t>
        </is>
      </c>
      <c r="F44" s="19" t="inlineStr">
        <is>
          <t>All</t>
        </is>
      </c>
      <c r="G44" s="20" t="inlineStr">
        <is>
          <t>Abdul</t>
        </is>
      </c>
      <c r="H44" s="20" t="inlineStr">
        <is>
          <t>Human</t>
        </is>
      </c>
      <c r="I44" s="127" t="n">
        <v>0.1</v>
      </c>
      <c r="J44" s="145">
        <f>IF(OR(I44="",Settings!$B$6=""),"",IF(I44&gt;Settings!$B$6,"BUY",IF(I44&lt;-Settings!$B$6,"SELL","HOLD")))</f>
        <v/>
      </c>
      <c r="K44" s="139" t="n">
        <v>55</v>
      </c>
      <c r="L44" s="123" t="n">
        <v>46036</v>
      </c>
      <c r="M44" s="123" t="n">
        <v>46036</v>
      </c>
      <c r="N44" s="127" t="n">
        <v>54.54</v>
      </c>
      <c r="O44" s="123" t="n">
        <v>46037</v>
      </c>
      <c r="P44" s="22" t="n">
        <v>52.88</v>
      </c>
      <c r="Q44" s="148">
        <f>IF(OR(N44="",P44=""),"",ROUND((P44-N44)/N44,4))</f>
        <v/>
      </c>
      <c r="R44" s="20">
        <f>IF(OR(N44="",P44=""),"",IF(Q44&gt;Settings!$B$3/100,"UP",IF(Q44&lt;-Settings!$B$3/100,"DOWN","FLAT")))</f>
        <v/>
      </c>
      <c r="S44" s="20">
        <f>IF(OR(N44="",P44="",J44=""),"",IF(OR(AND(J44="BUY",R44="UP"),AND(J44="SELL",R44="DOWN"),AND(J44="HOLD",R44="FLAT")),"YES","NO"))</f>
        <v/>
      </c>
      <c r="T44" s="21">
        <f>IF(J44="","",IF(J44="BUY",1,IF(J44="SELL",-1,0)))</f>
        <v/>
      </c>
      <c r="U44" s="148">
        <f>IFERROR(IF(OR(J44="",N44="",P44=""),"",IF(T44=0,0,T44*Q44-Settings!$B$4/10000-IF(T44&lt;0,Settings!$B$5/10000,0))),"")</f>
        <v/>
      </c>
      <c r="V44" s="23" t="inlineStr">
        <is>
          <t xml:space="preserve"> </t>
        </is>
      </c>
      <c r="W44" s="21">
        <f>IF($K44="","",$K44*60)</f>
        <v/>
      </c>
      <c r="X44" s="91">
        <f>IF($A44="","",$A44&amp;"|"&amp;$C44&amp;"|"&amp;$D44)</f>
        <v/>
      </c>
      <c r="Y44" s="91">
        <f>IFERROR(IF($X44="","",INDEX(LLM_Data_Entry!$H$3:$H$548,MATCH($X44,INDEX(LLM_Data_Entry!$A$3:$A$548&amp;"|"&amp;LLM_Data_Entry!$C$3:$C$548&amp;"|"&amp;LLM_Data_Entry!$D$3:$D$548,0),0))),"")</f>
        <v/>
      </c>
      <c r="Z44" s="91">
        <f>IFERROR(IF($X44="","",INDEX(LLM_Data_Entry!$R$3:$R$548,MATCH($X44,INDEX(LLM_Data_Entry!$A$3:$A$548&amp;"|"&amp;LLM_Data_Entry!$C$3:$C$548&amp;"|"&amp;LLM_Data_Entry!$D$3:$D$548,0),0))),"")</f>
        <v/>
      </c>
      <c r="AB44" t="inlineStr">
        <is>
          <t>price signal — only this window shows an abnormal move</t>
        </is>
      </c>
      <c r="AC44" t="inlineStr">
        <is>
          <t>BAC</t>
        </is>
      </c>
      <c r="AD44" t="inlineStr">
        <is>
          <t>2026-01-13</t>
        </is>
      </c>
      <c r="AE44" t="n">
        <v>53.9531</v>
      </c>
      <c r="AF44" t="inlineStr">
        <is>
          <t>2026-01-14</t>
        </is>
      </c>
      <c r="AG44" t="n">
        <v>52.3109</v>
      </c>
      <c r="AH44" t="n">
        <v>-0.03043632344136009</v>
      </c>
      <c r="AI44" t="inlineStr">
        <is>
          <t>DOWN</t>
        </is>
      </c>
      <c r="AJ44" t="inlineStr">
        <is>
          <t>NO</t>
        </is>
      </c>
      <c r="AK44" t="n">
        <v>0</v>
      </c>
      <c r="AL44">
        <f>IF($A44="","",IFERROR(INDEX(Company_List!$G$3:$G$207,MATCH($A44,Company_List!$A$3:$A$207,0)),"unassigned"))</f>
        <v/>
      </c>
      <c r="AM44" t="inlineStr">
        <is>
          <t>Phase 2/bank of america/2025-Q4/BAC-2025-Q4-earnings-call-transcript-news-alphastreet-com.html</t>
        </is>
      </c>
      <c r="AN44" t="inlineStr">
        <is>
          <t>https://news.alphastreet.com/bank-of-america-corporation-bac-q4-2025-earnings-call-transcript/</t>
        </is>
      </c>
      <c r="AO44" t="inlineStr">
        <is>
          <t>manifest</t>
        </is>
      </c>
      <c r="AP44">
        <f>IF($A44="","",IF(COUNTIFS(LLM_Data_Entry!$A$3:$A$548,$A44)&gt;0,"YES","NO"))</f>
        <v/>
      </c>
      <c r="AQ44">
        <f>IF($A44="","",IF(COUNTIFS($A$3:$A44,$A44,$C$3:$C44,$C44,$D$3:$D44,$D44)=1,"YES","NO"))</f>
        <v/>
      </c>
      <c r="AR44">
        <f>IF($A44="","",IF(AND($C44&amp;"-"&amp;$D44&gt;=Settings!$B$19,$C44&amp;"-"&amp;$D44&lt;=Settings!$B$20),"IN","OUT"))</f>
        <v/>
      </c>
      <c r="AS44">
        <f>IF($A44="","",IF($F44="Financial Results","financials",IF($F44="Outlook/Guidance","guidance",IF($F44="Transcript Q&amp;A","qanda",IF($F44="","unrecorded",IF($E44="All","full",IF($E44="","unrecorded",LOWER($E44)&amp;" only")))))))</f>
        <v/>
      </c>
      <c r="AT44">
        <f>IF(AND(OR($J44="BUY",$J44="SELL"),ISNUMBER($U44)),$U44,"")</f>
        <v/>
      </c>
      <c r="AU44">
        <f>IF(AND(OR($J44="BUY",$J44="SELL"),ISNUMBER($AK44)),$AK44,"")</f>
        <v/>
      </c>
      <c r="AV44">
        <f>IF(ISNUMBER($AT44),ABS(IF(ISNUMBER($I44),$I44,0)-Settings!$B$24),"")</f>
        <v/>
      </c>
      <c r="AW44">
        <f>IF(ISNUMBER($AV44),$AV44*$AT44,"")</f>
        <v/>
      </c>
      <c r="AX44">
        <f>IF(ISNUMBER($AU44),ABS(IF(ISNUMBER($I44),$I44,0)-Settings!$B$24),"")</f>
        <v/>
      </c>
      <c r="AY44">
        <f>IF(ISNUMBER($AX44),$AX44*$AU44,"")</f>
        <v/>
      </c>
      <c r="AZ44">
        <f>IF($A44="","",IFERROR(INDEX(Company_List!$H$3:$H$207,MATCH($A44,Company_List!$A$3:$A$207,0)),"unassigned"))</f>
        <v/>
      </c>
      <c r="BC44">
        <f>IF($A44="","",IF(COUNTIFS($A$3:$A44,$A44,$C$3:$C44,$C44,$D$3:$D44,$D44,$G$3:$G44,$G44)=1,1,0))</f>
        <v/>
      </c>
      <c r="BG44" t="inlineStr">
        <is>
          <t>no</t>
        </is>
      </c>
      <c r="BK44">
        <f>IF(OR($H44&lt;&gt;"Human",$S44="",$J44="",$Y44="",$Z44=""),"",IF(EXACT(UPPER($J44),UPPER($Y44)),1,0))</f>
        <v/>
      </c>
      <c r="BL44" t="inlineStr">
        <is>
          <t>assumed - no rater record</t>
        </is>
      </c>
      <c r="BM44" t="n">
        <v>1</v>
      </c>
      <c r="BN44" t="inlineStr">
        <is>
          <t>not publisher-identified</t>
        </is>
      </c>
      <c r="BO44" t="inlineStr">
        <is>
          <t>not publisher-identified</t>
        </is>
      </c>
      <c r="BP44" t="inlineStr">
        <is>
          <t>no</t>
        </is>
      </c>
      <c r="BQ44" t="inlineStr">
        <is>
          <t>yes</t>
        </is>
      </c>
    </row>
    <row r="45" ht="16.35" customHeight="1">
      <c r="A45" s="95" t="inlineStr">
        <is>
          <t>AMD</t>
        </is>
      </c>
      <c r="B45" s="96">
        <f>IF(A45="","",_xlfn.XLOOKUP(A45, Company_List!$A:$A, Company_List!$B:$B, ""))</f>
        <v/>
      </c>
      <c r="C45" s="21" t="n">
        <v>2026</v>
      </c>
      <c r="D45" s="20" t="inlineStr">
        <is>
          <t>Q1</t>
        </is>
      </c>
      <c r="E45" s="19" t="inlineStr">
        <is>
          <t>All</t>
        </is>
      </c>
      <c r="F45" s="19" t="inlineStr">
        <is>
          <t>All</t>
        </is>
      </c>
      <c r="G45" s="20" t="inlineStr">
        <is>
          <t>David</t>
        </is>
      </c>
      <c r="H45" s="20" t="inlineStr">
        <is>
          <t>Human</t>
        </is>
      </c>
      <c r="I45" s="127" t="n">
        <v>0.8</v>
      </c>
      <c r="J45" s="145">
        <f>IF(OR(I45="",Settings!$B$6=""),"",IF(I45&gt;Settings!$B$6,"BUY",IF(I45&lt;-Settings!$B$6,"SELL","HOLD")))</f>
        <v/>
      </c>
      <c r="K45" s="139" t="n">
        <v>51</v>
      </c>
      <c r="L45" s="123" t="n">
        <v>46147</v>
      </c>
      <c r="M45" s="123" t="n">
        <v>46147</v>
      </c>
      <c r="N45" s="127" t="n">
        <v>355.26</v>
      </c>
      <c r="O45" s="123" t="n">
        <v>46148</v>
      </c>
      <c r="P45" s="22" t="n">
        <v>409.49</v>
      </c>
      <c r="Q45" s="148">
        <f>IF(OR(N45="",P45=""),"",ROUND((P45-N45)/N45,4))</f>
        <v/>
      </c>
      <c r="R45" s="20">
        <f>IF(OR(N45="",P45=""),"",IF(Q45&gt;Settings!$B$3/100,"UP",IF(Q45&lt;-Settings!$B$3/100,"DOWN","FLAT")))</f>
        <v/>
      </c>
      <c r="S45" s="20">
        <f>IF(OR(N45="",P45="",J45=""),"",IF(OR(AND(J45="BUY",R45="UP"),AND(J45="SELL",R45="DOWN"),AND(J45="HOLD",R45="FLAT")),"YES","NO"))</f>
        <v/>
      </c>
      <c r="T45" s="21">
        <f>IF(J45="","",IF(J45="BUY",1,IF(J45="SELL",-1,0)))</f>
        <v/>
      </c>
      <c r="U45" s="148">
        <f>IFERROR(IF(OR(J45="",N45="",P45=""),"",IF(T45=0,0,T45*Q45-Settings!$B$4/10000-IF(T45&lt;0,Settings!$B$5/10000,0))),"")</f>
        <v/>
      </c>
      <c r="V45" s="23" t="n"/>
      <c r="W45" s="21">
        <f>IF($K45="","",$K45*60)</f>
        <v/>
      </c>
      <c r="X45" s="91">
        <f>IF($A45="","",$A45&amp;"|"&amp;$C45&amp;"|"&amp;$D45)</f>
        <v/>
      </c>
      <c r="Y45" s="91">
        <f>IFERROR(IF($X45="","",INDEX(LLM_Data_Entry!$H$3:$H$548,MATCH($X45,INDEX(LLM_Data_Entry!$A$3:$A$548&amp;"|"&amp;LLM_Data_Entry!$C$3:$C$548&amp;"|"&amp;LLM_Data_Entry!$D$3:$D$548,0),0))),"")</f>
        <v/>
      </c>
      <c r="Z45" s="91">
        <f>IFERROR(IF($X45="","",INDEX(LLM_Data_Entry!$R$3:$R$548,MATCH($X45,INDEX(LLM_Data_Entry!$A$3:$A$548&amp;"|"&amp;LLM_Data_Entry!$C$3:$C$548&amp;"|"&amp;LLM_Data_Entry!$D$3:$D$548,0),0))),"")</f>
        <v/>
      </c>
      <c r="AB45" t="inlineStr">
        <is>
          <t>release date + stated time in the document (rater worksheet)</t>
        </is>
      </c>
      <c r="AC45" t="inlineStr">
        <is>
          <t>AMD</t>
        </is>
      </c>
      <c r="AD45" t="inlineStr">
        <is>
          <t>2026-05-05</t>
        </is>
      </c>
      <c r="AE45" t="n">
        <v>355.26</v>
      </c>
      <c r="AF45" t="inlineStr">
        <is>
          <t>2026-05-06</t>
        </is>
      </c>
      <c r="AG45" t="n">
        <v>409.49</v>
      </c>
      <c r="AH45" t="n">
        <v>0.1526487036916989</v>
      </c>
      <c r="AI45" t="inlineStr">
        <is>
          <t>UP</t>
        </is>
      </c>
      <c r="AJ45" t="inlineStr">
        <is>
          <t>YES</t>
        </is>
      </c>
      <c r="AK45" t="n">
        <v>0.151649</v>
      </c>
      <c r="AL45">
        <f>IF($A45="","",IFERROR(INDEX(Company_List!$G$3:$G$207,MATCH($A45,Company_List!$A$3:$A$207,0)),"unassigned"))</f>
        <v/>
      </c>
      <c r="AM45" t="inlineStr">
        <is>
          <t>Phase 2/AMD/2026-Q1/AMD-2026-Q1-press-release-SEC-EX-99-1.htm</t>
        </is>
      </c>
      <c r="AN45" t="inlineStr">
        <is>
          <t>https://www.sec.gov/Archives/edgar/data/2488/000000248826000072/q12026991.htm</t>
        </is>
      </c>
      <c r="AO45" t="inlineStr">
        <is>
          <t>manifest</t>
        </is>
      </c>
      <c r="AP45">
        <f>IF($A45="","",IF(COUNTIFS(LLM_Data_Entry!$A$3:$A$548,$A45)&gt;0,"YES","NO"))</f>
        <v/>
      </c>
      <c r="AQ45">
        <f>IF($A45="","",IF(COUNTIFS($A$3:$A45,$A45,$C$3:$C45,$C45,$D$3:$D45,$D45)=1,"YES","NO"))</f>
        <v/>
      </c>
      <c r="AR45">
        <f>IF($A45="","",IF(AND($C45&amp;"-"&amp;$D45&gt;=Settings!$B$19,$C45&amp;"-"&amp;$D45&lt;=Settings!$B$20),"IN","OUT"))</f>
        <v/>
      </c>
      <c r="AS45">
        <f>IF($A45="","",IF($F45="Financial Results","financials",IF($F45="Outlook/Guidance","guidance",IF($F45="Transcript Q&amp;A","qanda",IF($F45="","unrecorded",IF($E45="All","full",IF($E45="","unrecorded",LOWER($E45)&amp;" only")))))))</f>
        <v/>
      </c>
      <c r="AT45">
        <f>IF(AND(OR($J45="BUY",$J45="SELL"),ISNUMBER($U45)),$U45,"")</f>
        <v/>
      </c>
      <c r="AU45">
        <f>IF(AND(OR($J45="BUY",$J45="SELL"),ISNUMBER($AK45)),$AK45,"")</f>
        <v/>
      </c>
      <c r="AV45">
        <f>IF(ISNUMBER($AT45),ABS(IF(ISNUMBER($I45),$I45,0)-Settings!$B$24),"")</f>
        <v/>
      </c>
      <c r="AW45">
        <f>IF(ISNUMBER($AV45),$AV45*$AT45,"")</f>
        <v/>
      </c>
      <c r="AX45">
        <f>IF(ISNUMBER($AU45),ABS(IF(ISNUMBER($I45),$I45,0)-Settings!$B$24),"")</f>
        <v/>
      </c>
      <c r="AY45">
        <f>IF(ISNUMBER($AX45),$AX45*$AU45,"")</f>
        <v/>
      </c>
      <c r="AZ45">
        <f>IF($A45="","",IFERROR(INDEX(Company_List!$H$3:$H$207,MATCH($A45,Company_List!$A$3:$A$207,0)),"unassigned"))</f>
        <v/>
      </c>
      <c r="BC45">
        <f>IF($A45="","",IF(COUNTIFS($A$3:$A45,$A45,$C$3:$C45,$C45,$D$3:$D45,$D45,$G$3:$G45,$G45)=1,1,0))</f>
        <v/>
      </c>
      <c r="BG45" t="inlineStr">
        <is>
          <t>no</t>
        </is>
      </c>
      <c r="BK45">
        <f>IF(OR($H45&lt;&gt;"Human",$S45="",$J45="",$Y45="",$Z45=""),"",IF(EXACT(UPPER($J45),UPPER($Y45)),1,0))</f>
        <v/>
      </c>
      <c r="BL45" t="inlineStr">
        <is>
          <t>assumed - no rater record</t>
        </is>
      </c>
      <c r="BM45" t="n">
        <v>1</v>
      </c>
      <c r="BN45" t="inlineStr">
        <is>
          <t>not publisher-identified</t>
        </is>
      </c>
      <c r="BO45" t="inlineStr">
        <is>
          <t>not publisher-identified</t>
        </is>
      </c>
      <c r="BP45" t="inlineStr">
        <is>
          <t>no</t>
        </is>
      </c>
      <c r="BQ45" t="inlineStr">
        <is>
          <t>yes</t>
        </is>
      </c>
      <c r="BR45" t="inlineStr">
        <is>
          <t>filled 11 Aug 2026 from the corpus manifest: the company-quarter holds exactly one document and the manifest carries its release date</t>
        </is>
      </c>
    </row>
    <row r="46" ht="16.35" customHeight="1">
      <c r="A46" s="95" t="inlineStr">
        <is>
          <t>AMD</t>
        </is>
      </c>
      <c r="B46" s="96">
        <f>IF(A46="","",_xlfn.XLOOKUP(A46, Company_List!$A:$A, Company_List!$B:$B, ""))</f>
        <v/>
      </c>
      <c r="C46" s="21" t="n">
        <v>2025</v>
      </c>
      <c r="D46" s="20" t="inlineStr">
        <is>
          <t>Q2</t>
        </is>
      </c>
      <c r="E46" s="19" t="inlineStr">
        <is>
          <t>All</t>
        </is>
      </c>
      <c r="F46" s="19" t="inlineStr">
        <is>
          <t>All</t>
        </is>
      </c>
      <c r="G46" s="20" t="inlineStr">
        <is>
          <t>David</t>
        </is>
      </c>
      <c r="H46" s="20" t="inlineStr">
        <is>
          <t>Human</t>
        </is>
      </c>
      <c r="I46" s="127" t="n">
        <v>0.65</v>
      </c>
      <c r="J46" s="145">
        <f>IF(OR(I46="",Settings!$B$6=""),"",IF(I46&gt;Settings!$B$6,"BUY",IF(I46&lt;-Settings!$B$6,"SELL","HOLD")))</f>
        <v/>
      </c>
      <c r="K46" s="139" t="n">
        <v>44</v>
      </c>
      <c r="L46" s="123" t="n">
        <v>45874</v>
      </c>
      <c r="M46" s="123" t="n">
        <v>45874</v>
      </c>
      <c r="N46" s="127" t="n">
        <v>174.31</v>
      </c>
      <c r="O46" s="123" t="n">
        <v>45875</v>
      </c>
      <c r="P46" s="22" t="n">
        <v>165.05</v>
      </c>
      <c r="Q46" s="148">
        <f>IF(OR(N46="",P46=""),"",ROUND((P46-N46)/N46,4))</f>
        <v/>
      </c>
      <c r="R46" s="20">
        <f>IF(OR(N46="",P46=""),"",IF(Q46&gt;Settings!$B$3/100,"UP",IF(Q46&lt;-Settings!$B$3/100,"DOWN","FLAT")))</f>
        <v/>
      </c>
      <c r="S46" s="20">
        <f>IF(OR(N46="",P46="",J46=""),"",IF(OR(AND(J46="BUY",R46="UP"),AND(J46="SELL",R46="DOWN"),AND(J46="HOLD",R46="FLAT")),"YES","NO"))</f>
        <v/>
      </c>
      <c r="T46" s="21">
        <f>IF(J46="","",IF(J46="BUY",1,IF(J46="SELL",-1,0)))</f>
        <v/>
      </c>
      <c r="U46" s="148">
        <f>IFERROR(IF(OR(J46="",N46="",P46=""),"",IF(T46=0,0,T46*Q46-Settings!$B$4/10000-IF(T46&lt;0,Settings!$B$5/10000,0))),"")</f>
        <v/>
      </c>
      <c r="V46" s="23" t="n"/>
      <c r="W46" s="21">
        <f>IF($K46="","",$K46*60)</f>
        <v/>
      </c>
      <c r="X46" s="91">
        <f>IF($A46="","",$A46&amp;"|"&amp;$C46&amp;"|"&amp;$D46)</f>
        <v/>
      </c>
      <c r="Y46" s="91">
        <f>IFERROR(IF($X46="","",INDEX(LLM_Data_Entry!$H$3:$H$548,MATCH($X46,INDEX(LLM_Data_Entry!$A$3:$A$548&amp;"|"&amp;LLM_Data_Entry!$C$3:$C$548&amp;"|"&amp;LLM_Data_Entry!$D$3:$D$548,0),0))),"")</f>
        <v/>
      </c>
      <c r="Z46" s="91">
        <f>IFERROR(IF($X46="","",INDEX(LLM_Data_Entry!$R$3:$R$548,MATCH($X46,INDEX(LLM_Data_Entry!$A$3:$A$548&amp;"|"&amp;LLM_Data_Entry!$C$3:$C$548&amp;"|"&amp;LLM_Data_Entry!$D$3:$D$548,0),0))),"")</f>
        <v/>
      </c>
      <c r="AB46" t="inlineStr">
        <is>
          <t>release date + stated time in the document (rater worksheet)</t>
        </is>
      </c>
      <c r="AC46" t="inlineStr">
        <is>
          <t>AMD</t>
        </is>
      </c>
      <c r="AD46" t="inlineStr">
        <is>
          <t>2025-08-05</t>
        </is>
      </c>
      <c r="AE46" t="n">
        <v>174.31</v>
      </c>
      <c r="AF46" t="inlineStr">
        <is>
          <t>2025-08-06</t>
        </is>
      </c>
      <c r="AG46" t="n">
        <v>165.05</v>
      </c>
      <c r="AH46" t="n">
        <v>-0.05312371697692294</v>
      </c>
      <c r="AI46" t="inlineStr">
        <is>
          <t>DOWN</t>
        </is>
      </c>
      <c r="AJ46" t="inlineStr">
        <is>
          <t>NO</t>
        </is>
      </c>
      <c r="AK46" t="n">
        <v>-0.054124</v>
      </c>
      <c r="AL46">
        <f>IF($A46="","",IFERROR(INDEX(Company_List!$G$3:$G$207,MATCH($A46,Company_List!$A$3:$A$207,0)),"unassigned"))</f>
        <v/>
      </c>
      <c r="AM46" t="inlineStr">
        <is>
          <t>Phase 2/AMD/2025-Q2/AMD-2025-Q2-press-release-SEC-EX-99-1.htm</t>
        </is>
      </c>
      <c r="AN46" t="inlineStr">
        <is>
          <t>https://www.sec.gov/Archives/edgar/data/2488/000000248825000106/q22025991.htm</t>
        </is>
      </c>
      <c r="AO46" t="inlineStr">
        <is>
          <t>manifest</t>
        </is>
      </c>
      <c r="AP46">
        <f>IF($A46="","",IF(COUNTIFS(LLM_Data_Entry!$A$3:$A$548,$A46)&gt;0,"YES","NO"))</f>
        <v/>
      </c>
      <c r="AQ46">
        <f>IF($A46="","",IF(COUNTIFS($A$3:$A46,$A46,$C$3:$C46,$C46,$D$3:$D46,$D46)=1,"YES","NO"))</f>
        <v/>
      </c>
      <c r="AR46">
        <f>IF($A46="","",IF(AND($C46&amp;"-"&amp;$D46&gt;=Settings!$B$19,$C46&amp;"-"&amp;$D46&lt;=Settings!$B$20),"IN","OUT"))</f>
        <v/>
      </c>
      <c r="AS46">
        <f>IF($A46="","",IF($F46="Financial Results","financials",IF($F46="Outlook/Guidance","guidance",IF($F46="Transcript Q&amp;A","qanda",IF($F46="","unrecorded",IF($E46="All","full",IF($E46="","unrecorded",LOWER($E46)&amp;" only")))))))</f>
        <v/>
      </c>
      <c r="AT46">
        <f>IF(AND(OR($J46="BUY",$J46="SELL"),ISNUMBER($U46)),$U46,"")</f>
        <v/>
      </c>
      <c r="AU46">
        <f>IF(AND(OR($J46="BUY",$J46="SELL"),ISNUMBER($AK46)),$AK46,"")</f>
        <v/>
      </c>
      <c r="AV46">
        <f>IF(ISNUMBER($AT46),ABS(IF(ISNUMBER($I46),$I46,0)-Settings!$B$24),"")</f>
        <v/>
      </c>
      <c r="AW46">
        <f>IF(ISNUMBER($AV46),$AV46*$AT46,"")</f>
        <v/>
      </c>
      <c r="AX46">
        <f>IF(ISNUMBER($AU46),ABS(IF(ISNUMBER($I46),$I46,0)-Settings!$B$24),"")</f>
        <v/>
      </c>
      <c r="AY46">
        <f>IF(ISNUMBER($AX46),$AX46*$AU46,"")</f>
        <v/>
      </c>
      <c r="AZ46">
        <f>IF($A46="","",IFERROR(INDEX(Company_List!$H$3:$H$207,MATCH($A46,Company_List!$A$3:$A$207,0)),"unassigned"))</f>
        <v/>
      </c>
      <c r="BC46">
        <f>IF($A46="","",IF(COUNTIFS($A$3:$A46,$A46,$C$3:$C46,$C46,$D$3:$D46,$D46,$G$3:$G46,$G46)=1,1,0))</f>
        <v/>
      </c>
      <c r="BG46" t="inlineStr">
        <is>
          <t>no</t>
        </is>
      </c>
      <c r="BK46">
        <f>IF(OR($H46&lt;&gt;"Human",$S46="",$J46="",$Y46="",$Z46=""),"",IF(EXACT(UPPER($J46),UPPER($Y46)),1,0))</f>
        <v/>
      </c>
      <c r="BL46" t="inlineStr">
        <is>
          <t>assumed - no rater record</t>
        </is>
      </c>
      <c r="BM46" t="n">
        <v>1</v>
      </c>
      <c r="BN46" t="inlineStr">
        <is>
          <t>not publisher-identified</t>
        </is>
      </c>
      <c r="BO46" t="inlineStr">
        <is>
          <t>not publisher-identified</t>
        </is>
      </c>
      <c r="BP46" t="inlineStr">
        <is>
          <t>no</t>
        </is>
      </c>
      <c r="BQ46" t="inlineStr">
        <is>
          <t>yes</t>
        </is>
      </c>
      <c r="BR46" t="inlineStr">
        <is>
          <t>filled 11 Aug 2026 from the corpus manifest: the company-quarter holds exactly one document and the manifest carries its release date</t>
        </is>
      </c>
    </row>
    <row r="47" ht="16.35" customHeight="1">
      <c r="A47" s="95" t="inlineStr">
        <is>
          <t>AMD</t>
        </is>
      </c>
      <c r="B47" s="96">
        <f>IF(A47="","",_xlfn.XLOOKUP(A47, Company_List!$A:$A, Company_List!$B:$B, ""))</f>
        <v/>
      </c>
      <c r="C47" s="21" t="n">
        <v>2025</v>
      </c>
      <c r="D47" s="20" t="inlineStr">
        <is>
          <t>Q4</t>
        </is>
      </c>
      <c r="E47" s="19" t="inlineStr">
        <is>
          <t>All</t>
        </is>
      </c>
      <c r="F47" s="19" t="inlineStr">
        <is>
          <t>All</t>
        </is>
      </c>
      <c r="G47" s="20" t="inlineStr">
        <is>
          <t>David</t>
        </is>
      </c>
      <c r="H47" s="20" t="inlineStr">
        <is>
          <t>Human</t>
        </is>
      </c>
      <c r="I47" s="127" t="n">
        <v>0.75</v>
      </c>
      <c r="J47" s="145">
        <f>IF(OR(I47="",Settings!$B$6=""),"",IF(I47&gt;Settings!$B$6,"BUY",IF(I47&lt;-Settings!$B$6,"SELL","HOLD")))</f>
        <v/>
      </c>
      <c r="K47" s="139" t="n">
        <v>55</v>
      </c>
      <c r="L47" s="123" t="n">
        <v>46056</v>
      </c>
      <c r="M47" s="123" t="n">
        <v>46056</v>
      </c>
      <c r="N47" s="127" t="n">
        <v>242.11</v>
      </c>
      <c r="O47" s="123" t="n">
        <v>46057</v>
      </c>
      <c r="P47" s="22" t="n">
        <v>215</v>
      </c>
      <c r="Q47" s="148">
        <f>IF(OR(N47="",P47=""),"",ROUND((P47-N47)/N47,4))</f>
        <v/>
      </c>
      <c r="R47" s="20">
        <f>IF(OR(N47="",P47=""),"",IF(Q47&gt;Settings!$B$3/100,"UP",IF(Q47&lt;-Settings!$B$3/100,"DOWN","FLAT")))</f>
        <v/>
      </c>
      <c r="S47" s="20">
        <f>IF(OR(N47="",P47="",J47=""),"",IF(OR(AND(J47="BUY",R47="UP"),AND(J47="SELL",R47="DOWN"),AND(J47="HOLD",R47="FLAT")),"YES","NO"))</f>
        <v/>
      </c>
      <c r="T47" s="21">
        <f>IF(J47="","",IF(J47="BUY",1,IF(J47="SELL",-1,0)))</f>
        <v/>
      </c>
      <c r="U47" s="148">
        <f>IFERROR(IF(OR(J47="",N47="",P47=""),"",IF(T47=0,0,T47*Q47-Settings!$B$4/10000-IF(T47&lt;0,Settings!$B$5/10000,0))),"")</f>
        <v/>
      </c>
      <c r="V47" s="23" t="n"/>
      <c r="W47" s="21">
        <f>IF($K47="","",$K47*60)</f>
        <v/>
      </c>
      <c r="X47" s="91">
        <f>IF($A47="","",$A47&amp;"|"&amp;$C47&amp;"|"&amp;$D47)</f>
        <v/>
      </c>
      <c r="Y47" s="91">
        <f>IFERROR(IF($X47="","",INDEX(LLM_Data_Entry!$H$3:$H$548,MATCH($X47,INDEX(LLM_Data_Entry!$A$3:$A$548&amp;"|"&amp;LLM_Data_Entry!$C$3:$C$548&amp;"|"&amp;LLM_Data_Entry!$D$3:$D$548,0),0))),"")</f>
        <v/>
      </c>
      <c r="Z47" s="91">
        <f>IFERROR(IF($X47="","",INDEX(LLM_Data_Entry!$R$3:$R$548,MATCH($X47,INDEX(LLM_Data_Entry!$A$3:$A$548&amp;"|"&amp;LLM_Data_Entry!$C$3:$C$548&amp;"|"&amp;LLM_Data_Entry!$D$3:$D$548,0),0))),"")</f>
        <v/>
      </c>
      <c r="AB47" t="inlineStr">
        <is>
          <t>release date + stated time in the document (rater worksheet)</t>
        </is>
      </c>
      <c r="AC47" t="inlineStr">
        <is>
          <t>AMD</t>
        </is>
      </c>
      <c r="AD47" t="inlineStr">
        <is>
          <t>2026-02-03</t>
        </is>
      </c>
      <c r="AE47" t="n">
        <v>242.11</v>
      </c>
      <c r="AF47" t="inlineStr">
        <is>
          <t>2026-02-04</t>
        </is>
      </c>
      <c r="AG47" t="n">
        <v>215</v>
      </c>
      <c r="AH47" t="n">
        <v>-0.1119738998307633</v>
      </c>
      <c r="AI47" t="inlineStr">
        <is>
          <t>DOWN</t>
        </is>
      </c>
      <c r="AJ47" t="inlineStr">
        <is>
          <t>NO</t>
        </is>
      </c>
      <c r="AK47" t="n">
        <v>-0.112974</v>
      </c>
      <c r="AL47">
        <f>IF($A47="","",IFERROR(INDEX(Company_List!$G$3:$G$207,MATCH($A47,Company_List!$A$3:$A$207,0)),"unassigned"))</f>
        <v/>
      </c>
      <c r="AM47" t="inlineStr">
        <is>
          <t>Phase 2/AMD/2025-Q4/AMD-2025-Q4-press-release-SEC-EX-99-1.htm</t>
        </is>
      </c>
      <c r="AN47" t="inlineStr">
        <is>
          <t>https://www.sec.gov/Archives/edgar/data/2488/000000248826000014/q42025991.htm</t>
        </is>
      </c>
      <c r="AO47" t="inlineStr">
        <is>
          <t>manifest</t>
        </is>
      </c>
      <c r="AP47">
        <f>IF($A47="","",IF(COUNTIFS(LLM_Data_Entry!$A$3:$A$548,$A47)&gt;0,"YES","NO"))</f>
        <v/>
      </c>
      <c r="AQ47">
        <f>IF($A47="","",IF(COUNTIFS($A$3:$A47,$A47,$C$3:$C47,$C47,$D$3:$D47,$D47)=1,"YES","NO"))</f>
        <v/>
      </c>
      <c r="AR47">
        <f>IF($A47="","",IF(AND($C47&amp;"-"&amp;$D47&gt;=Settings!$B$19,$C47&amp;"-"&amp;$D47&lt;=Settings!$B$20),"IN","OUT"))</f>
        <v/>
      </c>
      <c r="AS47">
        <f>IF($A47="","",IF($F47="Financial Results","financials",IF($F47="Outlook/Guidance","guidance",IF($F47="Transcript Q&amp;A","qanda",IF($F47="","unrecorded",IF($E47="All","full",IF($E47="","unrecorded",LOWER($E47)&amp;" only")))))))</f>
        <v/>
      </c>
      <c r="AT47">
        <f>IF(AND(OR($J47="BUY",$J47="SELL"),ISNUMBER($U47)),$U47,"")</f>
        <v/>
      </c>
      <c r="AU47">
        <f>IF(AND(OR($J47="BUY",$J47="SELL"),ISNUMBER($AK47)),$AK47,"")</f>
        <v/>
      </c>
      <c r="AV47">
        <f>IF(ISNUMBER($AT47),ABS(IF(ISNUMBER($I47),$I47,0)-Settings!$B$24),"")</f>
        <v/>
      </c>
      <c r="AW47">
        <f>IF(ISNUMBER($AV47),$AV47*$AT47,"")</f>
        <v/>
      </c>
      <c r="AX47">
        <f>IF(ISNUMBER($AU47),ABS(IF(ISNUMBER($I47),$I47,0)-Settings!$B$24),"")</f>
        <v/>
      </c>
      <c r="AY47">
        <f>IF(ISNUMBER($AX47),$AX47*$AU47,"")</f>
        <v/>
      </c>
      <c r="AZ47">
        <f>IF($A47="","",IFERROR(INDEX(Company_List!$H$3:$H$207,MATCH($A47,Company_List!$A$3:$A$207,0)),"unassigned"))</f>
        <v/>
      </c>
      <c r="BC47">
        <f>IF($A47="","",IF(COUNTIFS($A$3:$A47,$A47,$C$3:$C47,$C47,$D$3:$D47,$D47,$G$3:$G47,$G47)=1,1,0))</f>
        <v/>
      </c>
      <c r="BG47" t="inlineStr">
        <is>
          <t>no</t>
        </is>
      </c>
      <c r="BK47">
        <f>IF(OR($H47&lt;&gt;"Human",$S47="",$J47="",$Y47="",$Z47=""),"",IF(EXACT(UPPER($J47),UPPER($Y47)),1,0))</f>
        <v/>
      </c>
      <c r="BL47" t="inlineStr">
        <is>
          <t>assumed - no rater record</t>
        </is>
      </c>
      <c r="BM47" t="n">
        <v>1</v>
      </c>
      <c r="BN47" t="inlineStr">
        <is>
          <t>not publisher-identified</t>
        </is>
      </c>
      <c r="BO47" t="inlineStr">
        <is>
          <t>not publisher-identified</t>
        </is>
      </c>
      <c r="BP47" t="inlineStr">
        <is>
          <t>no</t>
        </is>
      </c>
      <c r="BQ47" t="inlineStr">
        <is>
          <t>yes</t>
        </is>
      </c>
      <c r="BR47" t="inlineStr">
        <is>
          <t>filled 11 Aug 2026 from the corpus manifest: the company-quarter holds exactly one document and the manifest carries its release date</t>
        </is>
      </c>
    </row>
    <row r="48" ht="16.35" customHeight="1">
      <c r="A48" s="95" t="inlineStr">
        <is>
          <t>Airbnb</t>
        </is>
      </c>
      <c r="B48" s="96">
        <f>IF(A48="","",_xlfn.XLOOKUP(A48, Company_List!$A:$A, Company_List!$B:$B, ""))</f>
        <v/>
      </c>
      <c r="C48" s="21" t="n">
        <v>2025</v>
      </c>
      <c r="D48" s="20" t="inlineStr">
        <is>
          <t>Q2</t>
        </is>
      </c>
      <c r="E48" s="19" t="inlineStr">
        <is>
          <t>Transcript</t>
        </is>
      </c>
      <c r="F48" s="19" t="inlineStr">
        <is>
          <t>All</t>
        </is>
      </c>
      <c r="G48" s="20" t="inlineStr">
        <is>
          <t>Anna</t>
        </is>
      </c>
      <c r="H48" s="20" t="inlineStr">
        <is>
          <t>Human</t>
        </is>
      </c>
      <c r="I48" s="127" t="n">
        <v>0.6</v>
      </c>
      <c r="J48" s="145">
        <f>IF(OR(I48="",Settings!$B$6=""),"",IF(I48&gt;Settings!$B$6,"BUY",IF(I48&lt;-Settings!$B$6,"SELL","HOLD")))</f>
        <v/>
      </c>
      <c r="K48" s="139" t="n">
        <v>30</v>
      </c>
      <c r="L48" s="123" t="n">
        <v>45875</v>
      </c>
      <c r="M48" s="123" t="n">
        <v>45875</v>
      </c>
      <c r="N48" s="127" t="n">
        <v>111.42</v>
      </c>
      <c r="O48" s="123" t="n">
        <v>45876</v>
      </c>
      <c r="P48" s="22" t="n">
        <v>104.4</v>
      </c>
      <c r="Q48" s="148">
        <f>IF(OR(N48="",P48=""),"",ROUND((P48-N48)/N48,4))</f>
        <v/>
      </c>
      <c r="R48" s="20">
        <f>IF(OR(N48="",P48=""),"",IF(Q48&gt;Settings!$B$3/100,"UP",IF(Q48&lt;-Settings!$B$3/100,"DOWN","FLAT")))</f>
        <v/>
      </c>
      <c r="S48" s="20">
        <f>IF(OR(N48="",P48="",J48=""),"",IF(OR(AND(J48="BUY",R48="UP"),AND(J48="SELL",R48="DOWN"),AND(J48="HOLD",R48="FLAT")),"YES","NO"))</f>
        <v/>
      </c>
      <c r="T48" s="21">
        <f>IF(J48="","",IF(J48="BUY",1,IF(J48="SELL",-1,0)))</f>
        <v/>
      </c>
      <c r="U48" s="148">
        <f>IFERROR(IF(OR(J48="",N48="",P48=""),"",IF(T48=0,0,T48*Q48-Settings!$B$4/10000-IF(T48&lt;0,Settings!$B$5/10000,0))),"")</f>
        <v/>
      </c>
      <c r="V48" s="23" t="n"/>
      <c r="W48" s="21">
        <f>IF($K48="","",$K48*60)</f>
        <v/>
      </c>
      <c r="X48" s="91">
        <f>IF($A48="","",$A48&amp;"|"&amp;$C48&amp;"|"&amp;$D48)</f>
        <v/>
      </c>
      <c r="Y48" s="91">
        <f>IFERROR(IF($X48="","",INDEX(LLM_Data_Entry!$H$3:$H$548,MATCH($X48,INDEX(LLM_Data_Entry!$A$3:$A$548&amp;"|"&amp;LLM_Data_Entry!$C$3:$C$548&amp;"|"&amp;LLM_Data_Entry!$D$3:$D$548,0),0))),"")</f>
        <v/>
      </c>
      <c r="Z48" s="91">
        <f>IFERROR(IF($X48="","",INDEX(LLM_Data_Entry!$R$3:$R$548,MATCH($X48,INDEX(LLM_Data_Entry!$A$3:$A$548&amp;"|"&amp;LLM_Data_Entry!$C$3:$C$548&amp;"|"&amp;LLM_Data_Entry!$D$3:$D$548,0),0))),"")</f>
        <v/>
      </c>
      <c r="AB48" t="inlineStr">
        <is>
          <t>price signal — only this window shows an abnormal move</t>
        </is>
      </c>
      <c r="AC48" t="inlineStr">
        <is>
          <t>ABNB</t>
        </is>
      </c>
      <c r="AD48" t="inlineStr">
        <is>
          <t>2025-08-06</t>
        </is>
      </c>
      <c r="AE48" t="n">
        <v>130.5</v>
      </c>
      <c r="AF48" t="inlineStr">
        <is>
          <t>2025-08-07</t>
        </is>
      </c>
      <c r="AG48" t="n">
        <v>120.38</v>
      </c>
      <c r="AH48" t="n">
        <v>-0.07754791570881224</v>
      </c>
      <c r="AI48" t="inlineStr">
        <is>
          <t>DOWN</t>
        </is>
      </c>
      <c r="AJ48" t="inlineStr">
        <is>
          <t>NO</t>
        </is>
      </c>
      <c r="AK48" t="n">
        <v>-0.07854800000000001</v>
      </c>
      <c r="AL48">
        <f>IF($A48="","",IFERROR(INDEX(Company_List!$G$3:$G$207,MATCH($A48,Company_List!$A$3:$A$207,0)),"unassigned"))</f>
        <v/>
      </c>
      <c r="AM48" t="inlineStr">
        <is>
          <t>Phase 2/Airbnb/Airbnb-Q2-25-Earnings-Call-Transcript.pdf</t>
        </is>
      </c>
      <c r="AO48" t="inlineStr">
        <is>
          <t>unique filename match</t>
        </is>
      </c>
      <c r="AP48">
        <f>IF($A48="","",IF(COUNTIFS(LLM_Data_Entry!$A$3:$A$548,$A48)&gt;0,"YES","NO"))</f>
        <v/>
      </c>
      <c r="AQ48">
        <f>IF($A48="","",IF(COUNTIFS($A$3:$A48,$A48,$C$3:$C48,$C48,$D$3:$D48,$D48)=1,"YES","NO"))</f>
        <v/>
      </c>
      <c r="AR48">
        <f>IF($A48="","",IF(AND($C48&amp;"-"&amp;$D48&gt;=Settings!$B$19,$C48&amp;"-"&amp;$D48&lt;=Settings!$B$20),"IN","OUT"))</f>
        <v/>
      </c>
      <c r="AS48">
        <f>IF($A48="","",IF($F48="Financial Results","financials",IF($F48="Outlook/Guidance","guidance",IF($F48="Transcript Q&amp;A","qanda",IF($F48="","unrecorded",IF($E48="All","full",IF($E48="","unrecorded",LOWER($E48)&amp;" only")))))))</f>
        <v/>
      </c>
      <c r="AT48">
        <f>IF(AND(OR($J48="BUY",$J48="SELL"),ISNUMBER($U48)),$U48,"")</f>
        <v/>
      </c>
      <c r="AU48">
        <f>IF(AND(OR($J48="BUY",$J48="SELL"),ISNUMBER($AK48)),$AK48,"")</f>
        <v/>
      </c>
      <c r="AV48">
        <f>IF(ISNUMBER($AT48),ABS(IF(ISNUMBER($I48),$I48,0)-Settings!$B$24),"")</f>
        <v/>
      </c>
      <c r="AW48">
        <f>IF(ISNUMBER($AV48),$AV48*$AT48,"")</f>
        <v/>
      </c>
      <c r="AX48">
        <f>IF(ISNUMBER($AU48),ABS(IF(ISNUMBER($I48),$I48,0)-Settings!$B$24),"")</f>
        <v/>
      </c>
      <c r="AY48">
        <f>IF(ISNUMBER($AX48),$AX48*$AU48,"")</f>
        <v/>
      </c>
      <c r="AZ48">
        <f>IF($A48="","",IFERROR(INDEX(Company_List!$H$3:$H$207,MATCH($A48,Company_List!$A$3:$A$207,0)),"unassigned"))</f>
        <v/>
      </c>
      <c r="BC48">
        <f>IF($A48="","",IF(COUNTIFS($A$3:$A48,$A48,$C$3:$C48,$C48,$D$3:$D48,$D48,$G$3:$G48,$G48)=1,1,0))</f>
        <v/>
      </c>
      <c r="BG48" t="inlineStr">
        <is>
          <t>no</t>
        </is>
      </c>
      <c r="BK48">
        <f>IF(OR($H48&lt;&gt;"Human",$S48="",$J48="",$Y48="",$Z48=""),"",IF(EXACT(UPPER($J48),UPPER($Y48)),1,0))</f>
        <v/>
      </c>
      <c r="BL48" t="inlineStr">
        <is>
          <t>assumed - no rater record</t>
        </is>
      </c>
      <c r="BM48" t="n">
        <v>1</v>
      </c>
      <c r="BN48" t="inlineStr">
        <is>
          <t>FactSet CallStreet</t>
        </is>
      </c>
      <c r="BO48" t="inlineStr">
        <is>
          <t>licensed vendor</t>
        </is>
      </c>
      <c r="BP48" t="inlineStr">
        <is>
          <t>no</t>
        </is>
      </c>
      <c r="BQ48" t="inlineStr">
        <is>
          <t>no</t>
        </is>
      </c>
    </row>
    <row r="49" ht="16.35" customHeight="1">
      <c r="A49" s="95" t="inlineStr">
        <is>
          <t>Airbnb</t>
        </is>
      </c>
      <c r="B49" s="96">
        <f>IF(A49="","",_xlfn.XLOOKUP(A49, Company_List!$A:$A, Company_List!$B:$B, ""))</f>
        <v/>
      </c>
      <c r="C49" s="21" t="n">
        <v>2025</v>
      </c>
      <c r="D49" s="20" t="inlineStr">
        <is>
          <t>Q3</t>
        </is>
      </c>
      <c r="E49" s="19" t="inlineStr">
        <is>
          <t>Transcript</t>
        </is>
      </c>
      <c r="F49" s="19" t="inlineStr">
        <is>
          <t>All</t>
        </is>
      </c>
      <c r="G49" s="20" t="inlineStr">
        <is>
          <t>Anna</t>
        </is>
      </c>
      <c r="H49" s="20" t="inlineStr">
        <is>
          <t>Human</t>
        </is>
      </c>
      <c r="I49" s="127" t="n">
        <v>0.4</v>
      </c>
      <c r="J49" s="145">
        <f>IF(OR(I49="",Settings!$B$6=""),"",IF(I49&gt;Settings!$B$6,"BUY",IF(I49&lt;-Settings!$B$6,"SELL","HOLD")))</f>
        <v/>
      </c>
      <c r="K49" s="139" t="n">
        <v>31</v>
      </c>
      <c r="L49" s="123" t="n">
        <v>45967</v>
      </c>
      <c r="M49" s="123" t="n">
        <v>45967</v>
      </c>
      <c r="N49" s="127" t="n">
        <v>104.48</v>
      </c>
      <c r="O49" s="123" t="n">
        <v>45968</v>
      </c>
      <c r="P49" s="22" t="n">
        <v>109.5</v>
      </c>
      <c r="Q49" s="148">
        <f>IF(OR(N49="",P49=""),"",ROUND((P49-N49)/N49,4))</f>
        <v/>
      </c>
      <c r="R49" s="20">
        <f>IF(OR(N49="",P49=""),"",IF(Q49&gt;Settings!$B$3/100,"UP",IF(Q49&lt;-Settings!$B$3/100,"DOWN","FLAT")))</f>
        <v/>
      </c>
      <c r="S49" s="20">
        <f>IF(OR(N49="",P49="",J49=""),"",IF(OR(AND(J49="BUY",R49="UP"),AND(J49="SELL",R49="DOWN"),AND(J49="HOLD",R49="FLAT")),"YES","NO"))</f>
        <v/>
      </c>
      <c r="T49" s="21">
        <f>IF(J49="","",IF(J49="BUY",1,IF(J49="SELL",-1,0)))</f>
        <v/>
      </c>
      <c r="U49" s="148">
        <f>IFERROR(IF(OR(J49="",N49="",P49=""),"",IF(T49=0,0,T49*Q49-Settings!$B$4/10000-IF(T49&lt;0,Settings!$B$5/10000,0))),"")</f>
        <v/>
      </c>
      <c r="V49" s="23" t="n"/>
      <c r="W49" s="21">
        <f>IF($K49="","",$K49*60)</f>
        <v/>
      </c>
      <c r="X49" s="91">
        <f>IF($A49="","",$A49&amp;"|"&amp;$C49&amp;"|"&amp;$D49)</f>
        <v/>
      </c>
      <c r="Y49" s="91">
        <f>IFERROR(IF($X49="","",INDEX(LLM_Data_Entry!$H$3:$H$548,MATCH($X49,INDEX(LLM_Data_Entry!$A$3:$A$548&amp;"|"&amp;LLM_Data_Entry!$C$3:$C$548&amp;"|"&amp;LLM_Data_Entry!$D$3:$D$548,0),0))),"")</f>
        <v/>
      </c>
      <c r="Z49" s="91">
        <f>IFERROR(IF($X49="","",INDEX(LLM_Data_Entry!$R$3:$R$548,MATCH($X49,INDEX(LLM_Data_Entry!$A$3:$A$548&amp;"|"&amp;LLM_Data_Entry!$C$3:$C$548&amp;"|"&amp;LLM_Data_Entry!$D$3:$D$548,0),0))),"")</f>
        <v/>
      </c>
      <c r="AB49" t="inlineStr">
        <is>
          <t>price signal — only this window shows an abnormal move</t>
        </is>
      </c>
      <c r="AC49" t="inlineStr">
        <is>
          <t>ABNB</t>
        </is>
      </c>
      <c r="AD49" t="inlineStr">
        <is>
          <t>2025-11-06</t>
        </is>
      </c>
      <c r="AE49" t="n">
        <v>120.53</v>
      </c>
      <c r="AF49" t="inlineStr">
        <is>
          <t>2025-11-07</t>
        </is>
      </c>
      <c r="AG49" t="n">
        <v>125.495</v>
      </c>
      <c r="AH49" t="n">
        <v>0.04119309749600174</v>
      </c>
      <c r="AI49" t="inlineStr">
        <is>
          <t>UP</t>
        </is>
      </c>
      <c r="AJ49" t="inlineStr">
        <is>
          <t>YES</t>
        </is>
      </c>
      <c r="AK49" t="n">
        <v>0.040193</v>
      </c>
      <c r="AL49">
        <f>IF($A49="","",IFERROR(INDEX(Company_List!$G$3:$G$207,MATCH($A49,Company_List!$A$3:$A$207,0)),"unassigned"))</f>
        <v/>
      </c>
      <c r="AM49" t="inlineStr">
        <is>
          <t>Phase 2/Airbnb/Airbnb-Q3-2025-Earnings-Call-6-November-2025-5_00-PM-ET.pdf</t>
        </is>
      </c>
      <c r="AO49" t="inlineStr">
        <is>
          <t>unique filename match</t>
        </is>
      </c>
      <c r="AP49">
        <f>IF($A49="","",IF(COUNTIFS(LLM_Data_Entry!$A$3:$A$548,$A49)&gt;0,"YES","NO"))</f>
        <v/>
      </c>
      <c r="AQ49">
        <f>IF($A49="","",IF(COUNTIFS($A$3:$A49,$A49,$C$3:$C49,$C49,$D$3:$D49,$D49)=1,"YES","NO"))</f>
        <v/>
      </c>
      <c r="AR49">
        <f>IF($A49="","",IF(AND($C49&amp;"-"&amp;$D49&gt;=Settings!$B$19,$C49&amp;"-"&amp;$D49&lt;=Settings!$B$20),"IN","OUT"))</f>
        <v/>
      </c>
      <c r="AS49">
        <f>IF($A49="","",IF($F49="Financial Results","financials",IF($F49="Outlook/Guidance","guidance",IF($F49="Transcript Q&amp;A","qanda",IF($F49="","unrecorded",IF($E49="All","full",IF($E49="","unrecorded",LOWER($E49)&amp;" only")))))))</f>
        <v/>
      </c>
      <c r="AT49">
        <f>IF(AND(OR($J49="BUY",$J49="SELL"),ISNUMBER($U49)),$U49,"")</f>
        <v/>
      </c>
      <c r="AU49">
        <f>IF(AND(OR($J49="BUY",$J49="SELL"),ISNUMBER($AK49)),$AK49,"")</f>
        <v/>
      </c>
      <c r="AV49">
        <f>IF(ISNUMBER($AT49),ABS(IF(ISNUMBER($I49),$I49,0)-Settings!$B$24),"")</f>
        <v/>
      </c>
      <c r="AW49">
        <f>IF(ISNUMBER($AV49),$AV49*$AT49,"")</f>
        <v/>
      </c>
      <c r="AX49">
        <f>IF(ISNUMBER($AU49),ABS(IF(ISNUMBER($I49),$I49,0)-Settings!$B$24),"")</f>
        <v/>
      </c>
      <c r="AY49">
        <f>IF(ISNUMBER($AX49),$AX49*$AU49,"")</f>
        <v/>
      </c>
      <c r="AZ49">
        <f>IF($A49="","",IFERROR(INDEX(Company_List!$H$3:$H$207,MATCH($A49,Company_List!$A$3:$A$207,0)),"unassigned"))</f>
        <v/>
      </c>
      <c r="BC49">
        <f>IF($A49="","",IF(COUNTIFS($A$3:$A49,$A49,$C$3:$C49,$C49,$D$3:$D49,$D49,$G$3:$G49,$G49)=1,1,0))</f>
        <v/>
      </c>
      <c r="BG49" t="inlineStr">
        <is>
          <t>no</t>
        </is>
      </c>
      <c r="BK49">
        <f>IF(OR($H49&lt;&gt;"Human",$S49="",$J49="",$Y49="",$Z49=""),"",IF(EXACT(UPPER($J49),UPPER($Y49)),1,0))</f>
        <v/>
      </c>
      <c r="BL49" t="inlineStr">
        <is>
          <t>assumed - no rater record</t>
        </is>
      </c>
      <c r="BM49" t="n">
        <v>1</v>
      </c>
      <c r="BN49" t="inlineStr">
        <is>
          <t>FactSet CallStreet</t>
        </is>
      </c>
      <c r="BO49" t="inlineStr">
        <is>
          <t>licensed vendor</t>
        </is>
      </c>
      <c r="BP49" t="inlineStr">
        <is>
          <t>no</t>
        </is>
      </c>
      <c r="BQ49" t="inlineStr">
        <is>
          <t>no</t>
        </is>
      </c>
    </row>
    <row r="50" ht="16.35" customHeight="1">
      <c r="A50" s="95" t="inlineStr">
        <is>
          <t>JPMorgan</t>
        </is>
      </c>
      <c r="B50" s="96">
        <f>IF(A50="","",_xlfn.XLOOKUP(A50, Company_List!$A:$A, Company_List!$B:$B, ""))</f>
        <v/>
      </c>
      <c r="C50" s="21" t="n">
        <v>2025</v>
      </c>
      <c r="D50" s="20" t="inlineStr">
        <is>
          <t>Q1</t>
        </is>
      </c>
      <c r="E50" s="19" t="inlineStr">
        <is>
          <t>All</t>
        </is>
      </c>
      <c r="F50" s="19" t="inlineStr">
        <is>
          <t>All</t>
        </is>
      </c>
      <c r="G50" s="20" t="inlineStr">
        <is>
          <t>Nigel</t>
        </is>
      </c>
      <c r="H50" s="20" t="inlineStr">
        <is>
          <t>Human</t>
        </is>
      </c>
      <c r="I50" s="127" t="n">
        <v>0.2</v>
      </c>
      <c r="J50" s="145">
        <f>IF(OR(I50="",Settings!$B$6=""),"",IF(I50&gt;Settings!$B$6,"BUY",IF(I50&lt;-Settings!$B$6,"SELL","HOLD")))</f>
        <v/>
      </c>
      <c r="K50" s="139" t="n">
        <v>32</v>
      </c>
      <c r="L50" s="123" t="n">
        <v>45758</v>
      </c>
      <c r="M50" s="123" t="n">
        <v>45758</v>
      </c>
      <c r="N50" s="127" t="n">
        <v>236.2</v>
      </c>
      <c r="O50" s="123" t="n">
        <v>45761</v>
      </c>
      <c r="P50" s="22" t="n">
        <v>237.1</v>
      </c>
      <c r="Q50" s="148">
        <f>IF(OR(N50="",P50=""),"",ROUND((P50-N50)/N50,4))</f>
        <v/>
      </c>
      <c r="R50" s="20">
        <f>IF(OR(N50="",P50=""),"",IF(Q50&gt;Settings!$B$3/100,"UP",IF(Q50&lt;-Settings!$B$3/100,"DOWN","FLAT")))</f>
        <v/>
      </c>
      <c r="S50" s="20">
        <f>IF(OR(N50="",P50="",J50=""),"",IF(OR(AND(J50="BUY",R50="UP"),AND(J50="SELL",R50="DOWN"),AND(J50="HOLD",R50="FLAT")),"YES","NO"))</f>
        <v/>
      </c>
      <c r="T50" s="21">
        <f>IF(J50="","",IF(J50="BUY",1,IF(J50="SELL",-1,0)))</f>
        <v/>
      </c>
      <c r="U50" s="148">
        <f>IFERROR(IF(OR(J50="",N50="",P50=""),"",IF(T50=0,0,T50*Q50-Settings!$B$4/10000-IF(T50&lt;0,Settings!$B$5/10000,0))),"")</f>
        <v/>
      </c>
      <c r="V50" s="23" t="n"/>
      <c r="W50" s="21">
        <f>IF($K50="","",$K50*60)</f>
        <v/>
      </c>
      <c r="X50" s="91">
        <f>IF($A50="","",$A50&amp;"|"&amp;$C50&amp;"|"&amp;$D50)</f>
        <v/>
      </c>
      <c r="Y50" s="91">
        <f>IFERROR(IF($X50="","",INDEX(LLM_Data_Entry!$H$3:$H$548,MATCH($X50,INDEX(LLM_Data_Entry!$A$3:$A$548&amp;"|"&amp;LLM_Data_Entry!$C$3:$C$548&amp;"|"&amp;LLM_Data_Entry!$D$3:$D$548,0),0))),"")</f>
        <v/>
      </c>
      <c r="Z50" s="91">
        <f>IFERROR(IF($X50="","",INDEX(LLM_Data_Entry!$R$3:$R$548,MATCH($X50,INDEX(LLM_Data_Entry!$A$3:$A$548&amp;"|"&amp;LLM_Data_Entry!$C$3:$C$548&amp;"|"&amp;LLM_Data_Entry!$D$3:$D$548,0),0))),"")</f>
        <v/>
      </c>
      <c r="AB50" t="inlineStr">
        <is>
          <t>document date + price signal</t>
        </is>
      </c>
      <c r="AC50" t="inlineStr">
        <is>
          <t>JPM</t>
        </is>
      </c>
      <c r="AD50" t="inlineStr">
        <is>
          <t>2025-03-31</t>
        </is>
      </c>
      <c r="AE50" t="n">
        <v>238.0749</v>
      </c>
      <c r="AF50" t="inlineStr">
        <is>
          <t>2025-04-01</t>
        </is>
      </c>
      <c r="AG50" t="n">
        <v>235.4738</v>
      </c>
      <c r="AH50" t="n">
        <v>-0.01092547572088052</v>
      </c>
      <c r="AI50" t="inlineStr">
        <is>
          <t>FLAT</t>
        </is>
      </c>
      <c r="AJ50" t="inlineStr">
        <is>
          <t>YES</t>
        </is>
      </c>
      <c r="AK50" t="n">
        <v>0</v>
      </c>
      <c r="AL50">
        <f>IF($A50="","",IFERROR(INDEX(Company_List!$G$3:$G$207,MATCH($A50,Company_List!$A$3:$A$207,0)),"unassigned"))</f>
        <v/>
      </c>
      <c r="AM50" t="inlineStr">
        <is>
          <t>Phase 2/JPMC Documents/2025-Q1/JPM-2025-Q1-press-release-SEC-EX-99-1.htm; Phase 2/JPMC Documents/2025-Q1/JPM-2025-Q1-earnings-call-transcript-jpmorganchase-com.pdf</t>
        </is>
      </c>
      <c r="AN50" t="inlineStr">
        <is>
          <t>https://www.jpmorganchase.com/content/dam/jpmc/jpmorgan-chase-and-co/investor-relations/documents/quarterly-earnings/2025/1st-quarter/1q25-earnings-transcript.pdf; https://www.sec.gov/Archives/edgar/data/19617/000001961725000332/a1q25erfexhibit991narrative.htm</t>
        </is>
      </c>
      <c r="AO50" t="inlineStr">
        <is>
          <t>manifest (whole bundle)</t>
        </is>
      </c>
      <c r="AP50">
        <f>IF($A50="","",IF(COUNTIFS(LLM_Data_Entry!$A$3:$A$548,$A50)&gt;0,"YES","NO"))</f>
        <v/>
      </c>
      <c r="AQ50">
        <f>IF($A50="","",IF(COUNTIFS($A$3:$A50,$A50,$C$3:$C50,$C50,$D$3:$D50,$D50)=1,"YES","NO"))</f>
        <v/>
      </c>
      <c r="AR50">
        <f>IF($A50="","",IF(AND($C50&amp;"-"&amp;$D50&gt;=Settings!$B$19,$C50&amp;"-"&amp;$D50&lt;=Settings!$B$20),"IN","OUT"))</f>
        <v/>
      </c>
      <c r="AS50">
        <f>IF($A50="","",IF($F50="Financial Results","financials",IF($F50="Outlook/Guidance","guidance",IF($F50="Transcript Q&amp;A","qanda",IF($F50="","unrecorded",IF($E50="All","full",IF($E50="","unrecorded",LOWER($E50)&amp;" only")))))))</f>
        <v/>
      </c>
      <c r="AT50">
        <f>IF(AND(OR($J50="BUY",$J50="SELL"),ISNUMBER($U50)),$U50,"")</f>
        <v/>
      </c>
      <c r="AU50">
        <f>IF(AND(OR($J50="BUY",$J50="SELL"),ISNUMBER($AK50)),$AK50,"")</f>
        <v/>
      </c>
      <c r="AV50">
        <f>IF(ISNUMBER($AT50),ABS(IF(ISNUMBER($I50),$I50,0)-Settings!$B$24),"")</f>
        <v/>
      </c>
      <c r="AW50">
        <f>IF(ISNUMBER($AV50),$AV50*$AT50,"")</f>
        <v/>
      </c>
      <c r="AX50">
        <f>IF(ISNUMBER($AU50),ABS(IF(ISNUMBER($I50),$I50,0)-Settings!$B$24),"")</f>
        <v/>
      </c>
      <c r="AY50">
        <f>IF(ISNUMBER($AX50),$AX50*$AU50,"")</f>
        <v/>
      </c>
      <c r="AZ50">
        <f>IF($A50="","",IFERROR(INDEX(Company_List!$H$3:$H$207,MATCH($A50,Company_List!$A$3:$A$207,0)),"unassigned"))</f>
        <v/>
      </c>
      <c r="BC50">
        <f>IF($A50="","",IF(COUNTIFS($A$3:$A50,$A50,$C$3:$C50,$C50,$D$3:$D50,$D50,$G$3:$G50,$G50)=1,1,0))</f>
        <v/>
      </c>
      <c r="BG50" t="inlineStr">
        <is>
          <t>no</t>
        </is>
      </c>
      <c r="BK50">
        <f>IF(OR($H50&lt;&gt;"Human",$S50="",$J50="",$Y50="",$Z50=""),"",IF(EXACT(UPPER($J50),UPPER($Y50)),1,0))</f>
        <v/>
      </c>
      <c r="BL50" t="inlineStr">
        <is>
          <t>assumed - no rater record</t>
        </is>
      </c>
      <c r="BM50" t="n">
        <v>2</v>
      </c>
      <c r="BN50" t="inlineStr">
        <is>
          <t>not publisher-identified</t>
        </is>
      </c>
      <c r="BO50" t="inlineStr">
        <is>
          <t>not publisher-identified</t>
        </is>
      </c>
      <c r="BP50" t="inlineStr">
        <is>
          <t>no</t>
        </is>
      </c>
      <c r="BQ50" t="inlineStr">
        <is>
          <t>yes</t>
        </is>
      </c>
    </row>
    <row r="51" ht="16.35" customHeight="1">
      <c r="A51" s="95" t="inlineStr">
        <is>
          <t>JPMorgan</t>
        </is>
      </c>
      <c r="B51" s="96">
        <f>IF(A51="","",_xlfn.XLOOKUP(A51, Company_List!$A:$A, Company_List!$B:$B, ""))</f>
        <v/>
      </c>
      <c r="C51" s="21" t="n">
        <v>2025</v>
      </c>
      <c r="D51" s="20" t="inlineStr">
        <is>
          <t>Q2</t>
        </is>
      </c>
      <c r="E51" s="19" t="inlineStr">
        <is>
          <t>All</t>
        </is>
      </c>
      <c r="F51" s="19" t="inlineStr">
        <is>
          <t>All</t>
        </is>
      </c>
      <c r="G51" s="20" t="inlineStr">
        <is>
          <t>Nigel</t>
        </is>
      </c>
      <c r="H51" s="20" t="inlineStr">
        <is>
          <t>Human</t>
        </is>
      </c>
      <c r="I51" s="127" t="n">
        <v>0.6</v>
      </c>
      <c r="J51" s="145">
        <f>IF(OR(I51="",Settings!$B$6=""),"",IF(I51&gt;Settings!$B$6,"BUY",IF(I51&lt;-Settings!$B$6,"SELL","HOLD")))</f>
        <v/>
      </c>
      <c r="K51" s="139" t="n">
        <v>31</v>
      </c>
      <c r="L51" s="123" t="n">
        <v>45853</v>
      </c>
      <c r="M51" s="123" t="n">
        <v>45853</v>
      </c>
      <c r="N51" s="127" t="n">
        <v>286.55</v>
      </c>
      <c r="O51" s="123" t="n">
        <v>45854</v>
      </c>
      <c r="P51" s="22" t="n">
        <v>288.4</v>
      </c>
      <c r="Q51" s="148">
        <f>IF(OR(N51="",P51=""),"",ROUND((P51-N51)/N51,4))</f>
        <v/>
      </c>
      <c r="R51" s="20">
        <f>IF(OR(N51="",P51=""),"",IF(Q51&gt;Settings!$B$3/100,"UP",IF(Q51&lt;-Settings!$B$3/100,"DOWN","FLAT")))</f>
        <v/>
      </c>
      <c r="S51" s="20">
        <f>IF(OR(N51="",P51="",J51=""),"",IF(OR(AND(J51="BUY",R51="UP"),AND(J51="SELL",R51="DOWN"),AND(J51="HOLD",R51="FLAT")),"YES","NO"))</f>
        <v/>
      </c>
      <c r="T51" s="21">
        <f>IF(J51="","",IF(J51="BUY",1,IF(J51="SELL",-1,0)))</f>
        <v/>
      </c>
      <c r="U51" s="148">
        <f>IFERROR(IF(OR(J51="",N51="",P51=""),"",IF(T51=0,0,T51*Q51-Settings!$B$4/10000-IF(T51&lt;0,Settings!$B$5/10000,0))),"")</f>
        <v/>
      </c>
      <c r="V51" s="23" t="n"/>
      <c r="W51" s="21">
        <f>IF($K51="","",$K51*60)</f>
        <v/>
      </c>
      <c r="X51" s="91">
        <f>IF($A51="","",$A51&amp;"|"&amp;$C51&amp;"|"&amp;$D51)</f>
        <v/>
      </c>
      <c r="Y51" s="91">
        <f>IFERROR(IF($X51="","",INDEX(LLM_Data_Entry!$H$3:$H$548,MATCH($X51,INDEX(LLM_Data_Entry!$A$3:$A$548&amp;"|"&amp;LLM_Data_Entry!$C$3:$C$548&amp;"|"&amp;LLM_Data_Entry!$D$3:$D$548,0),0))),"")</f>
        <v/>
      </c>
      <c r="Z51" s="91">
        <f>IFERROR(IF($X51="","",INDEX(LLM_Data_Entry!$R$3:$R$548,MATCH($X51,INDEX(LLM_Data_Entry!$A$3:$A$548&amp;"|"&amp;LLM_Data_Entry!$C$3:$C$548&amp;"|"&amp;LLM_Data_Entry!$D$3:$D$548,0),0))),"")</f>
        <v/>
      </c>
      <c r="AB51" t="inlineStr">
        <is>
          <t>release time published by the issuer</t>
        </is>
      </c>
      <c r="AC51" t="inlineStr">
        <is>
          <t>JPM</t>
        </is>
      </c>
      <c r="AD51" t="inlineStr">
        <is>
          <t>2025-07-14</t>
        </is>
      </c>
      <c r="AE51" t="n">
        <v>283.2807</v>
      </c>
      <c r="AF51" t="inlineStr">
        <is>
          <t>2025-07-15</t>
        </is>
      </c>
      <c r="AG51" t="n">
        <v>282.5938</v>
      </c>
      <c r="AH51" t="n">
        <v>-0.002424757842669704</v>
      </c>
      <c r="AI51" t="inlineStr">
        <is>
          <t>FLAT</t>
        </is>
      </c>
      <c r="AJ51" t="inlineStr">
        <is>
          <t>NO</t>
        </is>
      </c>
      <c r="AK51" t="n">
        <v>-0.003425</v>
      </c>
      <c r="AL51">
        <f>IF($A51="","",IFERROR(INDEX(Company_List!$G$3:$G$207,MATCH($A51,Company_List!$A$3:$A$207,0)),"unassigned"))</f>
        <v/>
      </c>
      <c r="AM51" t="inlineStr">
        <is>
          <t>Phase 2/JPMC Documents/Q2/corp-q2-2025.pdf</t>
        </is>
      </c>
      <c r="AO51" t="inlineStr">
        <is>
          <t>unique filename match</t>
        </is>
      </c>
      <c r="AP51">
        <f>IF($A51="","",IF(COUNTIFS(LLM_Data_Entry!$A$3:$A$548,$A51)&gt;0,"YES","NO"))</f>
        <v/>
      </c>
      <c r="AQ51">
        <f>IF($A51="","",IF(COUNTIFS($A$3:$A51,$A51,$C$3:$C51,$C51,$D$3:$D51,$D51)=1,"YES","NO"))</f>
        <v/>
      </c>
      <c r="AR51">
        <f>IF($A51="","",IF(AND($C51&amp;"-"&amp;$D51&gt;=Settings!$B$19,$C51&amp;"-"&amp;$D51&lt;=Settings!$B$20),"IN","OUT"))</f>
        <v/>
      </c>
      <c r="AS51">
        <f>IF($A51="","",IF($F51="Financial Results","financials",IF($F51="Outlook/Guidance","guidance",IF($F51="Transcript Q&amp;A","qanda",IF($F51="","unrecorded",IF($E51="All","full",IF($E51="","unrecorded",LOWER($E51)&amp;" only")))))))</f>
        <v/>
      </c>
      <c r="AT51">
        <f>IF(AND(OR($J51="BUY",$J51="SELL"),ISNUMBER($U51)),$U51,"")</f>
        <v/>
      </c>
      <c r="AU51">
        <f>IF(AND(OR($J51="BUY",$J51="SELL"),ISNUMBER($AK51)),$AK51,"")</f>
        <v/>
      </c>
      <c r="AV51">
        <f>IF(ISNUMBER($AT51),ABS(IF(ISNUMBER($I51),$I51,0)-Settings!$B$24),"")</f>
        <v/>
      </c>
      <c r="AW51">
        <f>IF(ISNUMBER($AV51),$AV51*$AT51,"")</f>
        <v/>
      </c>
      <c r="AX51">
        <f>IF(ISNUMBER($AU51),ABS(IF(ISNUMBER($I51),$I51,0)-Settings!$B$24),"")</f>
        <v/>
      </c>
      <c r="AY51">
        <f>IF(ISNUMBER($AX51),$AX51*$AU51,"")</f>
        <v/>
      </c>
      <c r="AZ51">
        <f>IF($A51="","",IFERROR(INDEX(Company_List!$H$3:$H$207,MATCH($A51,Company_List!$A$3:$A$207,0)),"unassigned"))</f>
        <v/>
      </c>
      <c r="BC51">
        <f>IF($A51="","",IF(COUNTIFS($A$3:$A51,$A51,$C$3:$C51,$C51,$D$3:$D51,$D51,$G$3:$G51,$G51)=1,1,0))</f>
        <v/>
      </c>
      <c r="BG51" t="inlineStr">
        <is>
          <t>no</t>
        </is>
      </c>
      <c r="BK51">
        <f>IF(OR($H51&lt;&gt;"Human",$S51="",$J51="",$Y51="",$Z51=""),"",IF(EXACT(UPPER($J51),UPPER($Y51)),1,0))</f>
        <v/>
      </c>
      <c r="BL51" t="inlineStr">
        <is>
          <t>assumed - no rater record</t>
        </is>
      </c>
      <c r="BM51" t="n">
        <v>1</v>
      </c>
      <c r="BN51" t="inlineStr">
        <is>
          <t>not publisher-identified</t>
        </is>
      </c>
      <c r="BO51" t="inlineStr">
        <is>
          <t>not publisher-identified</t>
        </is>
      </c>
      <c r="BP51" t="inlineStr">
        <is>
          <t>sole source</t>
        </is>
      </c>
      <c r="BQ51" t="inlineStr">
        <is>
          <t>no</t>
        </is>
      </c>
    </row>
    <row r="52" ht="16.35" customHeight="1">
      <c r="A52" s="95" t="inlineStr">
        <is>
          <t>JPMorgan</t>
        </is>
      </c>
      <c r="B52" s="96">
        <f>IF(A52="","",_xlfn.XLOOKUP(A52, Company_List!$A:$A, Company_List!$B:$B, ""))</f>
        <v/>
      </c>
      <c r="C52" s="21" t="n">
        <v>2025</v>
      </c>
      <c r="D52" s="20" t="inlineStr">
        <is>
          <t>Q3</t>
        </is>
      </c>
      <c r="E52" s="19" t="inlineStr">
        <is>
          <t>All</t>
        </is>
      </c>
      <c r="F52" s="19" t="inlineStr">
        <is>
          <t>All</t>
        </is>
      </c>
      <c r="G52" s="20" t="inlineStr">
        <is>
          <t>Nigel</t>
        </is>
      </c>
      <c r="H52" s="20" t="inlineStr">
        <is>
          <t>Human</t>
        </is>
      </c>
      <c r="I52" s="127" t="n">
        <v>0.7</v>
      </c>
      <c r="J52" s="145">
        <f>IF(OR(I52="",Settings!$B$6=""),"",IF(I52&gt;Settings!$B$6,"BUY",IF(I52&lt;-Settings!$B$6,"SELL","HOLD")))</f>
        <v/>
      </c>
      <c r="K52" s="139" t="n">
        <v>28</v>
      </c>
      <c r="L52" s="123" t="n">
        <v>45944</v>
      </c>
      <c r="M52" s="123" t="n">
        <v>45944</v>
      </c>
      <c r="N52" s="127" t="n">
        <v>302.08</v>
      </c>
      <c r="O52" s="123" t="n">
        <v>45945</v>
      </c>
      <c r="P52" s="22" t="n">
        <v>306.39</v>
      </c>
      <c r="Q52" s="148">
        <f>IF(OR(N52="",P52=""),"",ROUND((P52-N52)/N52,4))</f>
        <v/>
      </c>
      <c r="R52" s="20">
        <f>IF(OR(N52="",P52=""),"",IF(Q52&gt;Settings!$B$3/100,"UP",IF(Q52&lt;-Settings!$B$3/100,"DOWN","FLAT")))</f>
        <v/>
      </c>
      <c r="S52" s="20">
        <f>IF(OR(N52="",P52="",J52=""),"",IF(OR(AND(J52="BUY",R52="UP"),AND(J52="SELL",R52="DOWN"),AND(J52="HOLD",R52="FLAT")),"YES","NO"))</f>
        <v/>
      </c>
      <c r="T52" s="21">
        <f>IF(J52="","",IF(J52="BUY",1,IF(J52="SELL",-1,0)))</f>
        <v/>
      </c>
      <c r="U52" s="148">
        <f>IFERROR(IF(OR(J52="",N52="",P52=""),"",IF(T52=0,0,T52*Q52-Settings!$B$4/10000-IF(T52&lt;0,Settings!$B$5/10000,0))),"")</f>
        <v/>
      </c>
      <c r="V52" s="23" t="inlineStr">
        <is>
          <t xml:space="preserve"> </t>
        </is>
      </c>
      <c r="W52" s="21">
        <f>IF($K52="","",$K52*60)</f>
        <v/>
      </c>
      <c r="X52" s="91">
        <f>IF($A52="","",$A52&amp;"|"&amp;$C52&amp;"|"&amp;$D52)</f>
        <v/>
      </c>
      <c r="Y52" s="91">
        <f>IFERROR(IF($X52="","",INDEX(LLM_Data_Entry!$H$3:$H$548,MATCH($X52,INDEX(LLM_Data_Entry!$A$3:$A$548&amp;"|"&amp;LLM_Data_Entry!$C$3:$C$548&amp;"|"&amp;LLM_Data_Entry!$D$3:$D$548,0),0))),"")</f>
        <v/>
      </c>
      <c r="Z52" s="91">
        <f>IFERROR(IF($X52="","",INDEX(LLM_Data_Entry!$R$3:$R$548,MATCH($X52,INDEX(LLM_Data_Entry!$A$3:$A$548&amp;"|"&amp;LLM_Data_Entry!$C$3:$C$548&amp;"|"&amp;LLM_Data_Entry!$D$3:$D$548,0),0))),"")</f>
        <v/>
      </c>
      <c r="AB52" t="inlineStr">
        <is>
          <t>release time published by the issuer</t>
        </is>
      </c>
      <c r="AC52" t="inlineStr">
        <is>
          <t>JPM</t>
        </is>
      </c>
      <c r="AD52" t="inlineStr">
        <is>
          <t>2025-10-13</t>
        </is>
      </c>
      <c r="AE52" t="n">
        <v>303.6581</v>
      </c>
      <c r="AF52" t="inlineStr">
        <is>
          <t>2025-10-14</t>
        </is>
      </c>
      <c r="AG52" t="n">
        <v>301.5579</v>
      </c>
      <c r="AH52" t="n">
        <v>-0.006916205179626069</v>
      </c>
      <c r="AI52" t="inlineStr">
        <is>
          <t>FLAT</t>
        </is>
      </c>
      <c r="AJ52" t="inlineStr">
        <is>
          <t>NO</t>
        </is>
      </c>
      <c r="AK52" t="n">
        <v>-0.007915999999999999</v>
      </c>
      <c r="AL52">
        <f>IF($A52="","",IFERROR(INDEX(Company_List!$G$3:$G$207,MATCH($A52,Company_List!$A$3:$A$207,0)),"unassigned"))</f>
        <v/>
      </c>
      <c r="AM52" t="inlineStr">
        <is>
          <t>Phase 2/JPMC Documents/2025-Q3/JPM-2025-Q3-press-release-SEC-EX-99-1.htm; Phase 2/JPMC Documents/2025-Q3/JPM-2025-Q3-earnings-call-transcript-jpmorganchase-com.pdf</t>
        </is>
      </c>
      <c r="AN52" t="inlineStr">
        <is>
          <t>https://www.jpmorganchase.com/content/dam/jpmc/jpmorgan-chase-and-co/investor-relations/documents/quarterly-earnings/2025/3rd-quarter/jpm-3q25-earnings-call-transcript.pdf; https://www.sec.gov/Archives/edgar/data/19617/000162828025044845/a3q25erfexhibit991narrative.htm</t>
        </is>
      </c>
      <c r="AO52" t="inlineStr">
        <is>
          <t>manifest (whole bundle)</t>
        </is>
      </c>
      <c r="AP52">
        <f>IF($A52="","",IF(COUNTIFS(LLM_Data_Entry!$A$3:$A$548,$A52)&gt;0,"YES","NO"))</f>
        <v/>
      </c>
      <c r="AQ52">
        <f>IF($A52="","",IF(COUNTIFS($A$3:$A52,$A52,$C$3:$C52,$C52,$D$3:$D52,$D52)=1,"YES","NO"))</f>
        <v/>
      </c>
      <c r="AR52">
        <f>IF($A52="","",IF(AND($C52&amp;"-"&amp;$D52&gt;=Settings!$B$19,$C52&amp;"-"&amp;$D52&lt;=Settings!$B$20),"IN","OUT"))</f>
        <v/>
      </c>
      <c r="AS52">
        <f>IF($A52="","",IF($F52="Financial Results","financials",IF($F52="Outlook/Guidance","guidance",IF($F52="Transcript Q&amp;A","qanda",IF($F52="","unrecorded",IF($E52="All","full",IF($E52="","unrecorded",LOWER($E52)&amp;" only")))))))</f>
        <v/>
      </c>
      <c r="AT52">
        <f>IF(AND(OR($J52="BUY",$J52="SELL"),ISNUMBER($U52)),$U52,"")</f>
        <v/>
      </c>
      <c r="AU52">
        <f>IF(AND(OR($J52="BUY",$J52="SELL"),ISNUMBER($AK52)),$AK52,"")</f>
        <v/>
      </c>
      <c r="AV52">
        <f>IF(ISNUMBER($AT52),ABS(IF(ISNUMBER($I52),$I52,0)-Settings!$B$24),"")</f>
        <v/>
      </c>
      <c r="AW52">
        <f>IF(ISNUMBER($AV52),$AV52*$AT52,"")</f>
        <v/>
      </c>
      <c r="AX52">
        <f>IF(ISNUMBER($AU52),ABS(IF(ISNUMBER($I52),$I52,0)-Settings!$B$24),"")</f>
        <v/>
      </c>
      <c r="AY52">
        <f>IF(ISNUMBER($AX52),$AX52*$AU52,"")</f>
        <v/>
      </c>
      <c r="AZ52">
        <f>IF($A52="","",IFERROR(INDEX(Company_List!$H$3:$H$207,MATCH($A52,Company_List!$A$3:$A$207,0)),"unassigned"))</f>
        <v/>
      </c>
      <c r="BC52">
        <f>IF($A52="","",IF(COUNTIFS($A$3:$A52,$A52,$C$3:$C52,$C52,$D$3:$D52,$D52,$G$3:$G52,$G52)=1,1,0))</f>
        <v/>
      </c>
      <c r="BG52" t="inlineStr">
        <is>
          <t>no</t>
        </is>
      </c>
      <c r="BK52">
        <f>IF(OR($H52&lt;&gt;"Human",$S52="",$J52="",$Y52="",$Z52=""),"",IF(EXACT(UPPER($J52),UPPER($Y52)),1,0))</f>
        <v/>
      </c>
      <c r="BL52" t="inlineStr">
        <is>
          <t>assumed - no rater record</t>
        </is>
      </c>
      <c r="BM52" t="n">
        <v>2</v>
      </c>
      <c r="BN52" t="inlineStr">
        <is>
          <t>not publisher-identified</t>
        </is>
      </c>
      <c r="BO52" t="inlineStr">
        <is>
          <t>not publisher-identified</t>
        </is>
      </c>
      <c r="BP52" t="inlineStr">
        <is>
          <t>no</t>
        </is>
      </c>
      <c r="BQ52" t="inlineStr">
        <is>
          <t>yes</t>
        </is>
      </c>
    </row>
    <row r="53" ht="16.35" customHeight="1">
      <c r="A53" s="95" t="inlineStr">
        <is>
          <t>JPMorgan</t>
        </is>
      </c>
      <c r="B53" s="96">
        <f>IF(A53="","",_xlfn.XLOOKUP(A53, Company_List!$A:$A, Company_List!$B:$B, ""))</f>
        <v/>
      </c>
      <c r="C53" s="21" t="n">
        <v>2025</v>
      </c>
      <c r="D53" s="20" t="inlineStr">
        <is>
          <t>Q4</t>
        </is>
      </c>
      <c r="E53" s="19" t="inlineStr">
        <is>
          <t>All</t>
        </is>
      </c>
      <c r="F53" s="19" t="inlineStr">
        <is>
          <t>All</t>
        </is>
      </c>
      <c r="G53" s="20" t="inlineStr">
        <is>
          <t>Nigel</t>
        </is>
      </c>
      <c r="H53" s="20" t="inlineStr">
        <is>
          <t>Human</t>
        </is>
      </c>
      <c r="I53" s="127" t="n">
        <v>-0.4</v>
      </c>
      <c r="J53" s="145">
        <f>IF(OR(I53="",Settings!$B$6=""),"",IF(I53&gt;Settings!$B$6,"BUY",IF(I53&lt;-Settings!$B$6,"SELL","HOLD")))</f>
        <v/>
      </c>
      <c r="K53" s="139" t="n">
        <v>24</v>
      </c>
      <c r="L53" s="123" t="n">
        <v>46035</v>
      </c>
      <c r="M53" s="123" t="n">
        <v>46035</v>
      </c>
      <c r="N53" s="127" t="n">
        <v>310.9</v>
      </c>
      <c r="O53" s="123" t="n">
        <v>46036</v>
      </c>
      <c r="P53" s="22" t="n">
        <v>308.2</v>
      </c>
      <c r="Q53" s="148">
        <f>IF(OR(N53="",P53=""),"",ROUND((P53-N53)/N53,4))</f>
        <v/>
      </c>
      <c r="R53" s="20">
        <f>IF(OR(N53="",P53=""),"",IF(Q53&gt;Settings!$B$3/100,"UP",IF(Q53&lt;-Settings!$B$3/100,"DOWN","FLAT")))</f>
        <v/>
      </c>
      <c r="S53" s="20">
        <f>IF(OR(N53="",P53="",J53=""),"",IF(OR(AND(J53="BUY",R53="UP"),AND(J53="SELL",R53="DOWN"),AND(J53="HOLD",R53="FLAT")),"YES","NO"))</f>
        <v/>
      </c>
      <c r="T53" s="21">
        <f>IF(J53="","",IF(J53="BUY",1,IF(J53="SELL",-1,0)))</f>
        <v/>
      </c>
      <c r="U53" s="148">
        <f>IFERROR(IF(OR(J53="",N53="",P53=""),"",IF(T53=0,0,T53*Q53-Settings!$B$4/10000-IF(T53&lt;0,Settings!$B$5/10000,0))),"")</f>
        <v/>
      </c>
      <c r="V53" s="23" t="inlineStr">
        <is>
          <t xml:space="preserve"> </t>
        </is>
      </c>
      <c r="W53" s="21">
        <f>IF($K53="","",$K53*60)</f>
        <v/>
      </c>
      <c r="X53" s="91">
        <f>IF($A53="","",$A53&amp;"|"&amp;$C53&amp;"|"&amp;$D53)</f>
        <v/>
      </c>
      <c r="Y53" s="91">
        <f>IFERROR(IF($X53="","",INDEX(LLM_Data_Entry!$H$3:$H$548,MATCH($X53,INDEX(LLM_Data_Entry!$A$3:$A$548&amp;"|"&amp;LLM_Data_Entry!$C$3:$C$548&amp;"|"&amp;LLM_Data_Entry!$D$3:$D$548,0),0))),"")</f>
        <v/>
      </c>
      <c r="Z53" s="91">
        <f>IFERROR(IF($X53="","",INDEX(LLM_Data_Entry!$R$3:$R$548,MATCH($X53,INDEX(LLM_Data_Entry!$A$3:$A$548&amp;"|"&amp;LLM_Data_Entry!$C$3:$C$548&amp;"|"&amp;LLM_Data_Entry!$D$3:$D$548,0),0))),"")</f>
        <v/>
      </c>
      <c r="AB53" t="inlineStr">
        <is>
          <t>release time published by the issuer</t>
        </is>
      </c>
      <c r="AC53" t="inlineStr">
        <is>
          <t>JPM</t>
        </is>
      </c>
      <c r="AD53" t="inlineStr">
        <is>
          <t>2026-01-12</t>
        </is>
      </c>
      <c r="AE53" t="n">
        <v>321.39</v>
      </c>
      <c r="AF53" t="inlineStr">
        <is>
          <t>2026-01-13</t>
        </is>
      </c>
      <c r="AG53" t="n">
        <v>321.2018</v>
      </c>
      <c r="AH53" t="n">
        <v>-0.0005855717077517526</v>
      </c>
      <c r="AI53" t="inlineStr">
        <is>
          <t>FLAT</t>
        </is>
      </c>
      <c r="AJ53" t="inlineStr">
        <is>
          <t>NO</t>
        </is>
      </c>
      <c r="AK53" t="n">
        <v>-0.000414</v>
      </c>
      <c r="AL53">
        <f>IF($A53="","",IFERROR(INDEX(Company_List!$G$3:$G$207,MATCH($A53,Company_List!$A$3:$A$207,0)),"unassigned"))</f>
        <v/>
      </c>
      <c r="AM53" t="inlineStr">
        <is>
          <t>Phase 2/JPMC Documents/Q4/corp-10k-2025.pdf</t>
        </is>
      </c>
      <c r="AO53" t="inlineStr">
        <is>
          <t>unique filename match</t>
        </is>
      </c>
      <c r="AP53">
        <f>IF($A53="","",IF(COUNTIFS(LLM_Data_Entry!$A$3:$A$548,$A53)&gt;0,"YES","NO"))</f>
        <v/>
      </c>
      <c r="AQ53">
        <f>IF($A53="","",IF(COUNTIFS($A$3:$A53,$A53,$C$3:$C53,$C53,$D$3:$D53,$D53)=1,"YES","NO"))</f>
        <v/>
      </c>
      <c r="AR53">
        <f>IF($A53="","",IF(AND($C53&amp;"-"&amp;$D53&gt;=Settings!$B$19,$C53&amp;"-"&amp;$D53&lt;=Settings!$B$20),"IN","OUT"))</f>
        <v/>
      </c>
      <c r="AS53">
        <f>IF($A53="","",IF($F53="Financial Results","financials",IF($F53="Outlook/Guidance","guidance",IF($F53="Transcript Q&amp;A","qanda",IF($F53="","unrecorded",IF($E53="All","full",IF($E53="","unrecorded",LOWER($E53)&amp;" only")))))))</f>
        <v/>
      </c>
      <c r="AT53">
        <f>IF(AND(OR($J53="BUY",$J53="SELL"),ISNUMBER($U53)),$U53,"")</f>
        <v/>
      </c>
      <c r="AU53">
        <f>IF(AND(OR($J53="BUY",$J53="SELL"),ISNUMBER($AK53)),$AK53,"")</f>
        <v/>
      </c>
      <c r="AV53">
        <f>IF(ISNUMBER($AT53),ABS(IF(ISNUMBER($I53),$I53,0)-Settings!$B$24),"")</f>
        <v/>
      </c>
      <c r="AW53">
        <f>IF(ISNUMBER($AV53),$AV53*$AT53,"")</f>
        <v/>
      </c>
      <c r="AX53">
        <f>IF(ISNUMBER($AU53),ABS(IF(ISNUMBER($I53),$I53,0)-Settings!$B$24),"")</f>
        <v/>
      </c>
      <c r="AY53">
        <f>IF(ISNUMBER($AX53),$AX53*$AU53,"")</f>
        <v/>
      </c>
      <c r="AZ53">
        <f>IF($A53="","",IFERROR(INDEX(Company_List!$H$3:$H$207,MATCH($A53,Company_List!$A$3:$A$207,0)),"unassigned"))</f>
        <v/>
      </c>
      <c r="BC53">
        <f>IF($A53="","",IF(COUNTIFS($A$3:$A53,$A53,$C$3:$C53,$C53,$D$3:$D53,$D53,$G$3:$G53,$G53)=1,1,0))</f>
        <v/>
      </c>
      <c r="BG53" t="inlineStr">
        <is>
          <t>no</t>
        </is>
      </c>
      <c r="BK53">
        <f>IF(OR($H53&lt;&gt;"Human",$S53="",$J53="",$Y53="",$Z53=""),"",IF(EXACT(UPPER($J53),UPPER($Y53)),1,0))</f>
        <v/>
      </c>
      <c r="BL53" t="inlineStr">
        <is>
          <t>assumed - no rater record</t>
        </is>
      </c>
      <c r="BM53" t="n">
        <v>1</v>
      </c>
      <c r="BN53" t="inlineStr">
        <is>
          <t>not publisher-identified</t>
        </is>
      </c>
      <c r="BO53" t="inlineStr">
        <is>
          <t>not publisher-identified</t>
        </is>
      </c>
      <c r="BP53" t="inlineStr">
        <is>
          <t>sole source</t>
        </is>
      </c>
      <c r="BQ53" t="inlineStr">
        <is>
          <t>no</t>
        </is>
      </c>
    </row>
    <row r="54" ht="16.35" customHeight="1">
      <c r="A54" s="95" t="inlineStr">
        <is>
          <t>JPMorgan</t>
        </is>
      </c>
      <c r="B54" s="96">
        <f>IF(A54="","",_xlfn.XLOOKUP(A54, Company_List!$A:$A, Company_List!$B:$B, ""))</f>
        <v/>
      </c>
      <c r="C54" s="21" t="n">
        <v>2025</v>
      </c>
      <c r="D54" s="20" t="inlineStr">
        <is>
          <t>Q1</t>
        </is>
      </c>
      <c r="E54" s="19" t="inlineStr">
        <is>
          <t>Transcript</t>
        </is>
      </c>
      <c r="F54" s="19" t="inlineStr">
        <is>
          <t>All</t>
        </is>
      </c>
      <c r="G54" s="20" t="inlineStr">
        <is>
          <t>Abdul</t>
        </is>
      </c>
      <c r="H54" s="20" t="inlineStr">
        <is>
          <t>Human</t>
        </is>
      </c>
      <c r="I54" s="127" t="n">
        <v>0.1</v>
      </c>
      <c r="J54" s="145">
        <f>IF(OR(I54="",Settings!$B$6=""),"",IF(I54&gt;Settings!$B$6,"BUY",IF(I54&lt;-Settings!$B$6,"SELL","HOLD")))</f>
        <v/>
      </c>
      <c r="K54" s="139" t="n">
        <v>72</v>
      </c>
      <c r="L54" s="123" t="n">
        <v>45758</v>
      </c>
      <c r="M54" s="123" t="n">
        <v>45758</v>
      </c>
      <c r="N54" s="127" t="n">
        <v>227.11</v>
      </c>
      <c r="O54" s="123" t="n">
        <v>45761</v>
      </c>
      <c r="P54" s="22" t="n">
        <v>226.31</v>
      </c>
      <c r="Q54" s="148">
        <f>IF(OR(N54="",P54=""),"",ROUND((P54-N54)/N54,4))</f>
        <v/>
      </c>
      <c r="R54" s="20">
        <f>IF(OR(N54="",P54=""),"",IF(Q54&gt;Settings!$B$3/100,"UP",IF(Q54&lt;-Settings!$B$3/100,"DOWN","FLAT")))</f>
        <v/>
      </c>
      <c r="S54" s="20">
        <f>IF(OR(N54="",P54="",J54=""),"",IF(OR(AND(J54="BUY",R54="UP"),AND(J54="SELL",R54="DOWN"),AND(J54="HOLD",R54="FLAT")),"YES","NO"))</f>
        <v/>
      </c>
      <c r="T54" s="21">
        <f>IF(J54="","",IF(J54="BUY",1,IF(J54="SELL",-1,0)))</f>
        <v/>
      </c>
      <c r="U54" s="148">
        <f>IFERROR(IF(OR(J54="",N54="",P54=""),"",IF(T54=0,0,T54*Q54-Settings!$B$4/10000-IF(T54&lt;0,Settings!$B$5/10000,0))),"")</f>
        <v/>
      </c>
      <c r="V54" s="23" t="n"/>
      <c r="W54" s="21">
        <f>IF($K54="","",$K54*60)</f>
        <v/>
      </c>
      <c r="X54" s="91">
        <f>IF($A54="","",$A54&amp;"|"&amp;$C54&amp;"|"&amp;$D54)</f>
        <v/>
      </c>
      <c r="Y54" s="91">
        <f>IFERROR(IF($X54="","",INDEX(LLM_Data_Entry!$H$3:$H$548,MATCH($X54,INDEX(LLM_Data_Entry!$A$3:$A$548&amp;"|"&amp;LLM_Data_Entry!$C$3:$C$548&amp;"|"&amp;LLM_Data_Entry!$D$3:$D$548,0),0))),"")</f>
        <v/>
      </c>
      <c r="Z54" s="91">
        <f>IFERROR(IF($X54="","",INDEX(LLM_Data_Entry!$R$3:$R$548,MATCH($X54,INDEX(LLM_Data_Entry!$A$3:$A$548&amp;"|"&amp;LLM_Data_Entry!$C$3:$C$548&amp;"|"&amp;LLM_Data_Entry!$D$3:$D$548,0),0))),"")</f>
        <v/>
      </c>
      <c r="AB54" t="inlineStr">
        <is>
          <t>document date + price signal</t>
        </is>
      </c>
      <c r="AC54" t="inlineStr">
        <is>
          <t>JPM</t>
        </is>
      </c>
      <c r="AD54" t="inlineStr">
        <is>
          <t>2025-03-31</t>
        </is>
      </c>
      <c r="AE54" t="n">
        <v>238.0749</v>
      </c>
      <c r="AF54" t="inlineStr">
        <is>
          <t>2025-04-01</t>
        </is>
      </c>
      <c r="AG54" t="n">
        <v>235.4738</v>
      </c>
      <c r="AH54" t="n">
        <v>-0.01092547572088052</v>
      </c>
      <c r="AI54" t="inlineStr">
        <is>
          <t>FLAT</t>
        </is>
      </c>
      <c r="AJ54" t="inlineStr">
        <is>
          <t>YES</t>
        </is>
      </c>
      <c r="AK54" t="n">
        <v>0</v>
      </c>
      <c r="AL54">
        <f>IF($A54="","",IFERROR(INDEX(Company_List!$G$3:$G$207,MATCH($A54,Company_List!$A$3:$A$207,0)),"unassigned"))</f>
        <v/>
      </c>
      <c r="AM54" t="inlineStr">
        <is>
          <t>Phase 2/JPMC Documents/2025-Q1/JPM-2025-Q1-earnings-call-transcript-jpmorganchase-com.pdf</t>
        </is>
      </c>
      <c r="AN54" t="inlineStr">
        <is>
          <t>https://www.jpmorganchase.com/content/dam/jpmc/jpmorgan-chase-and-co/investor-relations/documents/quarterly-earnings/2025/1st-quarter/1q25-earnings-transcript.pdf</t>
        </is>
      </c>
      <c r="AO54" t="inlineStr">
        <is>
          <t>manifest</t>
        </is>
      </c>
      <c r="AP54">
        <f>IF($A54="","",IF(COUNTIFS(LLM_Data_Entry!$A$3:$A$548,$A54)&gt;0,"YES","NO"))</f>
        <v/>
      </c>
      <c r="AQ54">
        <f>IF($A54="","",IF(COUNTIFS($A$3:$A54,$A54,$C$3:$C54,$C54,$D$3:$D54,$D54)=1,"YES","NO"))</f>
        <v/>
      </c>
      <c r="AR54">
        <f>IF($A54="","",IF(AND($C54&amp;"-"&amp;$D54&gt;=Settings!$B$19,$C54&amp;"-"&amp;$D54&lt;=Settings!$B$20),"IN","OUT"))</f>
        <v/>
      </c>
      <c r="AS54">
        <f>IF($A54="","",IF($F54="Financial Results","financials",IF($F54="Outlook/Guidance","guidance",IF($F54="Transcript Q&amp;A","qanda",IF($F54="","unrecorded",IF($E54="All","full",IF($E54="","unrecorded",LOWER($E54)&amp;" only")))))))</f>
        <v/>
      </c>
      <c r="AT54">
        <f>IF(AND(OR($J54="BUY",$J54="SELL"),ISNUMBER($U54)),$U54,"")</f>
        <v/>
      </c>
      <c r="AU54">
        <f>IF(AND(OR($J54="BUY",$J54="SELL"),ISNUMBER($AK54)),$AK54,"")</f>
        <v/>
      </c>
      <c r="AV54">
        <f>IF(ISNUMBER($AT54),ABS(IF(ISNUMBER($I54),$I54,0)-Settings!$B$24),"")</f>
        <v/>
      </c>
      <c r="AW54">
        <f>IF(ISNUMBER($AV54),$AV54*$AT54,"")</f>
        <v/>
      </c>
      <c r="AX54">
        <f>IF(ISNUMBER($AU54),ABS(IF(ISNUMBER($I54),$I54,0)-Settings!$B$24),"")</f>
        <v/>
      </c>
      <c r="AY54">
        <f>IF(ISNUMBER($AX54),$AX54*$AU54,"")</f>
        <v/>
      </c>
      <c r="AZ54">
        <f>IF($A54="","",IFERROR(INDEX(Company_List!$H$3:$H$207,MATCH($A54,Company_List!$A$3:$A$207,0)),"unassigned"))</f>
        <v/>
      </c>
      <c r="BC54">
        <f>IF($A54="","",IF(COUNTIFS($A$3:$A54,$A54,$C$3:$C54,$C54,$D$3:$D54,$D54,$G$3:$G54,$G54)=1,1,0))</f>
        <v/>
      </c>
      <c r="BG54" t="inlineStr">
        <is>
          <t>no</t>
        </is>
      </c>
      <c r="BK54">
        <f>IF(OR($H54&lt;&gt;"Human",$S54="",$J54="",$Y54="",$Z54=""),"",IF(EXACT(UPPER($J54),UPPER($Y54)),1,0))</f>
        <v/>
      </c>
      <c r="BL54" t="inlineStr">
        <is>
          <t>assumed - no rater record</t>
        </is>
      </c>
      <c r="BM54" t="n">
        <v>1</v>
      </c>
      <c r="BN54" t="inlineStr">
        <is>
          <t>not publisher-identified</t>
        </is>
      </c>
      <c r="BO54" t="inlineStr">
        <is>
          <t>not publisher-identified</t>
        </is>
      </c>
      <c r="BP54" t="inlineStr">
        <is>
          <t>no</t>
        </is>
      </c>
      <c r="BQ54" t="inlineStr">
        <is>
          <t>yes</t>
        </is>
      </c>
    </row>
    <row r="55" ht="16.35" customHeight="1">
      <c r="A55" s="95" t="inlineStr">
        <is>
          <t>JPMorgan</t>
        </is>
      </c>
      <c r="B55" s="96">
        <f>IF(A55="","",_xlfn.XLOOKUP(A55, Company_List!$A:$A, Company_List!$B:$B, ""))</f>
        <v/>
      </c>
      <c r="C55" s="21" t="n">
        <v>2025</v>
      </c>
      <c r="D55" s="20" t="inlineStr">
        <is>
          <t>Q3</t>
        </is>
      </c>
      <c r="E55" s="19" t="inlineStr">
        <is>
          <t>Transcript</t>
        </is>
      </c>
      <c r="F55" s="19" t="inlineStr">
        <is>
          <t>All</t>
        </is>
      </c>
      <c r="G55" s="20" t="inlineStr">
        <is>
          <t>Abdul</t>
        </is>
      </c>
      <c r="H55" s="20" t="inlineStr">
        <is>
          <t>Human</t>
        </is>
      </c>
      <c r="I55" s="127" t="n">
        <v>0.4</v>
      </c>
      <c r="J55" s="145">
        <f>IF(OR(I55="",Settings!$B$6=""),"",IF(I55&gt;Settings!$B$6,"BUY",IF(I55&lt;-Settings!$B$6,"SELL","HOLD")))</f>
        <v/>
      </c>
      <c r="K55" s="139" t="n">
        <v>55</v>
      </c>
      <c r="L55" s="123" t="n">
        <v>45944</v>
      </c>
      <c r="M55" s="123" t="n">
        <v>45944</v>
      </c>
      <c r="N55" s="127" t="n">
        <v>307.97</v>
      </c>
      <c r="O55" s="123" t="n">
        <v>45945</v>
      </c>
      <c r="P55" s="22" t="n">
        <v>302.08</v>
      </c>
      <c r="Q55" s="148">
        <f>IF(OR(N55="",P55=""),"",ROUND((P55-N55)/N55,4))</f>
        <v/>
      </c>
      <c r="R55" s="20">
        <f>IF(OR(N55="",P55=""),"",IF(Q55&gt;Settings!$B$3/100,"UP",IF(Q55&lt;-Settings!$B$3/100,"DOWN","FLAT")))</f>
        <v/>
      </c>
      <c r="S55" s="20">
        <f>IF(OR(N55="",P55="",J55=""),"",IF(OR(AND(J55="BUY",R55="UP"),AND(J55="SELL",R55="DOWN"),AND(J55="HOLD",R55="FLAT")),"YES","NO"))</f>
        <v/>
      </c>
      <c r="T55" s="21">
        <f>IF(J55="","",IF(J55="BUY",1,IF(J55="SELL",-1,0)))</f>
        <v/>
      </c>
      <c r="U55" s="148">
        <f>IFERROR(IF(OR(J55="",N55="",P55=""),"",IF(T55=0,0,T55*Q55-Settings!$B$4/10000-IF(T55&lt;0,Settings!$B$5/10000,0))),"")</f>
        <v/>
      </c>
      <c r="V55" s="23" t="n"/>
      <c r="W55" s="21">
        <f>IF($K55="","",$K55*60)</f>
        <v/>
      </c>
      <c r="X55" s="91">
        <f>IF($A55="","",$A55&amp;"|"&amp;$C55&amp;"|"&amp;$D55)</f>
        <v/>
      </c>
      <c r="Y55" s="91">
        <f>IFERROR(IF($X55="","",INDEX(LLM_Data_Entry!$H$3:$H$548,MATCH($X55,INDEX(LLM_Data_Entry!$A$3:$A$548&amp;"|"&amp;LLM_Data_Entry!$C$3:$C$548&amp;"|"&amp;LLM_Data_Entry!$D$3:$D$548,0),0))),"")</f>
        <v/>
      </c>
      <c r="Z55" s="91">
        <f>IFERROR(IF($X55="","",INDEX(LLM_Data_Entry!$R$3:$R$548,MATCH($X55,INDEX(LLM_Data_Entry!$A$3:$A$548&amp;"|"&amp;LLM_Data_Entry!$C$3:$C$548&amp;"|"&amp;LLM_Data_Entry!$D$3:$D$548,0),0))),"")</f>
        <v/>
      </c>
      <c r="AB55" t="inlineStr">
        <is>
          <t>release time published by the issuer</t>
        </is>
      </c>
      <c r="AC55" t="inlineStr">
        <is>
          <t>JPM</t>
        </is>
      </c>
      <c r="AD55" t="inlineStr">
        <is>
          <t>2025-10-13</t>
        </is>
      </c>
      <c r="AE55" t="n">
        <v>303.6581</v>
      </c>
      <c r="AF55" t="inlineStr">
        <is>
          <t>2025-10-14</t>
        </is>
      </c>
      <c r="AG55" t="n">
        <v>301.5579</v>
      </c>
      <c r="AH55" t="n">
        <v>-0.006916205179626069</v>
      </c>
      <c r="AI55" t="inlineStr">
        <is>
          <t>FLAT</t>
        </is>
      </c>
      <c r="AJ55" t="inlineStr">
        <is>
          <t>NO</t>
        </is>
      </c>
      <c r="AK55" t="n">
        <v>-0.007915999999999999</v>
      </c>
      <c r="AL55">
        <f>IF($A55="","",IFERROR(INDEX(Company_List!$G$3:$G$207,MATCH($A55,Company_List!$A$3:$A$207,0)),"unassigned"))</f>
        <v/>
      </c>
      <c r="AM55" t="inlineStr">
        <is>
          <t>Phase 2/JPMC Documents/2025-Q3/JPM-2025-Q3-earnings-call-transcript-jpmorganchase-com.pdf</t>
        </is>
      </c>
      <c r="AN55" t="inlineStr">
        <is>
          <t>https://www.jpmorganchase.com/content/dam/jpmc/jpmorgan-chase-and-co/investor-relations/documents/quarterly-earnings/2025/3rd-quarter/jpm-3q25-earnings-call-transcript.pdf</t>
        </is>
      </c>
      <c r="AO55" t="inlineStr">
        <is>
          <t>manifest</t>
        </is>
      </c>
      <c r="AP55">
        <f>IF($A55="","",IF(COUNTIFS(LLM_Data_Entry!$A$3:$A$548,$A55)&gt;0,"YES","NO"))</f>
        <v/>
      </c>
      <c r="AQ55">
        <f>IF($A55="","",IF(COUNTIFS($A$3:$A55,$A55,$C$3:$C55,$C55,$D$3:$D55,$D55)=1,"YES","NO"))</f>
        <v/>
      </c>
      <c r="AR55">
        <f>IF($A55="","",IF(AND($C55&amp;"-"&amp;$D55&gt;=Settings!$B$19,$C55&amp;"-"&amp;$D55&lt;=Settings!$B$20),"IN","OUT"))</f>
        <v/>
      </c>
      <c r="AS55">
        <f>IF($A55="","",IF($F55="Financial Results","financials",IF($F55="Outlook/Guidance","guidance",IF($F55="Transcript Q&amp;A","qanda",IF($F55="","unrecorded",IF($E55="All","full",IF($E55="","unrecorded",LOWER($E55)&amp;" only")))))))</f>
        <v/>
      </c>
      <c r="AT55">
        <f>IF(AND(OR($J55="BUY",$J55="SELL"),ISNUMBER($U55)),$U55,"")</f>
        <v/>
      </c>
      <c r="AU55">
        <f>IF(AND(OR($J55="BUY",$J55="SELL"),ISNUMBER($AK55)),$AK55,"")</f>
        <v/>
      </c>
      <c r="AV55">
        <f>IF(ISNUMBER($AT55),ABS(IF(ISNUMBER($I55),$I55,0)-Settings!$B$24),"")</f>
        <v/>
      </c>
      <c r="AW55">
        <f>IF(ISNUMBER($AV55),$AV55*$AT55,"")</f>
        <v/>
      </c>
      <c r="AX55">
        <f>IF(ISNUMBER($AU55),ABS(IF(ISNUMBER($I55),$I55,0)-Settings!$B$24),"")</f>
        <v/>
      </c>
      <c r="AY55">
        <f>IF(ISNUMBER($AX55),$AX55*$AU55,"")</f>
        <v/>
      </c>
      <c r="AZ55">
        <f>IF($A55="","",IFERROR(INDEX(Company_List!$H$3:$H$207,MATCH($A55,Company_List!$A$3:$A$207,0)),"unassigned"))</f>
        <v/>
      </c>
      <c r="BC55">
        <f>IF($A55="","",IF(COUNTIFS($A$3:$A55,$A55,$C$3:$C55,$C55,$D$3:$D55,$D55,$G$3:$G55,$G55)=1,1,0))</f>
        <v/>
      </c>
      <c r="BG55" t="inlineStr">
        <is>
          <t>no</t>
        </is>
      </c>
      <c r="BK55">
        <f>IF(OR($H55&lt;&gt;"Human",$S55="",$J55="",$Y55="",$Z55=""),"",IF(EXACT(UPPER($J55),UPPER($Y55)),1,0))</f>
        <v/>
      </c>
      <c r="BL55" t="inlineStr">
        <is>
          <t>assumed - no rater record</t>
        </is>
      </c>
      <c r="BM55" t="n">
        <v>1</v>
      </c>
      <c r="BN55" t="inlineStr">
        <is>
          <t>not publisher-identified</t>
        </is>
      </c>
      <c r="BO55" t="inlineStr">
        <is>
          <t>not publisher-identified</t>
        </is>
      </c>
      <c r="BP55" t="inlineStr">
        <is>
          <t>no</t>
        </is>
      </c>
      <c r="BQ55" t="inlineStr">
        <is>
          <t>yes</t>
        </is>
      </c>
    </row>
    <row r="56" ht="16.35" customHeight="1">
      <c r="A56" s="95" t="inlineStr">
        <is>
          <t>JPMorgan</t>
        </is>
      </c>
      <c r="B56" s="96">
        <f>IF(A56="","",_xlfn.XLOOKUP(A56, Company_List!$A:$A, Company_List!$B:$B, ""))</f>
        <v/>
      </c>
      <c r="C56" s="21" t="n">
        <v>2026</v>
      </c>
      <c r="D56" s="20" t="inlineStr">
        <is>
          <t>Q1</t>
        </is>
      </c>
      <c r="E56" s="19" t="inlineStr">
        <is>
          <t>Transcript</t>
        </is>
      </c>
      <c r="F56" s="19" t="inlineStr">
        <is>
          <t>All</t>
        </is>
      </c>
      <c r="G56" s="20" t="inlineStr">
        <is>
          <t>Abdul</t>
        </is>
      </c>
      <c r="H56" s="20" t="inlineStr">
        <is>
          <t>Human</t>
        </is>
      </c>
      <c r="I56" s="127" t="n">
        <v>0.5</v>
      </c>
      <c r="J56" s="145">
        <f>IF(OR(I56="",Settings!$B$6=""),"",IF(I56&gt;Settings!$B$6,"BUY",IF(I56&lt;-Settings!$B$6,"SELL","HOLD")))</f>
        <v/>
      </c>
      <c r="K56" s="139" t="n">
        <v>74</v>
      </c>
      <c r="L56" s="123" t="n">
        <v>46126</v>
      </c>
      <c r="M56" s="123" t="n">
        <v>46126</v>
      </c>
      <c r="N56" s="127" t="n">
        <v>313.68</v>
      </c>
      <c r="O56" s="123" t="n">
        <v>46127</v>
      </c>
      <c r="P56" s="22" t="n">
        <v>311.12</v>
      </c>
      <c r="Q56" s="148">
        <f>IF(OR(N56="",P56=""),"",ROUND((P56-N56)/N56,4))</f>
        <v/>
      </c>
      <c r="R56" s="20">
        <f>IF(OR(N56="",P56=""),"",IF(Q56&gt;Settings!$B$3/100,"UP",IF(Q56&lt;-Settings!$B$3/100,"DOWN","FLAT")))</f>
        <v/>
      </c>
      <c r="S56" s="20">
        <f>IF(OR(N56="",P56="",J56=""),"",IF(OR(AND(J56="BUY",R56="UP"),AND(J56="SELL",R56="DOWN"),AND(J56="HOLD",R56="FLAT")),"YES","NO"))</f>
        <v/>
      </c>
      <c r="T56" s="21">
        <f>IF(J56="","",IF(J56="BUY",1,IF(J56="SELL",-1,0)))</f>
        <v/>
      </c>
      <c r="U56" s="148">
        <f>IFERROR(IF(OR(J56="",N56="",P56=""),"",IF(T56=0,0,T56*Q56-Settings!$B$4/10000-IF(T56&lt;0,Settings!$B$5/10000,0))),"")</f>
        <v/>
      </c>
      <c r="V56" s="23" t="n"/>
      <c r="W56" s="21">
        <f>IF($K56="","",$K56*60)</f>
        <v/>
      </c>
      <c r="X56" s="91">
        <f>IF($A56="","",$A56&amp;"|"&amp;$C56&amp;"|"&amp;$D56)</f>
        <v/>
      </c>
      <c r="Y56" s="91">
        <f>IFERROR(IF($X56="","",INDEX(LLM_Data_Entry!$H$3:$H$548,MATCH($X56,INDEX(LLM_Data_Entry!$A$3:$A$548&amp;"|"&amp;LLM_Data_Entry!$C$3:$C$548&amp;"|"&amp;LLM_Data_Entry!$D$3:$D$548,0),0))),"")</f>
        <v/>
      </c>
      <c r="Z56" s="91">
        <f>IFERROR(IF($X56="","",INDEX(LLM_Data_Entry!$R$3:$R$548,MATCH($X56,INDEX(LLM_Data_Entry!$A$3:$A$548&amp;"|"&amp;LLM_Data_Entry!$C$3:$C$548&amp;"|"&amp;LLM_Data_Entry!$D$3:$D$548,0),0))),"")</f>
        <v/>
      </c>
      <c r="AB56" t="inlineStr">
        <is>
          <t>release time published by the issuer</t>
        </is>
      </c>
      <c r="AC56" t="inlineStr">
        <is>
          <t>JPM</t>
        </is>
      </c>
      <c r="AD56" t="inlineStr">
        <is>
          <t>2026-04-13</t>
        </is>
      </c>
      <c r="AE56" t="n">
        <v>312.2732</v>
      </c>
      <c r="AF56" t="inlineStr">
        <is>
          <t>2026-04-14</t>
        </is>
      </c>
      <c r="AG56" t="n">
        <v>308.4305</v>
      </c>
      <c r="AH56" t="n">
        <v>-0.01230550873185565</v>
      </c>
      <c r="AI56" t="inlineStr">
        <is>
          <t>FLAT</t>
        </is>
      </c>
      <c r="AJ56" t="inlineStr">
        <is>
          <t>NO</t>
        </is>
      </c>
      <c r="AK56" t="n">
        <v>-0.013306</v>
      </c>
      <c r="AL56">
        <f>IF($A56="","",IFERROR(INDEX(Company_List!$G$3:$G$207,MATCH($A56,Company_List!$A$3:$A$207,0)),"unassigned"))</f>
        <v/>
      </c>
      <c r="AM56" t="inlineStr">
        <is>
          <t>Phase 2/JPMC Documents/2026-Q1/JPM-2026-Q1-earnings-call-transcript-jpmorganchase-com.pdf</t>
        </is>
      </c>
      <c r="AN56" t="inlineStr">
        <is>
          <t>https://www.jpmorganchase.com/content/dam/jpmc/jpmorgan-chase-and-co/investor-relations/documents/quarterly-earnings/2026/1st-quarter/1q26-earnings-transcript.pdf</t>
        </is>
      </c>
      <c r="AO56" t="inlineStr">
        <is>
          <t>manifest</t>
        </is>
      </c>
      <c r="AP56">
        <f>IF($A56="","",IF(COUNTIFS(LLM_Data_Entry!$A$3:$A$548,$A56)&gt;0,"YES","NO"))</f>
        <v/>
      </c>
      <c r="AQ56">
        <f>IF($A56="","",IF(COUNTIFS($A$3:$A56,$A56,$C$3:$C56,$C56,$D$3:$D56,$D56)=1,"YES","NO"))</f>
        <v/>
      </c>
      <c r="AR56">
        <f>IF($A56="","",IF(AND($C56&amp;"-"&amp;$D56&gt;=Settings!$B$19,$C56&amp;"-"&amp;$D56&lt;=Settings!$B$20),"IN","OUT"))</f>
        <v/>
      </c>
      <c r="AS56">
        <f>IF($A56="","",IF($F56="Financial Results","financials",IF($F56="Outlook/Guidance","guidance",IF($F56="Transcript Q&amp;A","qanda",IF($F56="","unrecorded",IF($E56="All","full",IF($E56="","unrecorded",LOWER($E56)&amp;" only")))))))</f>
        <v/>
      </c>
      <c r="AT56">
        <f>IF(AND(OR($J56="BUY",$J56="SELL"),ISNUMBER($U56)),$U56,"")</f>
        <v/>
      </c>
      <c r="AU56">
        <f>IF(AND(OR($J56="BUY",$J56="SELL"),ISNUMBER($AK56)),$AK56,"")</f>
        <v/>
      </c>
      <c r="AV56">
        <f>IF(ISNUMBER($AT56),ABS(IF(ISNUMBER($I56),$I56,0)-Settings!$B$24),"")</f>
        <v/>
      </c>
      <c r="AW56">
        <f>IF(ISNUMBER($AV56),$AV56*$AT56,"")</f>
        <v/>
      </c>
      <c r="AX56">
        <f>IF(ISNUMBER($AU56),ABS(IF(ISNUMBER($I56),$I56,0)-Settings!$B$24),"")</f>
        <v/>
      </c>
      <c r="AY56">
        <f>IF(ISNUMBER($AX56),$AX56*$AU56,"")</f>
        <v/>
      </c>
      <c r="AZ56">
        <f>IF($A56="","",IFERROR(INDEX(Company_List!$H$3:$H$207,MATCH($A56,Company_List!$A$3:$A$207,0)),"unassigned"))</f>
        <v/>
      </c>
      <c r="BC56">
        <f>IF($A56="","",IF(COUNTIFS($A$3:$A56,$A56,$C$3:$C56,$C56,$D$3:$D56,$D56,$G$3:$G56,$G56)=1,1,0))</f>
        <v/>
      </c>
      <c r="BG56" t="inlineStr">
        <is>
          <t>no</t>
        </is>
      </c>
      <c r="BK56">
        <f>IF(OR($H56&lt;&gt;"Human",$S56="",$J56="",$Y56="",$Z56=""),"",IF(EXACT(UPPER($J56),UPPER($Y56)),1,0))</f>
        <v/>
      </c>
      <c r="BL56" t="inlineStr">
        <is>
          <t>assumed - no rater record</t>
        </is>
      </c>
      <c r="BM56" t="n">
        <v>1</v>
      </c>
      <c r="BN56" t="inlineStr">
        <is>
          <t>not publisher-identified</t>
        </is>
      </c>
      <c r="BO56" t="inlineStr">
        <is>
          <t>not publisher-identified</t>
        </is>
      </c>
      <c r="BP56" t="inlineStr">
        <is>
          <t>no</t>
        </is>
      </c>
      <c r="BQ56" t="inlineStr">
        <is>
          <t>yes</t>
        </is>
      </c>
    </row>
    <row r="57" ht="16.35" customHeight="1">
      <c r="A57" s="95" t="inlineStr">
        <is>
          <t>IBM</t>
        </is>
      </c>
      <c r="B57" s="96">
        <f>IF(A57="","",_xlfn.XLOOKUP(A57, Company_List!$A:$A, Company_List!$B:$B, ""))</f>
        <v/>
      </c>
      <c r="C57" s="21" t="n">
        <v>2025</v>
      </c>
      <c r="D57" s="20" t="inlineStr">
        <is>
          <t>Q2</t>
        </is>
      </c>
      <c r="E57" s="19" t="inlineStr">
        <is>
          <t>All</t>
        </is>
      </c>
      <c r="F57" s="19" t="inlineStr">
        <is>
          <t>All</t>
        </is>
      </c>
      <c r="G57" s="20" t="inlineStr">
        <is>
          <t>Meriem</t>
        </is>
      </c>
      <c r="H57" s="20" t="inlineStr">
        <is>
          <t>Human</t>
        </is>
      </c>
      <c r="I57" s="127" t="n">
        <v>0.4</v>
      </c>
      <c r="J57" s="145">
        <f>IF(OR(I57="",Settings!$B$6=""),"",IF(I57&gt;Settings!$B$6,"BUY",IF(I57&lt;-Settings!$B$6,"SELL","HOLD")))</f>
        <v/>
      </c>
      <c r="K57" s="139" t="n">
        <v>40</v>
      </c>
      <c r="L57" s="123" t="n">
        <v>45861</v>
      </c>
      <c r="M57" s="123" t="n">
        <v>45861</v>
      </c>
      <c r="N57" s="127" t="n">
        <v>282.01</v>
      </c>
      <c r="O57" s="123" t="n">
        <v>45862</v>
      </c>
      <c r="P57" s="22" t="n">
        <v>261.25</v>
      </c>
      <c r="Q57" s="148">
        <f>IF(OR(N57="",P57=""),"",ROUND((P57-N57)/N57,4))</f>
        <v/>
      </c>
      <c r="R57" s="20">
        <f>IF(OR(N57="",P57=""),"",IF(Q57&gt;Settings!$B$3/100,"UP",IF(Q57&lt;-Settings!$B$3/100,"DOWN","FLAT")))</f>
        <v/>
      </c>
      <c r="S57" s="20">
        <f>IF(OR(N57="",P57="",J57=""),"",IF(OR(AND(J57="BUY",R57="UP"),AND(J57="SELL",R57="DOWN"),AND(J57="HOLD",R57="FLAT")),"YES","NO"))</f>
        <v/>
      </c>
      <c r="T57" s="21">
        <f>IF(J57="","",IF(J57="BUY",1,IF(J57="SELL",-1,0)))</f>
        <v/>
      </c>
      <c r="U57" s="148">
        <f>IFERROR(IF(OR(J57="",N57="",P57=""),"",IF(T57=0,0,T57*Q57-Settings!$B$4/10000-IF(T57&lt;0,Settings!$B$5/10000,0))),"")</f>
        <v/>
      </c>
      <c r="V57" s="23" t="inlineStr">
        <is>
          <t>revenue up 8% you; profit is up and G profit margin + EPS asw. numbers look great and tone is optimistic</t>
        </is>
      </c>
      <c r="W57" s="21">
        <f>IF($K57="","",$K57*60)</f>
        <v/>
      </c>
      <c r="X57" s="91">
        <f>IF($A57="","",$A57&amp;"|"&amp;$C57&amp;"|"&amp;$D57)</f>
        <v/>
      </c>
      <c r="Y57" s="91">
        <f>IFERROR(IF($X57="","",INDEX(LLM_Data_Entry!$H$3:$H$548,MATCH($X57,INDEX(LLM_Data_Entry!$A$3:$A$548&amp;"|"&amp;LLM_Data_Entry!$C$3:$C$548&amp;"|"&amp;LLM_Data_Entry!$D$3:$D$548,0),0))),"")</f>
        <v/>
      </c>
      <c r="Z57" s="91">
        <f>IFERROR(IF($X57="","",INDEX(LLM_Data_Entry!$R$3:$R$548,MATCH($X57,INDEX(LLM_Data_Entry!$A$3:$A$548&amp;"|"&amp;LLM_Data_Entry!$C$3:$C$548&amp;"|"&amp;LLM_Data_Entry!$D$3:$D$548,0),0))),"")</f>
        <v/>
      </c>
      <c r="AB57" t="inlineStr">
        <is>
          <t>price signal — only this window shows an abnormal move</t>
        </is>
      </c>
      <c r="AC57" t="inlineStr">
        <is>
          <t>IBM</t>
        </is>
      </c>
      <c r="AD57" t="inlineStr">
        <is>
          <t>2025-07-23</t>
        </is>
      </c>
      <c r="AE57" t="n">
        <v>274.977</v>
      </c>
      <c r="AF57" t="inlineStr">
        <is>
          <t>2025-07-24</t>
        </is>
      </c>
      <c r="AG57" t="n">
        <v>254.7347</v>
      </c>
      <c r="AH57" t="n">
        <v>-0.0736144742944667</v>
      </c>
      <c r="AI57" t="inlineStr">
        <is>
          <t>DOWN</t>
        </is>
      </c>
      <c r="AJ57" t="inlineStr">
        <is>
          <t>NO</t>
        </is>
      </c>
      <c r="AK57" t="n">
        <v>-0.074614</v>
      </c>
      <c r="AL57">
        <f>IF($A57="","",IFERROR(INDEX(Company_List!$G$3:$G$207,MATCH($A57,Company_List!$A$3:$A$207,0)),"unassigned"))</f>
        <v/>
      </c>
      <c r="AM57" t="inlineStr">
        <is>
          <t>Phase 2/IBM/Q2 2025 Earnings Call Transcript.pdf; Phase 2/IBM/Q2 2025 - numbers.pdf</t>
        </is>
      </c>
      <c r="AO57" t="inlineStr">
        <is>
          <t>whole bundle (Document = All)</t>
        </is>
      </c>
      <c r="AP57">
        <f>IF($A57="","",IF(COUNTIFS(LLM_Data_Entry!$A$3:$A$548,$A57)&gt;0,"YES","NO"))</f>
        <v/>
      </c>
      <c r="AQ57">
        <f>IF($A57="","",IF(COUNTIFS($A$3:$A57,$A57,$C$3:$C57,$C57,$D$3:$D57,$D57)=1,"YES","NO"))</f>
        <v/>
      </c>
      <c r="AR57">
        <f>IF($A57="","",IF(AND($C57&amp;"-"&amp;$D57&gt;=Settings!$B$19,$C57&amp;"-"&amp;$D57&lt;=Settings!$B$20),"IN","OUT"))</f>
        <v/>
      </c>
      <c r="AS57">
        <f>IF($A57="","",IF($F57="Financial Results","financials",IF($F57="Outlook/Guidance","guidance",IF($F57="Transcript Q&amp;A","qanda",IF($F57="","unrecorded",IF($E57="All","full",IF($E57="","unrecorded",LOWER($E57)&amp;" only")))))))</f>
        <v/>
      </c>
      <c r="AT57">
        <f>IF(AND(OR($J57="BUY",$J57="SELL"),ISNUMBER($U57)),$U57,"")</f>
        <v/>
      </c>
      <c r="AU57">
        <f>IF(AND(OR($J57="BUY",$J57="SELL"),ISNUMBER($AK57)),$AK57,"")</f>
        <v/>
      </c>
      <c r="AV57">
        <f>IF(ISNUMBER($AT57),ABS(IF(ISNUMBER($I57),$I57,0)-Settings!$B$24),"")</f>
        <v/>
      </c>
      <c r="AW57">
        <f>IF(ISNUMBER($AV57),$AV57*$AT57,"")</f>
        <v/>
      </c>
      <c r="AX57">
        <f>IF(ISNUMBER($AU57),ABS(IF(ISNUMBER($I57),$I57,0)-Settings!$B$24),"")</f>
        <v/>
      </c>
      <c r="AY57">
        <f>IF(ISNUMBER($AX57),$AX57*$AU57,"")</f>
        <v/>
      </c>
      <c r="AZ57">
        <f>IF($A57="","",IFERROR(INDEX(Company_List!$H$3:$H$207,MATCH($A57,Company_List!$A$3:$A$207,0)),"unassigned"))</f>
        <v/>
      </c>
      <c r="BC57">
        <f>IF($A57="","",IF(COUNTIFS($A$3:$A57,$A57,$C$3:$C57,$C57,$D$3:$D57,$D57,$G$3:$G57,$G57)=1,1,0))</f>
        <v/>
      </c>
      <c r="BG57" t="inlineStr">
        <is>
          <t>no</t>
        </is>
      </c>
      <c r="BK57">
        <f>IF(OR($H57&lt;&gt;"Human",$S57="",$J57="",$Y57="",$Z57=""),"",IF(EXACT(UPPER($J57),UPPER($Y57)),1,0))</f>
        <v/>
      </c>
      <c r="BL57" t="inlineStr">
        <is>
          <t>assumed - no rater record</t>
        </is>
      </c>
      <c r="BM57" t="n">
        <v>2</v>
      </c>
      <c r="BN57" t="inlineStr">
        <is>
          <t>The Motley Fool</t>
        </is>
      </c>
      <c r="BO57" t="inlineStr">
        <is>
          <t>free to read, copyright asserted</t>
        </is>
      </c>
      <c r="BP57" t="inlineStr">
        <is>
          <t>no</t>
        </is>
      </c>
      <c r="BQ57" t="inlineStr">
        <is>
          <t>no</t>
        </is>
      </c>
    </row>
    <row r="58" ht="16.35" customHeight="1">
      <c r="A58" s="95" t="inlineStr">
        <is>
          <t>IBM</t>
        </is>
      </c>
      <c r="B58" s="96">
        <f>IF(A58="","",_xlfn.XLOOKUP(A58, Company_List!$A:$A, Company_List!$B:$B, ""))</f>
        <v/>
      </c>
      <c r="C58" s="21" t="n">
        <v>2025</v>
      </c>
      <c r="D58" s="20" t="inlineStr">
        <is>
          <t>Q4</t>
        </is>
      </c>
      <c r="E58" s="19" t="inlineStr">
        <is>
          <t>All</t>
        </is>
      </c>
      <c r="F58" s="19" t="inlineStr">
        <is>
          <t>All</t>
        </is>
      </c>
      <c r="G58" s="20" t="inlineStr">
        <is>
          <t>Meriem</t>
        </is>
      </c>
      <c r="H58" s="20" t="inlineStr">
        <is>
          <t>Human</t>
        </is>
      </c>
      <c r="I58" s="127" t="n">
        <v>0.5</v>
      </c>
      <c r="J58" s="145">
        <f>IF(OR(I58="",Settings!$B$6=""),"",IF(I58&gt;Settings!$B$6,"BUY",IF(I58&lt;-Settings!$B$6,"SELL","HOLD")))</f>
        <v/>
      </c>
      <c r="K58" s="139" t="n">
        <v>30</v>
      </c>
      <c r="L58" s="123" t="n">
        <v>46050</v>
      </c>
      <c r="M58" s="123" t="n">
        <v>46050</v>
      </c>
      <c r="N58" s="127" t="n">
        <v>294.16</v>
      </c>
      <c r="O58" s="123" t="n">
        <v>46051</v>
      </c>
      <c r="P58" s="22" t="n">
        <v>317.86</v>
      </c>
      <c r="Q58" s="148">
        <f>IF(OR(N58="",P58=""),"",ROUND((P58-N58)/N58,4))</f>
        <v/>
      </c>
      <c r="R58" s="20">
        <f>IF(OR(N58="",P58=""),"",IF(Q58&gt;Settings!$B$3/100,"UP",IF(Q58&lt;-Settings!$B$3/100,"DOWN","FLAT")))</f>
        <v/>
      </c>
      <c r="S58" s="20">
        <f>IF(OR(N58="",P58="",J58=""),"",IF(OR(AND(J58="BUY",R58="UP"),AND(J58="SELL",R58="DOWN"),AND(J58="HOLD",R58="FLAT")),"YES","NO"))</f>
        <v/>
      </c>
      <c r="T58" s="21">
        <f>IF(J58="","",IF(J58="BUY",1,IF(J58="SELL",-1,0)))</f>
        <v/>
      </c>
      <c r="U58" s="148">
        <f>IFERROR(IF(OR(J58="",N58="",P58=""),"",IF(T58=0,0,T58*Q58-Settings!$B$4/10000-IF(T58&lt;0,Settings!$B$5/10000,0))),"")</f>
        <v/>
      </c>
      <c r="V58" s="23" t="inlineStr">
        <is>
          <t>same as Q2; numbers look great; tone is optimistic and growth is seen and expected; good guidance so buy</t>
        </is>
      </c>
      <c r="W58" s="21">
        <f>IF($K58="","",$K58*60)</f>
        <v/>
      </c>
      <c r="X58" s="91">
        <f>IF($A58="","",$A58&amp;"|"&amp;$C58&amp;"|"&amp;$D58)</f>
        <v/>
      </c>
      <c r="Y58" s="91">
        <f>IFERROR(IF($X58="","",INDEX(LLM_Data_Entry!$H$3:$H$548,MATCH($X58,INDEX(LLM_Data_Entry!$A$3:$A$548&amp;"|"&amp;LLM_Data_Entry!$C$3:$C$548&amp;"|"&amp;LLM_Data_Entry!$D$3:$D$548,0),0))),"")</f>
        <v/>
      </c>
      <c r="Z58" s="91">
        <f>IFERROR(IF($X58="","",INDEX(LLM_Data_Entry!$R$3:$R$548,MATCH($X58,INDEX(LLM_Data_Entry!$A$3:$A$548&amp;"|"&amp;LLM_Data_Entry!$C$3:$C$548&amp;"|"&amp;LLM_Data_Entry!$D$3:$D$548,0),0))),"")</f>
        <v/>
      </c>
      <c r="AB58" t="inlineStr">
        <is>
          <t>price signal — only this window shows an abnormal move</t>
        </is>
      </c>
      <c r="AC58" t="inlineStr">
        <is>
          <t>IBM</t>
        </is>
      </c>
      <c r="AD58" t="inlineStr">
        <is>
          <t>2026-01-28</t>
        </is>
      </c>
      <c r="AE58" t="n">
        <v>290.3553</v>
      </c>
      <c r="AF58" t="inlineStr">
        <is>
          <t>2026-01-29</t>
        </is>
      </c>
      <c r="AG58" t="n">
        <v>313.7488</v>
      </c>
      <c r="AH58" t="n">
        <v>0.08056835407148978</v>
      </c>
      <c r="AI58" t="inlineStr">
        <is>
          <t>UP</t>
        </is>
      </c>
      <c r="AJ58" t="inlineStr">
        <is>
          <t>YES</t>
        </is>
      </c>
      <c r="AK58" t="n">
        <v>0.079568</v>
      </c>
      <c r="AL58">
        <f>IF($A58="","",IFERROR(INDEX(Company_List!$G$3:$G$207,MATCH($A58,Company_List!$A$3:$A$207,0)),"unassigned"))</f>
        <v/>
      </c>
      <c r="AM58" t="inlineStr">
        <is>
          <t>Phase 2/IBM/Q4 2025 Earnings Call Transcript.pdf; Phase 2/IBM/Q4 2025 - numbers.pdf</t>
        </is>
      </c>
      <c r="AO58" t="inlineStr">
        <is>
          <t>whole bundle (Document = All)</t>
        </is>
      </c>
      <c r="AP58">
        <f>IF($A58="","",IF(COUNTIFS(LLM_Data_Entry!$A$3:$A$548,$A58)&gt;0,"YES","NO"))</f>
        <v/>
      </c>
      <c r="AQ58">
        <f>IF($A58="","",IF(COUNTIFS($A$3:$A58,$A58,$C$3:$C58,$C58,$D$3:$D58,$D58)=1,"YES","NO"))</f>
        <v/>
      </c>
      <c r="AR58">
        <f>IF($A58="","",IF(AND($C58&amp;"-"&amp;$D58&gt;=Settings!$B$19,$C58&amp;"-"&amp;$D58&lt;=Settings!$B$20),"IN","OUT"))</f>
        <v/>
      </c>
      <c r="AS58">
        <f>IF($A58="","",IF($F58="Financial Results","financials",IF($F58="Outlook/Guidance","guidance",IF($F58="Transcript Q&amp;A","qanda",IF($F58="","unrecorded",IF($E58="All","full",IF($E58="","unrecorded",LOWER($E58)&amp;" only")))))))</f>
        <v/>
      </c>
      <c r="AT58">
        <f>IF(AND(OR($J58="BUY",$J58="SELL"),ISNUMBER($U58)),$U58,"")</f>
        <v/>
      </c>
      <c r="AU58">
        <f>IF(AND(OR($J58="BUY",$J58="SELL"),ISNUMBER($AK58)),$AK58,"")</f>
        <v/>
      </c>
      <c r="AV58">
        <f>IF(ISNUMBER($AT58),ABS(IF(ISNUMBER($I58),$I58,0)-Settings!$B$24),"")</f>
        <v/>
      </c>
      <c r="AW58">
        <f>IF(ISNUMBER($AV58),$AV58*$AT58,"")</f>
        <v/>
      </c>
      <c r="AX58">
        <f>IF(ISNUMBER($AU58),ABS(IF(ISNUMBER($I58),$I58,0)-Settings!$B$24),"")</f>
        <v/>
      </c>
      <c r="AY58">
        <f>IF(ISNUMBER($AX58),$AX58*$AU58,"")</f>
        <v/>
      </c>
      <c r="AZ58">
        <f>IF($A58="","",IFERROR(INDEX(Company_List!$H$3:$H$207,MATCH($A58,Company_List!$A$3:$A$207,0)),"unassigned"))</f>
        <v/>
      </c>
      <c r="BC58">
        <f>IF($A58="","",IF(COUNTIFS($A$3:$A58,$A58,$C$3:$C58,$C58,$D$3:$D58,$D58,$G$3:$G58,$G58)=1,1,0))</f>
        <v/>
      </c>
      <c r="BG58" t="inlineStr">
        <is>
          <t>no</t>
        </is>
      </c>
      <c r="BK58">
        <f>IF(OR($H58&lt;&gt;"Human",$S58="",$J58="",$Y58="",$Z58=""),"",IF(EXACT(UPPER($J58),UPPER($Y58)),1,0))</f>
        <v/>
      </c>
      <c r="BL58" t="inlineStr">
        <is>
          <t>assumed - no rater record</t>
        </is>
      </c>
      <c r="BM58" t="n">
        <v>2</v>
      </c>
      <c r="BN58" t="inlineStr">
        <is>
          <t>The Motley Fool</t>
        </is>
      </c>
      <c r="BO58" t="inlineStr">
        <is>
          <t>free to read, copyright asserted</t>
        </is>
      </c>
      <c r="BP58" t="inlineStr">
        <is>
          <t>no</t>
        </is>
      </c>
      <c r="BQ58" t="inlineStr">
        <is>
          <t>no</t>
        </is>
      </c>
    </row>
    <row r="59" ht="16.35" customHeight="1">
      <c r="A59" s="95" t="inlineStr">
        <is>
          <t>IBM</t>
        </is>
      </c>
      <c r="B59" s="96">
        <f>IF(A59="","",_xlfn.XLOOKUP(A59, Company_List!$A:$A, Company_List!$B:$B, ""))</f>
        <v/>
      </c>
      <c r="C59" s="21" t="n">
        <v>2026</v>
      </c>
      <c r="D59" s="20" t="inlineStr">
        <is>
          <t>Q1</t>
        </is>
      </c>
      <c r="E59" s="19" t="inlineStr">
        <is>
          <t>All</t>
        </is>
      </c>
      <c r="F59" s="19" t="inlineStr">
        <is>
          <t>All</t>
        </is>
      </c>
      <c r="G59" s="20" t="inlineStr">
        <is>
          <t>Meriem</t>
        </is>
      </c>
      <c r="H59" s="20" t="inlineStr">
        <is>
          <t>Human</t>
        </is>
      </c>
      <c r="I59" s="127" t="n">
        <v>0.2</v>
      </c>
      <c r="J59" s="145">
        <f>IF(OR(I59="",Settings!$B$6=""),"",IF(I59&gt;Settings!$B$6,"BUY",IF(I59&lt;-Settings!$B$6,"SELL","HOLD")))</f>
        <v/>
      </c>
      <c r="K59" s="139" t="n">
        <v>42</v>
      </c>
      <c r="L59" s="123" t="n">
        <v>46134</v>
      </c>
      <c r="M59" s="123" t="n">
        <v>46134</v>
      </c>
      <c r="N59" s="127" t="n">
        <v>251.86</v>
      </c>
      <c r="O59" s="123" t="n">
        <v>46135</v>
      </c>
      <c r="P59" s="22" t="n">
        <v>232.27</v>
      </c>
      <c r="Q59" s="148">
        <f>IF(OR(N59="",P59=""),"",ROUND((P59-N59)/N59,4))</f>
        <v/>
      </c>
      <c r="R59" s="20">
        <f>IF(OR(N59="",P59=""),"",IF(Q59&gt;Settings!$B$3/100,"UP",IF(Q59&lt;-Settings!$B$3/100,"DOWN","FLAT")))</f>
        <v/>
      </c>
      <c r="S59" s="20">
        <f>IF(OR(N59="",P59="",J59=""),"",IF(OR(AND(J59="BUY",R59="UP"),AND(J59="SELL",R59="DOWN"),AND(J59="HOLD",R59="FLAT")),"YES","NO"))</f>
        <v/>
      </c>
      <c r="T59" s="21">
        <f>IF(J59="","",IF(J59="BUY",1,IF(J59="SELL",-1,0)))</f>
        <v/>
      </c>
      <c r="U59" s="148">
        <f>IFERROR(IF(OR(J59="",N59="",P59=""),"",IF(T59=0,0,T59*Q59-Settings!$B$4/10000-IF(T59&lt;0,Settings!$B$5/10000,0))),"")</f>
        <v/>
      </c>
      <c r="V59" s="23" t="inlineStr">
        <is>
          <t>numbers are great but Middle East worries even though didnt affect Q1 as we saw higher growth in the ME than in decades so uncertainty but some confidence so hold</t>
        </is>
      </c>
      <c r="W59" s="21">
        <f>IF($K59="","",$K59*60)</f>
        <v/>
      </c>
      <c r="X59" s="91">
        <f>IF($A59="","",$A59&amp;"|"&amp;$C59&amp;"|"&amp;$D59)</f>
        <v/>
      </c>
      <c r="Y59" s="91">
        <f>IFERROR(IF($X59="","",INDEX(LLM_Data_Entry!$H$3:$H$548,MATCH($X59,INDEX(LLM_Data_Entry!$A$3:$A$548&amp;"|"&amp;LLM_Data_Entry!$C$3:$C$548&amp;"|"&amp;LLM_Data_Entry!$D$3:$D$548,0),0))),"")</f>
        <v/>
      </c>
      <c r="Z59" s="91">
        <f>IFERROR(IF($X59="","",INDEX(LLM_Data_Entry!$R$3:$R$548,MATCH($X59,INDEX(LLM_Data_Entry!$A$3:$A$548&amp;"|"&amp;LLM_Data_Entry!$C$3:$C$548&amp;"|"&amp;LLM_Data_Entry!$D$3:$D$548,0),0))),"")</f>
        <v/>
      </c>
      <c r="AB59" t="inlineStr">
        <is>
          <t>price signal — both moved; this one dominates</t>
        </is>
      </c>
      <c r="AC59" t="inlineStr">
        <is>
          <t>IBM</t>
        </is>
      </c>
      <c r="AD59" t="inlineStr">
        <is>
          <t>2026-04-22</t>
        </is>
      </c>
      <c r="AE59" t="n">
        <v>250.0199</v>
      </c>
      <c r="AF59" t="inlineStr">
        <is>
          <t>2026-04-23</t>
        </is>
      </c>
      <c r="AG59" t="n">
        <v>230.573</v>
      </c>
      <c r="AH59" t="n">
        <v>-0.07778128926398546</v>
      </c>
      <c r="AI59" t="inlineStr">
        <is>
          <t>DOWN</t>
        </is>
      </c>
      <c r="AJ59" t="inlineStr">
        <is>
          <t>NO</t>
        </is>
      </c>
      <c r="AK59" t="n">
        <v>0</v>
      </c>
      <c r="AL59">
        <f>IF($A59="","",IFERROR(INDEX(Company_List!$G$3:$G$207,MATCH($A59,Company_List!$A$3:$A$207,0)),"unassigned"))</f>
        <v/>
      </c>
      <c r="AM59" t="inlineStr">
        <is>
          <t>Phase 2/IBM/Q1 2026 Earnings Call Transcript.pdf; Phase 2/IBM/Q1 2026 0 numbers.pdf</t>
        </is>
      </c>
      <c r="AO59" t="inlineStr">
        <is>
          <t>whole bundle (Document = All)</t>
        </is>
      </c>
      <c r="AP59">
        <f>IF($A59="","",IF(COUNTIFS(LLM_Data_Entry!$A$3:$A$548,$A59)&gt;0,"YES","NO"))</f>
        <v/>
      </c>
      <c r="AQ59">
        <f>IF($A59="","",IF(COUNTIFS($A$3:$A59,$A59,$C$3:$C59,$C59,$D$3:$D59,$D59)=1,"YES","NO"))</f>
        <v/>
      </c>
      <c r="AR59">
        <f>IF($A59="","",IF(AND($C59&amp;"-"&amp;$D59&gt;=Settings!$B$19,$C59&amp;"-"&amp;$D59&lt;=Settings!$B$20),"IN","OUT"))</f>
        <v/>
      </c>
      <c r="AS59">
        <f>IF($A59="","",IF($F59="Financial Results","financials",IF($F59="Outlook/Guidance","guidance",IF($F59="Transcript Q&amp;A","qanda",IF($F59="","unrecorded",IF($E59="All","full",IF($E59="","unrecorded",LOWER($E59)&amp;" only")))))))</f>
        <v/>
      </c>
      <c r="AT59">
        <f>IF(AND(OR($J59="BUY",$J59="SELL"),ISNUMBER($U59)),$U59,"")</f>
        <v/>
      </c>
      <c r="AU59">
        <f>IF(AND(OR($J59="BUY",$J59="SELL"),ISNUMBER($AK59)),$AK59,"")</f>
        <v/>
      </c>
      <c r="AV59">
        <f>IF(ISNUMBER($AT59),ABS(IF(ISNUMBER($I59),$I59,0)-Settings!$B$24),"")</f>
        <v/>
      </c>
      <c r="AW59">
        <f>IF(ISNUMBER($AV59),$AV59*$AT59,"")</f>
        <v/>
      </c>
      <c r="AX59">
        <f>IF(ISNUMBER($AU59),ABS(IF(ISNUMBER($I59),$I59,0)-Settings!$B$24),"")</f>
        <v/>
      </c>
      <c r="AY59">
        <f>IF(ISNUMBER($AX59),$AX59*$AU59,"")</f>
        <v/>
      </c>
      <c r="AZ59">
        <f>IF($A59="","",IFERROR(INDEX(Company_List!$H$3:$H$207,MATCH($A59,Company_List!$A$3:$A$207,0)),"unassigned"))</f>
        <v/>
      </c>
      <c r="BC59">
        <f>IF($A59="","",IF(COUNTIFS($A$3:$A59,$A59,$C$3:$C59,$C59,$D$3:$D59,$D59,$G$3:$G59,$G59)=1,1,0))</f>
        <v/>
      </c>
      <c r="BG59" t="inlineStr">
        <is>
          <t>no</t>
        </is>
      </c>
      <c r="BK59">
        <f>IF(OR($H59&lt;&gt;"Human",$S59="",$J59="",$Y59="",$Z59=""),"",IF(EXACT(UPPER($J59),UPPER($Y59)),1,0))</f>
        <v/>
      </c>
      <c r="BL59" t="inlineStr">
        <is>
          <t>assumed - no rater record</t>
        </is>
      </c>
      <c r="BM59" t="n">
        <v>2</v>
      </c>
      <c r="BN59" t="inlineStr">
        <is>
          <t>The Motley Fool</t>
        </is>
      </c>
      <c r="BO59" t="inlineStr">
        <is>
          <t>free to read, copyright asserted</t>
        </is>
      </c>
      <c r="BP59" t="inlineStr">
        <is>
          <t>no</t>
        </is>
      </c>
      <c r="BQ59" t="inlineStr">
        <is>
          <t>no</t>
        </is>
      </c>
    </row>
    <row r="60" ht="16.35" customHeight="1">
      <c r="A60" s="95" t="inlineStr">
        <is>
          <t>Target</t>
        </is>
      </c>
      <c r="B60" s="96">
        <f>IF(A60="","",_xlfn.XLOOKUP(A60, Company_List!$A:$A, Company_List!$B:$B, ""))</f>
        <v/>
      </c>
      <c r="C60" s="21" t="n">
        <v>2025</v>
      </c>
      <c r="D60" s="20" t="inlineStr">
        <is>
          <t>Q2</t>
        </is>
      </c>
      <c r="E60" s="19" t="inlineStr">
        <is>
          <t>Transcript</t>
        </is>
      </c>
      <c r="F60" s="19" t="inlineStr">
        <is>
          <t>All</t>
        </is>
      </c>
      <c r="G60" s="20" t="inlineStr">
        <is>
          <t>Anna</t>
        </is>
      </c>
      <c r="H60" s="20" t="inlineStr">
        <is>
          <t>Human</t>
        </is>
      </c>
      <c r="I60" s="127" t="n">
        <v>0.3</v>
      </c>
      <c r="J60" s="145">
        <f>IF(OR(I60="",Settings!$B$6=""),"",IF(I60&gt;Settings!$B$6,"BUY",IF(I60&lt;-Settings!$B$6,"SELL","HOLD")))</f>
        <v/>
      </c>
      <c r="K60" s="139" t="n">
        <v>35</v>
      </c>
      <c r="L60" s="123" t="n">
        <v>45889</v>
      </c>
      <c r="M60" s="123" t="n">
        <v>45889</v>
      </c>
      <c r="N60" s="127" t="n">
        <v>98.69</v>
      </c>
      <c r="O60" s="123" t="n">
        <v>45890</v>
      </c>
      <c r="P60" s="22" t="n">
        <v>98.48999999999999</v>
      </c>
      <c r="Q60" s="148">
        <f>IF(OR(N60="",P60=""),"",ROUND((P60-N60)/N60,4))</f>
        <v/>
      </c>
      <c r="R60" s="20">
        <f>IF(OR(N60="",P60=""),"",IF(Q60&gt;Settings!$B$3/100,"UP",IF(Q60&lt;-Settings!$B$3/100,"DOWN","FLAT")))</f>
        <v/>
      </c>
      <c r="S60" s="20">
        <f>IF(OR(N60="",P60="",J60=""),"",IF(OR(AND(J60="BUY",R60="UP"),AND(J60="SELL",R60="DOWN"),AND(J60="HOLD",R60="FLAT")),"YES","NO"))</f>
        <v/>
      </c>
      <c r="T60" s="21">
        <f>IF(J60="","",IF(J60="BUY",1,IF(J60="SELL",-1,0)))</f>
        <v/>
      </c>
      <c r="U60" s="148">
        <f>IFERROR(IF(OR(J60="",N60="",P60=""),"",IF(T60=0,0,T60*Q60-Settings!$B$4/10000-IF(T60&lt;0,Settings!$B$5/10000,0))),"")</f>
        <v/>
      </c>
      <c r="V60" s="23" t="n"/>
      <c r="W60" s="21">
        <f>IF($K60="","",$K60*60)</f>
        <v/>
      </c>
      <c r="X60" s="91">
        <f>IF($A60="","",$A60&amp;"|"&amp;$C60&amp;"|"&amp;$D60)</f>
        <v/>
      </c>
      <c r="Y60" s="91">
        <f>IFERROR(IF($X60="","",INDEX(LLM_Data_Entry!$H$3:$H$548,MATCH($X60,INDEX(LLM_Data_Entry!$A$3:$A$548&amp;"|"&amp;LLM_Data_Entry!$C$3:$C$548&amp;"|"&amp;LLM_Data_Entry!$D$3:$D$548,0),0))),"")</f>
        <v/>
      </c>
      <c r="Z60" s="91">
        <f>IFERROR(IF($X60="","",INDEX(LLM_Data_Entry!$R$3:$R$548,MATCH($X60,INDEX(LLM_Data_Entry!$A$3:$A$548&amp;"|"&amp;LLM_Data_Entry!$C$3:$C$548&amp;"|"&amp;LLM_Data_Entry!$D$3:$D$548,0),0))),"")</f>
        <v/>
      </c>
      <c r="AB60" t="inlineStr">
        <is>
          <t>release date + stated time</t>
        </is>
      </c>
      <c r="AC60" t="inlineStr">
        <is>
          <t>TGT</t>
        </is>
      </c>
      <c r="AD60" t="inlineStr">
        <is>
          <t>2025-08-19</t>
        </is>
      </c>
      <c r="AE60" t="n">
        <v>102.0369</v>
      </c>
      <c r="AF60" t="inlineStr">
        <is>
          <t>2025-08-20</t>
        </is>
      </c>
      <c r="AG60" t="n">
        <v>91.43219999999999</v>
      </c>
      <c r="AH60" t="n">
        <v>-0.1039292512694035</v>
      </c>
      <c r="AI60" t="inlineStr">
        <is>
          <t>DOWN</t>
        </is>
      </c>
      <c r="AJ60" t="inlineStr">
        <is>
          <t>NO</t>
        </is>
      </c>
      <c r="AK60" t="n">
        <v>-0.104929</v>
      </c>
      <c r="AL60">
        <f>IF($A60="","",IFERROR(INDEX(Company_List!$G$3:$G$207,MATCH($A60,Company_List!$A$3:$A$207,0)),"unassigned"))</f>
        <v/>
      </c>
      <c r="AM60" t="inlineStr">
        <is>
          <t>Phase 2/Target/2025-Q2/TGT-2025-Q2-earnings-call-transcript-corporate-target-com.pdf</t>
        </is>
      </c>
      <c r="AN60" t="inlineStr">
        <is>
          <t>https://corporate.target.com/getmedia/c5751599-850d-4bb0-b599-d8ac55a91156/2025-august-20-tgt-transcript.pdf</t>
        </is>
      </c>
      <c r="AO60" t="inlineStr">
        <is>
          <t>manifest</t>
        </is>
      </c>
      <c r="AP60">
        <f>IF($A60="","",IF(COUNTIFS(LLM_Data_Entry!$A$3:$A$548,$A60)&gt;0,"YES","NO"))</f>
        <v/>
      </c>
      <c r="AQ60">
        <f>IF($A60="","",IF(COUNTIFS($A$3:$A60,$A60,$C$3:$C60,$C60,$D$3:$D60,$D60)=1,"YES","NO"))</f>
        <v/>
      </c>
      <c r="AR60">
        <f>IF($A60="","",IF(AND($C60&amp;"-"&amp;$D60&gt;=Settings!$B$19,$C60&amp;"-"&amp;$D60&lt;=Settings!$B$20),"IN","OUT"))</f>
        <v/>
      </c>
      <c r="AS60">
        <f>IF($A60="","",IF($F60="Financial Results","financials",IF($F60="Outlook/Guidance","guidance",IF($F60="Transcript Q&amp;A","qanda",IF($F60="","unrecorded",IF($E60="All","full",IF($E60="","unrecorded",LOWER($E60)&amp;" only")))))))</f>
        <v/>
      </c>
      <c r="AT60">
        <f>IF(AND(OR($J60="BUY",$J60="SELL"),ISNUMBER($U60)),$U60,"")</f>
        <v/>
      </c>
      <c r="AU60">
        <f>IF(AND(OR($J60="BUY",$J60="SELL"),ISNUMBER($AK60)),$AK60,"")</f>
        <v/>
      </c>
      <c r="AV60">
        <f>IF(ISNUMBER($AT60),ABS(IF(ISNUMBER($I60),$I60,0)-Settings!$B$24),"")</f>
        <v/>
      </c>
      <c r="AW60">
        <f>IF(ISNUMBER($AV60),$AV60*$AT60,"")</f>
        <v/>
      </c>
      <c r="AX60">
        <f>IF(ISNUMBER($AU60),ABS(IF(ISNUMBER($I60),$I60,0)-Settings!$B$24),"")</f>
        <v/>
      </c>
      <c r="AY60">
        <f>IF(ISNUMBER($AX60),$AX60*$AU60,"")</f>
        <v/>
      </c>
      <c r="AZ60">
        <f>IF($A60="","",IFERROR(INDEX(Company_List!$H$3:$H$207,MATCH($A60,Company_List!$A$3:$A$207,0)),"unassigned"))</f>
        <v/>
      </c>
      <c r="BC60">
        <f>IF($A60="","",IF(COUNTIFS($A$3:$A60,$A60,$C$3:$C60,$C60,$D$3:$D60,$D60,$G$3:$G60,$G60)=1,1,0))</f>
        <v/>
      </c>
      <c r="BG60" t="inlineStr">
        <is>
          <t>no</t>
        </is>
      </c>
      <c r="BK60">
        <f>IF(OR($H60&lt;&gt;"Human",$S60="",$J60="",$Y60="",$Z60=""),"",IF(EXACT(UPPER($J60),UPPER($Y60)),1,0))</f>
        <v/>
      </c>
      <c r="BL60" t="inlineStr">
        <is>
          <t>assumed - no rater record</t>
        </is>
      </c>
      <c r="BM60" t="n">
        <v>1</v>
      </c>
      <c r="BN60" t="inlineStr">
        <is>
          <t>Refinitiv / LSEG StreetEvents</t>
        </is>
      </c>
      <c r="BO60" t="inlineStr">
        <is>
          <t>licensed vendor</t>
        </is>
      </c>
      <c r="BP60" t="inlineStr">
        <is>
          <t>no</t>
        </is>
      </c>
      <c r="BQ60" t="inlineStr">
        <is>
          <t>yes</t>
        </is>
      </c>
    </row>
    <row r="61" ht="16.35" customHeight="1">
      <c r="A61" s="95" t="inlineStr">
        <is>
          <t>Target</t>
        </is>
      </c>
      <c r="B61" s="96">
        <f>IF(A61="","",_xlfn.XLOOKUP(A61, Company_List!$A:$A, Company_List!$B:$B, ""))</f>
        <v/>
      </c>
      <c r="C61" s="21" t="n">
        <v>2025</v>
      </c>
      <c r="D61" s="20" t="inlineStr">
        <is>
          <t>Q1</t>
        </is>
      </c>
      <c r="E61" s="19" t="inlineStr">
        <is>
          <t>Transcript</t>
        </is>
      </c>
      <c r="F61" s="19" t="inlineStr">
        <is>
          <t>All</t>
        </is>
      </c>
      <c r="G61" s="20" t="inlineStr">
        <is>
          <t>Anna</t>
        </is>
      </c>
      <c r="H61" s="20" t="inlineStr">
        <is>
          <t>Human</t>
        </is>
      </c>
      <c r="I61" s="127" t="n">
        <v>0.3</v>
      </c>
      <c r="J61" s="145">
        <f>IF(OR(I61="",Settings!$B$6=""),"",IF(I61&gt;Settings!$B$6,"BUY",IF(I61&lt;-Settings!$B$6,"SELL","HOLD")))</f>
        <v/>
      </c>
      <c r="K61" s="139" t="n">
        <v>32</v>
      </c>
      <c r="L61" s="123" t="n">
        <v>45798</v>
      </c>
      <c r="M61" s="123" t="n">
        <v>45798</v>
      </c>
      <c r="N61" s="127" t="n">
        <v>93.01000000000001</v>
      </c>
      <c r="O61" s="123" t="n">
        <v>45799</v>
      </c>
      <c r="P61" s="22" t="n">
        <v>92.17</v>
      </c>
      <c r="Q61" s="148">
        <f>IF(OR(N61="",P61=""),"",ROUND((P61-N61)/N61,4))</f>
        <v/>
      </c>
      <c r="R61" s="20">
        <f>IF(OR(N61="",P61=""),"",IF(Q61&gt;Settings!$B$3/100,"UP",IF(Q61&lt;-Settings!$B$3/100,"DOWN","FLAT")))</f>
        <v/>
      </c>
      <c r="S61" s="20">
        <f>IF(OR(N61="",P61="",J61=""),"",IF(OR(AND(J61="BUY",R61="UP"),AND(J61="SELL",R61="DOWN"),AND(J61="HOLD",R61="FLAT")),"YES","NO"))</f>
        <v/>
      </c>
      <c r="T61" s="21">
        <f>IF(J61="","",IF(J61="BUY",1,IF(J61="SELL",-1,0)))</f>
        <v/>
      </c>
      <c r="U61" s="148">
        <f>IFERROR(IF(OR(J61="",N61="",P61=""),"",IF(T61=0,0,T61*Q61-Settings!$B$4/10000-IF(T61&lt;0,Settings!$B$5/10000,0))),"")</f>
        <v/>
      </c>
      <c r="V61" s="23" t="n"/>
      <c r="W61" s="21">
        <f>IF($K61="","",$K61*60)</f>
        <v/>
      </c>
      <c r="X61" s="91">
        <f>IF($A61="","",$A61&amp;"|"&amp;$C61&amp;"|"&amp;$D61)</f>
        <v/>
      </c>
      <c r="Y61" s="91">
        <f>IFERROR(IF($X61="","",INDEX(LLM_Data_Entry!$H$3:$H$548,MATCH($X61,INDEX(LLM_Data_Entry!$A$3:$A$548&amp;"|"&amp;LLM_Data_Entry!$C$3:$C$548&amp;"|"&amp;LLM_Data_Entry!$D$3:$D$548,0),0))),"")</f>
        <v/>
      </c>
      <c r="Z61" s="91">
        <f>IFERROR(IF($X61="","",INDEX(LLM_Data_Entry!$R$3:$R$548,MATCH($X61,INDEX(LLM_Data_Entry!$A$3:$A$548&amp;"|"&amp;LLM_Data_Entry!$C$3:$C$548&amp;"|"&amp;LLM_Data_Entry!$D$3:$D$548,0),0))),"")</f>
        <v/>
      </c>
      <c r="AB61" t="inlineStr">
        <is>
          <t>release date + stated time</t>
        </is>
      </c>
      <c r="AC61" t="inlineStr">
        <is>
          <t>TGT</t>
        </is>
      </c>
      <c r="AD61" t="inlineStr">
        <is>
          <t>2025-05-20</t>
        </is>
      </c>
      <c r="AE61" t="n">
        <v>94.0057</v>
      </c>
      <c r="AF61" t="inlineStr">
        <is>
          <t>2025-05-21</t>
        </is>
      </c>
      <c r="AG61" t="n">
        <v>87.66330000000001</v>
      </c>
      <c r="AH61" t="n">
        <v>-0.06746838049408189</v>
      </c>
      <c r="AI61" t="inlineStr">
        <is>
          <t>DOWN</t>
        </is>
      </c>
      <c r="AJ61" t="inlineStr">
        <is>
          <t>NO</t>
        </is>
      </c>
      <c r="AK61" t="n">
        <v>-0.068468</v>
      </c>
      <c r="AL61">
        <f>IF($A61="","",IFERROR(INDEX(Company_List!$G$3:$G$207,MATCH($A61,Company_List!$A$3:$A$207,0)),"unassigned"))</f>
        <v/>
      </c>
      <c r="AM61" t="inlineStr">
        <is>
          <t>Phase 2/Target/2025-Q1/TGT-2025-Q1-earnings-call-transcript-corporate-target-com.pdf</t>
        </is>
      </c>
      <c r="AN61" t="inlineStr">
        <is>
          <t>https://corporate.target.com/getmedia/9c383747-166d-4310-b91f-cd77b7d06433/2025-May-21-TGT-Transcript.pdf%C2%A0%C2%A0</t>
        </is>
      </c>
      <c r="AO61" t="inlineStr">
        <is>
          <t>manifest</t>
        </is>
      </c>
      <c r="AP61">
        <f>IF($A61="","",IF(COUNTIFS(LLM_Data_Entry!$A$3:$A$548,$A61)&gt;0,"YES","NO"))</f>
        <v/>
      </c>
      <c r="AQ61">
        <f>IF($A61="","",IF(COUNTIFS($A$3:$A61,$A61,$C$3:$C61,$C61,$D$3:$D61,$D61)=1,"YES","NO"))</f>
        <v/>
      </c>
      <c r="AR61">
        <f>IF($A61="","",IF(AND($C61&amp;"-"&amp;$D61&gt;=Settings!$B$19,$C61&amp;"-"&amp;$D61&lt;=Settings!$B$20),"IN","OUT"))</f>
        <v/>
      </c>
      <c r="AS61">
        <f>IF($A61="","",IF($F61="Financial Results","financials",IF($F61="Outlook/Guidance","guidance",IF($F61="Transcript Q&amp;A","qanda",IF($F61="","unrecorded",IF($E61="All","full",IF($E61="","unrecorded",LOWER($E61)&amp;" only")))))))</f>
        <v/>
      </c>
      <c r="AT61">
        <f>IF(AND(OR($J61="BUY",$J61="SELL"),ISNUMBER($U61)),$U61,"")</f>
        <v/>
      </c>
      <c r="AU61">
        <f>IF(AND(OR($J61="BUY",$J61="SELL"),ISNUMBER($AK61)),$AK61,"")</f>
        <v/>
      </c>
      <c r="AV61">
        <f>IF(ISNUMBER($AT61),ABS(IF(ISNUMBER($I61),$I61,0)-Settings!$B$24),"")</f>
        <v/>
      </c>
      <c r="AW61">
        <f>IF(ISNUMBER($AV61),$AV61*$AT61,"")</f>
        <v/>
      </c>
      <c r="AX61">
        <f>IF(ISNUMBER($AU61),ABS(IF(ISNUMBER($I61),$I61,0)-Settings!$B$24),"")</f>
        <v/>
      </c>
      <c r="AY61">
        <f>IF(ISNUMBER($AX61),$AX61*$AU61,"")</f>
        <v/>
      </c>
      <c r="AZ61">
        <f>IF($A61="","",IFERROR(INDEX(Company_List!$H$3:$H$207,MATCH($A61,Company_List!$A$3:$A$207,0)),"unassigned"))</f>
        <v/>
      </c>
      <c r="BC61">
        <f>IF($A61="","",IF(COUNTIFS($A$3:$A61,$A61,$C$3:$C61,$C61,$D$3:$D61,$D61,$G$3:$G61,$G61)=1,1,0))</f>
        <v/>
      </c>
      <c r="BG61" t="inlineStr">
        <is>
          <t>no</t>
        </is>
      </c>
      <c r="BK61">
        <f>IF(OR($H61&lt;&gt;"Human",$S61="",$J61="",$Y61="",$Z61=""),"",IF(EXACT(UPPER($J61),UPPER($Y61)),1,0))</f>
        <v/>
      </c>
      <c r="BL61" t="inlineStr">
        <is>
          <t>assumed - no rater record</t>
        </is>
      </c>
      <c r="BM61" t="n">
        <v>1</v>
      </c>
      <c r="BN61" t="inlineStr">
        <is>
          <t>Refinitiv / LSEG StreetEvents</t>
        </is>
      </c>
      <c r="BO61" t="inlineStr">
        <is>
          <t>licensed vendor</t>
        </is>
      </c>
      <c r="BP61" t="inlineStr">
        <is>
          <t>no</t>
        </is>
      </c>
      <c r="BQ61" t="inlineStr">
        <is>
          <t>yes</t>
        </is>
      </c>
    </row>
    <row r="62" ht="16.35" customHeight="1">
      <c r="A62" s="95" t="inlineStr">
        <is>
          <t>Target</t>
        </is>
      </c>
      <c r="B62" s="96">
        <f>IF(A62="","",_xlfn.XLOOKUP(A62, Company_List!$A:$A, Company_List!$B:$B, ""))</f>
        <v/>
      </c>
      <c r="C62" s="21" t="n">
        <v>2025</v>
      </c>
      <c r="D62" s="20" t="inlineStr">
        <is>
          <t>Q3</t>
        </is>
      </c>
      <c r="E62" s="19" t="inlineStr">
        <is>
          <t>Transcript</t>
        </is>
      </c>
      <c r="F62" s="19" t="inlineStr">
        <is>
          <t>All</t>
        </is>
      </c>
      <c r="G62" s="20" t="inlineStr">
        <is>
          <t>Anna</t>
        </is>
      </c>
      <c r="H62" s="20" t="inlineStr">
        <is>
          <t>Human</t>
        </is>
      </c>
      <c r="I62" s="127" t="n">
        <v>0.2</v>
      </c>
      <c r="J62" s="145">
        <f>IF(OR(I62="",Settings!$B$6=""),"",IF(I62&gt;Settings!$B$6,"BUY",IF(I62&lt;-Settings!$B$6,"SELL","HOLD")))</f>
        <v/>
      </c>
      <c r="K62" s="139" t="n">
        <v>27</v>
      </c>
      <c r="L62" s="123" t="n">
        <v>45980</v>
      </c>
      <c r="M62" s="123" t="n">
        <v>45980</v>
      </c>
      <c r="N62" s="127" t="n">
        <v>86.08</v>
      </c>
      <c r="O62" s="123" t="n">
        <v>45981</v>
      </c>
      <c r="P62" s="22" t="n">
        <v>86.16</v>
      </c>
      <c r="Q62" s="148">
        <f>IF(OR(N62="",P62=""),"",ROUND((P62-N62)/N62,4))</f>
        <v/>
      </c>
      <c r="R62" s="20">
        <f>IF(OR(N62="",P62=""),"",IF(Q62&gt;Settings!$B$3/100,"UP",IF(Q62&lt;-Settings!$B$3/100,"DOWN","FLAT")))</f>
        <v/>
      </c>
      <c r="S62" s="20">
        <f>IF(OR(N62="",P62="",J62=""),"",IF(OR(AND(J62="BUY",R62="UP"),AND(J62="SELL",R62="DOWN"),AND(J62="HOLD",R62="FLAT")),"YES","NO"))</f>
        <v/>
      </c>
      <c r="T62" s="21">
        <f>IF(J62="","",IF(J62="BUY",1,IF(J62="SELL",-1,0)))</f>
        <v/>
      </c>
      <c r="U62" s="148">
        <f>IFERROR(IF(OR(J62="",N62="",P62=""),"",IF(T62=0,0,T62*Q62-Settings!$B$4/10000-IF(T62&lt;0,Settings!$B$5/10000,0))),"")</f>
        <v/>
      </c>
      <c r="V62" s="23" t="n"/>
      <c r="W62" s="21">
        <f>IF($K62="","",$K62*60)</f>
        <v/>
      </c>
      <c r="X62" s="91">
        <f>IF($A62="","",$A62&amp;"|"&amp;$C62&amp;"|"&amp;$D62)</f>
        <v/>
      </c>
      <c r="Y62" s="91">
        <f>IFERROR(IF($X62="","",INDEX(LLM_Data_Entry!$H$3:$H$548,MATCH($X62,INDEX(LLM_Data_Entry!$A$3:$A$548&amp;"|"&amp;LLM_Data_Entry!$C$3:$C$548&amp;"|"&amp;LLM_Data_Entry!$D$3:$D$548,0),0))),"")</f>
        <v/>
      </c>
      <c r="Z62" s="91">
        <f>IFERROR(IF($X62="","",INDEX(LLM_Data_Entry!$R$3:$R$548,MATCH($X62,INDEX(LLM_Data_Entry!$A$3:$A$548&amp;"|"&amp;LLM_Data_Entry!$C$3:$C$548&amp;"|"&amp;LLM_Data_Entry!$D$3:$D$548,0),0))),"")</f>
        <v/>
      </c>
      <c r="AB62" t="inlineStr">
        <is>
          <t>release date + stated time</t>
        </is>
      </c>
      <c r="AC62" t="inlineStr">
        <is>
          <t>TGT</t>
        </is>
      </c>
      <c r="AD62" t="inlineStr">
        <is>
          <t>2025-11-18</t>
        </is>
      </c>
      <c r="AE62" t="n">
        <v>86.8184</v>
      </c>
      <c r="AF62" t="inlineStr">
        <is>
          <t>2025-11-19</t>
        </is>
      </c>
      <c r="AG62" t="n">
        <v>84.7492</v>
      </c>
      <c r="AH62" t="n">
        <v>-0.02383377009660183</v>
      </c>
      <c r="AI62" t="inlineStr">
        <is>
          <t>DOWN</t>
        </is>
      </c>
      <c r="AJ62" t="inlineStr">
        <is>
          <t>NO</t>
        </is>
      </c>
      <c r="AK62" t="n">
        <v>0</v>
      </c>
      <c r="AL62">
        <f>IF($A62="","",IFERROR(INDEX(Company_List!$G$3:$G$207,MATCH($A62,Company_List!$A$3:$A$207,0)),"unassigned"))</f>
        <v/>
      </c>
      <c r="AM62" t="inlineStr">
        <is>
          <t>Phase 2/Target/2025-Q3/TGT-2025-Q3-earnings-call-transcript-corporate-target-com.pdf</t>
        </is>
      </c>
      <c r="AN62" t="inlineStr">
        <is>
          <t>https://corporate.target.com/getmedia/1b701222-ff3c-4f65-b4b7-d0de5511f9a4/TGT-Transcript-2025-11-19.pdf</t>
        </is>
      </c>
      <c r="AO62" t="inlineStr">
        <is>
          <t>manifest</t>
        </is>
      </c>
      <c r="AP62">
        <f>IF($A62="","",IF(COUNTIFS(LLM_Data_Entry!$A$3:$A$548,$A62)&gt;0,"YES","NO"))</f>
        <v/>
      </c>
      <c r="AQ62">
        <f>IF($A62="","",IF(COUNTIFS($A$3:$A62,$A62,$C$3:$C62,$C62,$D$3:$D62,$D62)=1,"YES","NO"))</f>
        <v/>
      </c>
      <c r="AR62">
        <f>IF($A62="","",IF(AND($C62&amp;"-"&amp;$D62&gt;=Settings!$B$19,$C62&amp;"-"&amp;$D62&lt;=Settings!$B$20),"IN","OUT"))</f>
        <v/>
      </c>
      <c r="AS62">
        <f>IF($A62="","",IF($F62="Financial Results","financials",IF($F62="Outlook/Guidance","guidance",IF($F62="Transcript Q&amp;A","qanda",IF($F62="","unrecorded",IF($E62="All","full",IF($E62="","unrecorded",LOWER($E62)&amp;" only")))))))</f>
        <v/>
      </c>
      <c r="AT62">
        <f>IF(AND(OR($J62="BUY",$J62="SELL"),ISNUMBER($U62)),$U62,"")</f>
        <v/>
      </c>
      <c r="AU62">
        <f>IF(AND(OR($J62="BUY",$J62="SELL"),ISNUMBER($AK62)),$AK62,"")</f>
        <v/>
      </c>
      <c r="AV62">
        <f>IF(ISNUMBER($AT62),ABS(IF(ISNUMBER($I62),$I62,0)-Settings!$B$24),"")</f>
        <v/>
      </c>
      <c r="AW62">
        <f>IF(ISNUMBER($AV62),$AV62*$AT62,"")</f>
        <v/>
      </c>
      <c r="AX62">
        <f>IF(ISNUMBER($AU62),ABS(IF(ISNUMBER($I62),$I62,0)-Settings!$B$24),"")</f>
        <v/>
      </c>
      <c r="AY62">
        <f>IF(ISNUMBER($AX62),$AX62*$AU62,"")</f>
        <v/>
      </c>
      <c r="AZ62">
        <f>IF($A62="","",IFERROR(INDEX(Company_List!$H$3:$H$207,MATCH($A62,Company_List!$A$3:$A$207,0)),"unassigned"))</f>
        <v/>
      </c>
      <c r="BC62">
        <f>IF($A62="","",IF(COUNTIFS($A$3:$A62,$A62,$C$3:$C62,$C62,$D$3:$D62,$D62,$G$3:$G62,$G62)=1,1,0))</f>
        <v/>
      </c>
      <c r="BG62" t="inlineStr">
        <is>
          <t>no</t>
        </is>
      </c>
      <c r="BK62">
        <f>IF(OR($H62&lt;&gt;"Human",$S62="",$J62="",$Y62="",$Z62=""),"",IF(EXACT(UPPER($J62),UPPER($Y62)),1,0))</f>
        <v/>
      </c>
      <c r="BL62" t="inlineStr">
        <is>
          <t>assumed - no rater record</t>
        </is>
      </c>
      <c r="BM62" t="n">
        <v>1</v>
      </c>
      <c r="BN62" t="inlineStr">
        <is>
          <t>Refinitiv / LSEG StreetEvents</t>
        </is>
      </c>
      <c r="BO62" t="inlineStr">
        <is>
          <t>licensed vendor</t>
        </is>
      </c>
      <c r="BP62" t="inlineStr">
        <is>
          <t>no</t>
        </is>
      </c>
      <c r="BQ62" t="inlineStr">
        <is>
          <t>yes</t>
        </is>
      </c>
    </row>
    <row r="63" ht="16.35" customHeight="1">
      <c r="A63" s="95" t="inlineStr">
        <is>
          <t>Target</t>
        </is>
      </c>
      <c r="B63" s="96">
        <f>IF(A63="","",_xlfn.XLOOKUP(A63, Company_List!$A:$A, Company_List!$B:$B, ""))</f>
        <v/>
      </c>
      <c r="C63" s="21" t="n">
        <v>2026</v>
      </c>
      <c r="D63" s="20" t="inlineStr">
        <is>
          <t>Q1</t>
        </is>
      </c>
      <c r="E63" s="19" t="inlineStr">
        <is>
          <t>Transcript</t>
        </is>
      </c>
      <c r="F63" s="19" t="inlineStr">
        <is>
          <t>All</t>
        </is>
      </c>
      <c r="G63" s="20" t="inlineStr">
        <is>
          <t>Anna</t>
        </is>
      </c>
      <c r="H63" s="20" t="inlineStr">
        <is>
          <t>Human</t>
        </is>
      </c>
      <c r="I63" s="127" t="n">
        <v>0.4</v>
      </c>
      <c r="J63" s="145">
        <f>IF(OR(I63="",Settings!$B$6=""),"",IF(I63&gt;Settings!$B$6,"BUY",IF(I63&lt;-Settings!$B$6,"SELL","HOLD")))</f>
        <v/>
      </c>
      <c r="K63" s="139" t="n">
        <v>29</v>
      </c>
      <c r="L63" s="123" t="n">
        <v>46162</v>
      </c>
      <c r="M63" s="123" t="n">
        <v>46162</v>
      </c>
      <c r="N63" s="127" t="n">
        <v>122.33</v>
      </c>
      <c r="O63" s="123" t="n">
        <v>46163</v>
      </c>
      <c r="P63" s="22" t="n">
        <v>120.83</v>
      </c>
      <c r="Q63" s="148">
        <f>IF(OR(N63="",P63=""),"",ROUND((P63-N63)/N63,4))</f>
        <v/>
      </c>
      <c r="R63" s="20">
        <f>IF(OR(N63="",P63=""),"",IF(Q63&gt;Settings!$B$3/100,"UP",IF(Q63&lt;-Settings!$B$3/100,"DOWN","FLAT")))</f>
        <v/>
      </c>
      <c r="S63" s="20">
        <f>IF(OR(N63="",P63="",J63=""),"",IF(OR(AND(J63="BUY",R63="UP"),AND(J63="SELL",R63="DOWN"),AND(J63="HOLD",R63="FLAT")),"YES","NO"))</f>
        <v/>
      </c>
      <c r="T63" s="21">
        <f>IF(J63="","",IF(J63="BUY",1,IF(J63="SELL",-1,0)))</f>
        <v/>
      </c>
      <c r="U63" s="148">
        <f>IFERROR(IF(OR(J63="",N63="",P63=""),"",IF(T63=0,0,T63*Q63-Settings!$B$4/10000-IF(T63&lt;0,Settings!$B$5/10000,0))),"")</f>
        <v/>
      </c>
      <c r="V63" s="23" t="n"/>
      <c r="W63" s="21">
        <f>IF($K63="","",$K63*60)</f>
        <v/>
      </c>
      <c r="X63" s="91">
        <f>IF($A63="","",$A63&amp;"|"&amp;$C63&amp;"|"&amp;$D63)</f>
        <v/>
      </c>
      <c r="Y63" s="91">
        <f>IFERROR(IF($X63="","",INDEX(LLM_Data_Entry!$H$3:$H$548,MATCH($X63,INDEX(LLM_Data_Entry!$A$3:$A$548&amp;"|"&amp;LLM_Data_Entry!$C$3:$C$548&amp;"|"&amp;LLM_Data_Entry!$D$3:$D$548,0),0))),"")</f>
        <v/>
      </c>
      <c r="Z63" s="91">
        <f>IFERROR(IF($X63="","",INDEX(LLM_Data_Entry!$R$3:$R$548,MATCH($X63,INDEX(LLM_Data_Entry!$A$3:$A$548&amp;"|"&amp;LLM_Data_Entry!$C$3:$C$548&amp;"|"&amp;LLM_Data_Entry!$D$3:$D$548,0),0))),"")</f>
        <v/>
      </c>
      <c r="AB63" t="inlineStr">
        <is>
          <t>release date + stated time</t>
        </is>
      </c>
      <c r="AC63" t="inlineStr">
        <is>
          <t>TGT</t>
        </is>
      </c>
      <c r="AD63" t="inlineStr">
        <is>
          <t>2026-05-19</t>
        </is>
      </c>
      <c r="AE63" t="n">
        <v>127.24</v>
      </c>
      <c r="AF63" t="inlineStr">
        <is>
          <t>2026-05-20</t>
        </is>
      </c>
      <c r="AG63" t="n">
        <v>120.21</v>
      </c>
      <c r="AH63" t="n">
        <v>-0.05524991441763465</v>
      </c>
      <c r="AI63" t="inlineStr">
        <is>
          <t>DOWN</t>
        </is>
      </c>
      <c r="AJ63" t="inlineStr">
        <is>
          <t>NO</t>
        </is>
      </c>
      <c r="AK63" t="n">
        <v>-0.05625</v>
      </c>
      <c r="AL63">
        <f>IF($A63="","",IFERROR(INDEX(Company_List!$G$3:$G$207,MATCH($A63,Company_List!$A$3:$A$207,0)),"unassigned"))</f>
        <v/>
      </c>
      <c r="AM63" t="inlineStr">
        <is>
          <t>Phase 2/Target/2026-Q1/TGT-2026-Q1-earnings-call-transcript-fool-com.html</t>
        </is>
      </c>
      <c r="AN63" t="inlineStr">
        <is>
          <t>https://www.fool.com/earnings/call-transcripts/2026/05/20/target-tgt-q1-2026-earnings-call-transcript/</t>
        </is>
      </c>
      <c r="AO63" t="inlineStr">
        <is>
          <t>manifest</t>
        </is>
      </c>
      <c r="AP63">
        <f>IF($A63="","",IF(COUNTIFS(LLM_Data_Entry!$A$3:$A$548,$A63)&gt;0,"YES","NO"))</f>
        <v/>
      </c>
      <c r="AQ63">
        <f>IF($A63="","",IF(COUNTIFS($A$3:$A63,$A63,$C$3:$C63,$C63,$D$3:$D63,$D63)=1,"YES","NO"))</f>
        <v/>
      </c>
      <c r="AR63">
        <f>IF($A63="","",IF(AND($C63&amp;"-"&amp;$D63&gt;=Settings!$B$19,$C63&amp;"-"&amp;$D63&lt;=Settings!$B$20),"IN","OUT"))</f>
        <v/>
      </c>
      <c r="AS63">
        <f>IF($A63="","",IF($F63="Financial Results","financials",IF($F63="Outlook/Guidance","guidance",IF($F63="Transcript Q&amp;A","qanda",IF($F63="","unrecorded",IF($E63="All","full",IF($E63="","unrecorded",LOWER($E63)&amp;" only")))))))</f>
        <v/>
      </c>
      <c r="AT63">
        <f>IF(AND(OR($J63="BUY",$J63="SELL"),ISNUMBER($U63)),$U63,"")</f>
        <v/>
      </c>
      <c r="AU63">
        <f>IF(AND(OR($J63="BUY",$J63="SELL"),ISNUMBER($AK63)),$AK63,"")</f>
        <v/>
      </c>
      <c r="AV63">
        <f>IF(ISNUMBER($AT63),ABS(IF(ISNUMBER($I63),$I63,0)-Settings!$B$24),"")</f>
        <v/>
      </c>
      <c r="AW63">
        <f>IF(ISNUMBER($AV63),$AV63*$AT63,"")</f>
        <v/>
      </c>
      <c r="AX63">
        <f>IF(ISNUMBER($AU63),ABS(IF(ISNUMBER($I63),$I63,0)-Settings!$B$24),"")</f>
        <v/>
      </c>
      <c r="AY63">
        <f>IF(ISNUMBER($AX63),$AX63*$AU63,"")</f>
        <v/>
      </c>
      <c r="AZ63">
        <f>IF($A63="","",IFERROR(INDEX(Company_List!$H$3:$H$207,MATCH($A63,Company_List!$A$3:$A$207,0)),"unassigned"))</f>
        <v/>
      </c>
      <c r="BC63">
        <f>IF($A63="","",IF(COUNTIFS($A$3:$A63,$A63,$C$3:$C63,$C63,$D$3:$D63,$D63,$G$3:$G63,$G63)=1,1,0))</f>
        <v/>
      </c>
      <c r="BG63" t="inlineStr">
        <is>
          <t>no</t>
        </is>
      </c>
      <c r="BK63">
        <f>IF(OR($H63&lt;&gt;"Human",$S63="",$J63="",$Y63="",$Z63=""),"",IF(EXACT(UPPER($J63),UPPER($Y63)),1,0))</f>
        <v/>
      </c>
      <c r="BL63" t="inlineStr">
        <is>
          <t>assumed - no rater record</t>
        </is>
      </c>
      <c r="BM63" t="n">
        <v>1</v>
      </c>
      <c r="BN63" t="inlineStr">
        <is>
          <t>The Motley Fool</t>
        </is>
      </c>
      <c r="BO63" t="inlineStr">
        <is>
          <t>free to read, copyright asserted</t>
        </is>
      </c>
      <c r="BP63" t="inlineStr">
        <is>
          <t>no</t>
        </is>
      </c>
      <c r="BQ63" t="inlineStr">
        <is>
          <t>yes</t>
        </is>
      </c>
    </row>
    <row r="64" ht="16.35" customHeight="1">
      <c r="A64" s="95" t="inlineStr">
        <is>
          <t>Nike</t>
        </is>
      </c>
      <c r="B64" s="96">
        <f>IF(A64="","",_xlfn.XLOOKUP(A64, Company_List!$A:$A, Company_List!$B:$B, ""))</f>
        <v/>
      </c>
      <c r="C64" s="21" t="n">
        <v>2025</v>
      </c>
      <c r="D64" s="20" t="inlineStr">
        <is>
          <t>Q1</t>
        </is>
      </c>
      <c r="E64" s="19" t="inlineStr">
        <is>
          <t>All</t>
        </is>
      </c>
      <c r="F64" s="19" t="inlineStr">
        <is>
          <t>All</t>
        </is>
      </c>
      <c r="G64" s="20" t="inlineStr">
        <is>
          <t>Meriem</t>
        </is>
      </c>
      <c r="H64" s="20" t="inlineStr">
        <is>
          <t>Human</t>
        </is>
      </c>
      <c r="I64" s="127" t="n">
        <v>-0.5</v>
      </c>
      <c r="J64" s="145">
        <f>IF(OR(I64="",Settings!$B$6=""),"",IF(I64&gt;Settings!$B$6,"BUY",IF(I64&lt;-Settings!$B$6,"SELL","HOLD")))</f>
        <v/>
      </c>
      <c r="K64" s="139" t="n">
        <v>19</v>
      </c>
      <c r="L64" s="123" t="n">
        <v>45566</v>
      </c>
      <c r="M64" s="123" t="n">
        <v>45566</v>
      </c>
      <c r="N64" s="127" t="n">
        <v>89.13</v>
      </c>
      <c r="O64" s="123" t="n">
        <v>45567</v>
      </c>
      <c r="P64" s="22" t="n">
        <v>82.89</v>
      </c>
      <c r="Q64" s="148">
        <f>IF(OR(N64="",P64=""),"",ROUND((P64-N64)/N64,4))</f>
        <v/>
      </c>
      <c r="R64" s="20">
        <f>IF(OR(N64="",P64=""),"",IF(Q64&gt;Settings!$B$3/100,"UP",IF(Q64&lt;-Settings!$B$3/100,"DOWN","FLAT")))</f>
        <v/>
      </c>
      <c r="S64" s="20">
        <f>IF(OR(N64="",P64="",J64=""),"",IF(OR(AND(J64="BUY",R64="UP"),AND(J64="SELL",R64="DOWN"),AND(J64="HOLD",R64="FLAT")),"YES","NO"))</f>
        <v/>
      </c>
      <c r="T64" s="21">
        <f>IF(J64="","",IF(J64="BUY",1,IF(J64="SELL",-1,0)))</f>
        <v/>
      </c>
      <c r="U64" s="148">
        <f>IFERROR(IF(OR(J64="",N64="",P64=""),"",IF(T64=0,0,T64*Q64-Settings!$B$4/10000-IF(T64&lt;0,Settings!$B$5/10000,0))),"")</f>
        <v/>
      </c>
      <c r="V64" s="23" t="inlineStr">
        <is>
          <t>new CEO; said bouncing back takes time; revenue down 10% and diluted EPS down 26%; no outlook for next quarter or year</t>
        </is>
      </c>
      <c r="W64" s="21">
        <f>IF($K64="","",$K64*60)</f>
        <v/>
      </c>
      <c r="X64" s="91">
        <f>IF($A64="","",$A64&amp;"|"&amp;$C64&amp;"|"&amp;$D64)</f>
        <v/>
      </c>
      <c r="Y64" s="91">
        <f>IFERROR(IF($X64="","",INDEX(LLM_Data_Entry!$H$3:$H$548,MATCH($X64,INDEX(LLM_Data_Entry!$A$3:$A$548&amp;"|"&amp;LLM_Data_Entry!$C$3:$C$548&amp;"|"&amp;LLM_Data_Entry!$D$3:$D$548,0),0))),"")</f>
        <v/>
      </c>
      <c r="Z64" s="91">
        <f>IFERROR(IF($X64="","",INDEX(LLM_Data_Entry!$R$3:$R$548,MATCH($X64,INDEX(LLM_Data_Entry!$A$3:$A$548&amp;"|"&amp;LLM_Data_Entry!$C$3:$C$548&amp;"|"&amp;LLM_Data_Entry!$D$3:$D$548,0),0))),"")</f>
        <v/>
      </c>
      <c r="AB64" t="inlineStr">
        <is>
          <t>price signal — only this window shows an abnormal move</t>
        </is>
      </c>
      <c r="AC64" t="inlineStr">
        <is>
          <t>NKE</t>
        </is>
      </c>
      <c r="AD64" t="inlineStr">
        <is>
          <t>2024-10-01</t>
        </is>
      </c>
      <c r="AE64" t="n">
        <v>85.3074</v>
      </c>
      <c r="AF64" t="inlineStr">
        <is>
          <t>2024-10-02</t>
        </is>
      </c>
      <c r="AG64" t="n">
        <v>79.33499999999999</v>
      </c>
      <c r="AH64" t="n">
        <v>-0.07001015486395322</v>
      </c>
      <c r="AI64" t="inlineStr">
        <is>
          <t>DOWN</t>
        </is>
      </c>
      <c r="AJ64" t="inlineStr">
        <is>
          <t>YES</t>
        </is>
      </c>
      <c r="AK64" t="n">
        <v>0.06901</v>
      </c>
      <c r="AL64">
        <f>IF($A64="","",IFERROR(INDEX(Company_List!$G$3:$G$207,MATCH($A64,Company_List!$A$3:$A$207,0)),"unassigned"))</f>
        <v/>
      </c>
      <c r="AM64" t="inlineStr">
        <is>
          <t>Phase 2/Nike/Q1 2025 Earnings Call Transcript.pdf; Phase 2/Nike/Q1 2025 - numbers.pdf</t>
        </is>
      </c>
      <c r="AO64" t="inlineStr">
        <is>
          <t>whole bundle (Document = All)</t>
        </is>
      </c>
      <c r="AP64">
        <f>IF($A64="","",IF(COUNTIFS(LLM_Data_Entry!$A$3:$A$548,$A64)&gt;0,"YES","NO"))</f>
        <v/>
      </c>
      <c r="AQ64">
        <f>IF($A64="","",IF(COUNTIFS($A$3:$A64,$A64,$C$3:$C64,$C64,$D$3:$D64,$D64)=1,"YES","NO"))</f>
        <v/>
      </c>
      <c r="AR64">
        <f>IF($A64="","",IF(AND($C64&amp;"-"&amp;$D64&gt;=Settings!$B$19,$C64&amp;"-"&amp;$D64&lt;=Settings!$B$20),"IN","OUT"))</f>
        <v/>
      </c>
      <c r="AS64">
        <f>IF($A64="","",IF($F64="Financial Results","financials",IF($F64="Outlook/Guidance","guidance",IF($F64="Transcript Q&amp;A","qanda",IF($F64="","unrecorded",IF($E64="All","full",IF($E64="","unrecorded",LOWER($E64)&amp;" only")))))))</f>
        <v/>
      </c>
      <c r="AT64">
        <f>IF(AND(OR($J64="BUY",$J64="SELL"),ISNUMBER($U64)),$U64,"")</f>
        <v/>
      </c>
      <c r="AU64">
        <f>IF(AND(OR($J64="BUY",$J64="SELL"),ISNUMBER($AK64)),$AK64,"")</f>
        <v/>
      </c>
      <c r="AV64">
        <f>IF(ISNUMBER($AT64),ABS(IF(ISNUMBER($I64),$I64,0)-Settings!$B$24),"")</f>
        <v/>
      </c>
      <c r="AW64">
        <f>IF(ISNUMBER($AV64),$AV64*$AT64,"")</f>
        <v/>
      </c>
      <c r="AX64">
        <f>IF(ISNUMBER($AU64),ABS(IF(ISNUMBER($I64),$I64,0)-Settings!$B$24),"")</f>
        <v/>
      </c>
      <c r="AY64">
        <f>IF(ISNUMBER($AX64),$AX64*$AU64,"")</f>
        <v/>
      </c>
      <c r="AZ64">
        <f>IF($A64="","",IFERROR(INDEX(Company_List!$H$3:$H$207,MATCH($A64,Company_List!$A$3:$A$207,0)),"unassigned"))</f>
        <v/>
      </c>
      <c r="BC64">
        <f>IF($A64="","",IF(COUNTIFS($A$3:$A64,$A64,$C$3:$C64,$C64,$D$3:$D64,$D64,$G$3:$G64,$G64)=1,1,0))</f>
        <v/>
      </c>
      <c r="BG64" t="inlineStr">
        <is>
          <t>no</t>
        </is>
      </c>
      <c r="BK64">
        <f>IF(OR($H64&lt;&gt;"Human",$S64="",$J64="",$Y64="",$Z64=""),"",IF(EXACT(UPPER($J64),UPPER($Y64)),1,0))</f>
        <v/>
      </c>
      <c r="BL64" t="inlineStr">
        <is>
          <t>assumed - no rater record</t>
        </is>
      </c>
      <c r="BM64" t="n">
        <v>2</v>
      </c>
      <c r="BN64" t="inlineStr">
        <is>
          <t>The Motley Fool</t>
        </is>
      </c>
      <c r="BO64" t="inlineStr">
        <is>
          <t>free to read, copyright asserted</t>
        </is>
      </c>
      <c r="BP64" t="inlineStr">
        <is>
          <t>no</t>
        </is>
      </c>
      <c r="BQ64" t="inlineStr">
        <is>
          <t>no</t>
        </is>
      </c>
    </row>
    <row r="65" ht="16.35" customHeight="1">
      <c r="A65" s="95" t="inlineStr">
        <is>
          <t>Nike</t>
        </is>
      </c>
      <c r="B65" s="96">
        <f>IF(A65="","",_xlfn.XLOOKUP(A65, Company_List!$A:$A, Company_List!$B:$B, ""))</f>
        <v/>
      </c>
      <c r="C65" s="21" t="n">
        <v>2025</v>
      </c>
      <c r="D65" s="20" t="inlineStr">
        <is>
          <t>Q2</t>
        </is>
      </c>
      <c r="E65" s="19" t="inlineStr">
        <is>
          <t>All</t>
        </is>
      </c>
      <c r="F65" s="19" t="inlineStr">
        <is>
          <t>All</t>
        </is>
      </c>
      <c r="G65" s="20" t="inlineStr">
        <is>
          <t>Meriem</t>
        </is>
      </c>
      <c r="H65" s="20" t="inlineStr">
        <is>
          <t>Human</t>
        </is>
      </c>
      <c r="I65" s="127" t="n">
        <v>-0.3</v>
      </c>
      <c r="J65" s="145">
        <f>IF(OR(I65="",Settings!$B$6=""),"",IF(I65&gt;Settings!$B$6,"BUY",IF(I65&lt;-Settings!$B$6,"SELL","HOLD")))</f>
        <v/>
      </c>
      <c r="K65" s="139" t="n">
        <v>25</v>
      </c>
      <c r="L65" s="123" t="n">
        <v>45645</v>
      </c>
      <c r="M65" s="123" t="n">
        <v>45645</v>
      </c>
      <c r="N65" s="127" t="n">
        <v>77.09999999999999</v>
      </c>
      <c r="O65" s="123" t="n">
        <v>45646</v>
      </c>
      <c r="P65" s="22" t="n">
        <v>75.95999999999999</v>
      </c>
      <c r="Q65" s="148">
        <f>IF(OR(N65="",P65=""),"",ROUND((P65-N65)/N65,4))</f>
        <v/>
      </c>
      <c r="R65" s="20">
        <f>IF(OR(N65="",P65=""),"",IF(Q65&gt;Settings!$B$3/100,"UP",IF(Q65&lt;-Settings!$B$3/100,"DOWN","FLAT")))</f>
        <v/>
      </c>
      <c r="S65" s="20">
        <f>IF(OR(N65="",P65="",J65=""),"",IF(OR(AND(J65="BUY",R65="UP"),AND(J65="SELL",R65="DOWN"),AND(J65="HOLD",R65="FLAT")),"YES","NO"))</f>
        <v/>
      </c>
      <c r="T65" s="21">
        <f>IF(J65="","",IF(J65="BUY",1,IF(J65="SELL",-1,0)))</f>
        <v/>
      </c>
      <c r="U65" s="148">
        <f>IFERROR(IF(OR(J65="",N65="",P65=""),"",IF(T65=0,0,T65*Q65-Settings!$B$4/10000-IF(T65&lt;0,Settings!$B$5/10000,0))),"")</f>
        <v/>
      </c>
      <c r="V65" s="23" t="inlineStr">
        <is>
          <t>still with new CEO so lots of changes being implemented and some chaos; revenue still down but slightly getting better hence the less aggressive sentiment score</t>
        </is>
      </c>
      <c r="W65" s="21">
        <f>IF($K65="","",$K65*60)</f>
        <v/>
      </c>
      <c r="X65" s="91">
        <f>IF($A65="","",$A65&amp;"|"&amp;$C65&amp;"|"&amp;$D65)</f>
        <v/>
      </c>
      <c r="Y65" s="91">
        <f>IFERROR(IF($X65="","",INDEX(LLM_Data_Entry!$H$3:$H$548,MATCH($X65,INDEX(LLM_Data_Entry!$A$3:$A$548&amp;"|"&amp;LLM_Data_Entry!$C$3:$C$548&amp;"|"&amp;LLM_Data_Entry!$D$3:$D$548,0),0))),"")</f>
        <v/>
      </c>
      <c r="Z65" s="91">
        <f>IFERROR(IF($X65="","",INDEX(LLM_Data_Entry!$R$3:$R$548,MATCH($X65,INDEX(LLM_Data_Entry!$A$3:$A$548&amp;"|"&amp;LLM_Data_Entry!$C$3:$C$548&amp;"|"&amp;LLM_Data_Entry!$D$3:$D$548,0),0))),"")</f>
        <v/>
      </c>
      <c r="AB65" t="inlineStr">
        <is>
          <t>earnings calendar, seconded independently</t>
        </is>
      </c>
      <c r="AC65" t="inlineStr">
        <is>
          <t>NKE</t>
        </is>
      </c>
      <c r="AD65" t="inlineStr">
        <is>
          <t>2024-12-19</t>
        </is>
      </c>
      <c r="AE65" t="n">
        <v>74.17</v>
      </c>
      <c r="AF65" t="inlineStr">
        <is>
          <t>2024-12-20</t>
        </is>
      </c>
      <c r="AG65" t="n">
        <v>73.0733</v>
      </c>
      <c r="AH65" t="n">
        <v>-0.014786076089275</v>
      </c>
      <c r="AI65" t="inlineStr">
        <is>
          <t>FLAT</t>
        </is>
      </c>
      <c r="AJ65" t="inlineStr">
        <is>
          <t>NO</t>
        </is>
      </c>
      <c r="AK65" t="n">
        <v>0.013786</v>
      </c>
      <c r="AL65">
        <f>IF($A65="","",IFERROR(INDEX(Company_List!$G$3:$G$207,MATCH($A65,Company_List!$A$3:$A$207,0)),"unassigned"))</f>
        <v/>
      </c>
      <c r="AM65" t="inlineStr">
        <is>
          <t>Phase 2/Nike/Q2 2025 Earnings Call Transcript.pdf; Phase 2/Nike/Q2 2025 - numbers.pdf</t>
        </is>
      </c>
      <c r="AO65" t="inlineStr">
        <is>
          <t>whole bundle (Document = All)</t>
        </is>
      </c>
      <c r="AP65">
        <f>IF($A65="","",IF(COUNTIFS(LLM_Data_Entry!$A$3:$A$548,$A65)&gt;0,"YES","NO"))</f>
        <v/>
      </c>
      <c r="AQ65">
        <f>IF($A65="","",IF(COUNTIFS($A$3:$A65,$A65,$C$3:$C65,$C65,$D$3:$D65,$D65)=1,"YES","NO"))</f>
        <v/>
      </c>
      <c r="AR65">
        <f>IF($A65="","",IF(AND($C65&amp;"-"&amp;$D65&gt;=Settings!$B$19,$C65&amp;"-"&amp;$D65&lt;=Settings!$B$20),"IN","OUT"))</f>
        <v/>
      </c>
      <c r="AS65">
        <f>IF($A65="","",IF($F65="Financial Results","financials",IF($F65="Outlook/Guidance","guidance",IF($F65="Transcript Q&amp;A","qanda",IF($F65="","unrecorded",IF($E65="All","full",IF($E65="","unrecorded",LOWER($E65)&amp;" only")))))))</f>
        <v/>
      </c>
      <c r="AT65">
        <f>IF(AND(OR($J65="BUY",$J65="SELL"),ISNUMBER($U65)),$U65,"")</f>
        <v/>
      </c>
      <c r="AU65">
        <f>IF(AND(OR($J65="BUY",$J65="SELL"),ISNUMBER($AK65)),$AK65,"")</f>
        <v/>
      </c>
      <c r="AV65">
        <f>IF(ISNUMBER($AT65),ABS(IF(ISNUMBER($I65),$I65,0)-Settings!$B$24),"")</f>
        <v/>
      </c>
      <c r="AW65">
        <f>IF(ISNUMBER($AV65),$AV65*$AT65,"")</f>
        <v/>
      </c>
      <c r="AX65">
        <f>IF(ISNUMBER($AU65),ABS(IF(ISNUMBER($I65),$I65,0)-Settings!$B$24),"")</f>
        <v/>
      </c>
      <c r="AY65">
        <f>IF(ISNUMBER($AX65),$AX65*$AU65,"")</f>
        <v/>
      </c>
      <c r="AZ65">
        <f>IF($A65="","",IFERROR(INDEX(Company_List!$H$3:$H$207,MATCH($A65,Company_List!$A$3:$A$207,0)),"unassigned"))</f>
        <v/>
      </c>
      <c r="BC65">
        <f>IF($A65="","",IF(COUNTIFS($A$3:$A65,$A65,$C$3:$C65,$C65,$D$3:$D65,$D65,$G$3:$G65,$G65)=1,1,0))</f>
        <v/>
      </c>
      <c r="BG65" t="inlineStr">
        <is>
          <t>no</t>
        </is>
      </c>
      <c r="BK65">
        <f>IF(OR($H65&lt;&gt;"Human",$S65="",$J65="",$Y65="",$Z65=""),"",IF(EXACT(UPPER($J65),UPPER($Y65)),1,0))</f>
        <v/>
      </c>
      <c r="BL65" t="inlineStr">
        <is>
          <t>assumed - no rater record</t>
        </is>
      </c>
      <c r="BM65" t="n">
        <v>2</v>
      </c>
      <c r="BN65" t="inlineStr">
        <is>
          <t>The Motley Fool</t>
        </is>
      </c>
      <c r="BO65" t="inlineStr">
        <is>
          <t>free to read, copyright asserted</t>
        </is>
      </c>
      <c r="BP65" t="inlineStr">
        <is>
          <t>no</t>
        </is>
      </c>
      <c r="BQ65" t="inlineStr">
        <is>
          <t>no</t>
        </is>
      </c>
    </row>
    <row r="66" ht="16.35" customHeight="1">
      <c r="A66" s="95" t="inlineStr">
        <is>
          <t>Nike</t>
        </is>
      </c>
      <c r="B66" s="96">
        <f>IF(A66="","",_xlfn.XLOOKUP(A66, Company_List!$A:$A, Company_List!$B:$B, ""))</f>
        <v/>
      </c>
      <c r="C66" s="21" t="n">
        <v>2025</v>
      </c>
      <c r="D66" s="20" t="inlineStr">
        <is>
          <t>Q3</t>
        </is>
      </c>
      <c r="E66" s="19" t="inlineStr">
        <is>
          <t>All</t>
        </is>
      </c>
      <c r="F66" s="19" t="inlineStr">
        <is>
          <t>All</t>
        </is>
      </c>
      <c r="G66" s="20" t="inlineStr">
        <is>
          <t>Meriem</t>
        </is>
      </c>
      <c r="H66" s="20" t="inlineStr">
        <is>
          <t>Human</t>
        </is>
      </c>
      <c r="I66" s="127" t="n">
        <v>-0.5</v>
      </c>
      <c r="J66" s="145">
        <f>IF(OR(I66="",Settings!$B$6=""),"",IF(I66&gt;Settings!$B$6,"BUY",IF(I66&lt;-Settings!$B$6,"SELL","HOLD")))</f>
        <v/>
      </c>
      <c r="K66" s="139" t="n">
        <v>25</v>
      </c>
      <c r="L66" s="123" t="n">
        <v>45736</v>
      </c>
      <c r="M66" s="123" t="n">
        <v>45736</v>
      </c>
      <c r="N66" s="127" t="n">
        <v>71.86</v>
      </c>
      <c r="O66" s="123" t="n">
        <v>45737</v>
      </c>
      <c r="P66" s="22" t="n">
        <v>66.59</v>
      </c>
      <c r="Q66" s="148">
        <f>IF(OR(N66="",P66=""),"",ROUND((P66-N66)/N66,4))</f>
        <v/>
      </c>
      <c r="R66" s="20">
        <f>IF(OR(N66="",P66=""),"",IF(Q66&gt;Settings!$B$3/100,"UP",IF(Q66&lt;-Settings!$B$3/100,"DOWN","FLAT")))</f>
        <v/>
      </c>
      <c r="S66" s="20">
        <f>IF(OR(N66="",P66="",J66=""),"",IF(OR(AND(J66="BUY",R66="UP"),AND(J66="SELL",R66="DOWN"),AND(J66="HOLD",R66="FLAT")),"YES","NO"))</f>
        <v/>
      </c>
      <c r="T66" s="21">
        <f>IF(J66="","",IF(J66="BUY",1,IF(J66="SELL",-1,0)))</f>
        <v/>
      </c>
      <c r="U66" s="148">
        <f>IFERROR(IF(OR(J66="",N66="",P66=""),"",IF(T66=0,0,T66*Q66-Settings!$B$4/10000-IF(T66&lt;0,Settings!$B$5/10000,0))),"")</f>
        <v/>
      </c>
      <c r="V66" s="23" t="inlineStr">
        <is>
          <t>numbers are not looking good at all; CEO said not satisfied with the results so very cautious and non optimistic tone</t>
        </is>
      </c>
      <c r="W66" s="21">
        <f>IF($K66="","",$K66*60)</f>
        <v/>
      </c>
      <c r="X66" s="91">
        <f>IF($A66="","",$A66&amp;"|"&amp;$C66&amp;"|"&amp;$D66)</f>
        <v/>
      </c>
      <c r="Y66" s="91">
        <f>IFERROR(IF($X66="","",INDEX(LLM_Data_Entry!$H$3:$H$548,MATCH($X66,INDEX(LLM_Data_Entry!$A$3:$A$548&amp;"|"&amp;LLM_Data_Entry!$C$3:$C$548&amp;"|"&amp;LLM_Data_Entry!$D$3:$D$548,0),0))),"")</f>
        <v/>
      </c>
      <c r="Z66" s="91">
        <f>IFERROR(IF($X66="","",INDEX(LLM_Data_Entry!$R$3:$R$548,MATCH($X66,INDEX(LLM_Data_Entry!$A$3:$A$548&amp;"|"&amp;LLM_Data_Entry!$C$3:$C$548&amp;"|"&amp;LLM_Data_Entry!$D$3:$D$548,0),0))),"")</f>
        <v/>
      </c>
      <c r="AB66" t="inlineStr">
        <is>
          <t>price signal — only this window shows an abnormal move</t>
        </is>
      </c>
      <c r="AC66" t="inlineStr">
        <is>
          <t>NKE</t>
        </is>
      </c>
      <c r="AD66" t="inlineStr">
        <is>
          <t>2025-03-20</t>
        </is>
      </c>
      <c r="AE66" t="n">
        <v>69.479</v>
      </c>
      <c r="AF66" t="inlineStr">
        <is>
          <t>2025-03-21</t>
        </is>
      </c>
      <c r="AG66" t="n">
        <v>64.3836</v>
      </c>
      <c r="AH66" t="n">
        <v>-0.0733371094135996</v>
      </c>
      <c r="AI66" t="inlineStr">
        <is>
          <t>DOWN</t>
        </is>
      </c>
      <c r="AJ66" t="inlineStr">
        <is>
          <t>YES</t>
        </is>
      </c>
      <c r="AK66" t="n">
        <v>0.072337</v>
      </c>
      <c r="AL66">
        <f>IF($A66="","",IFERROR(INDEX(Company_List!$G$3:$G$207,MATCH($A66,Company_List!$A$3:$A$207,0)),"unassigned"))</f>
        <v/>
      </c>
      <c r="AM66" t="inlineStr">
        <is>
          <t>Phase 2/Nike/Q3 2025 Earnings Call Transcript.pdf; Phase 2/Nike/Q3 2025 - numbers.pdf</t>
        </is>
      </c>
      <c r="AO66" t="inlineStr">
        <is>
          <t>whole bundle (Document = All)</t>
        </is>
      </c>
      <c r="AP66">
        <f>IF($A66="","",IF(COUNTIFS(LLM_Data_Entry!$A$3:$A$548,$A66)&gt;0,"YES","NO"))</f>
        <v/>
      </c>
      <c r="AQ66">
        <f>IF($A66="","",IF(COUNTIFS($A$3:$A66,$A66,$C$3:$C66,$C66,$D$3:$D66,$D66)=1,"YES","NO"))</f>
        <v/>
      </c>
      <c r="AR66">
        <f>IF($A66="","",IF(AND($C66&amp;"-"&amp;$D66&gt;=Settings!$B$19,$C66&amp;"-"&amp;$D66&lt;=Settings!$B$20),"IN","OUT"))</f>
        <v/>
      </c>
      <c r="AS66">
        <f>IF($A66="","",IF($F66="Financial Results","financials",IF($F66="Outlook/Guidance","guidance",IF($F66="Transcript Q&amp;A","qanda",IF($F66="","unrecorded",IF($E66="All","full",IF($E66="","unrecorded",LOWER($E66)&amp;" only")))))))</f>
        <v/>
      </c>
      <c r="AT66">
        <f>IF(AND(OR($J66="BUY",$J66="SELL"),ISNUMBER($U66)),$U66,"")</f>
        <v/>
      </c>
      <c r="AU66">
        <f>IF(AND(OR($J66="BUY",$J66="SELL"),ISNUMBER($AK66)),$AK66,"")</f>
        <v/>
      </c>
      <c r="AV66">
        <f>IF(ISNUMBER($AT66),ABS(IF(ISNUMBER($I66),$I66,0)-Settings!$B$24),"")</f>
        <v/>
      </c>
      <c r="AW66">
        <f>IF(ISNUMBER($AV66),$AV66*$AT66,"")</f>
        <v/>
      </c>
      <c r="AX66">
        <f>IF(ISNUMBER($AU66),ABS(IF(ISNUMBER($I66),$I66,0)-Settings!$B$24),"")</f>
        <v/>
      </c>
      <c r="AY66">
        <f>IF(ISNUMBER($AX66),$AX66*$AU66,"")</f>
        <v/>
      </c>
      <c r="AZ66">
        <f>IF($A66="","",IFERROR(INDEX(Company_List!$H$3:$H$207,MATCH($A66,Company_List!$A$3:$A$207,0)),"unassigned"))</f>
        <v/>
      </c>
      <c r="BC66">
        <f>IF($A66="","",IF(COUNTIFS($A$3:$A66,$A66,$C$3:$C66,$C66,$D$3:$D66,$D66,$G$3:$G66,$G66)=1,1,0))</f>
        <v/>
      </c>
      <c r="BG66" t="inlineStr">
        <is>
          <t>no</t>
        </is>
      </c>
      <c r="BK66">
        <f>IF(OR($H66&lt;&gt;"Human",$S66="",$J66="",$Y66="",$Z66=""),"",IF(EXACT(UPPER($J66),UPPER($Y66)),1,0))</f>
        <v/>
      </c>
      <c r="BL66" t="inlineStr">
        <is>
          <t>assumed - no rater record</t>
        </is>
      </c>
      <c r="BM66" t="n">
        <v>2</v>
      </c>
      <c r="BN66" t="inlineStr">
        <is>
          <t>The Motley Fool</t>
        </is>
      </c>
      <c r="BO66" t="inlineStr">
        <is>
          <t>free to read, copyright asserted</t>
        </is>
      </c>
      <c r="BP66" t="inlineStr">
        <is>
          <t>no</t>
        </is>
      </c>
      <c r="BQ66" t="inlineStr">
        <is>
          <t>no</t>
        </is>
      </c>
    </row>
    <row r="67" ht="16.35" customHeight="1">
      <c r="A67" s="95" t="inlineStr">
        <is>
          <t>Lululemon</t>
        </is>
      </c>
      <c r="B67" s="96">
        <f>IF(A67="","",_xlfn.XLOOKUP(A67, Company_List!$A:$A, Company_List!$B:$B, ""))</f>
        <v/>
      </c>
      <c r="C67" s="21" t="n">
        <v>2025</v>
      </c>
      <c r="D67" s="20" t="inlineStr">
        <is>
          <t>Q3</t>
        </is>
      </c>
      <c r="E67" s="19" t="inlineStr">
        <is>
          <t>All</t>
        </is>
      </c>
      <c r="F67" s="19" t="inlineStr">
        <is>
          <t>All</t>
        </is>
      </c>
      <c r="G67" s="20" t="inlineStr">
        <is>
          <t>Meriem</t>
        </is>
      </c>
      <c r="H67" s="20" t="inlineStr">
        <is>
          <t>Human</t>
        </is>
      </c>
      <c r="I67" s="127" t="n">
        <v>-0.4</v>
      </c>
      <c r="J67" s="145">
        <f>IF(OR(I67="",Settings!$B$6=""),"",IF(I67&gt;Settings!$B$6,"BUY",IF(I67&lt;-Settings!$B$6,"SELL","HOLD")))</f>
        <v/>
      </c>
      <c r="K67" s="139" t="n">
        <v>20</v>
      </c>
      <c r="L67" s="123" t="n">
        <v>46002</v>
      </c>
      <c r="M67" s="123" t="n">
        <v>46002</v>
      </c>
      <c r="N67" s="127" t="n">
        <v>187.01</v>
      </c>
      <c r="O67" s="123" t="n">
        <v>46003</v>
      </c>
      <c r="P67" s="22" t="n">
        <v>204.58</v>
      </c>
      <c r="Q67" s="148">
        <f>IF(OR(N67="",P67=""),"",ROUND((P67-N67)/N67,4))</f>
        <v/>
      </c>
      <c r="R67" s="20">
        <f>IF(OR(N67="",P67=""),"",IF(Q67&gt;Settings!$B$3/100,"UP",IF(Q67&lt;-Settings!$B$3/100,"DOWN","FLAT")))</f>
        <v/>
      </c>
      <c r="S67" s="20">
        <f>IF(OR(N67="",P67="",J67=""),"",IF(OR(AND(J67="BUY",R67="UP"),AND(J67="SELL",R67="DOWN"),AND(J67="HOLD",R67="FLAT")),"YES","NO"))</f>
        <v/>
      </c>
      <c r="T67" s="21">
        <f>IF(J67="","",IF(J67="BUY",1,IF(J67="SELL",-1,0)))</f>
        <v/>
      </c>
      <c r="U67" s="148">
        <f>IFERROR(IF(OR(J67="",N67="",P67=""),"",IF(T67=0,0,T67*Q67-Settings!$B$4/10000-IF(T67&lt;0,Settings!$B$5/10000,0))),"")</f>
        <v/>
      </c>
      <c r="V67" s="23" t="inlineStr">
        <is>
          <t xml:space="preserve"> tariffs; numbers are down in Americas; CEO changing so expected uncertainty</t>
        </is>
      </c>
      <c r="W67" s="21">
        <f>IF($K67="","",$K67*60)</f>
        <v/>
      </c>
      <c r="X67" s="91">
        <f>IF($A67="","",$A67&amp;"|"&amp;$C67&amp;"|"&amp;$D67)</f>
        <v/>
      </c>
      <c r="Y67" s="91">
        <f>IFERROR(IF($X67="","",INDEX(LLM_Data_Entry!$H$3:$H$548,MATCH($X67,INDEX(LLM_Data_Entry!$A$3:$A$548&amp;"|"&amp;LLM_Data_Entry!$C$3:$C$548&amp;"|"&amp;LLM_Data_Entry!$D$3:$D$548,0),0))),"")</f>
        <v/>
      </c>
      <c r="Z67" s="91">
        <f>IFERROR(IF($X67="","",INDEX(LLM_Data_Entry!$R$3:$R$548,MATCH($X67,INDEX(LLM_Data_Entry!$A$3:$A$548&amp;"|"&amp;LLM_Data_Entry!$C$3:$C$548&amp;"|"&amp;LLM_Data_Entry!$D$3:$D$548,0),0))),"")</f>
        <v/>
      </c>
      <c r="AB67" t="inlineStr">
        <is>
          <t>price signal — both moved; this one dominates</t>
        </is>
      </c>
      <c r="AC67" t="inlineStr">
        <is>
          <t>LULU</t>
        </is>
      </c>
      <c r="AD67" t="inlineStr">
        <is>
          <t>2025-12-11</t>
        </is>
      </c>
      <c r="AE67" t="n">
        <v>187.01</v>
      </c>
      <c r="AF67" t="inlineStr">
        <is>
          <t>2025-12-12</t>
        </is>
      </c>
      <c r="AG67" t="n">
        <v>204.58</v>
      </c>
      <c r="AH67" t="n">
        <v>0.09395223501289332</v>
      </c>
      <c r="AI67" t="inlineStr">
        <is>
          <t>UP</t>
        </is>
      </c>
      <c r="AJ67" t="inlineStr">
        <is>
          <t>NO</t>
        </is>
      </c>
      <c r="AK67" t="n">
        <v>-0.09495199999999999</v>
      </c>
      <c r="AL67">
        <f>IF($A67="","",IFERROR(INDEX(Company_List!$G$3:$G$207,MATCH($A67,Company_List!$A$3:$A$207,0)),"unassigned"))</f>
        <v/>
      </c>
      <c r="AM67" t="inlineStr">
        <is>
          <t>Phase 2/Lululemon/Q3 2025 Earnings Call Transcript.pdf</t>
        </is>
      </c>
      <c r="AO67" t="inlineStr">
        <is>
          <t>unique filename match</t>
        </is>
      </c>
      <c r="AP67">
        <f>IF($A67="","",IF(COUNTIFS(LLM_Data_Entry!$A$3:$A$548,$A67)&gt;0,"YES","NO"))</f>
        <v/>
      </c>
      <c r="AQ67">
        <f>IF($A67="","",IF(COUNTIFS($A$3:$A67,$A67,$C$3:$C67,$C67,$D$3:$D67,$D67)=1,"YES","NO"))</f>
        <v/>
      </c>
      <c r="AR67">
        <f>IF($A67="","",IF(AND($C67&amp;"-"&amp;$D67&gt;=Settings!$B$19,$C67&amp;"-"&amp;$D67&lt;=Settings!$B$20),"IN","OUT"))</f>
        <v/>
      </c>
      <c r="AS67">
        <f>IF($A67="","",IF($F67="Financial Results","financials",IF($F67="Outlook/Guidance","guidance",IF($F67="Transcript Q&amp;A","qanda",IF($F67="","unrecorded",IF($E67="All","full",IF($E67="","unrecorded",LOWER($E67)&amp;" only")))))))</f>
        <v/>
      </c>
      <c r="AT67">
        <f>IF(AND(OR($J67="BUY",$J67="SELL"),ISNUMBER($U67)),$U67,"")</f>
        <v/>
      </c>
      <c r="AU67">
        <f>IF(AND(OR($J67="BUY",$J67="SELL"),ISNUMBER($AK67)),$AK67,"")</f>
        <v/>
      </c>
      <c r="AV67">
        <f>IF(ISNUMBER($AT67),ABS(IF(ISNUMBER($I67),$I67,0)-Settings!$B$24),"")</f>
        <v/>
      </c>
      <c r="AW67">
        <f>IF(ISNUMBER($AV67),$AV67*$AT67,"")</f>
        <v/>
      </c>
      <c r="AX67">
        <f>IF(ISNUMBER($AU67),ABS(IF(ISNUMBER($I67),$I67,0)-Settings!$B$24),"")</f>
        <v/>
      </c>
      <c r="AY67">
        <f>IF(ISNUMBER($AX67),$AX67*$AU67,"")</f>
        <v/>
      </c>
      <c r="AZ67">
        <f>IF($A67="","",IFERROR(INDEX(Company_List!$H$3:$H$207,MATCH($A67,Company_List!$A$3:$A$207,0)),"unassigned"))</f>
        <v/>
      </c>
      <c r="BC67">
        <f>IF($A67="","",IF(COUNTIFS($A$3:$A67,$A67,$C$3:$C67,$C67,$D$3:$D67,$D67,$G$3:$G67,$G67)=1,1,0))</f>
        <v/>
      </c>
      <c r="BG67" t="inlineStr">
        <is>
          <t>no</t>
        </is>
      </c>
      <c r="BK67">
        <f>IF(OR($H67&lt;&gt;"Human",$S67="",$J67="",$Y67="",$Z67=""),"",IF(EXACT(UPPER($J67),UPPER($Y67)),1,0))</f>
        <v/>
      </c>
      <c r="BL67" t="inlineStr">
        <is>
          <t>assumed - no rater record</t>
        </is>
      </c>
      <c r="BM67" t="n">
        <v>1</v>
      </c>
      <c r="BN67" t="inlineStr">
        <is>
          <t>The Motley Fool</t>
        </is>
      </c>
      <c r="BO67" t="inlineStr">
        <is>
          <t>free to read, copyright asserted</t>
        </is>
      </c>
      <c r="BP67" t="inlineStr">
        <is>
          <t>no</t>
        </is>
      </c>
      <c r="BQ67" t="inlineStr">
        <is>
          <t>no</t>
        </is>
      </c>
    </row>
    <row r="68" ht="16.35" customHeight="1">
      <c r="A68" s="95" t="inlineStr">
        <is>
          <t>Lululemon</t>
        </is>
      </c>
      <c r="B68" s="96">
        <f>IF(A68="","",_xlfn.XLOOKUP(A68, Company_List!$A:$A, Company_List!$B:$B, ""))</f>
        <v/>
      </c>
      <c r="C68" s="21" t="n">
        <v>2025</v>
      </c>
      <c r="D68" s="20" t="inlineStr">
        <is>
          <t>Q4</t>
        </is>
      </c>
      <c r="E68" s="19" t="inlineStr">
        <is>
          <t>All</t>
        </is>
      </c>
      <c r="F68" s="19" t="inlineStr">
        <is>
          <t>All</t>
        </is>
      </c>
      <c r="G68" s="20" t="inlineStr">
        <is>
          <t>Meriem</t>
        </is>
      </c>
      <c r="H68" s="20" t="inlineStr">
        <is>
          <t>Human</t>
        </is>
      </c>
      <c r="I68" s="127" t="n">
        <v>-0.3</v>
      </c>
      <c r="J68" s="145">
        <f>IF(OR(I68="",Settings!$B$6=""),"",IF(I68&gt;Settings!$B$6,"BUY",IF(I68&lt;-Settings!$B$6,"SELL","HOLD")))</f>
        <v/>
      </c>
      <c r="K68" s="139" t="n">
        <v>31</v>
      </c>
      <c r="L68" s="123" t="n">
        <v>46098</v>
      </c>
      <c r="M68" s="123" t="n">
        <v>46098</v>
      </c>
      <c r="N68" s="127" t="n">
        <v>159.27</v>
      </c>
      <c r="O68" s="123" t="n">
        <v>46099</v>
      </c>
      <c r="P68" s="22" t="n">
        <v>158.04</v>
      </c>
      <c r="Q68" s="148">
        <f>IF(OR(N68="",P68=""),"",ROUND((P68-N68)/N68,4))</f>
        <v/>
      </c>
      <c r="R68" s="20">
        <f>IF(OR(N68="",P68=""),"",IF(Q68&gt;Settings!$B$3/100,"UP",IF(Q68&lt;-Settings!$B$3/100,"DOWN","FLAT")))</f>
        <v/>
      </c>
      <c r="S68" s="20">
        <f>IF(OR(N68="",P68="",J68=""),"",IF(OR(AND(J68="BUY",R68="UP"),AND(J68="SELL",R68="DOWN"),AND(J68="HOLD",R68="FLAT")),"YES","NO"))</f>
        <v/>
      </c>
      <c r="T68" s="21">
        <f>IF(J68="","",IF(J68="BUY",1,IF(J68="SELL",-1,0)))</f>
        <v/>
      </c>
      <c r="U68" s="148">
        <f>IFERROR(IF(OR(J68="",N68="",P68=""),"",IF(T68=0,0,T68*Q68-Settings!$B$4/10000-IF(T68&lt;0,Settings!$B$5/10000,0))),"")</f>
        <v/>
      </c>
      <c r="V68" s="23" t="inlineStr">
        <is>
          <t>numbers are still down and guidance for next year is that gross margin is expected to go down</t>
        </is>
      </c>
      <c r="W68" s="21">
        <f>IF($K68="","",$K68*60)</f>
        <v/>
      </c>
      <c r="X68" s="91">
        <f>IF($A68="","",$A68&amp;"|"&amp;$C68&amp;"|"&amp;$D68)</f>
        <v/>
      </c>
      <c r="Y68" s="91">
        <f>IFERROR(IF($X68="","",INDEX(LLM_Data_Entry!$H$3:$H$548,MATCH($X68,INDEX(LLM_Data_Entry!$A$3:$A$548&amp;"|"&amp;LLM_Data_Entry!$C$3:$C$548&amp;"|"&amp;LLM_Data_Entry!$D$3:$D$548,0),0))),"")</f>
        <v/>
      </c>
      <c r="Z68" s="91">
        <f>IFERROR(IF($X68="","",INDEX(LLM_Data_Entry!$R$3:$R$548,MATCH($X68,INDEX(LLM_Data_Entry!$A$3:$A$548&amp;"|"&amp;LLM_Data_Entry!$C$3:$C$548&amp;"|"&amp;LLM_Data_Entry!$D$3:$D$548,0),0))),"")</f>
        <v/>
      </c>
      <c r="AB68" t="inlineStr">
        <is>
          <t>earnings calendar, seconded independently (section C)</t>
        </is>
      </c>
      <c r="AC68" t="inlineStr">
        <is>
          <t>LULU</t>
        </is>
      </c>
      <c r="AD68" t="inlineStr">
        <is>
          <t>2026-03-17</t>
        </is>
      </c>
      <c r="AE68" t="n">
        <v>159.27</v>
      </c>
      <c r="AF68" t="inlineStr">
        <is>
          <t>2026-03-18</t>
        </is>
      </c>
      <c r="AG68" t="n">
        <v>158.04</v>
      </c>
      <c r="AH68" t="n">
        <v>-0.007722803849493157</v>
      </c>
      <c r="AI68" t="inlineStr">
        <is>
          <t>FLAT</t>
        </is>
      </c>
      <c r="AJ68" t="inlineStr">
        <is>
          <t>NO</t>
        </is>
      </c>
      <c r="AK68" t="n">
        <v>0.006723</v>
      </c>
      <c r="AL68">
        <f>IF($A68="","",IFERROR(INDEX(Company_List!$G$3:$G$207,MATCH($A68,Company_List!$A$3:$A$207,0)),"unassigned"))</f>
        <v/>
      </c>
      <c r="AM68" t="inlineStr">
        <is>
          <t>Phase 2/Lululemon/Q4 2025 Earnings Call Transcript.pdf</t>
        </is>
      </c>
      <c r="AO68" t="inlineStr">
        <is>
          <t>unique filename match</t>
        </is>
      </c>
      <c r="AP68">
        <f>IF($A68="","",IF(COUNTIFS(LLM_Data_Entry!$A$3:$A$548,$A68)&gt;0,"YES","NO"))</f>
        <v/>
      </c>
      <c r="AQ68">
        <f>IF($A68="","",IF(COUNTIFS($A$3:$A68,$A68,$C$3:$C68,$C68,$D$3:$D68,$D68)=1,"YES","NO"))</f>
        <v/>
      </c>
      <c r="AR68">
        <f>IF($A68="","",IF(AND($C68&amp;"-"&amp;$D68&gt;=Settings!$B$19,$C68&amp;"-"&amp;$D68&lt;=Settings!$B$20),"IN","OUT"))</f>
        <v/>
      </c>
      <c r="AS68">
        <f>IF($A68="","",IF($F68="Financial Results","financials",IF($F68="Outlook/Guidance","guidance",IF($F68="Transcript Q&amp;A","qanda",IF($F68="","unrecorded",IF($E68="All","full",IF($E68="","unrecorded",LOWER($E68)&amp;" only")))))))</f>
        <v/>
      </c>
      <c r="AT68">
        <f>IF(AND(OR($J68="BUY",$J68="SELL"),ISNUMBER($U68)),$U68,"")</f>
        <v/>
      </c>
      <c r="AU68">
        <f>IF(AND(OR($J68="BUY",$J68="SELL"),ISNUMBER($AK68)),$AK68,"")</f>
        <v/>
      </c>
      <c r="AV68">
        <f>IF(ISNUMBER($AT68),ABS(IF(ISNUMBER($I68),$I68,0)-Settings!$B$24),"")</f>
        <v/>
      </c>
      <c r="AW68">
        <f>IF(ISNUMBER($AV68),$AV68*$AT68,"")</f>
        <v/>
      </c>
      <c r="AX68">
        <f>IF(ISNUMBER($AU68),ABS(IF(ISNUMBER($I68),$I68,0)-Settings!$B$24),"")</f>
        <v/>
      </c>
      <c r="AY68">
        <f>IF(ISNUMBER($AX68),$AX68*$AU68,"")</f>
        <v/>
      </c>
      <c r="AZ68">
        <f>IF($A68="","",IFERROR(INDEX(Company_List!$H$3:$H$207,MATCH($A68,Company_List!$A$3:$A$207,0)),"unassigned"))</f>
        <v/>
      </c>
      <c r="BC68">
        <f>IF($A68="","",IF(COUNTIFS($A$3:$A68,$A68,$C$3:$C68,$C68,$D$3:$D68,$D68,$G$3:$G68,$G68)=1,1,0))</f>
        <v/>
      </c>
      <c r="BG68" t="inlineStr">
        <is>
          <t>no</t>
        </is>
      </c>
      <c r="BK68">
        <f>IF(OR($H68&lt;&gt;"Human",$S68="",$J68="",$Y68="",$Z68=""),"",IF(EXACT(UPPER($J68),UPPER($Y68)),1,0))</f>
        <v/>
      </c>
      <c r="BL68" t="inlineStr">
        <is>
          <t>assumed - no rater record</t>
        </is>
      </c>
      <c r="BM68" t="n">
        <v>1</v>
      </c>
      <c r="BN68" t="inlineStr">
        <is>
          <t>The Motley Fool</t>
        </is>
      </c>
      <c r="BO68" t="inlineStr">
        <is>
          <t>free to read, copyright asserted</t>
        </is>
      </c>
      <c r="BP68" t="inlineStr">
        <is>
          <t>no</t>
        </is>
      </c>
      <c r="BQ68" t="inlineStr">
        <is>
          <t>no</t>
        </is>
      </c>
    </row>
    <row r="69" ht="16.35" customHeight="1">
      <c r="A69" s="95" t="inlineStr">
        <is>
          <t>Lululemon</t>
        </is>
      </c>
      <c r="B69" s="96">
        <f>IF(A69="","",_xlfn.XLOOKUP(A69, Company_List!$A:$A, Company_List!$B:$B, ""))</f>
        <v/>
      </c>
      <c r="C69" s="21" t="n">
        <v>2026</v>
      </c>
      <c r="D69" s="20" t="inlineStr">
        <is>
          <t>Q1</t>
        </is>
      </c>
      <c r="E69" s="19" t="inlineStr">
        <is>
          <t>All</t>
        </is>
      </c>
      <c r="F69" s="19" t="inlineStr">
        <is>
          <t>All</t>
        </is>
      </c>
      <c r="G69" s="20" t="inlineStr">
        <is>
          <t>Meriem</t>
        </is>
      </c>
      <c r="H69" s="20" t="inlineStr">
        <is>
          <t>Human</t>
        </is>
      </c>
      <c r="I69" s="127" t="n">
        <v>-0.3</v>
      </c>
      <c r="J69" s="145">
        <f>IF(OR(I69="",Settings!$B$6=""),"",IF(I69&gt;Settings!$B$6,"BUY",IF(I69&lt;-Settings!$B$6,"SELL","HOLD")))</f>
        <v/>
      </c>
      <c r="K69" s="139" t="n">
        <v>24</v>
      </c>
      <c r="L69" s="123" t="n">
        <v>46177</v>
      </c>
      <c r="M69" s="123" t="n">
        <v>46177</v>
      </c>
      <c r="N69" s="127" t="n">
        <v>124.92</v>
      </c>
      <c r="O69" s="123" t="n">
        <v>46178</v>
      </c>
      <c r="P69" s="22" t="n">
        <v>110.43</v>
      </c>
      <c r="Q69" s="148">
        <f>IF(OR(N69="",P69=""),"",ROUND((P69-N69)/N69,4))</f>
        <v/>
      </c>
      <c r="R69" s="20">
        <f>IF(OR(N69="",P69=""),"",IF(Q69&gt;Settings!$B$3/100,"UP",IF(Q69&lt;-Settings!$B$3/100,"DOWN","FLAT")))</f>
        <v/>
      </c>
      <c r="S69" s="20">
        <f>IF(OR(N69="",P69="",J69=""),"",IF(OR(AND(J69="BUY",R69="UP"),AND(J69="SELL",R69="DOWN"),AND(J69="HOLD",R69="FLAT")),"YES","NO"))</f>
        <v/>
      </c>
      <c r="T69" s="21">
        <f>IF(J69="","",IF(J69="BUY",1,IF(J69="SELL",-1,0)))</f>
        <v/>
      </c>
      <c r="U69" s="148">
        <f>IFERROR(IF(OR(J69="",N69="",P69=""),"",IF(T69=0,0,T69*Q69-Settings!$B$4/10000-IF(T69&lt;0,Settings!$B$5/10000,0))),"")</f>
        <v/>
      </c>
      <c r="V69" s="23" t="inlineStr">
        <is>
          <t>very cautious and non optimistic language; new CEO; anticipated decline</t>
        </is>
      </c>
      <c r="W69" s="21">
        <f>IF($K69="","",$K69*60)</f>
        <v/>
      </c>
      <c r="X69" s="91">
        <f>IF($A69="","",$A69&amp;"|"&amp;$C69&amp;"|"&amp;$D69)</f>
        <v/>
      </c>
      <c r="Y69" s="91">
        <f>IFERROR(IF($X69="","",INDEX(LLM_Data_Entry!$H$3:$H$548,MATCH($X69,INDEX(LLM_Data_Entry!$A$3:$A$548&amp;"|"&amp;LLM_Data_Entry!$C$3:$C$548&amp;"|"&amp;LLM_Data_Entry!$D$3:$D$548,0),0))),"")</f>
        <v/>
      </c>
      <c r="Z69" s="91">
        <f>IFERROR(IF($X69="","",INDEX(LLM_Data_Entry!$R$3:$R$548,MATCH($X69,INDEX(LLM_Data_Entry!$A$3:$A$548&amp;"|"&amp;LLM_Data_Entry!$C$3:$C$548&amp;"|"&amp;LLM_Data_Entry!$D$3:$D$548,0),0))),"")</f>
        <v/>
      </c>
      <c r="AB69" t="inlineStr">
        <is>
          <t>price signal — both moved; this one dominates</t>
        </is>
      </c>
      <c r="AC69" t="inlineStr">
        <is>
          <t>LULU</t>
        </is>
      </c>
      <c r="AD69" t="inlineStr">
        <is>
          <t>2026-06-04</t>
        </is>
      </c>
      <c r="AE69" t="n">
        <v>124.92</v>
      </c>
      <c r="AF69" t="inlineStr">
        <is>
          <t>2026-06-05</t>
        </is>
      </c>
      <c r="AG69" t="n">
        <v>110.43</v>
      </c>
      <c r="AH69" t="n">
        <v>-0.1159942221580888</v>
      </c>
      <c r="AI69" t="inlineStr">
        <is>
          <t>DOWN</t>
        </is>
      </c>
      <c r="AJ69" t="inlineStr">
        <is>
          <t>YES</t>
        </is>
      </c>
      <c r="AK69" t="n">
        <v>0.114994</v>
      </c>
      <c r="AL69">
        <f>IF($A69="","",IFERROR(INDEX(Company_List!$G$3:$G$207,MATCH($A69,Company_List!$A$3:$A$207,0)),"unassigned"))</f>
        <v/>
      </c>
      <c r="AM69" t="inlineStr">
        <is>
          <t>Phase 2/Lululemon/Q1 2026 Earnings Transcript.pdf</t>
        </is>
      </c>
      <c r="AO69" t="inlineStr">
        <is>
          <t>unique filename match</t>
        </is>
      </c>
      <c r="AP69">
        <f>IF($A69="","",IF(COUNTIFS(LLM_Data_Entry!$A$3:$A$548,$A69)&gt;0,"YES","NO"))</f>
        <v/>
      </c>
      <c r="AQ69">
        <f>IF($A69="","",IF(COUNTIFS($A$3:$A69,$A69,$C$3:$C69,$C69,$D$3:$D69,$D69)=1,"YES","NO"))</f>
        <v/>
      </c>
      <c r="AR69">
        <f>IF($A69="","",IF(AND($C69&amp;"-"&amp;$D69&gt;=Settings!$B$19,$C69&amp;"-"&amp;$D69&lt;=Settings!$B$20),"IN","OUT"))</f>
        <v/>
      </c>
      <c r="AS69">
        <f>IF($A69="","",IF($F69="Financial Results","financials",IF($F69="Outlook/Guidance","guidance",IF($F69="Transcript Q&amp;A","qanda",IF($F69="","unrecorded",IF($E69="All","full",IF($E69="","unrecorded",LOWER($E69)&amp;" only")))))))</f>
        <v/>
      </c>
      <c r="AT69">
        <f>IF(AND(OR($J69="BUY",$J69="SELL"),ISNUMBER($U69)),$U69,"")</f>
        <v/>
      </c>
      <c r="AU69">
        <f>IF(AND(OR($J69="BUY",$J69="SELL"),ISNUMBER($AK69)),$AK69,"")</f>
        <v/>
      </c>
      <c r="AV69">
        <f>IF(ISNUMBER($AT69),ABS(IF(ISNUMBER($I69),$I69,0)-Settings!$B$24),"")</f>
        <v/>
      </c>
      <c r="AW69">
        <f>IF(ISNUMBER($AV69),$AV69*$AT69,"")</f>
        <v/>
      </c>
      <c r="AX69">
        <f>IF(ISNUMBER($AU69),ABS(IF(ISNUMBER($I69),$I69,0)-Settings!$B$24),"")</f>
        <v/>
      </c>
      <c r="AY69">
        <f>IF(ISNUMBER($AX69),$AX69*$AU69,"")</f>
        <v/>
      </c>
      <c r="AZ69">
        <f>IF($A69="","",IFERROR(INDEX(Company_List!$H$3:$H$207,MATCH($A69,Company_List!$A$3:$A$207,0)),"unassigned"))</f>
        <v/>
      </c>
      <c r="BC69">
        <f>IF($A69="","",IF(COUNTIFS($A$3:$A69,$A69,$C$3:$C69,$C69,$D$3:$D69,$D69,$G$3:$G69,$G69)=1,1,0))</f>
        <v/>
      </c>
      <c r="BG69" t="inlineStr">
        <is>
          <t>no</t>
        </is>
      </c>
      <c r="BK69">
        <f>IF(OR($H69&lt;&gt;"Human",$S69="",$J69="",$Y69="",$Z69=""),"",IF(EXACT(UPPER($J69),UPPER($Y69)),1,0))</f>
        <v/>
      </c>
      <c r="BL69" t="inlineStr">
        <is>
          <t>assumed - no rater record</t>
        </is>
      </c>
      <c r="BM69" t="n">
        <v>1</v>
      </c>
      <c r="BN69" t="inlineStr">
        <is>
          <t>The Motley Fool</t>
        </is>
      </c>
      <c r="BO69" t="inlineStr">
        <is>
          <t>free to read, copyright asserted</t>
        </is>
      </c>
      <c r="BP69" t="inlineStr">
        <is>
          <t>no</t>
        </is>
      </c>
      <c r="BQ69" t="inlineStr">
        <is>
          <t>no</t>
        </is>
      </c>
    </row>
    <row r="70" ht="16.35" customHeight="1">
      <c r="A70" s="95" t="inlineStr">
        <is>
          <t>Airbnb</t>
        </is>
      </c>
      <c r="B70" s="96">
        <f>IF(A70="","",_xlfn.XLOOKUP(A70, Company_List!$A:$A, Company_List!$B:$B, ""))</f>
        <v/>
      </c>
      <c r="C70" s="21" t="n">
        <v>2026</v>
      </c>
      <c r="D70" s="20" t="inlineStr">
        <is>
          <t>Q1</t>
        </is>
      </c>
      <c r="E70" s="19" t="inlineStr">
        <is>
          <t>All</t>
        </is>
      </c>
      <c r="F70" s="19" t="inlineStr">
        <is>
          <t>All</t>
        </is>
      </c>
      <c r="G70" s="20" t="inlineStr">
        <is>
          <t>Anna</t>
        </is>
      </c>
      <c r="H70" s="20" t="inlineStr">
        <is>
          <t>Human</t>
        </is>
      </c>
      <c r="I70" s="127" t="n">
        <v>0.7</v>
      </c>
      <c r="J70" s="145">
        <f>IF(OR(I70="",Settings!$B$6=""),"",IF(I70&gt;Settings!$B$6,"BUY",IF(I70&lt;-Settings!$B$6,"SELL","HOLD")))</f>
        <v/>
      </c>
      <c r="K70" s="139" t="n">
        <v>34</v>
      </c>
      <c r="L70" s="123" t="n">
        <v>46149</v>
      </c>
      <c r="M70" s="123" t="n">
        <v>46149</v>
      </c>
      <c r="N70" s="127" t="n">
        <v>140.46</v>
      </c>
      <c r="O70" s="123" t="n">
        <v>46150</v>
      </c>
      <c r="P70" s="22" t="n">
        <v>138.13</v>
      </c>
      <c r="Q70" s="148">
        <f>IF(OR(N70="",P70=""),"",ROUND((P70-N70)/N70,4))</f>
        <v/>
      </c>
      <c r="R70" s="20">
        <f>IF(OR(N70="",P70=""),"",IF(Q70&gt;Settings!$B$3/100,"UP",IF(Q70&lt;-Settings!$B$3/100,"DOWN","FLAT")))</f>
        <v/>
      </c>
      <c r="S70" s="20">
        <f>IF(OR(N70="",P70="",J70=""),"",IF(OR(AND(J70="BUY",R70="UP"),AND(J70="SELL",R70="DOWN"),AND(J70="HOLD",R70="FLAT")),"YES","NO"))</f>
        <v/>
      </c>
      <c r="T70" s="21">
        <f>IF(J70="","",IF(J70="BUY",1,IF(J70="SELL",-1,0)))</f>
        <v/>
      </c>
      <c r="U70" s="148">
        <f>IFERROR(IF(OR(J70="",N70="",P70=""),"",IF(T70=0,0,T70*Q70-Settings!$B$4/10000-IF(T70&lt;0,Settings!$B$5/10000,0))),"")</f>
        <v/>
      </c>
      <c r="V70" s="23" t="inlineStr">
        <is>
          <t>very optimistic language and substantial growth despite issues in the middle east potentially impacting travel</t>
        </is>
      </c>
      <c r="W70" s="21">
        <f>IF($K70="","",$K70*60)</f>
        <v/>
      </c>
      <c r="X70" s="91">
        <f>IF($A70="","",$A70&amp;"|"&amp;$C70&amp;"|"&amp;$D70)</f>
        <v/>
      </c>
      <c r="Y70" s="91">
        <f>IFERROR(IF($X70="","",INDEX(LLM_Data_Entry!$H$3:$H$548,MATCH($X70,INDEX(LLM_Data_Entry!$A$3:$A$548&amp;"|"&amp;LLM_Data_Entry!$C$3:$C$548&amp;"|"&amp;LLM_Data_Entry!$D$3:$D$548,0),0))),"")</f>
        <v/>
      </c>
      <c r="Z70" s="91">
        <f>IFERROR(IF($X70="","",INDEX(LLM_Data_Entry!$R$3:$R$548,MATCH($X70,INDEX(LLM_Data_Entry!$A$3:$A$548&amp;"|"&amp;LLM_Data_Entry!$C$3:$C$548&amp;"|"&amp;LLM_Data_Entry!$D$3:$D$548,0),0))),"")</f>
        <v/>
      </c>
      <c r="AB70" t="inlineStr">
        <is>
          <t>price signal — only this window shows an abnormal move</t>
        </is>
      </c>
      <c r="AC70" t="inlineStr">
        <is>
          <t>ABNB</t>
        </is>
      </c>
      <c r="AD70" t="inlineStr">
        <is>
          <t>2026-05-07</t>
        </is>
      </c>
      <c r="AE70" t="n">
        <v>140.46</v>
      </c>
      <c r="AF70" t="inlineStr">
        <is>
          <t>2026-05-08</t>
        </is>
      </c>
      <c r="AG70" t="n">
        <v>138.125</v>
      </c>
      <c r="AH70" t="n">
        <v>-0.01662399888674354</v>
      </c>
      <c r="AI70" t="inlineStr">
        <is>
          <t>FLAT</t>
        </is>
      </c>
      <c r="AJ70" t="inlineStr">
        <is>
          <t>NO</t>
        </is>
      </c>
      <c r="AK70" t="n">
        <v>-0.017624</v>
      </c>
      <c r="AL70">
        <f>IF($A70="","",IFERROR(INDEX(Company_List!$G$3:$G$207,MATCH($A70,Company_List!$A$3:$A$207,0)),"unassigned"))</f>
        <v/>
      </c>
      <c r="AM70" t="inlineStr">
        <is>
          <t>Phase 2/Airbnb/2026-Q1/ABNB-2026-Q1-press-release-SEC-EX-99-1.htm</t>
        </is>
      </c>
      <c r="AN70" t="inlineStr">
        <is>
          <t>https://www.sec.gov/Archives/edgar/data/1559720/000119312526211816/d23351dex991.htm</t>
        </is>
      </c>
      <c r="AO70" t="inlineStr">
        <is>
          <t>manifest</t>
        </is>
      </c>
      <c r="AP70">
        <f>IF($A70="","",IF(COUNTIFS(LLM_Data_Entry!$A$3:$A$548,$A70)&gt;0,"YES","NO"))</f>
        <v/>
      </c>
      <c r="AQ70">
        <f>IF($A70="","",IF(COUNTIFS($A$3:$A70,$A70,$C$3:$C70,$C70,$D$3:$D70,$D70)=1,"YES","NO"))</f>
        <v/>
      </c>
      <c r="AR70">
        <f>IF($A70="","",IF(AND($C70&amp;"-"&amp;$D70&gt;=Settings!$B$19,$C70&amp;"-"&amp;$D70&lt;=Settings!$B$20),"IN","OUT"))</f>
        <v/>
      </c>
      <c r="AS70">
        <f>IF($A70="","",IF($F70="Financial Results","financials",IF($F70="Outlook/Guidance","guidance",IF($F70="Transcript Q&amp;A","qanda",IF($F70="","unrecorded",IF($E70="All","full",IF($E70="","unrecorded",LOWER($E70)&amp;" only")))))))</f>
        <v/>
      </c>
      <c r="AT70">
        <f>IF(AND(OR($J70="BUY",$J70="SELL"),ISNUMBER($U70)),$U70,"")</f>
        <v/>
      </c>
      <c r="AU70">
        <f>IF(AND(OR($J70="BUY",$J70="SELL"),ISNUMBER($AK70)),$AK70,"")</f>
        <v/>
      </c>
      <c r="AV70">
        <f>IF(ISNUMBER($AT70),ABS(IF(ISNUMBER($I70),$I70,0)-Settings!$B$24),"")</f>
        <v/>
      </c>
      <c r="AW70">
        <f>IF(ISNUMBER($AV70),$AV70*$AT70,"")</f>
        <v/>
      </c>
      <c r="AX70">
        <f>IF(ISNUMBER($AU70),ABS(IF(ISNUMBER($I70),$I70,0)-Settings!$B$24),"")</f>
        <v/>
      </c>
      <c r="AY70">
        <f>IF(ISNUMBER($AX70),$AX70*$AU70,"")</f>
        <v/>
      </c>
      <c r="AZ70">
        <f>IF($A70="","",IFERROR(INDEX(Company_List!$H$3:$H$207,MATCH($A70,Company_List!$A$3:$A$207,0)),"unassigned"))</f>
        <v/>
      </c>
      <c r="BC70">
        <f>IF($A70="","",IF(COUNTIFS($A$3:$A70,$A70,$C$3:$C70,$C70,$D$3:$D70,$D70,$G$3:$G70,$G70)=1,1,0))</f>
        <v/>
      </c>
      <c r="BG70" t="inlineStr">
        <is>
          <t>no</t>
        </is>
      </c>
      <c r="BK70">
        <f>IF(OR($H70&lt;&gt;"Human",$S70="",$J70="",$Y70="",$Z70=""),"",IF(EXACT(UPPER($J70),UPPER($Y70)),1,0))</f>
        <v/>
      </c>
      <c r="BL70" t="inlineStr">
        <is>
          <t>assumed - no rater record</t>
        </is>
      </c>
      <c r="BM70" t="n">
        <v>1</v>
      </c>
      <c r="BN70" t="inlineStr">
        <is>
          <t>not publisher-identified</t>
        </is>
      </c>
      <c r="BO70" t="inlineStr">
        <is>
          <t>not publisher-identified</t>
        </is>
      </c>
      <c r="BP70" t="inlineStr">
        <is>
          <t>no</t>
        </is>
      </c>
      <c r="BQ70" t="inlineStr">
        <is>
          <t>yes</t>
        </is>
      </c>
    </row>
    <row r="71" ht="16.35" customHeight="1">
      <c r="A71" s="95" t="inlineStr">
        <is>
          <t>Lowe's</t>
        </is>
      </c>
      <c r="B71" s="96">
        <f>IF(A71="","",_xlfn.XLOOKUP(A71, Company_List!$A:$A, Company_List!$B:$B, ""))</f>
        <v/>
      </c>
      <c r="C71" s="21" t="n">
        <v>2025</v>
      </c>
      <c r="D71" s="20" t="inlineStr">
        <is>
          <t>Q1</t>
        </is>
      </c>
      <c r="E71" s="19" t="inlineStr">
        <is>
          <t>All</t>
        </is>
      </c>
      <c r="F71" s="19" t="inlineStr">
        <is>
          <t>All</t>
        </is>
      </c>
      <c r="G71" s="20" t="inlineStr">
        <is>
          <t>Anna</t>
        </is>
      </c>
      <c r="H71" s="20" t="inlineStr">
        <is>
          <t>Human</t>
        </is>
      </c>
      <c r="I71" s="127" t="n">
        <v>-0.1</v>
      </c>
      <c r="J71" s="145">
        <f>IF(OR(I71="",Settings!$B$6=""),"",IF(I71&gt;Settings!$B$6,"BUY",IF(I71&lt;-Settings!$B$6,"SELL","HOLD")))</f>
        <v/>
      </c>
      <c r="K71" s="139" t="n">
        <v>25</v>
      </c>
      <c r="L71" s="123" t="n">
        <v>46162</v>
      </c>
      <c r="M71" s="123" t="n">
        <v>46162</v>
      </c>
      <c r="N71" s="127" t="n">
        <v>217.41</v>
      </c>
      <c r="O71" s="123" t="n">
        <v>46163</v>
      </c>
      <c r="P71" s="22" t="n">
        <v>217.22</v>
      </c>
      <c r="Q71" s="148">
        <f>IF(OR(N71="",P71=""),"",ROUND((P71-N71)/N71,4))</f>
        <v/>
      </c>
      <c r="R71" s="20">
        <f>IF(OR(N71="",P71=""),"",IF(Q71&gt;Settings!$B$3/100,"UP",IF(Q71&lt;-Settings!$B$3/100,"DOWN","FLAT")))</f>
        <v/>
      </c>
      <c r="S71" s="20">
        <f>IF(OR(N71="",P71="",J71=""),"",IF(OR(AND(J71="BUY",R71="UP"),AND(J71="SELL",R71="DOWN"),AND(J71="HOLD",R71="FLAT")),"YES","NO"))</f>
        <v/>
      </c>
      <c r="T71" s="21">
        <f>IF(J71="","",IF(J71="BUY",1,IF(J71="SELL",-1,0)))</f>
        <v/>
      </c>
      <c r="U71" s="148">
        <f>IFERROR(IF(OR(J71="",N71="",P71=""),"",IF(T71=0,0,T71*Q71-Settings!$B$4/10000-IF(T71&lt;0,Settings!$B$5/10000,0))),"")</f>
        <v/>
      </c>
      <c r="V71" s="23" t="inlineStr">
        <is>
          <t>numbers were down, but it was expected based on seasonal shopping</t>
        </is>
      </c>
      <c r="W71" s="21">
        <f>IF($K71="","",$K71*60)</f>
        <v/>
      </c>
      <c r="X71" s="91">
        <f>IF($A71="","",$A71&amp;"|"&amp;$C71&amp;"|"&amp;$D71)</f>
        <v/>
      </c>
      <c r="Y71" s="91">
        <f>IFERROR(IF($X71="","",INDEX(LLM_Data_Entry!$H$3:$H$548,MATCH($X71,INDEX(LLM_Data_Entry!$A$3:$A$548&amp;"|"&amp;LLM_Data_Entry!$C$3:$C$548&amp;"|"&amp;LLM_Data_Entry!$D$3:$D$548,0),0))),"")</f>
        <v/>
      </c>
      <c r="Z71" s="91">
        <f>IFERROR(IF($X71="","",INDEX(LLM_Data_Entry!$R$3:$R$548,MATCH($X71,INDEX(LLM_Data_Entry!$A$3:$A$548&amp;"|"&amp;LLM_Data_Entry!$C$3:$C$548&amp;"|"&amp;LLM_Data_Entry!$D$3:$D$548,0),0))),"")</f>
        <v/>
      </c>
      <c r="AB71" t="inlineStr">
        <is>
          <t>release date + stated time in the document (document)</t>
        </is>
      </c>
      <c r="AC71" t="inlineStr">
        <is>
          <t>LOW</t>
        </is>
      </c>
      <c r="AD71" t="inlineStr">
        <is>
          <t>2026-05-19</t>
        </is>
      </c>
      <c r="AE71" t="n">
        <v>217.0287</v>
      </c>
      <c r="AF71" t="inlineStr">
        <is>
          <t>2026-05-20</t>
        </is>
      </c>
      <c r="AG71" t="n">
        <v>212.6657</v>
      </c>
      <c r="AH71" t="n">
        <v>-0.02010343546108412</v>
      </c>
      <c r="AI71" t="inlineStr">
        <is>
          <t>DOWN</t>
        </is>
      </c>
      <c r="AJ71" t="inlineStr">
        <is>
          <t>NO</t>
        </is>
      </c>
      <c r="AK71" t="n">
        <v>0</v>
      </c>
      <c r="AL71">
        <f>IF($A71="","",IFERROR(INDEX(Company_List!$G$3:$G$207,MATCH($A71,Company_List!$A$3:$A$207,0)),"unassigned"))</f>
        <v/>
      </c>
      <c r="AM71" t="inlineStr">
        <is>
          <t>Phase 2/Lowe's/low-usq-transcript-2026-05-20-1.pdf</t>
        </is>
      </c>
      <c r="AO71" t="inlineStr">
        <is>
          <t>unique filename match</t>
        </is>
      </c>
      <c r="AP71">
        <f>IF($A71="","",IF(COUNTIFS(LLM_Data_Entry!$A$3:$A$548,$A71)&gt;0,"YES","NO"))</f>
        <v/>
      </c>
      <c r="AQ71">
        <f>IF($A71="","",IF(COUNTIFS($A$3:$A71,$A71,$C$3:$C71,$C71,$D$3:$D71,$D71)=1,"YES","NO"))</f>
        <v/>
      </c>
      <c r="AR71">
        <f>IF($A71="","",IF(AND($C71&amp;"-"&amp;$D71&gt;=Settings!$B$19,$C71&amp;"-"&amp;$D71&lt;=Settings!$B$20),"IN","OUT"))</f>
        <v/>
      </c>
      <c r="AS71">
        <f>IF($A71="","",IF($F71="Financial Results","financials",IF($F71="Outlook/Guidance","guidance",IF($F71="Transcript Q&amp;A","qanda",IF($F71="","unrecorded",IF($E71="All","full",IF($E71="","unrecorded",LOWER($E71)&amp;" only")))))))</f>
        <v/>
      </c>
      <c r="AT71">
        <f>IF(AND(OR($J71="BUY",$J71="SELL"),ISNUMBER($U71)),$U71,"")</f>
        <v/>
      </c>
      <c r="AU71">
        <f>IF(AND(OR($J71="BUY",$J71="SELL"),ISNUMBER($AK71)),$AK71,"")</f>
        <v/>
      </c>
      <c r="AV71">
        <f>IF(ISNUMBER($AT71),ABS(IF(ISNUMBER($I71),$I71,0)-Settings!$B$24),"")</f>
        <v/>
      </c>
      <c r="AW71">
        <f>IF(ISNUMBER($AV71),$AV71*$AT71,"")</f>
        <v/>
      </c>
      <c r="AX71">
        <f>IF(ISNUMBER($AU71),ABS(IF(ISNUMBER($I71),$I71,0)-Settings!$B$24),"")</f>
        <v/>
      </c>
      <c r="AY71">
        <f>IF(ISNUMBER($AX71),$AX71*$AU71,"")</f>
        <v/>
      </c>
      <c r="AZ71">
        <f>IF($A71="","",IFERROR(INDEX(Company_List!$H$3:$H$207,MATCH($A71,Company_List!$A$3:$A$207,0)),"unassigned"))</f>
        <v/>
      </c>
      <c r="BC71">
        <f>IF($A71="","",IF(COUNTIFS($A$3:$A71,$A71,$C$3:$C71,$C71,$D$3:$D71,$D71,$G$3:$G71,$G71)=1,1,0))</f>
        <v/>
      </c>
      <c r="BG71" t="inlineStr">
        <is>
          <t>no</t>
        </is>
      </c>
      <c r="BK71">
        <f>IF(OR($H71&lt;&gt;"Human",$S71="",$J71="",$Y71="",$Z71=""),"",IF(EXACT(UPPER($J71),UPPER($Y71)),1,0))</f>
        <v/>
      </c>
      <c r="BL71" t="inlineStr">
        <is>
          <t>assumed - no rater record</t>
        </is>
      </c>
      <c r="BM71" t="n">
        <v>1</v>
      </c>
      <c r="BN71" t="inlineStr">
        <is>
          <t>Refinitiv / LSEG StreetEvents</t>
        </is>
      </c>
      <c r="BO71" t="inlineStr">
        <is>
          <t>licensed vendor</t>
        </is>
      </c>
      <c r="BP71" t="inlineStr">
        <is>
          <t>no</t>
        </is>
      </c>
      <c r="BQ71" t="inlineStr">
        <is>
          <t>no</t>
        </is>
      </c>
    </row>
    <row r="72" ht="16.35" customHeight="1">
      <c r="A72" s="95" t="inlineStr">
        <is>
          <t>Walmart</t>
        </is>
      </c>
      <c r="B72" s="96">
        <f>IF(A72="","",_xlfn.XLOOKUP(A72, Company_List!$A:$A, Company_List!$B:$B, ""))</f>
        <v/>
      </c>
      <c r="C72" s="21" t="n">
        <v>2025</v>
      </c>
      <c r="D72" s="20" t="inlineStr">
        <is>
          <t>Q1</t>
        </is>
      </c>
      <c r="E72" s="19" t="inlineStr">
        <is>
          <t>Transcript</t>
        </is>
      </c>
      <c r="F72" s="19" t="inlineStr">
        <is>
          <t>All</t>
        </is>
      </c>
      <c r="G72" s="20" t="inlineStr">
        <is>
          <t>Abdul</t>
        </is>
      </c>
      <c r="H72" s="20" t="inlineStr">
        <is>
          <t>Human</t>
        </is>
      </c>
      <c r="I72" s="127" t="n">
        <v>-0.3</v>
      </c>
      <c r="J72" s="145">
        <f>IF(OR(I72="",Settings!$B$6=""),"",IF(I72&gt;Settings!$B$6,"BUY",IF(I72&lt;-Settings!$B$6,"SELL","HOLD")))</f>
        <v/>
      </c>
      <c r="K72" s="139" t="n">
        <v>30</v>
      </c>
      <c r="L72" s="123" t="n">
        <v>45792</v>
      </c>
      <c r="M72" s="123" t="n">
        <v>45792</v>
      </c>
      <c r="N72" s="127" t="n">
        <v>96.83</v>
      </c>
      <c r="O72" s="123" t="n">
        <v>45793</v>
      </c>
      <c r="P72" s="22" t="n">
        <v>94.3</v>
      </c>
      <c r="Q72" s="148">
        <f>IF(OR(N72="",P72=""),"",ROUND((P72-N72)/N72,4))</f>
        <v/>
      </c>
      <c r="R72" s="20">
        <f>IF(OR(N72="",P72=""),"",IF(Q72&gt;Settings!$B$3/100,"UP",IF(Q72&lt;-Settings!$B$3/100,"DOWN","FLAT")))</f>
        <v/>
      </c>
      <c r="S72" s="20">
        <f>IF(OR(N72="",P72="",J72=""),"",IF(OR(AND(J72="BUY",R72="UP"),AND(J72="SELL",R72="DOWN"),AND(J72="HOLD",R72="FLAT")),"YES","NO"))</f>
        <v/>
      </c>
      <c r="T72" s="21">
        <f>IF(J72="","",IF(J72="BUY",1,IF(J72="SELL",-1,0)))</f>
        <v/>
      </c>
      <c r="U72" s="148">
        <f>IFERROR(IF(OR(J72="",N72="",P72=""),"",IF(T72=0,0,T72*Q72-Settings!$B$4/10000-IF(T72&lt;0,Settings!$B$5/10000,0))),"")</f>
        <v/>
      </c>
      <c r="V72" s="23" t="n"/>
      <c r="W72" s="21">
        <f>IF($K72="","",$K72*60)</f>
        <v/>
      </c>
      <c r="X72" s="91">
        <f>IF($A72="","",$A72&amp;"|"&amp;$C72&amp;"|"&amp;$D72)</f>
        <v/>
      </c>
      <c r="Y72" s="91">
        <f>IFERROR(IF($X72="","",INDEX(LLM_Data_Entry!$H$3:$H$548,MATCH($X72,INDEX(LLM_Data_Entry!$A$3:$A$548&amp;"|"&amp;LLM_Data_Entry!$C$3:$C$548&amp;"|"&amp;LLM_Data_Entry!$D$3:$D$548,0),0))),"")</f>
        <v/>
      </c>
      <c r="Z72" s="91">
        <f>IFERROR(IF($X72="","",INDEX(LLM_Data_Entry!$R$3:$R$548,MATCH($X72,INDEX(LLM_Data_Entry!$A$3:$A$548&amp;"|"&amp;LLM_Data_Entry!$C$3:$C$548&amp;"|"&amp;LLM_Data_Entry!$D$3:$D$548,0),0))),"")</f>
        <v/>
      </c>
      <c r="AB72" t="inlineStr">
        <is>
          <t>price signal — only this window shows an abnormal move</t>
        </is>
      </c>
      <c r="AC72" t="inlineStr">
        <is>
          <t>WMT</t>
        </is>
      </c>
      <c r="AD72" t="inlineStr">
        <is>
          <t>2025-05-14</t>
        </is>
      </c>
      <c r="AE72" t="n">
        <v>96.0271</v>
      </c>
      <c r="AF72" t="inlineStr">
        <is>
          <t>2025-05-15</t>
        </is>
      </c>
      <c r="AG72" t="n">
        <v>93.5181</v>
      </c>
      <c r="AH72" t="n">
        <v>-0.02612822401329185</v>
      </c>
      <c r="AI72" t="inlineStr">
        <is>
          <t>DOWN</t>
        </is>
      </c>
      <c r="AJ72" t="inlineStr">
        <is>
          <t>YES</t>
        </is>
      </c>
      <c r="AK72" t="n">
        <v>0.025128</v>
      </c>
      <c r="AL72">
        <f>IF($A72="","",IFERROR(INDEX(Company_List!$G$3:$G$207,MATCH($A72,Company_List!$A$3:$A$207,0)),"unassigned"))</f>
        <v/>
      </c>
      <c r="AM72" t="inlineStr">
        <is>
          <t>Phase 2/Walmart/Q1 2025/q1-fy26-earnings-call-transcript.pdf</t>
        </is>
      </c>
      <c r="AO72" t="inlineStr">
        <is>
          <t>unique filename match</t>
        </is>
      </c>
      <c r="AP72">
        <f>IF($A72="","",IF(COUNTIFS(LLM_Data_Entry!$A$3:$A$548,$A72)&gt;0,"YES","NO"))</f>
        <v/>
      </c>
      <c r="AQ72">
        <f>IF($A72="","",IF(COUNTIFS($A$3:$A72,$A72,$C$3:$C72,$C72,$D$3:$D72,$D72)=1,"YES","NO"))</f>
        <v/>
      </c>
      <c r="AR72">
        <f>IF($A72="","",IF(AND($C72&amp;"-"&amp;$D72&gt;=Settings!$B$19,$C72&amp;"-"&amp;$D72&lt;=Settings!$B$20),"IN","OUT"))</f>
        <v/>
      </c>
      <c r="AS72">
        <f>IF($A72="","",IF($F72="Financial Results","financials",IF($F72="Outlook/Guidance","guidance",IF($F72="Transcript Q&amp;A","qanda",IF($F72="","unrecorded",IF($E72="All","full",IF($E72="","unrecorded",LOWER($E72)&amp;" only")))))))</f>
        <v/>
      </c>
      <c r="AT72">
        <f>IF(AND(OR($J72="BUY",$J72="SELL"),ISNUMBER($U72)),$U72,"")</f>
        <v/>
      </c>
      <c r="AU72">
        <f>IF(AND(OR($J72="BUY",$J72="SELL"),ISNUMBER($AK72)),$AK72,"")</f>
        <v/>
      </c>
      <c r="AV72">
        <f>IF(ISNUMBER($AT72),ABS(IF(ISNUMBER($I72),$I72,0)-Settings!$B$24),"")</f>
        <v/>
      </c>
      <c r="AW72">
        <f>IF(ISNUMBER($AV72),$AV72*$AT72,"")</f>
        <v/>
      </c>
      <c r="AX72">
        <f>IF(ISNUMBER($AU72),ABS(IF(ISNUMBER($I72),$I72,0)-Settings!$B$24),"")</f>
        <v/>
      </c>
      <c r="AY72">
        <f>IF(ISNUMBER($AX72),$AX72*$AU72,"")</f>
        <v/>
      </c>
      <c r="AZ72">
        <f>IF($A72="","",IFERROR(INDEX(Company_List!$H$3:$H$207,MATCH($A72,Company_List!$A$3:$A$207,0)),"unassigned"))</f>
        <v/>
      </c>
      <c r="BC72">
        <f>IF($A72="","",IF(COUNTIFS($A$3:$A72,$A72,$C$3:$C72,$C72,$D$3:$D72,$D72,$G$3:$G72,$G72)=1,1,0))</f>
        <v/>
      </c>
      <c r="BG72" t="inlineStr">
        <is>
          <t>no</t>
        </is>
      </c>
      <c r="BK72">
        <f>IF(OR($H72&lt;&gt;"Human",$S72="",$J72="",$Y72="",$Z72=""),"",IF(EXACT(UPPER($J72),UPPER($Y72)),1,0))</f>
        <v/>
      </c>
      <c r="BL72" t="inlineStr">
        <is>
          <t>assumed - no rater record</t>
        </is>
      </c>
      <c r="BM72" t="n">
        <v>1</v>
      </c>
      <c r="BN72" t="inlineStr">
        <is>
          <t>FactSet CallStreet</t>
        </is>
      </c>
      <c r="BO72" t="inlineStr">
        <is>
          <t>licensed vendor</t>
        </is>
      </c>
      <c r="BP72" t="inlineStr">
        <is>
          <t>no</t>
        </is>
      </c>
      <c r="BQ72" t="inlineStr">
        <is>
          <t>no</t>
        </is>
      </c>
    </row>
    <row r="73" ht="16.35" customHeight="1">
      <c r="A73" s="95" t="inlineStr">
        <is>
          <t>Walmart</t>
        </is>
      </c>
      <c r="B73" s="96">
        <f>IF(A73="","",_xlfn.XLOOKUP(A73, Company_List!$A:$A, Company_List!$B:$B, ""))</f>
        <v/>
      </c>
      <c r="C73" s="21" t="n">
        <v>2025</v>
      </c>
      <c r="D73" s="20" t="inlineStr">
        <is>
          <t>Q2</t>
        </is>
      </c>
      <c r="E73" s="19" t="inlineStr">
        <is>
          <t>Transcript</t>
        </is>
      </c>
      <c r="F73" s="19" t="inlineStr">
        <is>
          <t>All</t>
        </is>
      </c>
      <c r="G73" s="20" t="inlineStr">
        <is>
          <t>Abdul</t>
        </is>
      </c>
      <c r="H73" s="20" t="inlineStr">
        <is>
          <t>Human</t>
        </is>
      </c>
      <c r="I73" s="127" t="n">
        <v>0.4</v>
      </c>
      <c r="J73" s="145">
        <f>IF(OR(I73="",Settings!$B$6=""),"",IF(I73&gt;Settings!$B$6,"BUY",IF(I73&lt;-Settings!$B$6,"SELL","HOLD")))</f>
        <v/>
      </c>
      <c r="K73" s="139" t="n">
        <v>26</v>
      </c>
      <c r="L73" s="123" t="n">
        <v>45890</v>
      </c>
      <c r="M73" s="123" t="n">
        <v>45890</v>
      </c>
      <c r="N73" s="127" t="n">
        <v>102.57</v>
      </c>
      <c r="O73" s="123" t="n">
        <v>45891</v>
      </c>
      <c r="P73" s="22" t="n">
        <v>99.41</v>
      </c>
      <c r="Q73" s="148">
        <f>IF(OR(N73="",P73=""),"",ROUND((P73-N73)/N73,4))</f>
        <v/>
      </c>
      <c r="R73" s="20">
        <f>IF(OR(N73="",P73=""),"",IF(Q73&gt;Settings!$B$3/100,"UP",IF(Q73&lt;-Settings!$B$3/100,"DOWN","FLAT")))</f>
        <v/>
      </c>
      <c r="S73" s="20">
        <f>IF(OR(N73="",P73="",J73=""),"",IF(OR(AND(J73="BUY",R73="UP"),AND(J73="SELL",R73="DOWN"),AND(J73="HOLD",R73="FLAT")),"YES","NO"))</f>
        <v/>
      </c>
      <c r="T73" s="21">
        <f>IF(J73="","",IF(J73="BUY",1,IF(J73="SELL",-1,0)))</f>
        <v/>
      </c>
      <c r="U73" s="148">
        <f>IFERROR(IF(OR(J73="",N73="",P73=""),"",IF(T73=0,0,T73*Q73-Settings!$B$4/10000-IF(T73&lt;0,Settings!$B$5/10000,0))),"")</f>
        <v/>
      </c>
      <c r="V73" s="23" t="n"/>
      <c r="W73" s="21">
        <f>IF($K73="","",$K73*60)</f>
        <v/>
      </c>
      <c r="X73" s="91">
        <f>IF($A73="","",$A73&amp;"|"&amp;$C73&amp;"|"&amp;$D73)</f>
        <v/>
      </c>
      <c r="Y73" s="91">
        <f>IFERROR(IF($X73="","",INDEX(LLM_Data_Entry!$H$3:$H$548,MATCH($X73,INDEX(LLM_Data_Entry!$A$3:$A$548&amp;"|"&amp;LLM_Data_Entry!$C$3:$C$548&amp;"|"&amp;LLM_Data_Entry!$D$3:$D$548,0),0))),"")</f>
        <v/>
      </c>
      <c r="Z73" s="91">
        <f>IFERROR(IF($X73="","",INDEX(LLM_Data_Entry!$R$3:$R$548,MATCH($X73,INDEX(LLM_Data_Entry!$A$3:$A$548&amp;"|"&amp;LLM_Data_Entry!$C$3:$C$548&amp;"|"&amp;LLM_Data_Entry!$D$3:$D$548,0),0))),"")</f>
        <v/>
      </c>
      <c r="AB73" t="inlineStr">
        <is>
          <t>price signal — only this window shows an abnormal move</t>
        </is>
      </c>
      <c r="AC73" t="inlineStr">
        <is>
          <t>WMT</t>
        </is>
      </c>
      <c r="AD73" t="inlineStr">
        <is>
          <t>2025-08-20</t>
        </is>
      </c>
      <c r="AE73" t="n">
        <v>101.9571</v>
      </c>
      <c r="AF73" t="inlineStr">
        <is>
          <t>2025-08-21</t>
        </is>
      </c>
      <c r="AG73" t="n">
        <v>98.816</v>
      </c>
      <c r="AH73" t="n">
        <v>-0.03080822646605782</v>
      </c>
      <c r="AI73" t="inlineStr">
        <is>
          <t>DOWN</t>
        </is>
      </c>
      <c r="AJ73" t="inlineStr">
        <is>
          <t>NO</t>
        </is>
      </c>
      <c r="AK73" t="n">
        <v>-0.031808</v>
      </c>
      <c r="AL73">
        <f>IF($A73="","",IFERROR(INDEX(Company_List!$G$3:$G$207,MATCH($A73,Company_List!$A$3:$A$207,0)),"unassigned"))</f>
        <v/>
      </c>
      <c r="AM73" t="inlineStr">
        <is>
          <t>Phase 2/Walmart/Q2 2025/q2-fy26-earnings-call-transcript.pdf</t>
        </is>
      </c>
      <c r="AO73" t="inlineStr">
        <is>
          <t>unique filename match</t>
        </is>
      </c>
      <c r="AP73">
        <f>IF($A73="","",IF(COUNTIFS(LLM_Data_Entry!$A$3:$A$548,$A73)&gt;0,"YES","NO"))</f>
        <v/>
      </c>
      <c r="AQ73">
        <f>IF($A73="","",IF(COUNTIFS($A$3:$A73,$A73,$C$3:$C73,$C73,$D$3:$D73,$D73)=1,"YES","NO"))</f>
        <v/>
      </c>
      <c r="AR73">
        <f>IF($A73="","",IF(AND($C73&amp;"-"&amp;$D73&gt;=Settings!$B$19,$C73&amp;"-"&amp;$D73&lt;=Settings!$B$20),"IN","OUT"))</f>
        <v/>
      </c>
      <c r="AS73">
        <f>IF($A73="","",IF($F73="Financial Results","financials",IF($F73="Outlook/Guidance","guidance",IF($F73="Transcript Q&amp;A","qanda",IF($F73="","unrecorded",IF($E73="All","full",IF($E73="","unrecorded",LOWER($E73)&amp;" only")))))))</f>
        <v/>
      </c>
      <c r="AT73">
        <f>IF(AND(OR($J73="BUY",$J73="SELL"),ISNUMBER($U73)),$U73,"")</f>
        <v/>
      </c>
      <c r="AU73">
        <f>IF(AND(OR($J73="BUY",$J73="SELL"),ISNUMBER($AK73)),$AK73,"")</f>
        <v/>
      </c>
      <c r="AV73">
        <f>IF(ISNUMBER($AT73),ABS(IF(ISNUMBER($I73),$I73,0)-Settings!$B$24),"")</f>
        <v/>
      </c>
      <c r="AW73">
        <f>IF(ISNUMBER($AV73),$AV73*$AT73,"")</f>
        <v/>
      </c>
      <c r="AX73">
        <f>IF(ISNUMBER($AU73),ABS(IF(ISNUMBER($I73),$I73,0)-Settings!$B$24),"")</f>
        <v/>
      </c>
      <c r="AY73">
        <f>IF(ISNUMBER($AX73),$AX73*$AU73,"")</f>
        <v/>
      </c>
      <c r="AZ73">
        <f>IF($A73="","",IFERROR(INDEX(Company_List!$H$3:$H$207,MATCH($A73,Company_List!$A$3:$A$207,0)),"unassigned"))</f>
        <v/>
      </c>
      <c r="BC73">
        <f>IF($A73="","",IF(COUNTIFS($A$3:$A73,$A73,$C$3:$C73,$C73,$D$3:$D73,$D73,$G$3:$G73,$G73)=1,1,0))</f>
        <v/>
      </c>
      <c r="BG73" t="inlineStr">
        <is>
          <t>no</t>
        </is>
      </c>
      <c r="BK73">
        <f>IF(OR($H73&lt;&gt;"Human",$S73="",$J73="",$Y73="",$Z73=""),"",IF(EXACT(UPPER($J73),UPPER($Y73)),1,0))</f>
        <v/>
      </c>
      <c r="BL73" t="inlineStr">
        <is>
          <t>assumed - no rater record</t>
        </is>
      </c>
      <c r="BM73" t="n">
        <v>1</v>
      </c>
      <c r="BN73" t="inlineStr">
        <is>
          <t>FactSet CallStreet</t>
        </is>
      </c>
      <c r="BO73" t="inlineStr">
        <is>
          <t>licensed vendor</t>
        </is>
      </c>
      <c r="BP73" t="inlineStr">
        <is>
          <t>no</t>
        </is>
      </c>
      <c r="BQ73" t="inlineStr">
        <is>
          <t>no</t>
        </is>
      </c>
    </row>
    <row r="74" ht="16.35" customHeight="1">
      <c r="A74" s="95" t="inlineStr">
        <is>
          <t>Walmart</t>
        </is>
      </c>
      <c r="B74" s="96">
        <f>IF(A74="","",_xlfn.XLOOKUP(A74, Company_List!$A:$A, Company_List!$B:$B, ""))</f>
        <v/>
      </c>
      <c r="C74" s="21" t="n">
        <v>2025</v>
      </c>
      <c r="D74" s="20" t="inlineStr">
        <is>
          <t>Q3</t>
        </is>
      </c>
      <c r="E74" s="19" t="inlineStr">
        <is>
          <t>Transcript</t>
        </is>
      </c>
      <c r="F74" s="19" t="inlineStr">
        <is>
          <t>All</t>
        </is>
      </c>
      <c r="G74" s="20" t="inlineStr">
        <is>
          <t>Abdul</t>
        </is>
      </c>
      <c r="H74" s="20" t="inlineStr">
        <is>
          <t>Human</t>
        </is>
      </c>
      <c r="I74" s="127" t="n">
        <v>0.5</v>
      </c>
      <c r="J74" s="145">
        <f>IF(OR(I74="",Settings!$B$6=""),"",IF(I74&gt;Settings!$B$6,"BUY",IF(I74&lt;-Settings!$B$6,"SELL","HOLD")))</f>
        <v/>
      </c>
      <c r="K74" s="139" t="n">
        <v>24</v>
      </c>
      <c r="L74" s="123" t="n">
        <v>45981</v>
      </c>
      <c r="M74" s="123" t="n">
        <v>45981</v>
      </c>
      <c r="N74" s="127" t="n">
        <v>100.61</v>
      </c>
      <c r="O74" s="123" t="n">
        <v>45982</v>
      </c>
      <c r="P74" s="22" t="n">
        <v>103.94</v>
      </c>
      <c r="Q74" s="148">
        <f>IF(OR(N74="",P74=""),"",ROUND((P74-N74)/N74,4))</f>
        <v/>
      </c>
      <c r="R74" s="20">
        <f>IF(OR(N74="",P74=""),"",IF(Q74&gt;Settings!$B$3/100,"UP",IF(Q74&lt;-Settings!$B$3/100,"DOWN","FLAT")))</f>
        <v/>
      </c>
      <c r="S74" s="20">
        <f>IF(OR(N74="",P74="",J74=""),"",IF(OR(AND(J74="BUY",R74="UP"),AND(J74="SELL",R74="DOWN"),AND(J74="HOLD",R74="FLAT")),"YES","NO"))</f>
        <v/>
      </c>
      <c r="T74" s="21">
        <f>IF(J74="","",IF(J74="BUY",1,IF(J74="SELL",-1,0)))</f>
        <v/>
      </c>
      <c r="U74" s="148">
        <f>IFERROR(IF(OR(J74="",N74="",P74=""),"",IF(T74=0,0,T74*Q74-Settings!$B$4/10000-IF(T74&lt;0,Settings!$B$5/10000,0))),"")</f>
        <v/>
      </c>
      <c r="V74" s="23" t="n"/>
      <c r="W74" s="21">
        <f>IF($K74="","",$K74*60)</f>
        <v/>
      </c>
      <c r="X74" s="91">
        <f>IF($A74="","",$A74&amp;"|"&amp;$C74&amp;"|"&amp;$D74)</f>
        <v/>
      </c>
      <c r="Y74" s="91">
        <f>IFERROR(IF($X74="","",INDEX(LLM_Data_Entry!$H$3:$H$548,MATCH($X74,INDEX(LLM_Data_Entry!$A$3:$A$548&amp;"|"&amp;LLM_Data_Entry!$C$3:$C$548&amp;"|"&amp;LLM_Data_Entry!$D$3:$D$548,0),0))),"")</f>
        <v/>
      </c>
      <c r="Z74" s="91">
        <f>IFERROR(IF($X74="","",INDEX(LLM_Data_Entry!$R$3:$R$548,MATCH($X74,INDEX(LLM_Data_Entry!$A$3:$A$548&amp;"|"&amp;LLM_Data_Entry!$C$3:$C$548&amp;"|"&amp;LLM_Data_Entry!$D$3:$D$548,0),0))),"")</f>
        <v/>
      </c>
      <c r="AB74" t="inlineStr">
        <is>
          <t>price signal — only this window shows an abnormal move</t>
        </is>
      </c>
      <c r="AC74" t="inlineStr">
        <is>
          <t>WMT</t>
        </is>
      </c>
      <c r="AD74" t="inlineStr">
        <is>
          <t>2025-11-19</t>
        </is>
      </c>
      <c r="AE74" t="n">
        <v>100.0088</v>
      </c>
      <c r="AF74" t="inlineStr">
        <is>
          <t>2025-11-20</t>
        </is>
      </c>
      <c r="AG74" t="n">
        <v>103.3189</v>
      </c>
      <c r="AH74" t="n">
        <v>0.03309815846942354</v>
      </c>
      <c r="AI74" t="inlineStr">
        <is>
          <t>UP</t>
        </is>
      </c>
      <c r="AJ74" t="inlineStr">
        <is>
          <t>YES</t>
        </is>
      </c>
      <c r="AK74" t="n">
        <v>0.032098</v>
      </c>
      <c r="AL74">
        <f>IF($A74="","",IFERROR(INDEX(Company_List!$G$3:$G$207,MATCH($A74,Company_List!$A$3:$A$207,0)),"unassigned"))</f>
        <v/>
      </c>
      <c r="AM74" t="inlineStr">
        <is>
          <t>Phase 2/Walmart/Q3 2025/q3-fy26-earnings-call-transcript.pdf</t>
        </is>
      </c>
      <c r="AO74" t="inlineStr">
        <is>
          <t>unique filename match</t>
        </is>
      </c>
      <c r="AP74">
        <f>IF($A74="","",IF(COUNTIFS(LLM_Data_Entry!$A$3:$A$548,$A74)&gt;0,"YES","NO"))</f>
        <v/>
      </c>
      <c r="AQ74">
        <f>IF($A74="","",IF(COUNTIFS($A$3:$A74,$A74,$C$3:$C74,$C74,$D$3:$D74,$D74)=1,"YES","NO"))</f>
        <v/>
      </c>
      <c r="AR74">
        <f>IF($A74="","",IF(AND($C74&amp;"-"&amp;$D74&gt;=Settings!$B$19,$C74&amp;"-"&amp;$D74&lt;=Settings!$B$20),"IN","OUT"))</f>
        <v/>
      </c>
      <c r="AS74">
        <f>IF($A74="","",IF($F74="Financial Results","financials",IF($F74="Outlook/Guidance","guidance",IF($F74="Transcript Q&amp;A","qanda",IF($F74="","unrecorded",IF($E74="All","full",IF($E74="","unrecorded",LOWER($E74)&amp;" only")))))))</f>
        <v/>
      </c>
      <c r="AT74">
        <f>IF(AND(OR($J74="BUY",$J74="SELL"),ISNUMBER($U74)),$U74,"")</f>
        <v/>
      </c>
      <c r="AU74">
        <f>IF(AND(OR($J74="BUY",$J74="SELL"),ISNUMBER($AK74)),$AK74,"")</f>
        <v/>
      </c>
      <c r="AV74">
        <f>IF(ISNUMBER($AT74),ABS(IF(ISNUMBER($I74),$I74,0)-Settings!$B$24),"")</f>
        <v/>
      </c>
      <c r="AW74">
        <f>IF(ISNUMBER($AV74),$AV74*$AT74,"")</f>
        <v/>
      </c>
      <c r="AX74">
        <f>IF(ISNUMBER($AU74),ABS(IF(ISNUMBER($I74),$I74,0)-Settings!$B$24),"")</f>
        <v/>
      </c>
      <c r="AY74">
        <f>IF(ISNUMBER($AX74),$AX74*$AU74,"")</f>
        <v/>
      </c>
      <c r="AZ74">
        <f>IF($A74="","",IFERROR(INDEX(Company_List!$H$3:$H$207,MATCH($A74,Company_List!$A$3:$A$207,0)),"unassigned"))</f>
        <v/>
      </c>
      <c r="BC74">
        <f>IF($A74="","",IF(COUNTIFS($A$3:$A74,$A74,$C$3:$C74,$C74,$D$3:$D74,$D74,$G$3:$G74,$G74)=1,1,0))</f>
        <v/>
      </c>
      <c r="BG74" t="inlineStr">
        <is>
          <t>no</t>
        </is>
      </c>
      <c r="BK74">
        <f>IF(OR($H74&lt;&gt;"Human",$S74="",$J74="",$Y74="",$Z74=""),"",IF(EXACT(UPPER($J74),UPPER($Y74)),1,0))</f>
        <v/>
      </c>
      <c r="BL74" t="inlineStr">
        <is>
          <t>assumed - no rater record</t>
        </is>
      </c>
      <c r="BM74" t="n">
        <v>1</v>
      </c>
      <c r="BN74" t="inlineStr">
        <is>
          <t>FactSet CallStreet</t>
        </is>
      </c>
      <c r="BO74" t="inlineStr">
        <is>
          <t>licensed vendor</t>
        </is>
      </c>
      <c r="BP74" t="inlineStr">
        <is>
          <t>no</t>
        </is>
      </c>
      <c r="BQ74" t="inlineStr">
        <is>
          <t>no</t>
        </is>
      </c>
    </row>
    <row r="75" ht="16.35" customHeight="1">
      <c r="A75" s="95" t="inlineStr">
        <is>
          <t>Walmart</t>
        </is>
      </c>
      <c r="B75" s="96">
        <f>IF(A75="","",_xlfn.XLOOKUP(A75, Company_List!$A:$A, Company_List!$B:$B, ""))</f>
        <v/>
      </c>
      <c r="C75" s="21" t="n">
        <v>2025</v>
      </c>
      <c r="D75" s="20" t="inlineStr">
        <is>
          <t>Q4</t>
        </is>
      </c>
      <c r="E75" s="19" t="inlineStr">
        <is>
          <t>Transcript</t>
        </is>
      </c>
      <c r="F75" s="19" t="inlineStr">
        <is>
          <t>All</t>
        </is>
      </c>
      <c r="G75" s="20" t="inlineStr">
        <is>
          <t>Abdul</t>
        </is>
      </c>
      <c r="H75" s="20" t="inlineStr">
        <is>
          <t>Human</t>
        </is>
      </c>
      <c r="I75" s="127" t="n">
        <v>0.7</v>
      </c>
      <c r="J75" s="145">
        <f>IF(OR(I75="",Settings!$B$6=""),"",IF(I75&gt;Settings!$B$6,"BUY",IF(I75&lt;-Settings!$B$6,"SELL","HOLD")))</f>
        <v/>
      </c>
      <c r="K75" s="139" t="n">
        <v>21</v>
      </c>
      <c r="L75" s="123" t="n">
        <v>46072</v>
      </c>
      <c r="M75" s="123" t="n">
        <v>46072</v>
      </c>
      <c r="N75" s="127" t="n">
        <v>126.62</v>
      </c>
      <c r="O75" s="123" t="n">
        <v>46073</v>
      </c>
      <c r="P75" s="22" t="n">
        <v>128.5</v>
      </c>
      <c r="Q75" s="148">
        <f>IF(OR(N75="",P75=""),"",ROUND((P75-N75)/N75,4))</f>
        <v/>
      </c>
      <c r="R75" s="20">
        <f>IF(OR(N75="",P75=""),"",IF(Q75&gt;Settings!$B$3/100,"UP",IF(Q75&lt;-Settings!$B$3/100,"DOWN","FLAT")))</f>
        <v/>
      </c>
      <c r="S75" s="20">
        <f>IF(OR(N75="",P75="",J75=""),"",IF(OR(AND(J75="BUY",R75="UP"),AND(J75="SELL",R75="DOWN"),AND(J75="HOLD",R75="FLAT")),"YES","NO"))</f>
        <v/>
      </c>
      <c r="T75" s="21">
        <f>IF(J75="","",IF(J75="BUY",1,IF(J75="SELL",-1,0)))</f>
        <v/>
      </c>
      <c r="U75" s="148">
        <f>IFERROR(IF(OR(J75="",N75="",P75=""),"",IF(T75=0,0,T75*Q75-Settings!$B$4/10000-IF(T75&lt;0,Settings!$B$5/10000,0))),"")</f>
        <v/>
      </c>
      <c r="V75" s="23" t="n"/>
      <c r="W75" s="21">
        <f>IF($K75="","",$K75*60)</f>
        <v/>
      </c>
      <c r="X75" s="91">
        <f>IF($A75="","",$A75&amp;"|"&amp;$C75&amp;"|"&amp;$D75)</f>
        <v/>
      </c>
      <c r="Y75" s="91">
        <f>IFERROR(IF($X75="","",INDEX(LLM_Data_Entry!$H$3:$H$548,MATCH($X75,INDEX(LLM_Data_Entry!$A$3:$A$548&amp;"|"&amp;LLM_Data_Entry!$C$3:$C$548&amp;"|"&amp;LLM_Data_Entry!$D$3:$D$548,0),0))),"")</f>
        <v/>
      </c>
      <c r="Z75" s="91">
        <f>IFERROR(IF($X75="","",INDEX(LLM_Data_Entry!$R$3:$R$548,MATCH($X75,INDEX(LLM_Data_Entry!$A$3:$A$548&amp;"|"&amp;LLM_Data_Entry!$C$3:$C$548&amp;"|"&amp;LLM_Data_Entry!$D$3:$D$548,0),0))),"")</f>
        <v/>
      </c>
      <c r="AB75" t="inlineStr">
        <is>
          <t>price signal — only this window shows an abnormal move</t>
        </is>
      </c>
      <c r="AC75" t="inlineStr">
        <is>
          <t>WMT</t>
        </is>
      </c>
      <c r="AD75" t="inlineStr">
        <is>
          <t>2026-02-18</t>
        </is>
      </c>
      <c r="AE75" t="n">
        <v>126.12</v>
      </c>
      <c r="AF75" t="inlineStr">
        <is>
          <t>2026-02-19</t>
        </is>
      </c>
      <c r="AG75" t="n">
        <v>127.9926</v>
      </c>
      <c r="AH75" t="n">
        <v>0.01484756150853842</v>
      </c>
      <c r="AI75" t="inlineStr">
        <is>
          <t>FLAT</t>
        </is>
      </c>
      <c r="AJ75" t="inlineStr">
        <is>
          <t>NO</t>
        </is>
      </c>
      <c r="AK75" t="n">
        <v>0.013848</v>
      </c>
      <c r="AL75">
        <f>IF($A75="","",IFERROR(INDEX(Company_List!$G$3:$G$207,MATCH($A75,Company_List!$A$3:$A$207,0)),"unassigned"))</f>
        <v/>
      </c>
      <c r="AM75" t="inlineStr">
        <is>
          <t>Phase 2/Walmart/Q4 2025/q4-fy26-earnings-call-transcript.pdf</t>
        </is>
      </c>
      <c r="AO75" t="inlineStr">
        <is>
          <t>unique filename match</t>
        </is>
      </c>
      <c r="AP75">
        <f>IF($A75="","",IF(COUNTIFS(LLM_Data_Entry!$A$3:$A$548,$A75)&gt;0,"YES","NO"))</f>
        <v/>
      </c>
      <c r="AQ75">
        <f>IF($A75="","",IF(COUNTIFS($A$3:$A75,$A75,$C$3:$C75,$C75,$D$3:$D75,$D75)=1,"YES","NO"))</f>
        <v/>
      </c>
      <c r="AR75">
        <f>IF($A75="","",IF(AND($C75&amp;"-"&amp;$D75&gt;=Settings!$B$19,$C75&amp;"-"&amp;$D75&lt;=Settings!$B$20),"IN","OUT"))</f>
        <v/>
      </c>
      <c r="AS75">
        <f>IF($A75="","",IF($F75="Financial Results","financials",IF($F75="Outlook/Guidance","guidance",IF($F75="Transcript Q&amp;A","qanda",IF($F75="","unrecorded",IF($E75="All","full",IF($E75="","unrecorded",LOWER($E75)&amp;" only")))))))</f>
        <v/>
      </c>
      <c r="AT75">
        <f>IF(AND(OR($J75="BUY",$J75="SELL"),ISNUMBER($U75)),$U75,"")</f>
        <v/>
      </c>
      <c r="AU75">
        <f>IF(AND(OR($J75="BUY",$J75="SELL"),ISNUMBER($AK75)),$AK75,"")</f>
        <v/>
      </c>
      <c r="AV75">
        <f>IF(ISNUMBER($AT75),ABS(IF(ISNUMBER($I75),$I75,0)-Settings!$B$24),"")</f>
        <v/>
      </c>
      <c r="AW75">
        <f>IF(ISNUMBER($AV75),$AV75*$AT75,"")</f>
        <v/>
      </c>
      <c r="AX75">
        <f>IF(ISNUMBER($AU75),ABS(IF(ISNUMBER($I75),$I75,0)-Settings!$B$24),"")</f>
        <v/>
      </c>
      <c r="AY75">
        <f>IF(ISNUMBER($AX75),$AX75*$AU75,"")</f>
        <v/>
      </c>
      <c r="AZ75">
        <f>IF($A75="","",IFERROR(INDEX(Company_List!$H$3:$H$207,MATCH($A75,Company_List!$A$3:$A$207,0)),"unassigned"))</f>
        <v/>
      </c>
      <c r="BC75">
        <f>IF($A75="","",IF(COUNTIFS($A$3:$A75,$A75,$C$3:$C75,$C75,$D$3:$D75,$D75,$G$3:$G75,$G75)=1,1,0))</f>
        <v/>
      </c>
      <c r="BG75" t="inlineStr">
        <is>
          <t>no</t>
        </is>
      </c>
      <c r="BK75">
        <f>IF(OR($H75&lt;&gt;"Human",$S75="",$J75="",$Y75="",$Z75=""),"",IF(EXACT(UPPER($J75),UPPER($Y75)),1,0))</f>
        <v/>
      </c>
      <c r="BL75" t="inlineStr">
        <is>
          <t>assumed - no rater record</t>
        </is>
      </c>
      <c r="BM75" t="n">
        <v>1</v>
      </c>
      <c r="BN75" t="inlineStr">
        <is>
          <t>FactSet CallStreet</t>
        </is>
      </c>
      <c r="BO75" t="inlineStr">
        <is>
          <t>licensed vendor</t>
        </is>
      </c>
      <c r="BP75" t="inlineStr">
        <is>
          <t>no</t>
        </is>
      </c>
      <c r="BQ75" t="inlineStr">
        <is>
          <t>no</t>
        </is>
      </c>
    </row>
    <row r="76" ht="16.35" customHeight="1">
      <c r="A76" s="95" t="inlineStr">
        <is>
          <t>Walmart</t>
        </is>
      </c>
      <c r="B76" s="96">
        <f>IF(A76="","",_xlfn.XLOOKUP(A76, Company_List!$A:$A, Company_List!$B:$B, ""))</f>
        <v/>
      </c>
      <c r="C76" s="21" t="n">
        <v>2026</v>
      </c>
      <c r="D76" s="20" t="inlineStr">
        <is>
          <t>Q1</t>
        </is>
      </c>
      <c r="E76" s="19" t="inlineStr">
        <is>
          <t>Transcript</t>
        </is>
      </c>
      <c r="F76" s="19" t="inlineStr">
        <is>
          <t>All</t>
        </is>
      </c>
      <c r="G76" s="20" t="inlineStr">
        <is>
          <t>Abdul</t>
        </is>
      </c>
      <c r="H76" s="20" t="inlineStr">
        <is>
          <t>Human</t>
        </is>
      </c>
      <c r="I76" s="127" t="n">
        <v>-0.5</v>
      </c>
      <c r="J76" s="145">
        <f>IF(OR(I76="",Settings!$B$6=""),"",IF(I76&gt;Settings!$B$6,"BUY",IF(I76&lt;-Settings!$B$6,"SELL","HOLD")))</f>
        <v/>
      </c>
      <c r="K76" s="139" t="n">
        <v>27</v>
      </c>
      <c r="L76" s="123" t="n">
        <v>46163</v>
      </c>
      <c r="M76" s="123" t="n">
        <v>46163</v>
      </c>
      <c r="N76" s="127" t="n">
        <v>130.85</v>
      </c>
      <c r="O76" s="123" t="n">
        <v>46164</v>
      </c>
      <c r="P76" s="22" t="n">
        <v>124.41</v>
      </c>
      <c r="Q76" s="148">
        <f>IF(OR(N76="",P76=""),"",ROUND((P76-N76)/N76,4))</f>
        <v/>
      </c>
      <c r="R76" s="20">
        <f>IF(OR(N76="",P76=""),"",IF(Q76&gt;Settings!$B$3/100,"UP",IF(Q76&lt;-Settings!$B$3/100,"DOWN","FLAT")))</f>
        <v/>
      </c>
      <c r="S76" s="20">
        <f>IF(OR(N76="",P76="",J76=""),"",IF(OR(AND(J76="BUY",R76="UP"),AND(J76="SELL",R76="DOWN"),AND(J76="HOLD",R76="FLAT")),"YES","NO"))</f>
        <v/>
      </c>
      <c r="T76" s="21">
        <f>IF(J76="","",IF(J76="BUY",1,IF(J76="SELL",-1,0)))</f>
        <v/>
      </c>
      <c r="U76" s="148">
        <f>IFERROR(IF(OR(J76="",N76="",P76=""),"",IF(T76=0,0,T76*Q76-Settings!$B$4/10000-IF(T76&lt;0,Settings!$B$5/10000,0))),"")</f>
        <v/>
      </c>
      <c r="V76" s="23" t="n"/>
      <c r="W76" s="21">
        <f>IF($K76="","",$K76*60)</f>
        <v/>
      </c>
      <c r="X76" s="91">
        <f>IF($A76="","",$A76&amp;"|"&amp;$C76&amp;"|"&amp;$D76)</f>
        <v/>
      </c>
      <c r="Y76" s="91">
        <f>IFERROR(IF($X76="","",INDEX(LLM_Data_Entry!$H$3:$H$548,MATCH($X76,INDEX(LLM_Data_Entry!$A$3:$A$548&amp;"|"&amp;LLM_Data_Entry!$C$3:$C$548&amp;"|"&amp;LLM_Data_Entry!$D$3:$D$548,0),0))),"")</f>
        <v/>
      </c>
      <c r="Z76" s="91">
        <f>IFERROR(IF($X76="","",INDEX(LLM_Data_Entry!$R$3:$R$548,MATCH($X76,INDEX(LLM_Data_Entry!$A$3:$A$548&amp;"|"&amp;LLM_Data_Entry!$C$3:$C$548&amp;"|"&amp;LLM_Data_Entry!$D$3:$D$548,0),0))),"")</f>
        <v/>
      </c>
      <c r="AB76" t="inlineStr">
        <is>
          <t>price signal — both moved; this one dominates</t>
        </is>
      </c>
      <c r="AC76" t="inlineStr">
        <is>
          <t>WMT</t>
        </is>
      </c>
      <c r="AD76" t="inlineStr">
        <is>
          <t>2026-05-20</t>
        </is>
      </c>
      <c r="AE76" t="n">
        <v>130.85</v>
      </c>
      <c r="AF76" t="inlineStr">
        <is>
          <t>2026-05-21</t>
        </is>
      </c>
      <c r="AG76" t="n">
        <v>124.41</v>
      </c>
      <c r="AH76" t="n">
        <v>-0.04921667332594548</v>
      </c>
      <c r="AI76" t="inlineStr">
        <is>
          <t>DOWN</t>
        </is>
      </c>
      <c r="AJ76" t="inlineStr">
        <is>
          <t>YES</t>
        </is>
      </c>
      <c r="AK76" t="n">
        <v>0.048217</v>
      </c>
      <c r="AL76">
        <f>IF($A76="","",IFERROR(INDEX(Company_List!$G$3:$G$207,MATCH($A76,Company_List!$A$3:$A$207,0)),"unassigned"))</f>
        <v/>
      </c>
      <c r="AM76" t="inlineStr">
        <is>
          <t>Phase 2/Walmart/Q1 2026/q1-fy27-earnings-call-transcript.pdf</t>
        </is>
      </c>
      <c r="AO76" t="inlineStr">
        <is>
          <t>unique filename match</t>
        </is>
      </c>
      <c r="AP76">
        <f>IF($A76="","",IF(COUNTIFS(LLM_Data_Entry!$A$3:$A$548,$A76)&gt;0,"YES","NO"))</f>
        <v/>
      </c>
      <c r="AQ76">
        <f>IF($A76="","",IF(COUNTIFS($A$3:$A76,$A76,$C$3:$C76,$C76,$D$3:$D76,$D76)=1,"YES","NO"))</f>
        <v/>
      </c>
      <c r="AR76">
        <f>IF($A76="","",IF(AND($C76&amp;"-"&amp;$D76&gt;=Settings!$B$19,$C76&amp;"-"&amp;$D76&lt;=Settings!$B$20),"IN","OUT"))</f>
        <v/>
      </c>
      <c r="AS76">
        <f>IF($A76="","",IF($F76="Financial Results","financials",IF($F76="Outlook/Guidance","guidance",IF($F76="Transcript Q&amp;A","qanda",IF($F76="","unrecorded",IF($E76="All","full",IF($E76="","unrecorded",LOWER($E76)&amp;" only")))))))</f>
        <v/>
      </c>
      <c r="AT76">
        <f>IF(AND(OR($J76="BUY",$J76="SELL"),ISNUMBER($U76)),$U76,"")</f>
        <v/>
      </c>
      <c r="AU76">
        <f>IF(AND(OR($J76="BUY",$J76="SELL"),ISNUMBER($AK76)),$AK76,"")</f>
        <v/>
      </c>
      <c r="AV76">
        <f>IF(ISNUMBER($AT76),ABS(IF(ISNUMBER($I76),$I76,0)-Settings!$B$24),"")</f>
        <v/>
      </c>
      <c r="AW76">
        <f>IF(ISNUMBER($AV76),$AV76*$AT76,"")</f>
        <v/>
      </c>
      <c r="AX76">
        <f>IF(ISNUMBER($AU76),ABS(IF(ISNUMBER($I76),$I76,0)-Settings!$B$24),"")</f>
        <v/>
      </c>
      <c r="AY76">
        <f>IF(ISNUMBER($AX76),$AX76*$AU76,"")</f>
        <v/>
      </c>
      <c r="AZ76">
        <f>IF($A76="","",IFERROR(INDEX(Company_List!$H$3:$H$207,MATCH($A76,Company_List!$A$3:$A$207,0)),"unassigned"))</f>
        <v/>
      </c>
      <c r="BC76">
        <f>IF($A76="","",IF(COUNTIFS($A$3:$A76,$A76,$C$3:$C76,$C76,$D$3:$D76,$D76,$G$3:$G76,$G76)=1,1,0))</f>
        <v/>
      </c>
      <c r="BG76" t="inlineStr">
        <is>
          <t>no</t>
        </is>
      </c>
      <c r="BK76">
        <f>IF(OR($H76&lt;&gt;"Human",$S76="",$J76="",$Y76="",$Z76=""),"",IF(EXACT(UPPER($J76),UPPER($Y76)),1,0))</f>
        <v/>
      </c>
      <c r="BL76" t="inlineStr">
        <is>
          <t>assumed - no rater record</t>
        </is>
      </c>
      <c r="BM76" t="n">
        <v>1</v>
      </c>
      <c r="BN76" t="inlineStr">
        <is>
          <t>FactSet CallStreet</t>
        </is>
      </c>
      <c r="BO76" t="inlineStr">
        <is>
          <t>licensed vendor</t>
        </is>
      </c>
      <c r="BP76" t="inlineStr">
        <is>
          <t>no</t>
        </is>
      </c>
      <c r="BQ76" t="inlineStr">
        <is>
          <t>no</t>
        </is>
      </c>
    </row>
    <row r="77" ht="16.35" customHeight="1">
      <c r="A77" s="95" t="inlineStr">
        <is>
          <t>Citigroup</t>
        </is>
      </c>
      <c r="B77" s="96">
        <f>IF(A77="","",_xlfn.XLOOKUP(A77, Company_List!$A:$A, Company_List!$B:$B, ""))</f>
        <v/>
      </c>
      <c r="C77" s="21" t="n">
        <v>2025</v>
      </c>
      <c r="D77" s="20" t="inlineStr">
        <is>
          <t>Q1</t>
        </is>
      </c>
      <c r="E77" s="19" t="inlineStr">
        <is>
          <t>All</t>
        </is>
      </c>
      <c r="F77" s="19" t="inlineStr">
        <is>
          <t>All</t>
        </is>
      </c>
      <c r="G77" s="20" t="inlineStr">
        <is>
          <t>Nigel</t>
        </is>
      </c>
      <c r="H77" s="20" t="inlineStr">
        <is>
          <t>Human</t>
        </is>
      </c>
      <c r="I77" s="127" t="n">
        <v>0.6</v>
      </c>
      <c r="J77" s="145">
        <f>IF(OR(I77="",Settings!$B$6=""),"",IF(I77&gt;Settings!$B$6,"BUY",IF(I77&lt;-Settings!$B$6,"SELL","HOLD")))</f>
        <v/>
      </c>
      <c r="K77" s="139" t="n">
        <v>38</v>
      </c>
      <c r="L77" s="123" t="n">
        <v>45762</v>
      </c>
      <c r="M77" s="123" t="n">
        <v>45762</v>
      </c>
      <c r="N77" s="127" t="n">
        <v>64.33</v>
      </c>
      <c r="O77" s="123" t="n">
        <v>45763</v>
      </c>
      <c r="P77" s="22" t="n">
        <v>63.06</v>
      </c>
      <c r="Q77" s="148">
        <f>IF(OR(N77="",P77=""),"",ROUND((P77-N77)/N77,4))</f>
        <v/>
      </c>
      <c r="R77" s="20">
        <f>IF(OR(N77="",P77=""),"",IF(Q77&gt;Settings!$B$3/100,"UP",IF(Q77&lt;-Settings!$B$3/100,"DOWN","FLAT")))</f>
        <v/>
      </c>
      <c r="S77" s="20">
        <f>IF(OR(N77="",P77="",J77=""),"",IF(OR(AND(J77="BUY",R77="UP"),AND(J77="SELL",R77="DOWN"),AND(J77="HOLD",R77="FLAT")),"YES","NO"))</f>
        <v/>
      </c>
      <c r="T77" s="21">
        <f>IF(J77="","",IF(J77="BUY",1,IF(J77="SELL",-1,0)))</f>
        <v/>
      </c>
      <c r="U77" s="148">
        <f>IFERROR(IF(OR(J77="",N77="",P77=""),"",IF(T77=0,0,T77*Q77-Settings!$B$4/10000-IF(T77&lt;0,Settings!$B$5/10000,0))),"")</f>
        <v/>
      </c>
      <c r="V77" s="23" t="inlineStr">
        <is>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is>
      </c>
      <c r="W77" s="21">
        <f>IF($K77="","",$K77*60)</f>
        <v/>
      </c>
      <c r="X77" s="91">
        <f>IF($A77="","",$A77&amp;"|"&amp;$C77&amp;"|"&amp;$D77)</f>
        <v/>
      </c>
      <c r="Y77" s="91">
        <f>IFERROR(IF($X77="","",INDEX(LLM_Data_Entry!$H$3:$H$548,MATCH($X77,INDEX(LLM_Data_Entry!$A$3:$A$548&amp;"|"&amp;LLM_Data_Entry!$C$3:$C$548&amp;"|"&amp;LLM_Data_Entry!$D$3:$D$548,0),0))),"")</f>
        <v/>
      </c>
      <c r="Z77" s="91">
        <f>IFERROR(IF($X77="","",INDEX(LLM_Data_Entry!$R$3:$R$548,MATCH($X77,INDEX(LLM_Data_Entry!$A$3:$A$548&amp;"|"&amp;LLM_Data_Entry!$C$3:$C$548&amp;"|"&amp;LLM_Data_Entry!$D$3:$D$548,0),0))),"")</f>
        <v/>
      </c>
      <c r="AB77" t="inlineStr">
        <is>
          <t>earnings calendar, seconded by the issuer's habit</t>
        </is>
      </c>
      <c r="AC77" t="inlineStr">
        <is>
          <t>C</t>
        </is>
      </c>
      <c r="AD77" t="inlineStr">
        <is>
          <t>2025-04-14</t>
        </is>
      </c>
      <c r="AE77" t="n">
        <v>61.0179</v>
      </c>
      <c r="AF77" t="inlineStr">
        <is>
          <t>2025-04-15</t>
        </is>
      </c>
      <c r="AG77" t="n">
        <v>61.9541</v>
      </c>
      <c r="AH77" t="n">
        <v>0.01534335565834782</v>
      </c>
      <c r="AI77" t="inlineStr">
        <is>
          <t>FLAT</t>
        </is>
      </c>
      <c r="AJ77" t="inlineStr">
        <is>
          <t>NO</t>
        </is>
      </c>
      <c r="AK77" t="n">
        <v>0.014343</v>
      </c>
      <c r="AL77">
        <f>IF($A77="","",IFERROR(INDEX(Company_List!$G$3:$G$207,MATCH($A77,Company_List!$A$3:$A$207,0)),"unassigned"))</f>
        <v/>
      </c>
      <c r="AM77" t="inlineStr">
        <is>
          <t>Phase 2/Citigroup/Q1/2025psqtr1rslt.pdf; Phase 2/Citigroup/Q1/2025prqtr1rslt.pdf; Phase 2/Citigroup/Q1/2025fsqtr1rslt.pdf</t>
        </is>
      </c>
      <c r="AO77" t="inlineStr">
        <is>
          <t>whole bundle (Document = All)</t>
        </is>
      </c>
      <c r="AP77">
        <f>IF($A77="","",IF(COUNTIFS(LLM_Data_Entry!$A$3:$A$548,$A77)&gt;0,"YES","NO"))</f>
        <v/>
      </c>
      <c r="AQ77">
        <f>IF($A77="","",IF(COUNTIFS($A$3:$A77,$A77,$C$3:$C77,$C77,$D$3:$D77,$D77)=1,"YES","NO"))</f>
        <v/>
      </c>
      <c r="AR77">
        <f>IF($A77="","",IF(AND($C77&amp;"-"&amp;$D77&gt;=Settings!$B$19,$C77&amp;"-"&amp;$D77&lt;=Settings!$B$20),"IN","OUT"))</f>
        <v/>
      </c>
      <c r="AS77">
        <f>IF($A77="","",IF($F77="Financial Results","financials",IF($F77="Outlook/Guidance","guidance",IF($F77="Transcript Q&amp;A","qanda",IF($F77="","unrecorded",IF($E77="All","full",IF($E77="","unrecorded",LOWER($E77)&amp;" only")))))))</f>
        <v/>
      </c>
      <c r="AT77">
        <f>IF(AND(OR($J77="BUY",$J77="SELL"),ISNUMBER($U77)),$U77,"")</f>
        <v/>
      </c>
      <c r="AU77">
        <f>IF(AND(OR($J77="BUY",$J77="SELL"),ISNUMBER($AK77)),$AK77,"")</f>
        <v/>
      </c>
      <c r="AV77">
        <f>IF(ISNUMBER($AT77),ABS(IF(ISNUMBER($I77),$I77,0)-Settings!$B$24),"")</f>
        <v/>
      </c>
      <c r="AW77">
        <f>IF(ISNUMBER($AV77),$AV77*$AT77,"")</f>
        <v/>
      </c>
      <c r="AX77">
        <f>IF(ISNUMBER($AU77),ABS(IF(ISNUMBER($I77),$I77,0)-Settings!$B$24),"")</f>
        <v/>
      </c>
      <c r="AY77">
        <f>IF(ISNUMBER($AX77),$AX77*$AU77,"")</f>
        <v/>
      </c>
      <c r="AZ77">
        <f>IF($A77="","",IFERROR(INDEX(Company_List!$H$3:$H$207,MATCH($A77,Company_List!$A$3:$A$207,0)),"unassigned"))</f>
        <v/>
      </c>
      <c r="BC77">
        <f>IF($A77="","",IF(COUNTIFS($A$3:$A77,$A77,$C$3:$C77,$C77,$D$3:$D77,$D77,$G$3:$G77,$G77)=1,1,0))</f>
        <v/>
      </c>
      <c r="BG77" t="inlineStr">
        <is>
          <t>no</t>
        </is>
      </c>
      <c r="BK77">
        <f>IF(OR($H77&lt;&gt;"Human",$S77="",$J77="",$Y77="",$Z77=""),"",IF(EXACT(UPPER($J77),UPPER($Y77)),1,0))</f>
        <v/>
      </c>
      <c r="BL77" t="inlineStr">
        <is>
          <t>assumed - no rater record</t>
        </is>
      </c>
      <c r="BM77" t="n">
        <v>3</v>
      </c>
      <c r="BN77" t="inlineStr">
        <is>
          <t>not publisher-identified</t>
        </is>
      </c>
      <c r="BO77" t="inlineStr">
        <is>
          <t>not publisher-identified</t>
        </is>
      </c>
      <c r="BP77" t="inlineStr">
        <is>
          <t>no</t>
        </is>
      </c>
      <c r="BQ77" t="inlineStr">
        <is>
          <t>no</t>
        </is>
      </c>
    </row>
    <row r="78" ht="16.35" customHeight="1">
      <c r="A78" s="95" t="inlineStr">
        <is>
          <t>Citigroup</t>
        </is>
      </c>
      <c r="B78" s="96">
        <f>IF(A78="","",_xlfn.XLOOKUP(A78, Company_List!$A:$A, Company_List!$B:$B, ""))</f>
        <v/>
      </c>
      <c r="C78" s="21" t="n">
        <v>2025</v>
      </c>
      <c r="D78" s="20" t="inlineStr">
        <is>
          <t>Q2</t>
        </is>
      </c>
      <c r="E78" s="19" t="inlineStr">
        <is>
          <t>All</t>
        </is>
      </c>
      <c r="F78" s="19" t="inlineStr">
        <is>
          <t>All</t>
        </is>
      </c>
      <c r="G78" s="20" t="inlineStr">
        <is>
          <t>Nigel</t>
        </is>
      </c>
      <c r="H78" s="20" t="inlineStr">
        <is>
          <t>Human</t>
        </is>
      </c>
      <c r="I78" s="127" t="n">
        <v>0.4</v>
      </c>
      <c r="J78" s="145">
        <f>IF(OR(I78="",Settings!$B$6=""),"",IF(I78&gt;Settings!$B$6,"BUY",IF(I78&lt;-Settings!$B$6,"SELL","HOLD")))</f>
        <v/>
      </c>
      <c r="K78" s="139" t="n">
        <v>25</v>
      </c>
      <c r="L78" s="123" t="n">
        <v>45853</v>
      </c>
      <c r="M78" s="123" t="n">
        <v>45853</v>
      </c>
      <c r="N78" s="127" t="n">
        <v>90.72</v>
      </c>
      <c r="O78" s="123" t="n">
        <v>45854</v>
      </c>
      <c r="P78" s="22" t="n">
        <v>91.48</v>
      </c>
      <c r="Q78" s="148">
        <f>IF(OR(N78="",P78=""),"",ROUND((P78-N78)/N78,4))</f>
        <v/>
      </c>
      <c r="R78" s="20">
        <f>IF(OR(N78="",P78=""),"",IF(Q78&gt;Settings!$B$3/100,"UP",IF(Q78&lt;-Settings!$B$3/100,"DOWN","FLAT")))</f>
        <v/>
      </c>
      <c r="S78" s="20">
        <f>IF(OR(N78="",P78="",J78=""),"",IF(OR(AND(J78="BUY",R78="UP"),AND(J78="SELL",R78="DOWN"),AND(J78="HOLD",R78="FLAT")),"YES","NO"))</f>
        <v/>
      </c>
      <c r="T78" s="21">
        <f>IF(J78="","",IF(J78="BUY",1,IF(J78="SELL",-1,0)))</f>
        <v/>
      </c>
      <c r="U78" s="148">
        <f>IFERROR(IF(OR(J78="",N78="",P78=""),"",IF(T78=0,0,T78*Q78-Settings!$B$4/10000-IF(T78&lt;0,Settings!$B$5/10000,0))),"")</f>
        <v/>
      </c>
      <c r="V78" s="23" t="inlineStr">
        <is>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is>
      </c>
      <c r="W78" s="21">
        <f>IF($K78="","",$K78*60)</f>
        <v/>
      </c>
      <c r="X78" s="91">
        <f>IF($A78="","",$A78&amp;"|"&amp;$C78&amp;"|"&amp;$D78)</f>
        <v/>
      </c>
      <c r="Y78" s="91">
        <f>IFERROR(IF($X78="","",INDEX(LLM_Data_Entry!$H$3:$H$548,MATCH($X78,INDEX(LLM_Data_Entry!$A$3:$A$548&amp;"|"&amp;LLM_Data_Entry!$C$3:$C$548&amp;"|"&amp;LLM_Data_Entry!$D$3:$D$548,0),0))),"")</f>
        <v/>
      </c>
      <c r="Z78" s="91">
        <f>IFERROR(IF($X78="","",INDEX(LLM_Data_Entry!$R$3:$R$548,MATCH($X78,INDEX(LLM_Data_Entry!$A$3:$A$548&amp;"|"&amp;LLM_Data_Entry!$C$3:$C$548&amp;"|"&amp;LLM_Data_Entry!$D$3:$D$548,0),0))),"")</f>
        <v/>
      </c>
      <c r="AB78" t="inlineStr">
        <is>
          <t>document date + price signal</t>
        </is>
      </c>
      <c r="AC78" t="inlineStr">
        <is>
          <t>C</t>
        </is>
      </c>
      <c r="AD78" t="inlineStr">
        <is>
          <t>2025-07-14</t>
        </is>
      </c>
      <c r="AE78" t="n">
        <v>85.12739999999999</v>
      </c>
      <c r="AF78" t="inlineStr">
        <is>
          <t>2025-07-15</t>
        </is>
      </c>
      <c r="AG78" t="n">
        <v>86.24630000000001</v>
      </c>
      <c r="AH78" t="n">
        <v>0.01314288227646826</v>
      </c>
      <c r="AI78" t="inlineStr">
        <is>
          <t>FLAT</t>
        </is>
      </c>
      <c r="AJ78" t="inlineStr">
        <is>
          <t>NO</t>
        </is>
      </c>
      <c r="AK78" t="n">
        <v>0.012143</v>
      </c>
      <c r="AL78">
        <f>IF($A78="","",IFERROR(INDEX(Company_List!$G$3:$G$207,MATCH($A78,Company_List!$A$3:$A$207,0)),"unassigned"))</f>
        <v/>
      </c>
      <c r="AM78" t="inlineStr">
        <is>
          <t>Phase 2/Citigroup/Q2/2025psqtr2rslt.pdf; Phase 2/Citigroup/Q2/2025prqtr2rslt.pdf; Phase 2/Citigroup/Q2/2025fsqtr2rslt.pdf</t>
        </is>
      </c>
      <c r="AO78" t="inlineStr">
        <is>
          <t>whole bundle (Document = All)</t>
        </is>
      </c>
      <c r="AP78">
        <f>IF($A78="","",IF(COUNTIFS(LLM_Data_Entry!$A$3:$A$548,$A78)&gt;0,"YES","NO"))</f>
        <v/>
      </c>
      <c r="AQ78">
        <f>IF($A78="","",IF(COUNTIFS($A$3:$A78,$A78,$C$3:$C78,$C78,$D$3:$D78,$D78)=1,"YES","NO"))</f>
        <v/>
      </c>
      <c r="AR78">
        <f>IF($A78="","",IF(AND($C78&amp;"-"&amp;$D78&gt;=Settings!$B$19,$C78&amp;"-"&amp;$D78&lt;=Settings!$B$20),"IN","OUT"))</f>
        <v/>
      </c>
      <c r="AS78">
        <f>IF($A78="","",IF($F78="Financial Results","financials",IF($F78="Outlook/Guidance","guidance",IF($F78="Transcript Q&amp;A","qanda",IF($F78="","unrecorded",IF($E78="All","full",IF($E78="","unrecorded",LOWER($E78)&amp;" only")))))))</f>
        <v/>
      </c>
      <c r="AT78">
        <f>IF(AND(OR($J78="BUY",$J78="SELL"),ISNUMBER($U78)),$U78,"")</f>
        <v/>
      </c>
      <c r="AU78">
        <f>IF(AND(OR($J78="BUY",$J78="SELL"),ISNUMBER($AK78)),$AK78,"")</f>
        <v/>
      </c>
      <c r="AV78">
        <f>IF(ISNUMBER($AT78),ABS(IF(ISNUMBER($I78),$I78,0)-Settings!$B$24),"")</f>
        <v/>
      </c>
      <c r="AW78">
        <f>IF(ISNUMBER($AV78),$AV78*$AT78,"")</f>
        <v/>
      </c>
      <c r="AX78">
        <f>IF(ISNUMBER($AU78),ABS(IF(ISNUMBER($I78),$I78,0)-Settings!$B$24),"")</f>
        <v/>
      </c>
      <c r="AY78">
        <f>IF(ISNUMBER($AX78),$AX78*$AU78,"")</f>
        <v/>
      </c>
      <c r="AZ78">
        <f>IF($A78="","",IFERROR(INDEX(Company_List!$H$3:$H$207,MATCH($A78,Company_List!$A$3:$A$207,0)),"unassigned"))</f>
        <v/>
      </c>
      <c r="BC78">
        <f>IF($A78="","",IF(COUNTIFS($A$3:$A78,$A78,$C$3:$C78,$C78,$D$3:$D78,$D78,$G$3:$G78,$G78)=1,1,0))</f>
        <v/>
      </c>
      <c r="BG78" t="inlineStr">
        <is>
          <t>no</t>
        </is>
      </c>
      <c r="BK78">
        <f>IF(OR($H78&lt;&gt;"Human",$S78="",$J78="",$Y78="",$Z78=""),"",IF(EXACT(UPPER($J78),UPPER($Y78)),1,0))</f>
        <v/>
      </c>
      <c r="BL78" t="inlineStr">
        <is>
          <t>assumed - no rater record</t>
        </is>
      </c>
      <c r="BM78" t="n">
        <v>3</v>
      </c>
      <c r="BN78" t="inlineStr">
        <is>
          <t>not publisher-identified</t>
        </is>
      </c>
      <c r="BO78" t="inlineStr">
        <is>
          <t>not publisher-identified</t>
        </is>
      </c>
      <c r="BP78" t="inlineStr">
        <is>
          <t>no</t>
        </is>
      </c>
      <c r="BQ78" t="inlineStr">
        <is>
          <t>no</t>
        </is>
      </c>
    </row>
    <row r="79" ht="16.35" customHeight="1">
      <c r="A79" s="95" t="inlineStr">
        <is>
          <t>Citigroup</t>
        </is>
      </c>
      <c r="B79" s="96">
        <f>IF(A79="","",_xlfn.XLOOKUP(A79, Company_List!$A:$A, Company_List!$B:$B, ""))</f>
        <v/>
      </c>
      <c r="C79" s="21" t="n">
        <v>2025</v>
      </c>
      <c r="D79" s="20" t="inlineStr">
        <is>
          <t>Q3</t>
        </is>
      </c>
      <c r="E79" s="19" t="inlineStr">
        <is>
          <t>All</t>
        </is>
      </c>
      <c r="F79" s="19" t="inlineStr">
        <is>
          <t>All</t>
        </is>
      </c>
      <c r="G79" s="20" t="inlineStr">
        <is>
          <t>Nigel</t>
        </is>
      </c>
      <c r="H79" s="20" t="inlineStr">
        <is>
          <t>Human</t>
        </is>
      </c>
      <c r="I79" s="127" t="n">
        <v>0.8</v>
      </c>
      <c r="J79" s="145">
        <f>IF(OR(I79="",Settings!$B$6=""),"",IF(I79&gt;Settings!$B$6,"BUY",IF(I79&lt;-Settings!$B$6,"SELL","HOLD")))</f>
        <v/>
      </c>
      <c r="K79" s="139" t="n">
        <v>21</v>
      </c>
      <c r="L79" s="123" t="n">
        <v>45944</v>
      </c>
      <c r="M79" s="123" t="n">
        <v>45944</v>
      </c>
      <c r="N79" s="127" t="n">
        <v>99.84</v>
      </c>
      <c r="O79" s="123" t="n">
        <v>45945</v>
      </c>
      <c r="P79" s="22" t="n">
        <v>101.19</v>
      </c>
      <c r="Q79" s="148">
        <f>IF(OR(N79="",P79=""),"",ROUND((P79-N79)/N79,4))</f>
        <v/>
      </c>
      <c r="R79" s="20">
        <f>IF(OR(N79="",P79=""),"",IF(Q79&gt;Settings!$B$3/100,"UP",IF(Q79&lt;-Settings!$B$3/100,"DOWN","FLAT")))</f>
        <v/>
      </c>
      <c r="S79" s="20">
        <f>IF(OR(N79="",P79="",J79=""),"",IF(OR(AND(J79="BUY",R79="UP"),AND(J79="SELL",R79="DOWN"),AND(J79="HOLD",R79="FLAT")),"YES","NO"))</f>
        <v/>
      </c>
      <c r="T79" s="21">
        <f>IF(J79="","",IF(J79="BUY",1,IF(J79="SELL",-1,0)))</f>
        <v/>
      </c>
      <c r="U79" s="148">
        <f>IFERROR(IF(OR(J79="",N79="",P79=""),"",IF(T79=0,0,T79*Q79-Settings!$B$4/10000-IF(T79&lt;0,Settings!$B$5/10000,0))),"")</f>
        <v/>
      </c>
      <c r="V79" s="23" t="inlineStr">
        <is>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is>
      </c>
      <c r="W79" s="21">
        <f>IF($K79="","",$K79*60)</f>
        <v/>
      </c>
      <c r="X79" s="91">
        <f>IF($A79="","",$A79&amp;"|"&amp;$C79&amp;"|"&amp;$D79)</f>
        <v/>
      </c>
      <c r="Y79" s="91">
        <f>IFERROR(IF($X79="","",INDEX(LLM_Data_Entry!$H$3:$H$548,MATCH($X79,INDEX(LLM_Data_Entry!$A$3:$A$548&amp;"|"&amp;LLM_Data_Entry!$C$3:$C$548&amp;"|"&amp;LLM_Data_Entry!$D$3:$D$548,0),0))),"")</f>
        <v/>
      </c>
      <c r="Z79" s="91">
        <f>IFERROR(IF($X79="","",INDEX(LLM_Data_Entry!$R$3:$R$548,MATCH($X79,INDEX(LLM_Data_Entry!$A$3:$A$548&amp;"|"&amp;LLM_Data_Entry!$C$3:$C$548&amp;"|"&amp;LLM_Data_Entry!$D$3:$D$548,0),0))),"")</f>
        <v/>
      </c>
      <c r="AB79" t="inlineStr">
        <is>
          <t>earnings calendar, seconded by the issuer's habit</t>
        </is>
      </c>
      <c r="AC79" t="inlineStr">
        <is>
          <t>C</t>
        </is>
      </c>
      <c r="AD79" t="inlineStr">
        <is>
          <t>2025-10-13</t>
        </is>
      </c>
      <c r="AE79" t="n">
        <v>94.1091</v>
      </c>
      <c r="AF79" t="inlineStr">
        <is>
          <t>2025-10-14</t>
        </is>
      </c>
      <c r="AG79" t="n">
        <v>93.3943</v>
      </c>
      <c r="AH79" t="n">
        <v>-0.007596170444705547</v>
      </c>
      <c r="AI79" t="inlineStr">
        <is>
          <t>FLAT</t>
        </is>
      </c>
      <c r="AJ79" t="inlineStr">
        <is>
          <t>NO</t>
        </is>
      </c>
      <c r="AK79" t="n">
        <v>-0.008595999999999999</v>
      </c>
      <c r="AL79">
        <f>IF($A79="","",IFERROR(INDEX(Company_List!$G$3:$G$207,MATCH($A79,Company_List!$A$3:$A$207,0)),"unassigned"))</f>
        <v/>
      </c>
      <c r="AM79" t="inlineStr">
        <is>
          <t>Phase 2/Citigroup/Q3/2025psqtr3rslt.pdf; Phase 2/Citigroup/Q3/2025psqtr3-transcript.pdf; Phase 2/Citigroup/Q3/2025prqtr3rslt.pdf; Phase 2/Citigroup/Q3/2025fsqtr3rslt.pdf</t>
        </is>
      </c>
      <c r="AO79" t="inlineStr">
        <is>
          <t>whole bundle (Document = All)</t>
        </is>
      </c>
      <c r="AP79">
        <f>IF($A79="","",IF(COUNTIFS(LLM_Data_Entry!$A$3:$A$548,$A79)&gt;0,"YES","NO"))</f>
        <v/>
      </c>
      <c r="AQ79">
        <f>IF($A79="","",IF(COUNTIFS($A$3:$A79,$A79,$C$3:$C79,$C79,$D$3:$D79,$D79)=1,"YES","NO"))</f>
        <v/>
      </c>
      <c r="AR79">
        <f>IF($A79="","",IF(AND($C79&amp;"-"&amp;$D79&gt;=Settings!$B$19,$C79&amp;"-"&amp;$D79&lt;=Settings!$B$20),"IN","OUT"))</f>
        <v/>
      </c>
      <c r="AS79">
        <f>IF($A79="","",IF($F79="Financial Results","financials",IF($F79="Outlook/Guidance","guidance",IF($F79="Transcript Q&amp;A","qanda",IF($F79="","unrecorded",IF($E79="All","full",IF($E79="","unrecorded",LOWER($E79)&amp;" only")))))))</f>
        <v/>
      </c>
      <c r="AT79">
        <f>IF(AND(OR($J79="BUY",$J79="SELL"),ISNUMBER($U79)),$U79,"")</f>
        <v/>
      </c>
      <c r="AU79">
        <f>IF(AND(OR($J79="BUY",$J79="SELL"),ISNUMBER($AK79)),$AK79,"")</f>
        <v/>
      </c>
      <c r="AV79">
        <f>IF(ISNUMBER($AT79),ABS(IF(ISNUMBER($I79),$I79,0)-Settings!$B$24),"")</f>
        <v/>
      </c>
      <c r="AW79">
        <f>IF(ISNUMBER($AV79),$AV79*$AT79,"")</f>
        <v/>
      </c>
      <c r="AX79">
        <f>IF(ISNUMBER($AU79),ABS(IF(ISNUMBER($I79),$I79,0)-Settings!$B$24),"")</f>
        <v/>
      </c>
      <c r="AY79">
        <f>IF(ISNUMBER($AX79),$AX79*$AU79,"")</f>
        <v/>
      </c>
      <c r="AZ79">
        <f>IF($A79="","",IFERROR(INDEX(Company_List!$H$3:$H$207,MATCH($A79,Company_List!$A$3:$A$207,0)),"unassigned"))</f>
        <v/>
      </c>
      <c r="BC79">
        <f>IF($A79="","",IF(COUNTIFS($A$3:$A79,$A79,$C$3:$C79,$C79,$D$3:$D79,$D79,$G$3:$G79,$G79)=1,1,0))</f>
        <v/>
      </c>
      <c r="BG79" t="inlineStr">
        <is>
          <t>no</t>
        </is>
      </c>
      <c r="BK79">
        <f>IF(OR($H79&lt;&gt;"Human",$S79="",$J79="",$Y79="",$Z79=""),"",IF(EXACT(UPPER($J79),UPPER($Y79)),1,0))</f>
        <v/>
      </c>
      <c r="BL79" t="inlineStr">
        <is>
          <t>assumed - no rater record</t>
        </is>
      </c>
      <c r="BM79" t="n">
        <v>4</v>
      </c>
      <c r="BN79" t="inlineStr">
        <is>
          <t>not publisher-identified</t>
        </is>
      </c>
      <c r="BO79" t="inlineStr">
        <is>
          <t>not publisher-identified</t>
        </is>
      </c>
      <c r="BP79" t="inlineStr">
        <is>
          <t>no</t>
        </is>
      </c>
      <c r="BQ79" t="inlineStr">
        <is>
          <t>no</t>
        </is>
      </c>
    </row>
    <row r="80" ht="16.35" customHeight="1">
      <c r="A80" s="95" t="inlineStr">
        <is>
          <t>Citigroup</t>
        </is>
      </c>
      <c r="B80" s="96">
        <f>IF(A80="","",_xlfn.XLOOKUP(A80, Company_List!$A:$A, Company_List!$B:$B, ""))</f>
        <v/>
      </c>
      <c r="C80" s="21" t="n">
        <v>2025</v>
      </c>
      <c r="D80" s="20" t="inlineStr">
        <is>
          <t>Q4</t>
        </is>
      </c>
      <c r="E80" s="19" t="inlineStr">
        <is>
          <t>All</t>
        </is>
      </c>
      <c r="F80" s="19" t="inlineStr">
        <is>
          <t>All</t>
        </is>
      </c>
      <c r="G80" s="20" t="inlineStr">
        <is>
          <t>Nigel</t>
        </is>
      </c>
      <c r="H80" s="20" t="inlineStr">
        <is>
          <t>Human</t>
        </is>
      </c>
      <c r="I80" s="127" t="n">
        <v>0.2</v>
      </c>
      <c r="J80" s="145">
        <f>IF(OR(I80="",Settings!$B$6=""),"",IF(I80&gt;Settings!$B$6,"BUY",IF(I80&lt;-Settings!$B$6,"SELL","HOLD")))</f>
        <v/>
      </c>
      <c r="K80" s="139" t="n">
        <v>18</v>
      </c>
      <c r="L80" s="123" t="n">
        <v>46036</v>
      </c>
      <c r="M80" s="123" t="n">
        <v>46036</v>
      </c>
      <c r="N80" s="127" t="n">
        <v>112.41</v>
      </c>
      <c r="O80" s="123" t="n">
        <v>46037</v>
      </c>
      <c r="P80" s="22" t="n">
        <v>113.85</v>
      </c>
      <c r="Q80" s="148">
        <f>IF(OR(N80="",P80=""),"",ROUND((P80-N80)/N80,4))</f>
        <v/>
      </c>
      <c r="R80" s="20">
        <f>IF(OR(N80="",P80=""),"",IF(Q80&gt;Settings!$B$3/100,"UP",IF(Q80&lt;-Settings!$B$3/100,"DOWN","FLAT")))</f>
        <v/>
      </c>
      <c r="S80" s="20">
        <f>IF(OR(N80="",P80="",J80=""),"",IF(OR(AND(J80="BUY",R80="UP"),AND(J80="SELL",R80="DOWN"),AND(J80="HOLD",R80="FLAT")),"YES","NO"))</f>
        <v/>
      </c>
      <c r="T80" s="21">
        <f>IF(J80="","",IF(J80="BUY",1,IF(J80="SELL",-1,0)))</f>
        <v/>
      </c>
      <c r="U80" s="148">
        <f>IFERROR(IF(OR(J80="",N80="",P80=""),"",IF(T80=0,0,T80*Q80-Settings!$B$4/10000-IF(T80&lt;0,Settings!$B$5/10000,0))),"")</f>
        <v/>
      </c>
      <c r="V80" s="23" t="inlineStr">
        <is>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is>
      </c>
      <c r="W80" s="21">
        <f>IF($K80="","",$K80*60)</f>
        <v/>
      </c>
      <c r="X80" s="91">
        <f>IF($A80="","",$A80&amp;"|"&amp;$C80&amp;"|"&amp;$D80)</f>
        <v/>
      </c>
      <c r="Y80" s="91">
        <f>IFERROR(IF($X80="","",INDEX(LLM_Data_Entry!$H$3:$H$548,MATCH($X80,INDEX(LLM_Data_Entry!$A$3:$A$548&amp;"|"&amp;LLM_Data_Entry!$C$3:$C$548&amp;"|"&amp;LLM_Data_Entry!$D$3:$D$548,0),0))),"")</f>
        <v/>
      </c>
      <c r="Z80" s="91">
        <f>IFERROR(IF($X80="","",INDEX(LLM_Data_Entry!$R$3:$R$548,MATCH($X80,INDEX(LLM_Data_Entry!$A$3:$A$548&amp;"|"&amp;LLM_Data_Entry!$C$3:$C$548&amp;"|"&amp;LLM_Data_Entry!$D$3:$D$548,0),0))),"")</f>
        <v/>
      </c>
      <c r="AB80" t="inlineStr">
        <is>
          <t>price signal</t>
        </is>
      </c>
      <c r="AC80" t="inlineStr">
        <is>
          <t>C</t>
        </is>
      </c>
      <c r="AD80" t="inlineStr">
        <is>
          <t>2026-01-13</t>
        </is>
      </c>
      <c r="AE80" t="n">
        <v>114.5697</v>
      </c>
      <c r="AF80" t="inlineStr">
        <is>
          <t>2026-01-14</t>
        </is>
      </c>
      <c r="AG80" t="n">
        <v>116.1558</v>
      </c>
      <c r="AH80" t="n">
        <v>0.01384353209791019</v>
      </c>
      <c r="AI80" t="inlineStr">
        <is>
          <t>FLAT</t>
        </is>
      </c>
      <c r="AJ80" t="inlineStr">
        <is>
          <t>YES</t>
        </is>
      </c>
      <c r="AK80" t="n">
        <v>0</v>
      </c>
      <c r="AL80">
        <f>IF($A80="","",IFERROR(INDEX(Company_List!$G$3:$G$207,MATCH($A80,Company_List!$A$3:$A$207,0)),"unassigned"))</f>
        <v/>
      </c>
      <c r="AM80" t="inlineStr">
        <is>
          <t>Phase 2/Citigroup/Q4/2025psqtr4rslt.pdf; Phase 2/Citigroup/Q4/2025psqtr4-transcript.pdf; Phase 2/Citigroup/Q4/2025prqtr4rslt.pdf; Phase 2/Citigroup/Q4/2025fsqtr4rslt.pdf</t>
        </is>
      </c>
      <c r="AO80" t="inlineStr">
        <is>
          <t>whole bundle (Document = All)</t>
        </is>
      </c>
      <c r="AP80">
        <f>IF($A80="","",IF(COUNTIFS(LLM_Data_Entry!$A$3:$A$548,$A80)&gt;0,"YES","NO"))</f>
        <v/>
      </c>
      <c r="AQ80">
        <f>IF($A80="","",IF(COUNTIFS($A$3:$A80,$A80,$C$3:$C80,$C80,$D$3:$D80,$D80)=1,"YES","NO"))</f>
        <v/>
      </c>
      <c r="AR80">
        <f>IF($A80="","",IF(AND($C80&amp;"-"&amp;$D80&gt;=Settings!$B$19,$C80&amp;"-"&amp;$D80&lt;=Settings!$B$20),"IN","OUT"))</f>
        <v/>
      </c>
      <c r="AS80">
        <f>IF($A80="","",IF($F80="Financial Results","financials",IF($F80="Outlook/Guidance","guidance",IF($F80="Transcript Q&amp;A","qanda",IF($F80="","unrecorded",IF($E80="All","full",IF($E80="","unrecorded",LOWER($E80)&amp;" only")))))))</f>
        <v/>
      </c>
      <c r="AT80">
        <f>IF(AND(OR($J80="BUY",$J80="SELL"),ISNUMBER($U80)),$U80,"")</f>
        <v/>
      </c>
      <c r="AU80">
        <f>IF(AND(OR($J80="BUY",$J80="SELL"),ISNUMBER($AK80)),$AK80,"")</f>
        <v/>
      </c>
      <c r="AV80">
        <f>IF(ISNUMBER($AT80),ABS(IF(ISNUMBER($I80),$I80,0)-Settings!$B$24),"")</f>
        <v/>
      </c>
      <c r="AW80">
        <f>IF(ISNUMBER($AV80),$AV80*$AT80,"")</f>
        <v/>
      </c>
      <c r="AX80">
        <f>IF(ISNUMBER($AU80),ABS(IF(ISNUMBER($I80),$I80,0)-Settings!$B$24),"")</f>
        <v/>
      </c>
      <c r="AY80">
        <f>IF(ISNUMBER($AX80),$AX80*$AU80,"")</f>
        <v/>
      </c>
      <c r="AZ80">
        <f>IF($A80="","",IFERROR(INDEX(Company_List!$H$3:$H$207,MATCH($A80,Company_List!$A$3:$A$207,0)),"unassigned"))</f>
        <v/>
      </c>
      <c r="BC80">
        <f>IF($A80="","",IF(COUNTIFS($A$3:$A80,$A80,$C$3:$C80,$C80,$D$3:$D80,$D80,$G$3:$G80,$G80)=1,1,0))</f>
        <v/>
      </c>
      <c r="BG80" t="inlineStr">
        <is>
          <t>no</t>
        </is>
      </c>
      <c r="BK80">
        <f>IF(OR($H80&lt;&gt;"Human",$S80="",$J80="",$Y80="",$Z80=""),"",IF(EXACT(UPPER($J80),UPPER($Y80)),1,0))</f>
        <v/>
      </c>
      <c r="BL80" t="inlineStr">
        <is>
          <t>assumed - no rater record</t>
        </is>
      </c>
      <c r="BM80" t="n">
        <v>4</v>
      </c>
      <c r="BN80" t="inlineStr">
        <is>
          <t>not publisher-identified</t>
        </is>
      </c>
      <c r="BO80" t="inlineStr">
        <is>
          <t>not publisher-identified</t>
        </is>
      </c>
      <c r="BP80" t="inlineStr">
        <is>
          <t>no</t>
        </is>
      </c>
      <c r="BQ80" t="inlineStr">
        <is>
          <t>no</t>
        </is>
      </c>
    </row>
    <row r="81" ht="16.35" customHeight="1">
      <c r="A81" s="95" t="inlineStr">
        <is>
          <t>Maersk</t>
        </is>
      </c>
      <c r="B81" s="96">
        <f>IF(A81="","",_xlfn.XLOOKUP(A81, Company_List!$A:$A, Company_List!$B:$B, ""))</f>
        <v/>
      </c>
      <c r="C81" s="21" t="n">
        <v>2025</v>
      </c>
      <c r="D81" s="20" t="inlineStr">
        <is>
          <t>Q1</t>
        </is>
      </c>
      <c r="E81" s="19" t="inlineStr">
        <is>
          <t>All</t>
        </is>
      </c>
      <c r="F81" s="19" t="inlineStr">
        <is>
          <t>All</t>
        </is>
      </c>
      <c r="G81" s="20" t="inlineStr">
        <is>
          <t>Nigel</t>
        </is>
      </c>
      <c r="H81" s="20" t="inlineStr">
        <is>
          <t>Human</t>
        </is>
      </c>
      <c r="I81" s="127" t="n">
        <v>-0.4</v>
      </c>
      <c r="J81" s="145">
        <f>IF(OR(I81="",Settings!$B$6=""),"",IF(I81&gt;Settings!$B$6,"BUY",IF(I81&lt;-Settings!$B$6,"SELL","HOLD")))</f>
        <v/>
      </c>
      <c r="K81" s="139" t="n">
        <v>24</v>
      </c>
      <c r="L81" s="123" t="n">
        <v>45785</v>
      </c>
      <c r="M81" s="123" t="n">
        <v>45785</v>
      </c>
      <c r="N81" s="127" t="n">
        <v>8.68</v>
      </c>
      <c r="O81" s="123" t="n">
        <v>45786</v>
      </c>
      <c r="P81" s="22" t="n">
        <v>8.51</v>
      </c>
      <c r="Q81" s="148">
        <f>IF(OR(N81="",P81=""),"",ROUND((P81-N81)/N81,4))</f>
        <v/>
      </c>
      <c r="R81" s="20">
        <f>IF(OR(N81="",P81=""),"",IF(Q81&gt;Settings!$B$3/100,"UP",IF(Q81&lt;-Settings!$B$3/100,"DOWN","FLAT")))</f>
        <v/>
      </c>
      <c r="S81" s="20">
        <f>IF(OR(N81="",P81="",J81=""),"",IF(OR(AND(J81="BUY",R81="UP"),AND(J81="SELL",R81="DOWN"),AND(J81="HOLD",R81="FLAT")),"YES","NO"))</f>
        <v/>
      </c>
      <c r="T81" s="21">
        <f>IF(J81="","",IF(J81="BUY",1,IF(J81="SELL",-1,0)))</f>
        <v/>
      </c>
      <c r="U81" s="148">
        <f>IFERROR(IF(OR(J81="",N81="",P81=""),"",IF(T81=0,0,T81*Q81-Settings!$B$4/10000-IF(T81&lt;0,Settings!$B$5/10000,0))),"")</f>
        <v/>
      </c>
      <c r="V81" s="15" t="inlineStr">
        <is>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is>
      </c>
      <c r="W81" s="21">
        <f>IF($K81="","",$K81*60)</f>
        <v/>
      </c>
      <c r="X81" s="91">
        <f>IF($A81="","",$A81&amp;"|"&amp;$C81&amp;"|"&amp;$D81)</f>
        <v/>
      </c>
      <c r="Y81" s="91">
        <f>IFERROR(IF($X81="","",INDEX(LLM_Data_Entry!$H$3:$H$548,MATCH($X81,INDEX(LLM_Data_Entry!$A$3:$A$548&amp;"|"&amp;LLM_Data_Entry!$C$3:$C$548&amp;"|"&amp;LLM_Data_Entry!$D$3:$D$548,0),0))),"")</f>
        <v/>
      </c>
      <c r="Z81" s="91">
        <f>IFERROR(IF($X81="","",INDEX(LLM_Data_Entry!$R$3:$R$548,MATCH($X81,INDEX(LLM_Data_Entry!$A$3:$A$548&amp;"|"&amp;LLM_Data_Entry!$C$3:$C$548&amp;"|"&amp;LLM_Data_Entry!$D$3:$D$548,0),0))),"")</f>
        <v/>
      </c>
      <c r="AB81" t="inlineStr">
        <is>
          <t>repriced on the issuer's primary listing</t>
        </is>
      </c>
      <c r="AC81" t="inlineStr">
        <is>
          <t>AMKBY</t>
        </is>
      </c>
      <c r="AD81" t="inlineStr">
        <is>
          <t>2025-02-06</t>
        </is>
      </c>
      <c r="AE81" t="n">
        <v>7.0573</v>
      </c>
      <c r="AF81" t="inlineStr">
        <is>
          <t>2025-02-07</t>
        </is>
      </c>
      <c r="AG81" t="n">
        <v>6.9505</v>
      </c>
      <c r="AH81" t="n">
        <v>-0.01513250280934686</v>
      </c>
      <c r="AI81" t="inlineStr">
        <is>
          <t>FLAT</t>
        </is>
      </c>
      <c r="AJ81" t="inlineStr">
        <is>
          <t>NO</t>
        </is>
      </c>
      <c r="AK81" t="n">
        <v>0.014133</v>
      </c>
      <c r="AL81">
        <f>IF($A81="","",IFERROR(INDEX(Company_List!$G$3:$G$207,MATCH($A81,Company_List!$A$3:$A$207,0)),"unassigned"))</f>
        <v/>
      </c>
      <c r="AM81" t="inlineStr">
        <is>
          <t>Phase 2/Maersk/Q1/Q1 2025 AP Moeller - Maersk A:S Earnings Call Transcript.pdf; Phase 2/Maersk/Q1/Maersk Q1 2025 Investor Presentation.pdf; Phase 2/Maersk/Q1/Maersk Q1 2025 Interim Report.pdf</t>
        </is>
      </c>
      <c r="AO81" t="inlineStr">
        <is>
          <t>whole bundle (Document = All)</t>
        </is>
      </c>
      <c r="AP81">
        <f>IF($A81="","",IF(COUNTIFS(LLM_Data_Entry!$A$3:$A$548,$A81)&gt;0,"YES","NO"))</f>
        <v/>
      </c>
      <c r="AQ81">
        <f>IF($A81="","",IF(COUNTIFS($A$3:$A81,$A81,$C$3:$C81,$C81,$D$3:$D81,$D81)=1,"YES","NO"))</f>
        <v/>
      </c>
      <c r="AR81">
        <f>IF($A81="","",IF(AND($C81&amp;"-"&amp;$D81&gt;=Settings!$B$19,$C81&amp;"-"&amp;$D81&lt;=Settings!$B$20),"IN","OUT"))</f>
        <v/>
      </c>
      <c r="AS81">
        <f>IF($A81="","",IF($F81="Financial Results","financials",IF($F81="Outlook/Guidance","guidance",IF($F81="Transcript Q&amp;A","qanda",IF($F81="","unrecorded",IF($E81="All","full",IF($E81="","unrecorded",LOWER($E81)&amp;" only")))))))</f>
        <v/>
      </c>
      <c r="AT81">
        <f>IF(AND(OR($J81="BUY",$J81="SELL"),ISNUMBER($U81)),$U81,"")</f>
        <v/>
      </c>
      <c r="AU81">
        <f>IF(AND(OR($J81="BUY",$J81="SELL"),ISNUMBER($AK81)),$AK81,"")</f>
        <v/>
      </c>
      <c r="AV81">
        <f>IF(ISNUMBER($AT81),ABS(IF(ISNUMBER($I81),$I81,0)-Settings!$B$24),"")</f>
        <v/>
      </c>
      <c r="AW81">
        <f>IF(ISNUMBER($AV81),$AV81*$AT81,"")</f>
        <v/>
      </c>
      <c r="AX81">
        <f>IF(ISNUMBER($AU81),ABS(IF(ISNUMBER($I81),$I81,0)-Settings!$B$24),"")</f>
        <v/>
      </c>
      <c r="AY81">
        <f>IF(ISNUMBER($AX81),$AX81*$AU81,"")</f>
        <v/>
      </c>
      <c r="AZ81">
        <f>IF($A81="","",IFERROR(INDEX(Company_List!$H$3:$H$207,MATCH($A81,Company_List!$A$3:$A$207,0)),"unassigned"))</f>
        <v/>
      </c>
      <c r="BC81">
        <f>IF($A81="","",IF(COUNTIFS($A$3:$A81,$A81,$C$3:$C81,$C81,$D$3:$D81,$D81,$G$3:$G81,$G81)=1,1,0))</f>
        <v/>
      </c>
      <c r="BG81" t="inlineStr">
        <is>
          <t>no</t>
        </is>
      </c>
      <c r="BK81">
        <f>IF(OR($H81&lt;&gt;"Human",$S81="",$J81="",$Y81="",$Z81=""),"",IF(EXACT(UPPER($J81),UPPER($Y81)),1,0))</f>
        <v/>
      </c>
      <c r="BL81" t="inlineStr">
        <is>
          <t>assumed - no rater record</t>
        </is>
      </c>
      <c r="BM81" t="n">
        <v>3</v>
      </c>
      <c r="BN81" t="inlineStr">
        <is>
          <t>not publisher-identified</t>
        </is>
      </c>
      <c r="BO81" t="inlineStr">
        <is>
          <t>not publisher-identified</t>
        </is>
      </c>
      <c r="BP81" t="inlineStr">
        <is>
          <t>no</t>
        </is>
      </c>
      <c r="BQ81" t="inlineStr">
        <is>
          <t>no</t>
        </is>
      </c>
    </row>
    <row r="82" ht="16.35" customHeight="1">
      <c r="A82" s="95" t="inlineStr">
        <is>
          <t>Maersk</t>
        </is>
      </c>
      <c r="B82" s="96">
        <f>IF(A82="","",_xlfn.XLOOKUP(A82, Company_List!$A:$A, Company_List!$B:$B, ""))</f>
        <v/>
      </c>
      <c r="C82" s="21" t="n">
        <v>2025</v>
      </c>
      <c r="D82" s="20" t="inlineStr">
        <is>
          <t>Q2</t>
        </is>
      </c>
      <c r="E82" s="19" t="inlineStr">
        <is>
          <t>All</t>
        </is>
      </c>
      <c r="F82" s="19" t="inlineStr">
        <is>
          <t>All</t>
        </is>
      </c>
      <c r="G82" s="20" t="inlineStr">
        <is>
          <t>Nigel</t>
        </is>
      </c>
      <c r="H82" s="20" t="inlineStr">
        <is>
          <t>Human</t>
        </is>
      </c>
      <c r="I82" s="127" t="n">
        <v>0.5</v>
      </c>
      <c r="J82" s="145">
        <f>IF(OR(I82="",Settings!$B$6=""),"",IF(I82&gt;Settings!$B$6,"BUY",IF(I82&lt;-Settings!$B$6,"SELL","HOLD")))</f>
        <v/>
      </c>
      <c r="K82" s="139" t="n">
        <v>15</v>
      </c>
      <c r="L82" s="123" t="n">
        <v>45876</v>
      </c>
      <c r="M82" s="123" t="n">
        <v>45876</v>
      </c>
      <c r="N82" s="127" t="n">
        <v>10.71</v>
      </c>
      <c r="O82" s="123" t="n">
        <v>45877</v>
      </c>
      <c r="P82" s="22" t="n">
        <v>10.8</v>
      </c>
      <c r="Q82" s="148">
        <f>IF(OR(N82="",P82=""),"",ROUND((P82-N82)/N82,4))</f>
        <v/>
      </c>
      <c r="R82" s="20">
        <f>IF(OR(N82="",P82=""),"",IF(Q82&gt;Settings!$B$3/100,"UP",IF(Q82&lt;-Settings!$B$3/100,"DOWN","FLAT")))</f>
        <v/>
      </c>
      <c r="S82" s="20">
        <f>IF(OR(N82="",P82="",J82=""),"",IF(OR(AND(J82="BUY",R82="UP"),AND(J82="SELL",R82="DOWN"),AND(J82="HOLD",R82="FLAT")),"YES","NO"))</f>
        <v/>
      </c>
      <c r="T82" s="21">
        <f>IF(J82="","",IF(J82="BUY",1,IF(J82="SELL",-1,0)))</f>
        <v/>
      </c>
      <c r="U82" s="148">
        <f>IFERROR(IF(OR(J82="",N82="",P82=""),"",IF(T82=0,0,T82*Q82-Settings!$B$4/10000-IF(T82&lt;0,Settings!$B$5/10000,0))),"")</f>
        <v/>
      </c>
      <c r="V82" s="15" t="inlineStr">
        <is>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is>
      </c>
      <c r="W82" s="21">
        <f>IF($K82="","",$K82*60)</f>
        <v/>
      </c>
      <c r="X82" s="91">
        <f>IF($A82="","",$A82&amp;"|"&amp;$C82&amp;"|"&amp;$D82)</f>
        <v/>
      </c>
      <c r="Y82" s="91">
        <f>IFERROR(IF($X82="","",INDEX(LLM_Data_Entry!$H$3:$H$548,MATCH($X82,INDEX(LLM_Data_Entry!$A$3:$A$548&amp;"|"&amp;LLM_Data_Entry!$C$3:$C$548&amp;"|"&amp;LLM_Data_Entry!$D$3:$D$548,0),0))),"")</f>
        <v/>
      </c>
      <c r="Z82" s="91">
        <f>IFERROR(IF($X82="","",INDEX(LLM_Data_Entry!$R$3:$R$548,MATCH($X82,INDEX(LLM_Data_Entry!$A$3:$A$548&amp;"|"&amp;LLM_Data_Entry!$C$3:$C$548&amp;"|"&amp;LLM_Data_Entry!$D$3:$D$548,0),0))),"")</f>
        <v/>
      </c>
      <c r="AB82" t="inlineStr">
        <is>
          <t>repriced on the issuer's primary listing</t>
        </is>
      </c>
      <c r="AC82" t="inlineStr">
        <is>
          <t>MAERSK-B.CO</t>
        </is>
      </c>
      <c r="AD82" t="inlineStr">
        <is>
          <t>2025-08-06</t>
        </is>
      </c>
      <c r="AE82" t="n">
        <v>12753.9619</v>
      </c>
      <c r="AF82" t="inlineStr">
        <is>
          <t>2025-08-07</t>
        </is>
      </c>
      <c r="AG82" t="n">
        <v>13453.3411</v>
      </c>
      <c r="AH82" t="n">
        <v>0.05483622973668197</v>
      </c>
      <c r="AI82" t="inlineStr">
        <is>
          <t>UP</t>
        </is>
      </c>
      <c r="AJ82" t="inlineStr">
        <is>
          <t>YES</t>
        </is>
      </c>
      <c r="AK82" t="n">
        <v>0.053836</v>
      </c>
      <c r="AL82">
        <f>IF($A82="","",IFERROR(INDEX(Company_List!$G$3:$G$207,MATCH($A82,Company_List!$A$3:$A$207,0)),"unassigned"))</f>
        <v/>
      </c>
      <c r="AM82" t="inlineStr">
        <is>
          <t>Phase 2/Maersk/Q2/Q2 2025 AP Moeller - Maersk A:S Earnings Call Transcript.pdf; Phase 2/Maersk/Q2/Maersk Q2 2025 Investor Presentation.pdf; Phase 2/Maersk/Q2/Maersk Q2 2025 Interim Report.pdf</t>
        </is>
      </c>
      <c r="AO82" t="inlineStr">
        <is>
          <t>whole bundle (Document = All)</t>
        </is>
      </c>
      <c r="AP82">
        <f>IF($A82="","",IF(COUNTIFS(LLM_Data_Entry!$A$3:$A$548,$A82)&gt;0,"YES","NO"))</f>
        <v/>
      </c>
      <c r="AQ82">
        <f>IF($A82="","",IF(COUNTIFS($A$3:$A82,$A82,$C$3:$C82,$C82,$D$3:$D82,$D82)=1,"YES","NO"))</f>
        <v/>
      </c>
      <c r="AR82">
        <f>IF($A82="","",IF(AND($C82&amp;"-"&amp;$D82&gt;=Settings!$B$19,$C82&amp;"-"&amp;$D82&lt;=Settings!$B$20),"IN","OUT"))</f>
        <v/>
      </c>
      <c r="AS82">
        <f>IF($A82="","",IF($F82="Financial Results","financials",IF($F82="Outlook/Guidance","guidance",IF($F82="Transcript Q&amp;A","qanda",IF($F82="","unrecorded",IF($E82="All","full",IF($E82="","unrecorded",LOWER($E82)&amp;" only")))))))</f>
        <v/>
      </c>
      <c r="AT82">
        <f>IF(AND(OR($J82="BUY",$J82="SELL"),ISNUMBER($U82)),$U82,"")</f>
        <v/>
      </c>
      <c r="AU82">
        <f>IF(AND(OR($J82="BUY",$J82="SELL"),ISNUMBER($AK82)),$AK82,"")</f>
        <v/>
      </c>
      <c r="AV82">
        <f>IF(ISNUMBER($AT82),ABS(IF(ISNUMBER($I82),$I82,0)-Settings!$B$24),"")</f>
        <v/>
      </c>
      <c r="AW82">
        <f>IF(ISNUMBER($AV82),$AV82*$AT82,"")</f>
        <v/>
      </c>
      <c r="AX82">
        <f>IF(ISNUMBER($AU82),ABS(IF(ISNUMBER($I82),$I82,0)-Settings!$B$24),"")</f>
        <v/>
      </c>
      <c r="AY82">
        <f>IF(ISNUMBER($AX82),$AX82*$AU82,"")</f>
        <v/>
      </c>
      <c r="AZ82">
        <f>IF($A82="","",IFERROR(INDEX(Company_List!$H$3:$H$207,MATCH($A82,Company_List!$A$3:$A$207,0)),"unassigned"))</f>
        <v/>
      </c>
      <c r="BC82">
        <f>IF($A82="","",IF(COUNTIFS($A$3:$A82,$A82,$C$3:$C82,$C82,$D$3:$D82,$D82,$G$3:$G82,$G82)=1,1,0))</f>
        <v/>
      </c>
      <c r="BG82" t="inlineStr">
        <is>
          <t>no</t>
        </is>
      </c>
      <c r="BK82">
        <f>IF(OR($H82&lt;&gt;"Human",$S82="",$J82="",$Y82="",$Z82=""),"",IF(EXACT(UPPER($J82),UPPER($Y82)),1,0))</f>
        <v/>
      </c>
      <c r="BL82" t="inlineStr">
        <is>
          <t>assumed - no rater record</t>
        </is>
      </c>
      <c r="BM82" t="n">
        <v>3</v>
      </c>
      <c r="BN82" t="inlineStr">
        <is>
          <t>not publisher-identified</t>
        </is>
      </c>
      <c r="BO82" t="inlineStr">
        <is>
          <t>not publisher-identified</t>
        </is>
      </c>
      <c r="BP82" t="inlineStr">
        <is>
          <t>no</t>
        </is>
      </c>
      <c r="BQ82" t="inlineStr">
        <is>
          <t>no</t>
        </is>
      </c>
    </row>
    <row r="83" ht="16.35" customHeight="1">
      <c r="A83" s="95" t="inlineStr">
        <is>
          <t>Maersk</t>
        </is>
      </c>
      <c r="B83" s="96">
        <f>IF(A83="","",_xlfn.XLOOKUP(A83, Company_List!$A:$A, Company_List!$B:$B, ""))</f>
        <v/>
      </c>
      <c r="C83" s="21" t="n">
        <v>2025</v>
      </c>
      <c r="D83" s="20" t="inlineStr">
        <is>
          <t>Q3</t>
        </is>
      </c>
      <c r="E83" s="19" t="inlineStr">
        <is>
          <t>All</t>
        </is>
      </c>
      <c r="F83" s="19" t="inlineStr">
        <is>
          <t>All</t>
        </is>
      </c>
      <c r="G83" s="20" t="inlineStr">
        <is>
          <t>Nigel</t>
        </is>
      </c>
      <c r="H83" s="20" t="inlineStr">
        <is>
          <t>Human</t>
        </is>
      </c>
      <c r="I83" s="127" t="n">
        <v>0.2</v>
      </c>
      <c r="J83" s="145">
        <f>IF(OR(I83="",Settings!$B$6=""),"",IF(I83&gt;Settings!$B$6,"BUY",IF(I83&lt;-Settings!$B$6,"SELL","HOLD")))</f>
        <v/>
      </c>
      <c r="K83" s="139" t="n">
        <v>18</v>
      </c>
      <c r="L83" s="123" t="n">
        <v>45967</v>
      </c>
      <c r="M83" s="123" t="n">
        <v>45967</v>
      </c>
      <c r="N83" s="127" t="n">
        <v>9.9</v>
      </c>
      <c r="O83" s="123" t="n">
        <v>45968</v>
      </c>
      <c r="P83" s="22" t="n">
        <v>9.91</v>
      </c>
      <c r="Q83" s="148">
        <f>IF(OR(N83="",P83=""),"",ROUND((P83-N83)/N83,4))</f>
        <v/>
      </c>
      <c r="R83" s="20">
        <f>IF(OR(N83="",P83=""),"",IF(Q83&gt;Settings!$B$3/100,"UP",IF(Q83&lt;-Settings!$B$3/100,"DOWN","FLAT")))</f>
        <v/>
      </c>
      <c r="S83" s="20">
        <f>IF(OR(N83="",P83="",J83=""),"",IF(OR(AND(J83="BUY",R83="UP"),AND(J83="SELL",R83="DOWN"),AND(J83="HOLD",R83="FLAT")),"YES","NO"))</f>
        <v/>
      </c>
      <c r="T83" s="21">
        <f>IF(J83="","",IF(J83="BUY",1,IF(J83="SELL",-1,0)))</f>
        <v/>
      </c>
      <c r="U83" s="148">
        <f>IFERROR(IF(OR(J83="",N83="",P83=""),"",IF(T83=0,0,T83*Q83-Settings!$B$4/10000-IF(T83&lt;0,Settings!$B$5/10000,0))),"")</f>
        <v/>
      </c>
      <c r="V83" s="15" t="inlineStr">
        <is>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is>
      </c>
      <c r="W83" s="21">
        <f>IF($K83="","",$K83*60)</f>
        <v/>
      </c>
      <c r="X83" s="91">
        <f>IF($A83="","",$A83&amp;"|"&amp;$C83&amp;"|"&amp;$D83)</f>
        <v/>
      </c>
      <c r="Y83" s="91">
        <f>IFERROR(IF($X83="","",INDEX(LLM_Data_Entry!$H$3:$H$548,MATCH($X83,INDEX(LLM_Data_Entry!$A$3:$A$548&amp;"|"&amp;LLM_Data_Entry!$C$3:$C$548&amp;"|"&amp;LLM_Data_Entry!$D$3:$D$548,0),0))),"")</f>
        <v/>
      </c>
      <c r="Z83" s="91">
        <f>IFERROR(IF($X83="","",INDEX(LLM_Data_Entry!$R$3:$R$548,MATCH($X83,INDEX(LLM_Data_Entry!$A$3:$A$548&amp;"|"&amp;LLM_Data_Entry!$C$3:$C$548&amp;"|"&amp;LLM_Data_Entry!$D$3:$D$548,0),0))),"")</f>
        <v/>
      </c>
      <c r="AB83" t="inlineStr">
        <is>
          <t>repriced on the issuer's primary listing</t>
        </is>
      </c>
      <c r="AC83" t="inlineStr">
        <is>
          <t>MAERSK-B.CO</t>
        </is>
      </c>
      <c r="AD83" t="inlineStr">
        <is>
          <t>2025-11-05</t>
        </is>
      </c>
      <c r="AE83" t="n">
        <v>13181.3604</v>
      </c>
      <c r="AF83" t="inlineStr">
        <is>
          <t>2025-11-06</t>
        </is>
      </c>
      <c r="AG83" t="n">
        <v>12627.6849</v>
      </c>
      <c r="AH83" t="n">
        <v>-0.04200442564466281</v>
      </c>
      <c r="AI83" t="inlineStr">
        <is>
          <t>DOWN</t>
        </is>
      </c>
      <c r="AJ83" t="inlineStr">
        <is>
          <t>NO</t>
        </is>
      </c>
      <c r="AK83" t="n">
        <v>0</v>
      </c>
      <c r="AL83">
        <f>IF($A83="","",IFERROR(INDEX(Company_List!$G$3:$G$207,MATCH($A83,Company_List!$A$3:$A$207,0)),"unassigned"))</f>
        <v/>
      </c>
      <c r="AM83" t="inlineStr">
        <is>
          <t>Phase 2/Maersk/Q3/Q3 2025 AP Moeller - Maersk A:S Earnings Call Transcript.pdf; Phase 2/Maersk/Q3/Maersk Q3 2025 Investor Presentation.pdf; Phase 2/Maersk/Q3/Maersk Q3 2025 Interim Report.pdf</t>
        </is>
      </c>
      <c r="AO83" t="inlineStr">
        <is>
          <t>whole bundle (Document = All)</t>
        </is>
      </c>
      <c r="AP83">
        <f>IF($A83="","",IF(COUNTIFS(LLM_Data_Entry!$A$3:$A$548,$A83)&gt;0,"YES","NO"))</f>
        <v/>
      </c>
      <c r="AQ83">
        <f>IF($A83="","",IF(COUNTIFS($A$3:$A83,$A83,$C$3:$C83,$C83,$D$3:$D83,$D83)=1,"YES","NO"))</f>
        <v/>
      </c>
      <c r="AR83">
        <f>IF($A83="","",IF(AND($C83&amp;"-"&amp;$D83&gt;=Settings!$B$19,$C83&amp;"-"&amp;$D83&lt;=Settings!$B$20),"IN","OUT"))</f>
        <v/>
      </c>
      <c r="AS83">
        <f>IF($A83="","",IF($F83="Financial Results","financials",IF($F83="Outlook/Guidance","guidance",IF($F83="Transcript Q&amp;A","qanda",IF($F83="","unrecorded",IF($E83="All","full",IF($E83="","unrecorded",LOWER($E83)&amp;" only")))))))</f>
        <v/>
      </c>
      <c r="AT83">
        <f>IF(AND(OR($J83="BUY",$J83="SELL"),ISNUMBER($U83)),$U83,"")</f>
        <v/>
      </c>
      <c r="AU83">
        <f>IF(AND(OR($J83="BUY",$J83="SELL"),ISNUMBER($AK83)),$AK83,"")</f>
        <v/>
      </c>
      <c r="AV83">
        <f>IF(ISNUMBER($AT83),ABS(IF(ISNUMBER($I83),$I83,0)-Settings!$B$24),"")</f>
        <v/>
      </c>
      <c r="AW83">
        <f>IF(ISNUMBER($AV83),$AV83*$AT83,"")</f>
        <v/>
      </c>
      <c r="AX83">
        <f>IF(ISNUMBER($AU83),ABS(IF(ISNUMBER($I83),$I83,0)-Settings!$B$24),"")</f>
        <v/>
      </c>
      <c r="AY83">
        <f>IF(ISNUMBER($AX83),$AX83*$AU83,"")</f>
        <v/>
      </c>
      <c r="AZ83">
        <f>IF($A83="","",IFERROR(INDEX(Company_List!$H$3:$H$207,MATCH($A83,Company_List!$A$3:$A$207,0)),"unassigned"))</f>
        <v/>
      </c>
      <c r="BC83">
        <f>IF($A83="","",IF(COUNTIFS($A$3:$A83,$A83,$C$3:$C83,$C83,$D$3:$D83,$D83,$G$3:$G83,$G83)=1,1,0))</f>
        <v/>
      </c>
      <c r="BG83" t="inlineStr">
        <is>
          <t>no</t>
        </is>
      </c>
      <c r="BK83">
        <f>IF(OR($H83&lt;&gt;"Human",$S83="",$J83="",$Y83="",$Z83=""),"",IF(EXACT(UPPER($J83),UPPER($Y83)),1,0))</f>
        <v/>
      </c>
      <c r="BL83" t="inlineStr">
        <is>
          <t>assumed - no rater record</t>
        </is>
      </c>
      <c r="BM83" t="n">
        <v>3</v>
      </c>
      <c r="BN83" t="inlineStr">
        <is>
          <t>not publisher-identified</t>
        </is>
      </c>
      <c r="BO83" t="inlineStr">
        <is>
          <t>not publisher-identified</t>
        </is>
      </c>
      <c r="BP83" t="inlineStr">
        <is>
          <t>no</t>
        </is>
      </c>
      <c r="BQ83" t="inlineStr">
        <is>
          <t>no</t>
        </is>
      </c>
    </row>
    <row r="84" ht="16.35" customHeight="1">
      <c r="A84" s="95" t="inlineStr">
        <is>
          <t>Maersk</t>
        </is>
      </c>
      <c r="B84" s="96">
        <f>IF(A84="","",_xlfn.XLOOKUP(A84, Company_List!$A:$A, Company_List!$B:$B, ""))</f>
        <v/>
      </c>
      <c r="C84" s="21" t="n">
        <v>2025</v>
      </c>
      <c r="D84" s="20" t="inlineStr">
        <is>
          <t>Q4</t>
        </is>
      </c>
      <c r="E84" s="19" t="inlineStr">
        <is>
          <t>All</t>
        </is>
      </c>
      <c r="F84" s="19" t="inlineStr">
        <is>
          <t>All</t>
        </is>
      </c>
      <c r="G84" s="20" t="inlineStr">
        <is>
          <t>Nigel</t>
        </is>
      </c>
      <c r="H84" s="20" t="inlineStr">
        <is>
          <t>Human</t>
        </is>
      </c>
      <c r="I84" s="127" t="n">
        <v>-0.5</v>
      </c>
      <c r="J84" s="145">
        <f>IF(OR(I84="",Settings!$B$6=""),"",IF(I84&gt;Settings!$B$6,"BUY",IF(I84&lt;-Settings!$B$6,"SELL","HOLD")))</f>
        <v/>
      </c>
      <c r="K84" s="139" t="n">
        <v>38</v>
      </c>
      <c r="L84" s="123" t="n">
        <v>46058</v>
      </c>
      <c r="M84" s="123" t="n">
        <v>46058</v>
      </c>
      <c r="N84" s="127" t="n">
        <v>12.09</v>
      </c>
      <c r="O84" s="123" t="n">
        <v>46059</v>
      </c>
      <c r="P84" s="22" t="n">
        <v>11.93</v>
      </c>
      <c r="Q84" s="148">
        <f>IF(OR(N84="",P84=""),"",ROUND((P84-N84)/N84,4))</f>
        <v/>
      </c>
      <c r="R84" s="20">
        <f>IF(OR(N84="",P84=""),"",IF(Q84&gt;Settings!$B$3/100,"UP",IF(Q84&lt;-Settings!$B$3/100,"DOWN","FLAT")))</f>
        <v/>
      </c>
      <c r="S84" s="20">
        <f>IF(OR(N84="",P84="",J84=""),"",IF(OR(AND(J84="BUY",R84="UP"),AND(J84="SELL",R84="DOWN"),AND(J84="HOLD",R84="FLAT")),"YES","NO"))</f>
        <v/>
      </c>
      <c r="T84" s="21">
        <f>IF(J84="","",IF(J84="BUY",1,IF(J84="SELL",-1,0)))</f>
        <v/>
      </c>
      <c r="U84" s="148">
        <f>IFERROR(IF(OR(J84="",N84="",P84=""),"",IF(T84=0,0,T84*Q84-Settings!$B$4/10000-IF(T84&lt;0,Settings!$B$5/10000,0))),"")</f>
        <v/>
      </c>
      <c r="V84" s="15" t="inlineStr">
        <is>
          <t>Full-year revenue down on 2024 and container trade demand down; all annual targets missed except Terminals; resilience through a volatile year; outlook still heavily dependent on unresolved geopolitical and macro conditions. Cautious tone.</t>
        </is>
      </c>
      <c r="W84" s="21">
        <f>IF($K84="","",$K84*60)</f>
        <v/>
      </c>
      <c r="X84" s="91">
        <f>IF($A84="","",$A84&amp;"|"&amp;$C84&amp;"|"&amp;$D84)</f>
        <v/>
      </c>
      <c r="Y84" s="91">
        <f>IFERROR(IF($X84="","",INDEX(LLM_Data_Entry!$H$3:$H$548,MATCH($X84,INDEX(LLM_Data_Entry!$A$3:$A$548&amp;"|"&amp;LLM_Data_Entry!$C$3:$C$548&amp;"|"&amp;LLM_Data_Entry!$D$3:$D$548,0),0))),"")</f>
        <v/>
      </c>
      <c r="Z84" s="91">
        <f>IFERROR(IF($X84="","",INDEX(LLM_Data_Entry!$R$3:$R$548,MATCH($X84,INDEX(LLM_Data_Entry!$A$3:$A$548&amp;"|"&amp;LLM_Data_Entry!$C$3:$C$548&amp;"|"&amp;LLM_Data_Entry!$D$3:$D$548,0),0))),"")</f>
        <v/>
      </c>
      <c r="AB84" t="inlineStr">
        <is>
          <t>repriced on the issuer's primary listing</t>
        </is>
      </c>
      <c r="AC84" t="inlineStr">
        <is>
          <t>MAERSK-B.CO</t>
        </is>
      </c>
      <c r="AD84" t="inlineStr">
        <is>
          <t>2026-02-04</t>
        </is>
      </c>
      <c r="AE84" t="n">
        <v>15522.3389</v>
      </c>
      <c r="AF84" t="inlineStr">
        <is>
          <t>2026-02-05</t>
        </is>
      </c>
      <c r="AG84" t="n">
        <v>14570.4061</v>
      </c>
      <c r="AH84" t="n">
        <v>-0.0613266305667326</v>
      </c>
      <c r="AI84" t="inlineStr">
        <is>
          <t>DOWN</t>
        </is>
      </c>
      <c r="AJ84" t="inlineStr">
        <is>
          <t>YES</t>
        </is>
      </c>
      <c r="AK84" t="n">
        <v>0.060327</v>
      </c>
      <c r="AL84">
        <f>IF($A84="","",IFERROR(INDEX(Company_List!$G$3:$G$207,MATCH($A84,Company_List!$A$3:$A$207,0)),"unassigned"))</f>
        <v/>
      </c>
      <c r="AM84" t="inlineStr">
        <is>
          <t>Phase 2/Maersk/Q4/maersk_annual_report_2025_press_release.pdf; Phase 2/Maersk/Q4/apmm-ar-2025-70-final-no-tags.pdf; Phase 2/Maersk/Q4/Q4 2025 AP Moeller - Maersk A:S Earnings Call Transcript.pdf</t>
        </is>
      </c>
      <c r="AO84" t="inlineStr">
        <is>
          <t>whole bundle (Document = All)</t>
        </is>
      </c>
      <c r="AP84">
        <f>IF($A84="","",IF(COUNTIFS(LLM_Data_Entry!$A$3:$A$548,$A84)&gt;0,"YES","NO"))</f>
        <v/>
      </c>
      <c r="AQ84">
        <f>IF($A84="","",IF(COUNTIFS($A$3:$A84,$A84,$C$3:$C84,$C84,$D$3:$D84,$D84)=1,"YES","NO"))</f>
        <v/>
      </c>
      <c r="AR84">
        <f>IF($A84="","",IF(AND($C84&amp;"-"&amp;$D84&gt;=Settings!$B$19,$C84&amp;"-"&amp;$D84&lt;=Settings!$B$20),"IN","OUT"))</f>
        <v/>
      </c>
      <c r="AS84">
        <f>IF($A84="","",IF($F84="Financial Results","financials",IF($F84="Outlook/Guidance","guidance",IF($F84="Transcript Q&amp;A","qanda",IF($F84="","unrecorded",IF($E84="All","full",IF($E84="","unrecorded",LOWER($E84)&amp;" only")))))))</f>
        <v/>
      </c>
      <c r="AT84">
        <f>IF(AND(OR($J84="BUY",$J84="SELL"),ISNUMBER($U84)),$U84,"")</f>
        <v/>
      </c>
      <c r="AU84">
        <f>IF(AND(OR($J84="BUY",$J84="SELL"),ISNUMBER($AK84)),$AK84,"")</f>
        <v/>
      </c>
      <c r="AV84">
        <f>IF(ISNUMBER($AT84),ABS(IF(ISNUMBER($I84),$I84,0)-Settings!$B$24),"")</f>
        <v/>
      </c>
      <c r="AW84">
        <f>IF(ISNUMBER($AV84),$AV84*$AT84,"")</f>
        <v/>
      </c>
      <c r="AX84">
        <f>IF(ISNUMBER($AU84),ABS(IF(ISNUMBER($I84),$I84,0)-Settings!$B$24),"")</f>
        <v/>
      </c>
      <c r="AY84">
        <f>IF(ISNUMBER($AX84),$AX84*$AU84,"")</f>
        <v/>
      </c>
      <c r="AZ84">
        <f>IF($A84="","",IFERROR(INDEX(Company_List!$H$3:$H$207,MATCH($A84,Company_List!$A$3:$A$207,0)),"unassigned"))</f>
        <v/>
      </c>
      <c r="BC84">
        <f>IF($A84="","",IF(COUNTIFS($A$3:$A84,$A84,$C$3:$C84,$C84,$D$3:$D84,$D84,$G$3:$G84,$G84)=1,1,0))</f>
        <v/>
      </c>
      <c r="BG84" t="inlineStr">
        <is>
          <t>no</t>
        </is>
      </c>
      <c r="BK84">
        <f>IF(OR($H84&lt;&gt;"Human",$S84="",$J84="",$Y84="",$Z84=""),"",IF(EXACT(UPPER($J84),UPPER($Y84)),1,0))</f>
        <v/>
      </c>
      <c r="BL84" t="inlineStr">
        <is>
          <t>assumed - no rater record</t>
        </is>
      </c>
      <c r="BM84" t="n">
        <v>3</v>
      </c>
      <c r="BN84" t="inlineStr">
        <is>
          <t>not publisher-identified</t>
        </is>
      </c>
      <c r="BO84" t="inlineStr">
        <is>
          <t>not publisher-identified</t>
        </is>
      </c>
      <c r="BP84" t="inlineStr">
        <is>
          <t>no</t>
        </is>
      </c>
      <c r="BQ84" t="inlineStr">
        <is>
          <t>no</t>
        </is>
      </c>
    </row>
    <row r="85" ht="16.35" customHeight="1">
      <c r="A85" s="95" t="inlineStr">
        <is>
          <t>Goldman Sachs</t>
        </is>
      </c>
      <c r="B85" s="96">
        <f>IF(A85="","",_xlfn.XLOOKUP(A85, Company_List!$A:$A, Company_List!$B:$B, ""))</f>
        <v/>
      </c>
      <c r="C85" s="21" t="n">
        <v>2025</v>
      </c>
      <c r="D85" s="20" t="inlineStr">
        <is>
          <t>Q1</t>
        </is>
      </c>
      <c r="E85" s="19" t="inlineStr">
        <is>
          <t>All</t>
        </is>
      </c>
      <c r="F85" s="19" t="inlineStr">
        <is>
          <t>All</t>
        </is>
      </c>
      <c r="G85" s="20" t="inlineStr">
        <is>
          <t>Dragos</t>
        </is>
      </c>
      <c r="H85" s="20" t="inlineStr">
        <is>
          <t>Human</t>
        </is>
      </c>
      <c r="I85" s="127" t="n">
        <v>0.45</v>
      </c>
      <c r="J85" s="145">
        <f>IF(OR(I85="",Settings!$B$6=""),"",IF(I85&gt;Settings!$B$6,"BUY",IF(I85&lt;-Settings!$B$6,"SELL","HOLD")))</f>
        <v/>
      </c>
      <c r="K85" s="139" t="n">
        <v>32</v>
      </c>
      <c r="L85" s="123" t="n">
        <v>45761</v>
      </c>
      <c r="M85" s="123" t="n">
        <v>45758</v>
      </c>
      <c r="N85" s="127" t="n">
        <v>494.44</v>
      </c>
      <c r="O85" s="123" t="n">
        <v>45761</v>
      </c>
      <c r="P85" s="22" t="n">
        <v>510</v>
      </c>
      <c r="Q85" s="148">
        <f>IF(OR(N85="",P85=""),"",ROUND((P85-N85)/N85,4))</f>
        <v/>
      </c>
      <c r="R85" s="20">
        <f>IF(OR(N85="",P85=""),"",IF(Q85&gt;Settings!$B$3/100,"UP",IF(Q85&lt;-Settings!$B$3/100,"DOWN","FLAT")))</f>
        <v/>
      </c>
      <c r="S85" s="20">
        <f>IF(OR(N85="",P85="",J85=""),"",IF(OR(AND(J85="BUY",R85="UP"),AND(J85="SELL",R85="DOWN"),AND(J85="HOLD",R85="FLAT")),"YES","NO"))</f>
        <v/>
      </c>
      <c r="T85" s="21">
        <f>IF(J85="","",IF(J85="BUY",1,IF(J85="SELL",-1,0)))</f>
        <v/>
      </c>
      <c r="U85" s="148">
        <f>IFERROR(IF(OR(J85="",N85="",P85=""),"",IF(T85=0,0,T85*Q85-Settings!$B$4/10000-IF(T85&lt;0,Settings!$B$5/10000,0))),"")</f>
        <v/>
      </c>
      <c r="V85" s="23" t="inlineStr">
        <is>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is>
      </c>
      <c r="W85" s="21">
        <f>IF($K85="","",$K85*60)</f>
        <v/>
      </c>
      <c r="X85" s="91">
        <f>IF($A85="","",$A85&amp;"|"&amp;$C85&amp;"|"&amp;$D85)</f>
        <v/>
      </c>
      <c r="Y85" s="91">
        <f>IFERROR(IF($X85="","",INDEX(LLM_Data_Entry!$H$3:$H$548,MATCH($X85,INDEX(LLM_Data_Entry!$A$3:$A$548&amp;"|"&amp;LLM_Data_Entry!$C$3:$C$548&amp;"|"&amp;LLM_Data_Entry!$D$3:$D$548,0),0))),"")</f>
        <v/>
      </c>
      <c r="Z85" s="91">
        <f>IFERROR(IF($X85="","",INDEX(LLM_Data_Entry!$R$3:$R$548,MATCH($X85,INDEX(LLM_Data_Entry!$A$3:$A$548&amp;"|"&amp;LLM_Data_Entry!$C$3:$C$548&amp;"|"&amp;LLM_Data_Entry!$D$3:$D$548,0),0))),"")</f>
        <v/>
      </c>
      <c r="AB85" t="inlineStr">
        <is>
          <t>price signal — only this window shows an abnormal move</t>
        </is>
      </c>
      <c r="AC85" t="inlineStr">
        <is>
          <t>GS</t>
        </is>
      </c>
      <c r="AD85" t="inlineStr">
        <is>
          <t>2025-04-11</t>
        </is>
      </c>
      <c r="AE85" t="n">
        <v>482.2791</v>
      </c>
      <c r="AF85" t="inlineStr">
        <is>
          <t>2025-04-14</t>
        </is>
      </c>
      <c r="AG85" t="n">
        <v>497.4564</v>
      </c>
      <c r="AH85" t="n">
        <v>0.03146985469319141</v>
      </c>
      <c r="AI85" t="inlineStr">
        <is>
          <t>UP</t>
        </is>
      </c>
      <c r="AJ85" t="inlineStr">
        <is>
          <t>YES</t>
        </is>
      </c>
      <c r="AK85" t="n">
        <v>0.03047</v>
      </c>
      <c r="AL85">
        <f>IF($A85="","",IFERROR(INDEX(Company_List!$G$3:$G$207,MATCH($A85,Company_List!$A$3:$A$207,0)),"unassigned"))</f>
        <v/>
      </c>
      <c r="AM85" t="inlineStr">
        <is>
          <t>Phase 2/Goldman Sachs/Q1 2025/GS-Q1-2025-presentation-SEC-EX99-2.htm; Phase 2/Goldman Sachs/Q1 2025/GS-Q1-2025-press-release-SEC-EX99-1.htm; Phase 2/Goldman Sachs/Q1 2025/GS-Q1-2025-earnings-call-transcript-InsiderMonkey.html</t>
        </is>
      </c>
      <c r="AN85" t="inlineStr">
        <is>
          <t>https://www.insidermonkey.com/blog/the-goldman-sachs-group-inc-nysegs-q1-2025-earnings-call-transcript-1508363/; https://www.sec.gov/Archives/edgar/data/886982/000119312525079625/d750054dex991.htm; https://www.sec.gov/Archives/edgar/data/886982/000119312525079625/d750054dex992.htm</t>
        </is>
      </c>
      <c r="AO85" t="inlineStr">
        <is>
          <t>manifest (whole bundle)</t>
        </is>
      </c>
      <c r="AP85">
        <f>IF($A85="","",IF(COUNTIFS(LLM_Data_Entry!$A$3:$A$548,$A85)&gt;0,"YES","NO"))</f>
        <v/>
      </c>
      <c r="AQ85">
        <f>IF($A85="","",IF(COUNTIFS($A$3:$A85,$A85,$C$3:$C85,$C85,$D$3:$D85,$D85)=1,"YES","NO"))</f>
        <v/>
      </c>
      <c r="AR85">
        <f>IF($A85="","",IF(AND($C85&amp;"-"&amp;$D85&gt;=Settings!$B$19,$C85&amp;"-"&amp;$D85&lt;=Settings!$B$20),"IN","OUT"))</f>
        <v/>
      </c>
      <c r="AS85">
        <f>IF($A85="","",IF($F85="Financial Results","financials",IF($F85="Outlook/Guidance","guidance",IF($F85="Transcript Q&amp;A","qanda",IF($F85="","unrecorded",IF($E85="All","full",IF($E85="","unrecorded",LOWER($E85)&amp;" only")))))))</f>
        <v/>
      </c>
      <c r="AT85">
        <f>IF(AND(OR($J85="BUY",$J85="SELL"),ISNUMBER($U85)),$U85,"")</f>
        <v/>
      </c>
      <c r="AU85">
        <f>IF(AND(OR($J85="BUY",$J85="SELL"),ISNUMBER($AK85)),$AK85,"")</f>
        <v/>
      </c>
      <c r="AV85">
        <f>IF(ISNUMBER($AT85),ABS(IF(ISNUMBER($I85),$I85,0)-Settings!$B$24),"")</f>
        <v/>
      </c>
      <c r="AW85">
        <f>IF(ISNUMBER($AV85),$AV85*$AT85,"")</f>
        <v/>
      </c>
      <c r="AX85">
        <f>IF(ISNUMBER($AU85),ABS(IF(ISNUMBER($I85),$I85,0)-Settings!$B$24),"")</f>
        <v/>
      </c>
      <c r="AY85">
        <f>IF(ISNUMBER($AX85),$AX85*$AU85,"")</f>
        <v/>
      </c>
      <c r="AZ85">
        <f>IF($A85="","",IFERROR(INDEX(Company_List!$H$3:$H$207,MATCH($A85,Company_List!$A$3:$A$207,0)),"unassigned"))</f>
        <v/>
      </c>
      <c r="BC85">
        <f>IF($A85="","",IF(COUNTIFS($A$3:$A85,$A85,$C$3:$C85,$C85,$D$3:$D85,$D85,$G$3:$G85,$G85)=1,1,0))</f>
        <v/>
      </c>
      <c r="BG85" t="inlineStr">
        <is>
          <t>no</t>
        </is>
      </c>
      <c r="BK85">
        <f>IF(OR($H85&lt;&gt;"Human",$S85="",$J85="",$Y85="",$Z85=""),"",IF(EXACT(UPPER($J85),UPPER($Y85)),1,0))</f>
        <v/>
      </c>
      <c r="BL85" t="inlineStr">
        <is>
          <t>assumed - no rater record</t>
        </is>
      </c>
      <c r="BM85" t="n">
        <v>3</v>
      </c>
      <c r="BN85" t="inlineStr">
        <is>
          <t>Insider Monkey (Koala Guide LLC)</t>
        </is>
      </c>
      <c r="BO85" t="inlineStr">
        <is>
          <t>free to read, copyright asserted</t>
        </is>
      </c>
      <c r="BP85" t="inlineStr">
        <is>
          <t>no</t>
        </is>
      </c>
      <c r="BQ85" t="inlineStr">
        <is>
          <t>yes</t>
        </is>
      </c>
    </row>
    <row r="86" ht="16.35" customHeight="1">
      <c r="A86" s="95" t="inlineStr">
        <is>
          <t>Goldman Sachs</t>
        </is>
      </c>
      <c r="B86" s="96">
        <f>IF(A86="","",_xlfn.XLOOKUP(A86, Company_List!$A:$A, Company_List!$B:$B, ""))</f>
        <v/>
      </c>
      <c r="C86" s="21" t="n">
        <v>2025</v>
      </c>
      <c r="D86" s="20" t="inlineStr">
        <is>
          <t>Q2</t>
        </is>
      </c>
      <c r="E86" s="19" t="inlineStr">
        <is>
          <t>All</t>
        </is>
      </c>
      <c r="F86" s="19" t="inlineStr">
        <is>
          <t>All</t>
        </is>
      </c>
      <c r="G86" s="20" t="inlineStr">
        <is>
          <t>Dragos</t>
        </is>
      </c>
      <c r="H86" s="20" t="inlineStr">
        <is>
          <t>Human</t>
        </is>
      </c>
      <c r="I86" s="127" t="n">
        <v>0.5</v>
      </c>
      <c r="J86" s="145">
        <f>IF(OR(I86="",Settings!$B$6=""),"",IF(I86&gt;Settings!$B$6,"BUY",IF(I86&lt;-Settings!$B$6,"SELL","HOLD")))</f>
        <v/>
      </c>
      <c r="K86" s="139" t="n">
        <v>25</v>
      </c>
      <c r="L86" s="123" t="n">
        <v>45854</v>
      </c>
      <c r="M86" s="123" t="n">
        <v>45853</v>
      </c>
      <c r="N86" s="127" t="n">
        <v>702.51</v>
      </c>
      <c r="O86" s="123" t="n">
        <v>45854</v>
      </c>
      <c r="P86" s="22" t="n">
        <v>708.5</v>
      </c>
      <c r="Q86" s="148">
        <f>IF(OR(N86="",P86=""),"",ROUND((P86-N86)/N86,4))</f>
        <v/>
      </c>
      <c r="R86" s="20">
        <f>IF(OR(N86="",P86=""),"",IF(Q86&gt;Settings!$B$3/100,"UP",IF(Q86&lt;-Settings!$B$3/100,"DOWN","FLAT")))</f>
        <v/>
      </c>
      <c r="S86" s="20">
        <f>IF(OR(N86="",P86="",J86=""),"",IF(OR(AND(J86="BUY",R86="UP"),AND(J86="SELL",R86="DOWN"),AND(J86="HOLD",R86="FLAT")),"YES","NO"))</f>
        <v/>
      </c>
      <c r="T86" s="21">
        <f>IF(J86="","",IF(J86="BUY",1,IF(J86="SELL",-1,0)))</f>
        <v/>
      </c>
      <c r="U86" s="148">
        <f>IFERROR(IF(OR(J86="",N86="",P86=""),"",IF(T86=0,0,T86*Q86-Settings!$B$4/10000-IF(T86&lt;0,Settings!$B$5/10000,0))),"")</f>
        <v/>
      </c>
      <c r="V86" s="23" t="inlineStr">
        <is>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is>
      </c>
      <c r="W86" s="21">
        <f>IF($K86="","",$K86*60)</f>
        <v/>
      </c>
      <c r="X86" s="91">
        <f>IF($A86="","",$A86&amp;"|"&amp;$C86&amp;"|"&amp;$D86)</f>
        <v/>
      </c>
      <c r="Y86" s="91">
        <f>IFERROR(IF($X86="","",INDEX(LLM_Data_Entry!$H$3:$H$548,MATCH($X86,INDEX(LLM_Data_Entry!$A$3:$A$548&amp;"|"&amp;LLM_Data_Entry!$C$3:$C$548&amp;"|"&amp;LLM_Data_Entry!$D$3:$D$548,0),0))),"")</f>
        <v/>
      </c>
      <c r="Z86" s="91">
        <f>IFERROR(IF($X86="","",INDEX(LLM_Data_Entry!$R$3:$R$548,MATCH($X86,INDEX(LLM_Data_Entry!$A$3:$A$548&amp;"|"&amp;LLM_Data_Entry!$C$3:$C$548&amp;"|"&amp;LLM_Data_Entry!$D$3:$D$548,0),0))),"")</f>
        <v/>
      </c>
      <c r="AB86" t="inlineStr">
        <is>
          <t>earnings calendar, seconded independently</t>
        </is>
      </c>
      <c r="AC86" t="inlineStr">
        <is>
          <t>GS</t>
        </is>
      </c>
      <c r="AD86" t="inlineStr">
        <is>
          <t>2025-07-15</t>
        </is>
      </c>
      <c r="AE86" t="n">
        <v>688.6472</v>
      </c>
      <c r="AF86" t="inlineStr">
        <is>
          <t>2025-07-16</t>
        </is>
      </c>
      <c r="AG86" t="n">
        <v>694.5189</v>
      </c>
      <c r="AH86" t="n">
        <v>0.008526563634517781</v>
      </c>
      <c r="AI86" t="inlineStr">
        <is>
          <t>FLAT</t>
        </is>
      </c>
      <c r="AJ86" t="inlineStr">
        <is>
          <t>NO</t>
        </is>
      </c>
      <c r="AK86" t="n">
        <v>0.007527</v>
      </c>
      <c r="AL86">
        <f>IF($A86="","",IFERROR(INDEX(Company_List!$G$3:$G$207,MATCH($A86,Company_List!$A$3:$A$207,0)),"unassigned"))</f>
        <v/>
      </c>
      <c r="AM86" t="inlineStr">
        <is>
          <t>Phase 2/Goldman Sachs/Q2 2025/GS-Q2-2025-presentation-SEC-EX99-2.htm; Phase 2/Goldman Sachs/Q2 2025/GS-Q2-2025-press-release-SEC-EX99-1.htm; Phase 2/Goldman Sachs/Q2 2025/GS-Q2-2025-earnings-call-transcript-MotleyFool.html</t>
        </is>
      </c>
      <c r="AN86" t="inlineStr">
        <is>
          <t>https://www.fool.com/earnings/call-transcripts/2025/07/16/goldman-sachs-gs-q2-2025-earnings-call-transcript/; https://www.sec.gov/Archives/edgar/data/886982/000119312525159560/d41877dex991.htm; https://www.sec.gov/Archives/edgar/data/886982/000119312525159560/d41877dex992.htm</t>
        </is>
      </c>
      <c r="AO86" t="inlineStr">
        <is>
          <t>manifest (whole bundle)</t>
        </is>
      </c>
      <c r="AP86">
        <f>IF($A86="","",IF(COUNTIFS(LLM_Data_Entry!$A$3:$A$548,$A86)&gt;0,"YES","NO"))</f>
        <v/>
      </c>
      <c r="AQ86">
        <f>IF($A86="","",IF(COUNTIFS($A$3:$A86,$A86,$C$3:$C86,$C86,$D$3:$D86,$D86)=1,"YES","NO"))</f>
        <v/>
      </c>
      <c r="AR86">
        <f>IF($A86="","",IF(AND($C86&amp;"-"&amp;$D86&gt;=Settings!$B$19,$C86&amp;"-"&amp;$D86&lt;=Settings!$B$20),"IN","OUT"))</f>
        <v/>
      </c>
      <c r="AS86">
        <f>IF($A86="","",IF($F86="Financial Results","financials",IF($F86="Outlook/Guidance","guidance",IF($F86="Transcript Q&amp;A","qanda",IF($F86="","unrecorded",IF($E86="All","full",IF($E86="","unrecorded",LOWER($E86)&amp;" only")))))))</f>
        <v/>
      </c>
      <c r="AT86">
        <f>IF(AND(OR($J86="BUY",$J86="SELL"),ISNUMBER($U86)),$U86,"")</f>
        <v/>
      </c>
      <c r="AU86">
        <f>IF(AND(OR($J86="BUY",$J86="SELL"),ISNUMBER($AK86)),$AK86,"")</f>
        <v/>
      </c>
      <c r="AV86">
        <f>IF(ISNUMBER($AT86),ABS(IF(ISNUMBER($I86),$I86,0)-Settings!$B$24),"")</f>
        <v/>
      </c>
      <c r="AW86">
        <f>IF(ISNUMBER($AV86),$AV86*$AT86,"")</f>
        <v/>
      </c>
      <c r="AX86">
        <f>IF(ISNUMBER($AU86),ABS(IF(ISNUMBER($I86),$I86,0)-Settings!$B$24),"")</f>
        <v/>
      </c>
      <c r="AY86">
        <f>IF(ISNUMBER($AX86),$AX86*$AU86,"")</f>
        <v/>
      </c>
      <c r="AZ86">
        <f>IF($A86="","",IFERROR(INDEX(Company_List!$H$3:$H$207,MATCH($A86,Company_List!$A$3:$A$207,0)),"unassigned"))</f>
        <v/>
      </c>
      <c r="BC86">
        <f>IF($A86="","",IF(COUNTIFS($A$3:$A86,$A86,$C$3:$C86,$C86,$D$3:$D86,$D86,$G$3:$G86,$G86)=1,1,0))</f>
        <v/>
      </c>
      <c r="BG86" t="inlineStr">
        <is>
          <t>no</t>
        </is>
      </c>
      <c r="BK86">
        <f>IF(OR($H86&lt;&gt;"Human",$S86="",$J86="",$Y86="",$Z86=""),"",IF(EXACT(UPPER($J86),UPPER($Y86)),1,0))</f>
        <v/>
      </c>
      <c r="BL86" t="inlineStr">
        <is>
          <t>assumed - no rater record</t>
        </is>
      </c>
      <c r="BM86" t="n">
        <v>3</v>
      </c>
      <c r="BN86" t="inlineStr">
        <is>
          <t>The Motley Fool</t>
        </is>
      </c>
      <c r="BO86" t="inlineStr">
        <is>
          <t>free to read, copyright asserted</t>
        </is>
      </c>
      <c r="BP86" t="inlineStr">
        <is>
          <t>no</t>
        </is>
      </c>
      <c r="BQ86" t="inlineStr">
        <is>
          <t>yes</t>
        </is>
      </c>
    </row>
    <row r="87" ht="16.35" customHeight="1">
      <c r="A87" s="95" t="inlineStr">
        <is>
          <t>Goldman Sachs</t>
        </is>
      </c>
      <c r="B87" s="96">
        <f>IF(A87="","",_xlfn.XLOOKUP(A87, Company_List!$A:$A, Company_List!$B:$B, ""))</f>
        <v/>
      </c>
      <c r="C87" s="21" t="n">
        <v>2025</v>
      </c>
      <c r="D87" s="20" t="inlineStr">
        <is>
          <t>Q3</t>
        </is>
      </c>
      <c r="E87" s="19" t="inlineStr">
        <is>
          <t>All</t>
        </is>
      </c>
      <c r="F87" s="19" t="inlineStr">
        <is>
          <t>All</t>
        </is>
      </c>
      <c r="G87" s="20" t="inlineStr">
        <is>
          <t>Dragos</t>
        </is>
      </c>
      <c r="H87" s="20" t="inlineStr">
        <is>
          <t>Human</t>
        </is>
      </c>
      <c r="I87" s="127" t="n">
        <v>0.55</v>
      </c>
      <c r="J87" s="145">
        <f>IF(OR(I87="",Settings!$B$6=""),"",IF(I87&gt;Settings!$B$6,"BUY",IF(I87&lt;-Settings!$B$6,"SELL","HOLD")))</f>
        <v/>
      </c>
      <c r="K87" s="139" t="n">
        <v>34</v>
      </c>
      <c r="L87" s="123" t="n">
        <v>45944</v>
      </c>
      <c r="M87" s="123" t="n">
        <v>45943</v>
      </c>
      <c r="N87" s="127" t="n">
        <v>786.78</v>
      </c>
      <c r="O87" s="123" t="n">
        <v>45944</v>
      </c>
      <c r="P87" s="22" t="n">
        <v>764.45</v>
      </c>
      <c r="Q87" s="148">
        <f>IF(OR(N87="",P87=""),"",ROUND((P87-N87)/N87,4))</f>
        <v/>
      </c>
      <c r="R87" s="20">
        <f>IF(OR(N87="",P87=""),"",IF(Q87&gt;Settings!$B$3/100,"UP",IF(Q87&lt;-Settings!$B$3/100,"DOWN","FLAT")))</f>
        <v/>
      </c>
      <c r="S87" s="20">
        <f>IF(OR(N87="",P87="",J87=""),"",IF(OR(AND(J87="BUY",R87="UP"),AND(J87="SELL",R87="DOWN"),AND(J87="HOLD",R87="FLAT")),"YES","NO"))</f>
        <v/>
      </c>
      <c r="T87" s="21">
        <f>IF(J87="","",IF(J87="BUY",1,IF(J87="SELL",-1,0)))</f>
        <v/>
      </c>
      <c r="U87" s="148">
        <f>IFERROR(IF(OR(J87="",N87="",P87=""),"",IF(T87=0,0,T87*Q87-Settings!$B$4/10000-IF(T87&lt;0,Settings!$B$5/10000,0))),"")</f>
        <v/>
      </c>
      <c r="V87" s="23" t="inlineStr">
        <is>
          <t>Very strong: EPS +46% yoy, revs +20%, IB fees +42% on M&amp;A boom, all segments up, sponsor pipeline +40%. But backlog flat qoq, buyback slowed to $2B (avg cost $718 shows huge run-up into print), CEO warned of investor exuberance/AI cycle. Strength well telegraphed after two blowout qtrs - high bar.</t>
        </is>
      </c>
      <c r="W87" s="21">
        <f>IF($K87="","",$K87*60)</f>
        <v/>
      </c>
      <c r="X87" s="91">
        <f>IF($A87="","",$A87&amp;"|"&amp;$C87&amp;"|"&amp;$D87)</f>
        <v/>
      </c>
      <c r="Y87" s="91">
        <f>IFERROR(IF($X87="","",INDEX(LLM_Data_Entry!$H$3:$H$548,MATCH($X87,INDEX(LLM_Data_Entry!$A$3:$A$548&amp;"|"&amp;LLM_Data_Entry!$C$3:$C$548&amp;"|"&amp;LLM_Data_Entry!$D$3:$D$548,0),0))),"")</f>
        <v/>
      </c>
      <c r="Z87" s="91">
        <f>IFERROR(IF($X87="","",INDEX(LLM_Data_Entry!$R$3:$R$548,MATCH($X87,INDEX(LLM_Data_Entry!$A$3:$A$548&amp;"|"&amp;LLM_Data_Entry!$C$3:$C$548&amp;"|"&amp;LLM_Data_Entry!$D$3:$D$548,0),0))),"")</f>
        <v/>
      </c>
      <c r="AB87" t="inlineStr">
        <is>
          <t>price signal — only this window shows an abnormal move</t>
        </is>
      </c>
      <c r="AC87" t="inlineStr">
        <is>
          <t>GS</t>
        </is>
      </c>
      <c r="AD87" t="inlineStr">
        <is>
          <t>2025-10-13</t>
        </is>
      </c>
      <c r="AE87" t="n">
        <v>775.3828999999999</v>
      </c>
      <c r="AF87" t="inlineStr">
        <is>
          <t>2025-10-14</t>
        </is>
      </c>
      <c r="AG87" t="n">
        <v>753.3764</v>
      </c>
      <c r="AH87" t="n">
        <v>-0.02838145729871041</v>
      </c>
      <c r="AI87" t="inlineStr">
        <is>
          <t>DOWN</t>
        </is>
      </c>
      <c r="AJ87" t="inlineStr">
        <is>
          <t>NO</t>
        </is>
      </c>
      <c r="AK87" t="n">
        <v>-0.029381</v>
      </c>
      <c r="AL87">
        <f>IF($A87="","",IFERROR(INDEX(Company_List!$G$3:$G$207,MATCH($A87,Company_List!$A$3:$A$207,0)),"unassigned"))</f>
        <v/>
      </c>
      <c r="AM87" t="inlineStr">
        <is>
          <t>Phase 2/Goldman Sachs/Q3 2025/GS-Q3-2025-presentation-SEC-EX99-2.htm; Phase 2/Goldman Sachs/Q3 2025/GS-Q3-2025-press-release-SEC-EX99-1.htm; Phase 2/Goldman Sachs/Q3 2025/GS-Q3-2025-earnings-call-transcript-InsiderMonkey.html</t>
        </is>
      </c>
      <c r="AN87" t="inlineStr">
        <is>
          <t>https://www.insidermonkey.com/blog/the-goldman-sachs-group-inc-nysegs-q3-2025-earnings-call-transcript-1628253/; https://www.sec.gov/Archives/edgar/data/886982/000119312525238058/d899312dex991.htm; https://www.sec.gov/Archives/edgar/data/886982/000119312525238058/d899312dex992.htm</t>
        </is>
      </c>
      <c r="AO87" t="inlineStr">
        <is>
          <t>manifest (whole bundle)</t>
        </is>
      </c>
      <c r="AP87">
        <f>IF($A87="","",IF(COUNTIFS(LLM_Data_Entry!$A$3:$A$548,$A87)&gt;0,"YES","NO"))</f>
        <v/>
      </c>
      <c r="AQ87">
        <f>IF($A87="","",IF(COUNTIFS($A$3:$A87,$A87,$C$3:$C87,$C87,$D$3:$D87,$D87)=1,"YES","NO"))</f>
        <v/>
      </c>
      <c r="AR87">
        <f>IF($A87="","",IF(AND($C87&amp;"-"&amp;$D87&gt;=Settings!$B$19,$C87&amp;"-"&amp;$D87&lt;=Settings!$B$20),"IN","OUT"))</f>
        <v/>
      </c>
      <c r="AS87">
        <f>IF($A87="","",IF($F87="Financial Results","financials",IF($F87="Outlook/Guidance","guidance",IF($F87="Transcript Q&amp;A","qanda",IF($F87="","unrecorded",IF($E87="All","full",IF($E87="","unrecorded",LOWER($E87)&amp;" only")))))))</f>
        <v/>
      </c>
      <c r="AT87">
        <f>IF(AND(OR($J87="BUY",$J87="SELL"),ISNUMBER($U87)),$U87,"")</f>
        <v/>
      </c>
      <c r="AU87">
        <f>IF(AND(OR($J87="BUY",$J87="SELL"),ISNUMBER($AK87)),$AK87,"")</f>
        <v/>
      </c>
      <c r="AV87">
        <f>IF(ISNUMBER($AT87),ABS(IF(ISNUMBER($I87),$I87,0)-Settings!$B$24),"")</f>
        <v/>
      </c>
      <c r="AW87">
        <f>IF(ISNUMBER($AV87),$AV87*$AT87,"")</f>
        <v/>
      </c>
      <c r="AX87">
        <f>IF(ISNUMBER($AU87),ABS(IF(ISNUMBER($I87),$I87,0)-Settings!$B$24),"")</f>
        <v/>
      </c>
      <c r="AY87">
        <f>IF(ISNUMBER($AX87),$AX87*$AU87,"")</f>
        <v/>
      </c>
      <c r="AZ87">
        <f>IF($A87="","",IFERROR(INDEX(Company_List!$H$3:$H$207,MATCH($A87,Company_List!$A$3:$A$207,0)),"unassigned"))</f>
        <v/>
      </c>
      <c r="BC87">
        <f>IF($A87="","",IF(COUNTIFS($A$3:$A87,$A87,$C$3:$C87,$C87,$D$3:$D87,$D87,$G$3:$G87,$G87)=1,1,0))</f>
        <v/>
      </c>
      <c r="BG87" t="inlineStr">
        <is>
          <t>no</t>
        </is>
      </c>
      <c r="BK87">
        <f>IF(OR($H87&lt;&gt;"Human",$S87="",$J87="",$Y87="",$Z87=""),"",IF(EXACT(UPPER($J87),UPPER($Y87)),1,0))</f>
        <v/>
      </c>
      <c r="BL87" t="inlineStr">
        <is>
          <t>assumed - no rater record</t>
        </is>
      </c>
      <c r="BM87" t="n">
        <v>3</v>
      </c>
      <c r="BN87" t="inlineStr">
        <is>
          <t>Insider Monkey (Koala Guide LLC)</t>
        </is>
      </c>
      <c r="BO87" t="inlineStr">
        <is>
          <t>free to read, copyright asserted</t>
        </is>
      </c>
      <c r="BP87" t="inlineStr">
        <is>
          <t>no</t>
        </is>
      </c>
      <c r="BQ87" t="inlineStr">
        <is>
          <t>yes</t>
        </is>
      </c>
    </row>
    <row r="88" ht="16.35" customHeight="1">
      <c r="A88" s="95" t="inlineStr">
        <is>
          <t>Goldman Sachs</t>
        </is>
      </c>
      <c r="B88" s="96">
        <f>IF(A88="","",_xlfn.XLOOKUP(A88, Company_List!$A:$A, Company_List!$B:$B, ""))</f>
        <v/>
      </c>
      <c r="C88" s="21" t="n">
        <v>2025</v>
      </c>
      <c r="D88" s="20" t="inlineStr">
        <is>
          <t>Q4</t>
        </is>
      </c>
      <c r="E88" s="19" t="inlineStr">
        <is>
          <t>All</t>
        </is>
      </c>
      <c r="F88" s="19" t="inlineStr">
        <is>
          <t>All</t>
        </is>
      </c>
      <c r="G88" s="20" t="inlineStr">
        <is>
          <t>Dragos</t>
        </is>
      </c>
      <c r="H88" s="20" t="inlineStr">
        <is>
          <t>Human</t>
        </is>
      </c>
      <c r="I88" s="127" t="n">
        <v>0.45</v>
      </c>
      <c r="J88" s="145">
        <f>IF(OR(I88="",Settings!$B$6=""),"",IF(I88&gt;Settings!$B$6,"BUY",IF(I88&lt;-Settings!$B$6,"SELL","HOLD")))</f>
        <v/>
      </c>
      <c r="K88" s="139" t="n">
        <v>21</v>
      </c>
      <c r="L88" s="123" t="n">
        <v>46037</v>
      </c>
      <c r="M88" s="123" t="n">
        <v>46036</v>
      </c>
      <c r="N88" s="127" t="n">
        <v>932.67</v>
      </c>
      <c r="O88" s="123" t="n">
        <v>46037</v>
      </c>
      <c r="P88" s="22" t="n">
        <v>924.9</v>
      </c>
      <c r="Q88" s="148">
        <f>IF(OR(N88="",P88=""),"",ROUND((P88-N88)/N88,4))</f>
        <v/>
      </c>
      <c r="R88" s="20">
        <f>IF(OR(N88="",P88=""),"",IF(Q88&gt;Settings!$B$3/100,"UP",IF(Q88&lt;-Settings!$B$3/100,"DOWN","FLAT")))</f>
        <v/>
      </c>
      <c r="S88" s="20">
        <f>IF(OR(N88="",P88="",J88=""),"",IF(OR(AND(J88="BUY",R88="UP"),AND(J88="SELL",R88="DOWN"),AND(J88="HOLD",R88="FLAT")),"YES","NO"))</f>
        <v/>
      </c>
      <c r="T88" s="21">
        <f>IF(J88="","",IF(J88="BUY",1,IF(J88="SELL",-1,0)))</f>
        <v/>
      </c>
      <c r="U88" s="148">
        <f>IFERROR(IF(OR(J88="",N88="",P88=""),"",IF(T88=0,0,T88*Q88-Settings!$B$4/10000-IF(T88&lt;0,Settings!$B$5/10000,0))),"")</f>
        <v/>
      </c>
      <c r="V88" s="23" t="inlineStr">
        <is>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is>
      </c>
      <c r="W88" s="21">
        <f>IF($K88="","",$K88*60)</f>
        <v/>
      </c>
      <c r="X88" s="91">
        <f>IF($A88="","",$A88&amp;"|"&amp;$C88&amp;"|"&amp;$D88)</f>
        <v/>
      </c>
      <c r="Y88" s="91">
        <f>IFERROR(IF($X88="","",INDEX(LLM_Data_Entry!$H$3:$H$548,MATCH($X88,INDEX(LLM_Data_Entry!$A$3:$A$548&amp;"|"&amp;LLM_Data_Entry!$C$3:$C$548&amp;"|"&amp;LLM_Data_Entry!$D$3:$D$548,0),0))),"")</f>
        <v/>
      </c>
      <c r="Z88" s="91">
        <f>IFERROR(IF($X88="","",INDEX(LLM_Data_Entry!$R$3:$R$548,MATCH($X88,INDEX(LLM_Data_Entry!$A$3:$A$548&amp;"|"&amp;LLM_Data_Entry!$C$3:$C$548&amp;"|"&amp;LLM_Data_Entry!$D$3:$D$548,0),0))),"")</f>
        <v/>
      </c>
      <c r="AB88" t="inlineStr">
        <is>
          <t>price signal — only this window shows an abnormal move</t>
        </is>
      </c>
      <c r="AC88" t="inlineStr">
        <is>
          <t>GS</t>
        </is>
      </c>
      <c r="AD88" t="inlineStr">
        <is>
          <t>2026-01-14</t>
        </is>
      </c>
      <c r="AE88" t="n">
        <v>923.7163</v>
      </c>
      <c r="AF88" t="inlineStr">
        <is>
          <t>2026-01-15</t>
        </is>
      </c>
      <c r="AG88" t="n">
        <v>916.0209</v>
      </c>
      <c r="AH88" t="n">
        <v>-0.008330925349948315</v>
      </c>
      <c r="AI88" t="inlineStr">
        <is>
          <t>FLAT</t>
        </is>
      </c>
      <c r="AJ88" t="inlineStr">
        <is>
          <t>NO</t>
        </is>
      </c>
      <c r="AK88" t="n">
        <v>-0.009331000000000001</v>
      </c>
      <c r="AL88">
        <f>IF($A88="","",IFERROR(INDEX(Company_List!$G$3:$G$207,MATCH($A88,Company_List!$A$3:$A$207,0)),"unassigned"))</f>
        <v/>
      </c>
      <c r="AM88" t="inlineStr">
        <is>
          <t>Phase 2/Goldman Sachs/Q4 2025/GS-Q4-2025-presentation-SEC-EX99-2.htm; Phase 2/Goldman Sachs/Q4 2025/GS-Q4-2025-press-release-SEC-EX99-1.htm; Phase 2/Goldman Sachs/Q4 2025/GS-Q4-2025-earnings-call-transcript-MotleyFool.html</t>
        </is>
      </c>
      <c r="AN88" t="inlineStr">
        <is>
          <t>https://www.fool.com/earnings/call-transcripts/2026/01/15/goldman-sachs-gs-q4-2025-earnings-transcript/; https://www.sec.gov/Archives/edgar/data/886982/000088698226000008/a4q25gsearningsresults.htm; https://www.sec.gov/Archives/edgar/data/886982/000088698226000008/a4q25gsearningsresultspr.htm</t>
        </is>
      </c>
      <c r="AO88" t="inlineStr">
        <is>
          <t>manifest (whole bundle)</t>
        </is>
      </c>
      <c r="AP88">
        <f>IF($A88="","",IF(COUNTIFS(LLM_Data_Entry!$A$3:$A$548,$A88)&gt;0,"YES","NO"))</f>
        <v/>
      </c>
      <c r="AQ88">
        <f>IF($A88="","",IF(COUNTIFS($A$3:$A88,$A88,$C$3:$C88,$C88,$D$3:$D88,$D88)=1,"YES","NO"))</f>
        <v/>
      </c>
      <c r="AR88">
        <f>IF($A88="","",IF(AND($C88&amp;"-"&amp;$D88&gt;=Settings!$B$19,$C88&amp;"-"&amp;$D88&lt;=Settings!$B$20),"IN","OUT"))</f>
        <v/>
      </c>
      <c r="AS88">
        <f>IF($A88="","",IF($F88="Financial Results","financials",IF($F88="Outlook/Guidance","guidance",IF($F88="Transcript Q&amp;A","qanda",IF($F88="","unrecorded",IF($E88="All","full",IF($E88="","unrecorded",LOWER($E88)&amp;" only")))))))</f>
        <v/>
      </c>
      <c r="AT88">
        <f>IF(AND(OR($J88="BUY",$J88="SELL"),ISNUMBER($U88)),$U88,"")</f>
        <v/>
      </c>
      <c r="AU88">
        <f>IF(AND(OR($J88="BUY",$J88="SELL"),ISNUMBER($AK88)),$AK88,"")</f>
        <v/>
      </c>
      <c r="AV88">
        <f>IF(ISNUMBER($AT88),ABS(IF(ISNUMBER($I88),$I88,0)-Settings!$B$24),"")</f>
        <v/>
      </c>
      <c r="AW88">
        <f>IF(ISNUMBER($AV88),$AV88*$AT88,"")</f>
        <v/>
      </c>
      <c r="AX88">
        <f>IF(ISNUMBER($AU88),ABS(IF(ISNUMBER($I88),$I88,0)-Settings!$B$24),"")</f>
        <v/>
      </c>
      <c r="AY88">
        <f>IF(ISNUMBER($AX88),$AX88*$AU88,"")</f>
        <v/>
      </c>
      <c r="AZ88">
        <f>IF($A88="","",IFERROR(INDEX(Company_List!$H$3:$H$207,MATCH($A88,Company_List!$A$3:$A$207,0)),"unassigned"))</f>
        <v/>
      </c>
      <c r="BC88">
        <f>IF($A88="","",IF(COUNTIFS($A$3:$A88,$A88,$C$3:$C88,$C88,$D$3:$D88,$D88,$G$3:$G88,$G88)=1,1,0))</f>
        <v/>
      </c>
      <c r="BG88" t="inlineStr">
        <is>
          <t>no</t>
        </is>
      </c>
      <c r="BK88">
        <f>IF(OR($H88&lt;&gt;"Human",$S88="",$J88="",$Y88="",$Z88=""),"",IF(EXACT(UPPER($J88),UPPER($Y88)),1,0))</f>
        <v/>
      </c>
      <c r="BL88" t="inlineStr">
        <is>
          <t>assumed - no rater record</t>
        </is>
      </c>
      <c r="BM88" t="n">
        <v>3</v>
      </c>
      <c r="BN88" t="inlineStr">
        <is>
          <t>The Motley Fool</t>
        </is>
      </c>
      <c r="BO88" t="inlineStr">
        <is>
          <t>free to read, copyright asserted</t>
        </is>
      </c>
      <c r="BP88" t="inlineStr">
        <is>
          <t>no</t>
        </is>
      </c>
      <c r="BQ88" t="inlineStr">
        <is>
          <t>yes</t>
        </is>
      </c>
    </row>
    <row r="89" ht="16.35" customHeight="1">
      <c r="A89" s="95" t="inlineStr">
        <is>
          <t>Goldman Sachs</t>
        </is>
      </c>
      <c r="B89" s="96">
        <f>IF(A89="","",_xlfn.XLOOKUP(A89, Company_List!$A:$A, Company_List!$B:$B, ""))</f>
        <v/>
      </c>
      <c r="C89" s="21" t="n">
        <v>2026</v>
      </c>
      <c r="D89" s="20" t="inlineStr">
        <is>
          <t>Q1</t>
        </is>
      </c>
      <c r="E89" s="19" t="inlineStr">
        <is>
          <t>All</t>
        </is>
      </c>
      <c r="F89" s="19" t="inlineStr">
        <is>
          <t>All</t>
        </is>
      </c>
      <c r="G89" s="20" t="inlineStr">
        <is>
          <t>Dragos</t>
        </is>
      </c>
      <c r="H89" s="20" t="inlineStr">
        <is>
          <t>Human</t>
        </is>
      </c>
      <c r="I89" s="127" t="n">
        <v>0.4</v>
      </c>
      <c r="J89" s="145">
        <f>IF(OR(I89="",Settings!$B$6=""),"",IF(I89&gt;Settings!$B$6,"BUY",IF(I89&lt;-Settings!$B$6,"SELL","HOLD")))</f>
        <v/>
      </c>
      <c r="K89" s="139" t="n">
        <v>24</v>
      </c>
      <c r="L89" s="123" t="n">
        <v>46125</v>
      </c>
      <c r="M89" s="123" t="n">
        <v>46122</v>
      </c>
      <c r="N89" s="127" t="n">
        <v>907.8</v>
      </c>
      <c r="O89" s="123" t="n">
        <v>46125</v>
      </c>
      <c r="P89" s="22" t="n">
        <v>875.55</v>
      </c>
      <c r="Q89" s="148">
        <f>IF(OR(N89="",P89=""),"",ROUND((P89-N89)/N89,4))</f>
        <v/>
      </c>
      <c r="R89" s="20">
        <f>IF(OR(N89="",P89=""),"",IF(Q89&gt;Settings!$B$3/100,"UP",IF(Q89&lt;-Settings!$B$3/100,"DOWN","FLAT")))</f>
        <v/>
      </c>
      <c r="S89" s="20">
        <f>IF(OR(N89="",P89="",J89=""),"",IF(OR(AND(J89="BUY",R89="UP"),AND(J89="SELL",R89="DOWN"),AND(J89="HOLD",R89="FLAT")),"YES","NO"))</f>
        <v/>
      </c>
      <c r="T89" s="21">
        <f>IF(J89="","",IF(J89="BUY",1,IF(J89="SELL",-1,0)))</f>
        <v/>
      </c>
      <c r="U89" s="148">
        <f>IFERROR(IF(OR(J89="",N89="",P89=""),"",IF(T89=0,0,T89*Q89-Settings!$B$4/10000-IF(T89&lt;0,Settings!$B$5/10000,0))),"")</f>
        <v/>
      </c>
      <c r="V89" s="23" t="inlineStr">
        <is>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is>
      </c>
      <c r="W89" s="21">
        <f>IF($K89="","",$K89*60)</f>
        <v/>
      </c>
      <c r="X89" s="91">
        <f>IF($A89="","",$A89&amp;"|"&amp;$C89&amp;"|"&amp;$D89)</f>
        <v/>
      </c>
      <c r="Y89" s="91">
        <f>IFERROR(IF($X89="","",INDEX(LLM_Data_Entry!$H$3:$H$548,MATCH($X89,INDEX(LLM_Data_Entry!$A$3:$A$548&amp;"|"&amp;LLM_Data_Entry!$C$3:$C$548&amp;"|"&amp;LLM_Data_Entry!$D$3:$D$548,0),0))),"")</f>
        <v/>
      </c>
      <c r="Z89" s="91">
        <f>IFERROR(IF($X89="","",INDEX(LLM_Data_Entry!$R$3:$R$548,MATCH($X89,INDEX(LLM_Data_Entry!$A$3:$A$548&amp;"|"&amp;LLM_Data_Entry!$C$3:$C$548&amp;"|"&amp;LLM_Data_Entry!$D$3:$D$548,0),0))),"")</f>
        <v/>
      </c>
      <c r="AB89" t="inlineStr">
        <is>
          <t>price signal — only this window shows an abnormal move</t>
        </is>
      </c>
      <c r="AC89" t="inlineStr">
        <is>
          <t>GS</t>
        </is>
      </c>
      <c r="AD89" t="inlineStr">
        <is>
          <t>2026-04-10</t>
        </is>
      </c>
      <c r="AE89" t="n">
        <v>903.8167</v>
      </c>
      <c r="AF89" t="inlineStr">
        <is>
          <t>2026-04-13</t>
        </is>
      </c>
      <c r="AG89" t="n">
        <v>871.7082</v>
      </c>
      <c r="AH89" t="n">
        <v>-0.03552543586465621</v>
      </c>
      <c r="AI89" t="inlineStr">
        <is>
          <t>DOWN</t>
        </is>
      </c>
      <c r="AJ89" t="inlineStr">
        <is>
          <t>NO</t>
        </is>
      </c>
      <c r="AK89" t="n">
        <v>-0.036525</v>
      </c>
      <c r="AL89">
        <f>IF($A89="","",IFERROR(INDEX(Company_List!$G$3:$G$207,MATCH($A89,Company_List!$A$3:$A$207,0)),"unassigned"))</f>
        <v/>
      </c>
      <c r="AM89" t="inlineStr">
        <is>
          <t>Phase 2/Goldman Sachs/Q1 2026/GS-Q1-2026-presentation-SEC-EX99-2.htm; Phase 2/Goldman Sachs/Q1 2026/GS-Q1-2026-press-release-SEC-EX99-1.htm; Phase 2/Goldman Sachs/Q1 2026/GS-Q1-2026-earnings-call-transcript-MotleyFool.html</t>
        </is>
      </c>
      <c r="AN89" t="inlineStr">
        <is>
          <t>https://www.fool.com/earnings/call-transcripts/2026/04/13/goldman-sachs-gs-q1-2026-earnings-transcript/; https://www.sec.gov/Archives/edgar/data/886982/000088698226000096/a1q26gsearningsresults.htm; https://www.sec.gov/Archives/edgar/data/886982/000088698226000096/a1q26gsearningsresultspr.htm</t>
        </is>
      </c>
      <c r="AO89" t="inlineStr">
        <is>
          <t>manifest (whole bundle)</t>
        </is>
      </c>
      <c r="AP89">
        <f>IF($A89="","",IF(COUNTIFS(LLM_Data_Entry!$A$3:$A$548,$A89)&gt;0,"YES","NO"))</f>
        <v/>
      </c>
      <c r="AQ89">
        <f>IF($A89="","",IF(COUNTIFS($A$3:$A89,$A89,$C$3:$C89,$C89,$D$3:$D89,$D89)=1,"YES","NO"))</f>
        <v/>
      </c>
      <c r="AR89">
        <f>IF($A89="","",IF(AND($C89&amp;"-"&amp;$D89&gt;=Settings!$B$19,$C89&amp;"-"&amp;$D89&lt;=Settings!$B$20),"IN","OUT"))</f>
        <v/>
      </c>
      <c r="AS89">
        <f>IF($A89="","",IF($F89="Financial Results","financials",IF($F89="Outlook/Guidance","guidance",IF($F89="Transcript Q&amp;A","qanda",IF($F89="","unrecorded",IF($E89="All","full",IF($E89="","unrecorded",LOWER($E89)&amp;" only")))))))</f>
        <v/>
      </c>
      <c r="AT89">
        <f>IF(AND(OR($J89="BUY",$J89="SELL"),ISNUMBER($U89)),$U89,"")</f>
        <v/>
      </c>
      <c r="AU89">
        <f>IF(AND(OR($J89="BUY",$J89="SELL"),ISNUMBER($AK89)),$AK89,"")</f>
        <v/>
      </c>
      <c r="AV89">
        <f>IF(ISNUMBER($AT89),ABS(IF(ISNUMBER($I89),$I89,0)-Settings!$B$24),"")</f>
        <v/>
      </c>
      <c r="AW89">
        <f>IF(ISNUMBER($AV89),$AV89*$AT89,"")</f>
        <v/>
      </c>
      <c r="AX89">
        <f>IF(ISNUMBER($AU89),ABS(IF(ISNUMBER($I89),$I89,0)-Settings!$B$24),"")</f>
        <v/>
      </c>
      <c r="AY89">
        <f>IF(ISNUMBER($AX89),$AX89*$AU89,"")</f>
        <v/>
      </c>
      <c r="AZ89">
        <f>IF($A89="","",IFERROR(INDEX(Company_List!$H$3:$H$207,MATCH($A89,Company_List!$A$3:$A$207,0)),"unassigned"))</f>
        <v/>
      </c>
      <c r="BC89">
        <f>IF($A89="","",IF(COUNTIFS($A$3:$A89,$A89,$C$3:$C89,$C89,$D$3:$D89,$D89,$G$3:$G89,$G89)=1,1,0))</f>
        <v/>
      </c>
      <c r="BG89" t="inlineStr">
        <is>
          <t>no</t>
        </is>
      </c>
      <c r="BK89">
        <f>IF(OR($H89&lt;&gt;"Human",$S89="",$J89="",$Y89="",$Z89=""),"",IF(EXACT(UPPER($J89),UPPER($Y89)),1,0))</f>
        <v/>
      </c>
      <c r="BL89" t="inlineStr">
        <is>
          <t>assumed - no rater record</t>
        </is>
      </c>
      <c r="BM89" t="n">
        <v>3</v>
      </c>
      <c r="BN89" t="inlineStr">
        <is>
          <t>The Motley Fool</t>
        </is>
      </c>
      <c r="BO89" t="inlineStr">
        <is>
          <t>free to read, copyright asserted</t>
        </is>
      </c>
      <c r="BP89" t="inlineStr">
        <is>
          <t>no</t>
        </is>
      </c>
      <c r="BQ89" t="inlineStr">
        <is>
          <t>yes</t>
        </is>
      </c>
    </row>
    <row r="90" ht="16.35" customHeight="1">
      <c r="A90" s="95" t="inlineStr">
        <is>
          <t>Goldman Sachs</t>
        </is>
      </c>
      <c r="B90" s="96">
        <f>IF(A90="","",_xlfn.XLOOKUP(A90, Company_List!$A:$A, Company_List!$B:$B, ""))</f>
        <v/>
      </c>
      <c r="C90" s="21" t="n">
        <v>2026</v>
      </c>
      <c r="D90" s="20" t="inlineStr">
        <is>
          <t>Q2</t>
        </is>
      </c>
      <c r="E90" s="19" t="inlineStr">
        <is>
          <t>All</t>
        </is>
      </c>
      <c r="F90" s="19" t="inlineStr">
        <is>
          <t>All</t>
        </is>
      </c>
      <c r="G90" s="20" t="inlineStr">
        <is>
          <t>Dragos</t>
        </is>
      </c>
      <c r="H90" s="20" t="inlineStr">
        <is>
          <t>Human</t>
        </is>
      </c>
      <c r="I90" s="127" t="n">
        <v>0.8</v>
      </c>
      <c r="J90" s="145">
        <f>IF(OR(I90="",Settings!$B$6=""),"",IF(I90&gt;Settings!$B$6,"BUY",IF(I90&lt;-Settings!$B$6,"SELL","HOLD")))</f>
        <v/>
      </c>
      <c r="K90" s="139" t="n">
        <v>21</v>
      </c>
      <c r="L90" s="123" t="n">
        <v>46217</v>
      </c>
      <c r="M90" s="123" t="n">
        <v>46216</v>
      </c>
      <c r="N90" s="127" t="n">
        <v>1045.91</v>
      </c>
      <c r="O90" s="123" t="n">
        <v>46217</v>
      </c>
      <c r="P90" s="22" t="n">
        <v>1085</v>
      </c>
      <c r="Q90" s="148">
        <f>IF(OR(N90="",P90=""),"",ROUND((P90-N90)/N90,4))</f>
        <v/>
      </c>
      <c r="R90" s="20">
        <f>IF(OR(N90="",P90=""),"",IF(Q90&gt;Settings!$B$3/100,"UP",IF(Q90&lt;-Settings!$B$3/100,"DOWN","FLAT")))</f>
        <v/>
      </c>
      <c r="S90" s="20">
        <f>IF(OR(N90="",P90="",J90=""),"",IF(OR(AND(J90="BUY",R90="UP"),AND(J90="SELL",R90="DOWN"),AND(J90="HOLD",R90="FLAT")),"YES","NO"))</f>
        <v/>
      </c>
      <c r="T90" s="21">
        <f>IF(J90="","",IF(J90="BUY",1,IF(J90="SELL",-1,0)))</f>
        <v/>
      </c>
      <c r="U90" s="148">
        <f>IFERROR(IF(OR(J90="",N90="",P90=""),"",IF(T90=0,0,T90*Q90-Settings!$B$4/10000-IF(T90&lt;0,Settings!$B$5/10000,0))),"")</f>
        <v/>
      </c>
      <c r="V90" s="23" t="inlineStr">
        <is>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is>
      </c>
      <c r="W90" s="21">
        <f>IF($K90="","",$K90*60)</f>
        <v/>
      </c>
      <c r="X90" s="91">
        <f>IF($A90="","",$A90&amp;"|"&amp;$C90&amp;"|"&amp;$D90)</f>
        <v/>
      </c>
      <c r="Y90" s="91">
        <f>IFERROR(IF($X90="","",INDEX(LLM_Data_Entry!$H$3:$H$548,MATCH($X90,INDEX(LLM_Data_Entry!$A$3:$A$548&amp;"|"&amp;LLM_Data_Entry!$C$3:$C$548&amp;"|"&amp;LLM_Data_Entry!$D$3:$D$548,0),0))),"")</f>
        <v/>
      </c>
      <c r="Z90" s="91">
        <f>IFERROR(IF($X90="","",INDEX(LLM_Data_Entry!$R$3:$R$548,MATCH($X90,INDEX(LLM_Data_Entry!$A$3:$A$548&amp;"|"&amp;LLM_Data_Entry!$C$3:$C$548&amp;"|"&amp;LLM_Data_Entry!$D$3:$D$548,0),0))),"")</f>
        <v/>
      </c>
      <c r="AB90" t="inlineStr">
        <is>
          <t>price signal — only this window shows an abnormal move</t>
        </is>
      </c>
      <c r="AC90" t="inlineStr">
        <is>
          <t>GS</t>
        </is>
      </c>
      <c r="AD90" t="inlineStr">
        <is>
          <t>2026-07-13</t>
        </is>
      </c>
      <c r="AE90" t="n">
        <v>1045.91</v>
      </c>
      <c r="AF90" t="inlineStr">
        <is>
          <t>2026-07-14</t>
        </is>
      </c>
      <c r="AG90" t="n">
        <v>1085</v>
      </c>
      <c r="AH90" t="n">
        <v>0.03737411892923861</v>
      </c>
      <c r="AI90" t="inlineStr">
        <is>
          <t>UP</t>
        </is>
      </c>
      <c r="AJ90" t="inlineStr">
        <is>
          <t>YES</t>
        </is>
      </c>
      <c r="AK90" t="n">
        <v>0.036374</v>
      </c>
      <c r="AL90">
        <f>IF($A90="","",IFERROR(INDEX(Company_List!$G$3:$G$207,MATCH($A90,Company_List!$A$3:$A$207,0)),"unassigned"))</f>
        <v/>
      </c>
      <c r="AM90" t="inlineStr">
        <is>
          <t>Phase 2/Goldman Sachs/Q2 2026/GS-Q2-2026-presentation-SEC-EX99-2.htm; Phase 2/Goldman Sachs/Q2 2026/GS-Q2-2026-press-release-SEC-EX99-1.htm; Phase 2/Goldman Sachs/Q2 2026/GS-Q2-2026-earnings-call-transcript-AlphaStreet.html</t>
        </is>
      </c>
      <c r="AN90" t="inlineStr">
        <is>
          <t>https://news.alphastreet.com/goldman-sachs-group-inc-gs-q2-2026-earnings-call-transcript/; https://www.sec.gov/Archives/edgar/data/886982/000088698226000294/a2q26gsearningsresults.htm; https://www.sec.gov/Archives/edgar/data/886982/000088698226000294/a2q26gsearningsresultspr.htm</t>
        </is>
      </c>
      <c r="AO90" t="inlineStr">
        <is>
          <t>manifest (whole bundle)</t>
        </is>
      </c>
      <c r="AP90">
        <f>IF($A90="","",IF(COUNTIFS(LLM_Data_Entry!$A$3:$A$548,$A90)&gt;0,"YES","NO"))</f>
        <v/>
      </c>
      <c r="AQ90">
        <f>IF($A90="","",IF(COUNTIFS($A$3:$A90,$A90,$C$3:$C90,$C90,$D$3:$D90,$D90)=1,"YES","NO"))</f>
        <v/>
      </c>
      <c r="AR90">
        <f>IF($A90="","",IF(AND($C90&amp;"-"&amp;$D90&gt;=Settings!$B$19,$C90&amp;"-"&amp;$D90&lt;=Settings!$B$20),"IN","OUT"))</f>
        <v/>
      </c>
      <c r="AS90">
        <f>IF($A90="","",IF($F90="Financial Results","financials",IF($F90="Outlook/Guidance","guidance",IF($F90="Transcript Q&amp;A","qanda",IF($F90="","unrecorded",IF($E90="All","full",IF($E90="","unrecorded",LOWER($E90)&amp;" only")))))))</f>
        <v/>
      </c>
      <c r="AT90">
        <f>IF(AND(OR($J90="BUY",$J90="SELL"),ISNUMBER($U90)),$U90,"")</f>
        <v/>
      </c>
      <c r="AU90">
        <f>IF(AND(OR($J90="BUY",$J90="SELL"),ISNUMBER($AK90)),$AK90,"")</f>
        <v/>
      </c>
      <c r="AV90">
        <f>IF(ISNUMBER($AT90),ABS(IF(ISNUMBER($I90),$I90,0)-Settings!$B$24),"")</f>
        <v/>
      </c>
      <c r="AW90">
        <f>IF(ISNUMBER($AV90),$AV90*$AT90,"")</f>
        <v/>
      </c>
      <c r="AX90">
        <f>IF(ISNUMBER($AU90),ABS(IF(ISNUMBER($I90),$I90,0)-Settings!$B$24),"")</f>
        <v/>
      </c>
      <c r="AY90">
        <f>IF(ISNUMBER($AX90),$AX90*$AU90,"")</f>
        <v/>
      </c>
      <c r="AZ90">
        <f>IF($A90="","",IFERROR(INDEX(Company_List!$H$3:$H$207,MATCH($A90,Company_List!$A$3:$A$207,0)),"unassigned"))</f>
        <v/>
      </c>
      <c r="BC90">
        <f>IF($A90="","",IF(COUNTIFS($A$3:$A90,$A90,$C$3:$C90,$C90,$D$3:$D90,$D90,$G$3:$G90,$G90)=1,1,0))</f>
        <v/>
      </c>
      <c r="BG90" t="inlineStr">
        <is>
          <t>no</t>
        </is>
      </c>
      <c r="BK90">
        <f>IF(OR($H90&lt;&gt;"Human",$S90="",$J90="",$Y90="",$Z90=""),"",IF(EXACT(UPPER($J90),UPPER($Y90)),1,0))</f>
        <v/>
      </c>
      <c r="BL90" t="inlineStr">
        <is>
          <t>assumed - no rater record</t>
        </is>
      </c>
      <c r="BM90" t="n">
        <v>3</v>
      </c>
      <c r="BN90" t="inlineStr">
        <is>
          <t>not publisher-identified</t>
        </is>
      </c>
      <c r="BO90" t="inlineStr">
        <is>
          <t>not publisher-identified</t>
        </is>
      </c>
      <c r="BP90" t="inlineStr">
        <is>
          <t>no</t>
        </is>
      </c>
      <c r="BQ90" t="inlineStr">
        <is>
          <t>yes</t>
        </is>
      </c>
    </row>
    <row r="91" ht="16.35" customHeight="1">
      <c r="A91" s="95" t="inlineStr">
        <is>
          <t>Charles Schwab</t>
        </is>
      </c>
      <c r="B91" s="96">
        <f>IF(A91="","",_xlfn.XLOOKUP(A91, Company_List!$A:$A, Company_List!$B:$B, ""))</f>
        <v/>
      </c>
      <c r="C91" s="21" t="n">
        <v>2025</v>
      </c>
      <c r="D91" s="20" t="inlineStr">
        <is>
          <t>Q1</t>
        </is>
      </c>
      <c r="E91" s="19" t="inlineStr">
        <is>
          <t>All</t>
        </is>
      </c>
      <c r="F91" s="19" t="inlineStr">
        <is>
          <t>All</t>
        </is>
      </c>
      <c r="G91" s="20" t="inlineStr">
        <is>
          <t>Dragos</t>
        </is>
      </c>
      <c r="H91" s="20" t="inlineStr">
        <is>
          <t>Human</t>
        </is>
      </c>
      <c r="I91" s="127" t="n">
        <v>0.6</v>
      </c>
      <c r="J91" s="145">
        <f>IF(OR(I91="",Settings!$B$6=""),"",IF(I91&gt;Settings!$B$6,"BUY",IF(I91&lt;-Settings!$B$6,"SELL","HOLD")))</f>
        <v/>
      </c>
      <c r="K91" s="139" t="n">
        <v>25</v>
      </c>
      <c r="L91" s="123" t="n">
        <v>45764</v>
      </c>
      <c r="M91" s="123" t="n">
        <v>45763</v>
      </c>
      <c r="N91" s="127" t="n">
        <v>75.7</v>
      </c>
      <c r="O91" s="123" t="n">
        <v>45764</v>
      </c>
      <c r="P91" s="22" t="n">
        <v>77.67</v>
      </c>
      <c r="Q91" s="148">
        <f>IF(OR(N91="",P91=""),"",ROUND((P91-N91)/N91,4))</f>
        <v/>
      </c>
      <c r="R91" s="20">
        <f>IF(OR(N91="",P91=""),"",IF(Q91&gt;Settings!$B$3/100,"UP",IF(Q91&lt;-Settings!$B$3/100,"DOWN","FLAT")))</f>
        <v/>
      </c>
      <c r="S91" s="20">
        <f>IF(OR(N91="",P91="",J91=""),"",IF(OR(AND(J91="BUY",R91="UP"),AND(J91="SELL",R91="DOWN"),AND(J91="HOLD",R91="FLAT")),"YES","NO"))</f>
        <v/>
      </c>
      <c r="T91" s="21">
        <f>IF(J91="","",IF(J91="BUY",1,IF(J91="SELL",-1,0)))</f>
        <v/>
      </c>
      <c r="U91" s="148">
        <f>IFERROR(IF(OR(J91="",N91="",P91=""),"",IF(T91=0,0,T91*Q91-Settings!$B$4/10000-IF(T91&lt;0,Settings!$B$5/10000,0))),"")</f>
        <v/>
      </c>
      <c r="V91" s="23" t="inlineStr">
        <is>
          <t>Record revenue +18%, adj EPS $1.04 +41%, NNA $137.7B +44%, div +8%, $1.5B buyback; tracking upper end of FY EPS scenario amid April tariff volatility with record trading. Risk: rate-cut path could trim 4Q NIM; macro fear tape means market braced for worse, beat should pop.</t>
        </is>
      </c>
      <c r="W91" s="21">
        <f>IF($K91="","",$K91*60)</f>
        <v/>
      </c>
      <c r="X91" s="91">
        <f>IF($A91="","",$A91&amp;"|"&amp;$C91&amp;"|"&amp;$D91)</f>
        <v/>
      </c>
      <c r="Y91" s="91">
        <f>IFERROR(IF($X91="","",INDEX(LLM_Data_Entry!$H$3:$H$548,MATCH($X91,INDEX(LLM_Data_Entry!$A$3:$A$548&amp;"|"&amp;LLM_Data_Entry!$C$3:$C$548&amp;"|"&amp;LLM_Data_Entry!$D$3:$D$548,0),0))),"")</f>
        <v/>
      </c>
      <c r="Z91" s="91">
        <f>IFERROR(IF($X91="","",INDEX(LLM_Data_Entry!$R$3:$R$548,MATCH($X91,INDEX(LLM_Data_Entry!$A$3:$A$548&amp;"|"&amp;LLM_Data_Entry!$C$3:$C$548&amp;"|"&amp;LLM_Data_Entry!$D$3:$D$548,0),0))),"")</f>
        <v/>
      </c>
      <c r="AB91" t="inlineStr">
        <is>
          <t>price signal — only this window shows an abnormal move</t>
        </is>
      </c>
      <c r="AC91" t="inlineStr">
        <is>
          <t>SCHW</t>
        </is>
      </c>
      <c r="AD91" t="inlineStr">
        <is>
          <t>2025-04-16</t>
        </is>
      </c>
      <c r="AE91" t="n">
        <v>74.5125</v>
      </c>
      <c r="AF91" t="inlineStr">
        <is>
          <t>2025-04-17</t>
        </is>
      </c>
      <c r="AG91" t="n">
        <v>76.4517</v>
      </c>
      <c r="AH91" t="n">
        <v>0.02602391441620634</v>
      </c>
      <c r="AI91" t="inlineStr">
        <is>
          <t>UP</t>
        </is>
      </c>
      <c r="AJ91" t="inlineStr">
        <is>
          <t>YES</t>
        </is>
      </c>
      <c r="AK91" t="n">
        <v>0.025024</v>
      </c>
      <c r="AL91">
        <f>IF($A91="","",IFERROR(INDEX(Company_List!$G$3:$G$207,MATCH($A91,Company_List!$A$3:$A$207,0)),"unassigned"))</f>
        <v/>
      </c>
      <c r="AM91" t="inlineStr">
        <is>
          <t>Phase 2/Charles Schwab/Q1 2025/SCHW-Q1-2025-press-release-SEC-EX99-1.htm; Phase 2/Charles Schwab/Q1 2025/SCHW-Q1-2025-earnings-call-transcript-InsiderMonkey.html</t>
        </is>
      </c>
      <c r="AN91" t="inlineStr">
        <is>
          <t>https://www.insidermonkey.com/blog/the-charles-schwab-corporation-nyseschw-q1-2025-earnings-call-transcript-1511418/; https://www.sec.gov/Archives/edgar/data/316709/000031670925000019/a1q25exhibit991.htm</t>
        </is>
      </c>
      <c r="AO91" t="inlineStr">
        <is>
          <t>manifest (whole bundle)</t>
        </is>
      </c>
      <c r="AP91">
        <f>IF($A91="","",IF(COUNTIFS(LLM_Data_Entry!$A$3:$A$548,$A91)&gt;0,"YES","NO"))</f>
        <v/>
      </c>
      <c r="AQ91">
        <f>IF($A91="","",IF(COUNTIFS($A$3:$A91,$A91,$C$3:$C91,$C91,$D$3:$D91,$D91)=1,"YES","NO"))</f>
        <v/>
      </c>
      <c r="AR91">
        <f>IF($A91="","",IF(AND($C91&amp;"-"&amp;$D91&gt;=Settings!$B$19,$C91&amp;"-"&amp;$D91&lt;=Settings!$B$20),"IN","OUT"))</f>
        <v/>
      </c>
      <c r="AS91">
        <f>IF($A91="","",IF($F91="Financial Results","financials",IF($F91="Outlook/Guidance","guidance",IF($F91="Transcript Q&amp;A","qanda",IF($F91="","unrecorded",IF($E91="All","full",IF($E91="","unrecorded",LOWER($E91)&amp;" only")))))))</f>
        <v/>
      </c>
      <c r="AT91">
        <f>IF(AND(OR($J91="BUY",$J91="SELL"),ISNUMBER($U91)),$U91,"")</f>
        <v/>
      </c>
      <c r="AU91">
        <f>IF(AND(OR($J91="BUY",$J91="SELL"),ISNUMBER($AK91)),$AK91,"")</f>
        <v/>
      </c>
      <c r="AV91">
        <f>IF(ISNUMBER($AT91),ABS(IF(ISNUMBER($I91),$I91,0)-Settings!$B$24),"")</f>
        <v/>
      </c>
      <c r="AW91">
        <f>IF(ISNUMBER($AV91),$AV91*$AT91,"")</f>
        <v/>
      </c>
      <c r="AX91">
        <f>IF(ISNUMBER($AU91),ABS(IF(ISNUMBER($I91),$I91,0)-Settings!$B$24),"")</f>
        <v/>
      </c>
      <c r="AY91">
        <f>IF(ISNUMBER($AX91),$AX91*$AU91,"")</f>
        <v/>
      </c>
      <c r="AZ91">
        <f>IF($A91="","",IFERROR(INDEX(Company_List!$H$3:$H$207,MATCH($A91,Company_List!$A$3:$A$207,0)),"unassigned"))</f>
        <v/>
      </c>
      <c r="BC91">
        <f>IF($A91="","",IF(COUNTIFS($A$3:$A91,$A91,$C$3:$C91,$C91,$D$3:$D91,$D91,$G$3:$G91,$G91)=1,1,0))</f>
        <v/>
      </c>
      <c r="BG91" t="inlineStr">
        <is>
          <t>no</t>
        </is>
      </c>
      <c r="BK91">
        <f>IF(OR($H91&lt;&gt;"Human",$S91="",$J91="",$Y91="",$Z91=""),"",IF(EXACT(UPPER($J91),UPPER($Y91)),1,0))</f>
        <v/>
      </c>
      <c r="BL91" t="inlineStr">
        <is>
          <t>assumed - no rater record</t>
        </is>
      </c>
      <c r="BM91" t="n">
        <v>2</v>
      </c>
      <c r="BN91" t="inlineStr">
        <is>
          <t>Insider Monkey (Koala Guide LLC)</t>
        </is>
      </c>
      <c r="BO91" t="inlineStr">
        <is>
          <t>free to read, copyright asserted</t>
        </is>
      </c>
      <c r="BP91" t="inlineStr">
        <is>
          <t>no</t>
        </is>
      </c>
      <c r="BQ91" t="inlineStr">
        <is>
          <t>yes</t>
        </is>
      </c>
    </row>
    <row r="92" ht="16.35" customHeight="1">
      <c r="A92" s="95" t="inlineStr">
        <is>
          <t>Charles Schwab</t>
        </is>
      </c>
      <c r="B92" s="96">
        <f>IF(A92="","",_xlfn.XLOOKUP(A92, Company_List!$A:$A, Company_List!$B:$B, ""))</f>
        <v/>
      </c>
      <c r="C92" s="21" t="n">
        <v>2025</v>
      </c>
      <c r="D92" s="20" t="inlineStr">
        <is>
          <t>Q2</t>
        </is>
      </c>
      <c r="E92" s="19" t="inlineStr">
        <is>
          <t>All</t>
        </is>
      </c>
      <c r="F92" s="19" t="inlineStr">
        <is>
          <t>All</t>
        </is>
      </c>
      <c r="G92" s="20" t="inlineStr">
        <is>
          <t>Dragos</t>
        </is>
      </c>
      <c r="H92" s="20" t="inlineStr">
        <is>
          <t>Human</t>
        </is>
      </c>
      <c r="I92" s="127" t="n">
        <v>0.7</v>
      </c>
      <c r="J92" s="145">
        <f>IF(OR(I92="",Settings!$B$6=""),"",IF(I92&gt;Settings!$B$6,"BUY",IF(I92&lt;-Settings!$B$6,"SELL","HOLD")))</f>
        <v/>
      </c>
      <c r="K92" s="139" t="n">
        <v>30</v>
      </c>
      <c r="L92" s="123" t="n">
        <v>45856</v>
      </c>
      <c r="M92" s="123" t="n">
        <v>45855</v>
      </c>
      <c r="N92" s="127" t="n">
        <v>93.09999999999999</v>
      </c>
      <c r="O92" s="123" t="n">
        <v>45856</v>
      </c>
      <c r="P92" s="22" t="n">
        <v>95.7</v>
      </c>
      <c r="Q92" s="148">
        <f>IF(OR(N92="",P92=""),"",ROUND((P92-N92)/N92,4))</f>
        <v/>
      </c>
      <c r="R92" s="20">
        <f>IF(OR(N92="",P92=""),"",IF(Q92&gt;Settings!$B$3/100,"UP",IF(Q92&lt;-Settings!$B$3/100,"DOWN","FLAT")))</f>
        <v/>
      </c>
      <c r="S92" s="20">
        <f>IF(OR(N92="",P92="",J92=""),"",IF(OR(AND(J92="BUY",R92="UP"),AND(J92="SELL",R92="DOWN"),AND(J92="HOLD",R92="FLAT")),"YES","NO"))</f>
        <v/>
      </c>
      <c r="T92" s="21">
        <f>IF(J92="","",IF(J92="BUY",1,IF(J92="SELL",-1,0)))</f>
        <v/>
      </c>
      <c r="U92" s="148">
        <f>IFERROR(IF(OR(J92="",N92="",P92=""),"",IF(T92=0,0,T92*Q92-Settings!$B$4/10000-IF(T92&lt;0,Settings!$B$5/10000,0))),"")</f>
        <v/>
      </c>
      <c r="V92" s="23" t="inlineStr">
        <is>
          <t>Blowout: record rev +25%, adj EPS $1.14 +56%, margin &gt;50%, NNA +31%; FY EPS scenario raised to $4.55-4.65 from $4.10-4.20, NIM guide up. Risk: trading-driven strength partly known; buyback modest at $350M.</t>
        </is>
      </c>
      <c r="W92" s="21">
        <f>IF($K92="","",$K92*60)</f>
        <v/>
      </c>
      <c r="X92" s="91">
        <f>IF($A92="","",$A92&amp;"|"&amp;$C92&amp;"|"&amp;$D92)</f>
        <v/>
      </c>
      <c r="Y92" s="91">
        <f>IFERROR(IF($X92="","",INDEX(LLM_Data_Entry!$H$3:$H$548,MATCH($X92,INDEX(LLM_Data_Entry!$A$3:$A$548&amp;"|"&amp;LLM_Data_Entry!$C$3:$C$548&amp;"|"&amp;LLM_Data_Entry!$D$3:$D$548,0),0))),"")</f>
        <v/>
      </c>
      <c r="Z92" s="91">
        <f>IFERROR(IF($X92="","",INDEX(LLM_Data_Entry!$R$3:$R$548,MATCH($X92,INDEX(LLM_Data_Entry!$A$3:$A$548&amp;"|"&amp;LLM_Data_Entry!$C$3:$C$548&amp;"|"&amp;LLM_Data_Entry!$D$3:$D$548,0),0))),"")</f>
        <v/>
      </c>
      <c r="AB92" t="inlineStr">
        <is>
          <t>price signal — only this window shows an abnormal move</t>
        </is>
      </c>
      <c r="AC92" t="inlineStr">
        <is>
          <t>SCHW</t>
        </is>
      </c>
      <c r="AD92" t="inlineStr">
        <is>
          <t>2025-07-17</t>
        </is>
      </c>
      <c r="AE92" t="n">
        <v>91.93380000000001</v>
      </c>
      <c r="AF92" t="inlineStr">
        <is>
          <t>2025-07-18</t>
        </is>
      </c>
      <c r="AG92" t="n">
        <v>94.5012</v>
      </c>
      <c r="AH92" t="n">
        <v>0.02792702460304082</v>
      </c>
      <c r="AI92" t="inlineStr">
        <is>
          <t>UP</t>
        </is>
      </c>
      <c r="AJ92" t="inlineStr">
        <is>
          <t>YES</t>
        </is>
      </c>
      <c r="AK92" t="n">
        <v>0.026927</v>
      </c>
      <c r="AL92">
        <f>IF($A92="","",IFERROR(INDEX(Company_List!$G$3:$G$207,MATCH($A92,Company_List!$A$3:$A$207,0)),"unassigned"))</f>
        <v/>
      </c>
      <c r="AM92" t="inlineStr">
        <is>
          <t>Phase 2/Charles Schwab/Q2 2025/SCHW-Q2-2025-press-release-SEC-EX99-1.htm; Phase 2/Charles Schwab/Q2 2025/SCHW-Q2-2025-earnings-call-transcript-InsiderMonkey.html</t>
        </is>
      </c>
      <c r="AN92" t="inlineStr">
        <is>
          <t>https://www.insidermonkey.com/blog/the-charles-schwab-corporation-nyseschw-q2-2025-earnings-call-transcript-1573625/; https://www.sec.gov/Archives/edgar/data/316709/000031670925000033/a2q25exhibit991.htm</t>
        </is>
      </c>
      <c r="AO92" t="inlineStr">
        <is>
          <t>manifest (whole bundle)</t>
        </is>
      </c>
      <c r="AP92">
        <f>IF($A92="","",IF(COUNTIFS(LLM_Data_Entry!$A$3:$A$548,$A92)&gt;0,"YES","NO"))</f>
        <v/>
      </c>
      <c r="AQ92">
        <f>IF($A92="","",IF(COUNTIFS($A$3:$A92,$A92,$C$3:$C92,$C92,$D$3:$D92,$D92)=1,"YES","NO"))</f>
        <v/>
      </c>
      <c r="AR92">
        <f>IF($A92="","",IF(AND($C92&amp;"-"&amp;$D92&gt;=Settings!$B$19,$C92&amp;"-"&amp;$D92&lt;=Settings!$B$20),"IN","OUT"))</f>
        <v/>
      </c>
      <c r="AS92">
        <f>IF($A92="","",IF($F92="Financial Results","financials",IF($F92="Outlook/Guidance","guidance",IF($F92="Transcript Q&amp;A","qanda",IF($F92="","unrecorded",IF($E92="All","full",IF($E92="","unrecorded",LOWER($E92)&amp;" only")))))))</f>
        <v/>
      </c>
      <c r="AT92">
        <f>IF(AND(OR($J92="BUY",$J92="SELL"),ISNUMBER($U92)),$U92,"")</f>
        <v/>
      </c>
      <c r="AU92">
        <f>IF(AND(OR($J92="BUY",$J92="SELL"),ISNUMBER($AK92)),$AK92,"")</f>
        <v/>
      </c>
      <c r="AV92">
        <f>IF(ISNUMBER($AT92),ABS(IF(ISNUMBER($I92),$I92,0)-Settings!$B$24),"")</f>
        <v/>
      </c>
      <c r="AW92">
        <f>IF(ISNUMBER($AV92),$AV92*$AT92,"")</f>
        <v/>
      </c>
      <c r="AX92">
        <f>IF(ISNUMBER($AU92),ABS(IF(ISNUMBER($I92),$I92,0)-Settings!$B$24),"")</f>
        <v/>
      </c>
      <c r="AY92">
        <f>IF(ISNUMBER($AX92),$AX92*$AU92,"")</f>
        <v/>
      </c>
      <c r="AZ92">
        <f>IF($A92="","",IFERROR(INDEX(Company_List!$H$3:$H$207,MATCH($A92,Company_List!$A$3:$A$207,0)),"unassigned"))</f>
        <v/>
      </c>
      <c r="BC92">
        <f>IF($A92="","",IF(COUNTIFS($A$3:$A92,$A92,$C$3:$C92,$C92,$D$3:$D92,$D92,$G$3:$G92,$G92)=1,1,0))</f>
        <v/>
      </c>
      <c r="BG92" t="inlineStr">
        <is>
          <t>no</t>
        </is>
      </c>
      <c r="BK92">
        <f>IF(OR($H92&lt;&gt;"Human",$S92="",$J92="",$Y92="",$Z92=""),"",IF(EXACT(UPPER($J92),UPPER($Y92)),1,0))</f>
        <v/>
      </c>
      <c r="BL92" t="inlineStr">
        <is>
          <t>assumed - no rater record</t>
        </is>
      </c>
      <c r="BM92" t="n">
        <v>2</v>
      </c>
      <c r="BN92" t="inlineStr">
        <is>
          <t>Insider Monkey (Koala Guide LLC)</t>
        </is>
      </c>
      <c r="BO92" t="inlineStr">
        <is>
          <t>free to read, copyright asserted</t>
        </is>
      </c>
      <c r="BP92" t="inlineStr">
        <is>
          <t>no</t>
        </is>
      </c>
      <c r="BQ92" t="inlineStr">
        <is>
          <t>yes</t>
        </is>
      </c>
    </row>
    <row r="93" ht="16.35" customHeight="1">
      <c r="A93" s="95" t="inlineStr">
        <is>
          <t>Charles Schwab</t>
        </is>
      </c>
      <c r="B93" s="96">
        <f>IF(A93="","",_xlfn.XLOOKUP(A93, Company_List!$A:$A, Company_List!$B:$B, ""))</f>
        <v/>
      </c>
      <c r="C93" s="21" t="n">
        <v>2025</v>
      </c>
      <c r="D93" s="20" t="inlineStr">
        <is>
          <t>Q3</t>
        </is>
      </c>
      <c r="E93" s="19" t="inlineStr">
        <is>
          <t>All</t>
        </is>
      </c>
      <c r="F93" s="19" t="inlineStr">
        <is>
          <t>All</t>
        </is>
      </c>
      <c r="G93" s="20" t="inlineStr">
        <is>
          <t>Dragos</t>
        </is>
      </c>
      <c r="H93" s="20" t="inlineStr">
        <is>
          <t>Human</t>
        </is>
      </c>
      <c r="I93" s="127" t="n">
        <v>0.7</v>
      </c>
      <c r="J93" s="145">
        <f>IF(OR(I93="",Settings!$B$6=""),"",IF(I93&gt;Settings!$B$6,"BUY",IF(I93&lt;-Settings!$B$6,"SELL","HOLD")))</f>
        <v/>
      </c>
      <c r="K93" s="139" t="n">
        <v>26</v>
      </c>
      <c r="L93" s="123" t="n">
        <v>45946</v>
      </c>
      <c r="M93" s="123" t="n">
        <v>45945</v>
      </c>
      <c r="N93" s="127" t="n">
        <v>94.33</v>
      </c>
      <c r="O93" s="123" t="n">
        <v>45946</v>
      </c>
      <c r="P93" s="22" t="n">
        <v>94.77</v>
      </c>
      <c r="Q93" s="148">
        <f>IF(OR(N93="",P93=""),"",ROUND((P93-N93)/N93,4))</f>
        <v/>
      </c>
      <c r="R93" s="20">
        <f>IF(OR(N93="",P93=""),"",IF(Q93&gt;Settings!$B$3/100,"UP",IF(Q93&lt;-Settings!$B$3/100,"DOWN","FLAT")))</f>
        <v/>
      </c>
      <c r="S93" s="20">
        <f>IF(OR(N93="",P93="",J93=""),"",IF(OR(AND(J93="BUY",R93="UP"),AND(J93="SELL",R93="DOWN"),AND(J93="HOLD",R93="FLAT")),"YES","NO"))</f>
        <v/>
      </c>
      <c r="T93" s="21">
        <f>IF(J93="","",IF(J93="BUY",1,IF(J93="SELL",-1,0)))</f>
        <v/>
      </c>
      <c r="U93" s="148">
        <f>IFERROR(IF(OR(J93="",N93="",P93=""),"",IF(T93=0,0,T93*Q93-Settings!$B$4/10000-IF(T93&lt;0,Settings!$B$5/10000,0))),"")</f>
        <v/>
      </c>
      <c r="V93" s="23" t="inlineStr">
        <is>
          <t>Third straight record: rev +27%, adj EPS $1.31 +70%, NNA +44%, buyback up to $2.7B, NIM 2.86%; guided ~2%+ above upper end of July scenario. Risk: momentum now well known, so bar is high; rate cuts into 2026 an overhang.</t>
        </is>
      </c>
      <c r="W93" s="21">
        <f>IF($K93="","",$K93*60)</f>
        <v/>
      </c>
      <c r="X93" s="91">
        <f>IF($A93="","",$A93&amp;"|"&amp;$C93&amp;"|"&amp;$D93)</f>
        <v/>
      </c>
      <c r="Y93" s="91">
        <f>IFERROR(IF($X93="","",INDEX(LLM_Data_Entry!$H$3:$H$548,MATCH($X93,INDEX(LLM_Data_Entry!$A$3:$A$548&amp;"|"&amp;LLM_Data_Entry!$C$3:$C$548&amp;"|"&amp;LLM_Data_Entry!$D$3:$D$548,0),0))),"")</f>
        <v/>
      </c>
      <c r="Z93" s="91">
        <f>IFERROR(IF($X93="","",INDEX(LLM_Data_Entry!$R$3:$R$548,MATCH($X93,INDEX(LLM_Data_Entry!$A$3:$A$548&amp;"|"&amp;LLM_Data_Entry!$C$3:$C$548&amp;"|"&amp;LLM_Data_Entry!$D$3:$D$548,0),0))),"")</f>
        <v/>
      </c>
      <c r="AB93" t="inlineStr">
        <is>
          <t>earnings calendar, seconded independently</t>
        </is>
      </c>
      <c r="AC93" t="inlineStr">
        <is>
          <t>SCHW</t>
        </is>
      </c>
      <c r="AD93" t="inlineStr">
        <is>
          <t>2025-10-15</t>
        </is>
      </c>
      <c r="AE93" t="n">
        <v>93.41119999999999</v>
      </c>
      <c r="AF93" t="inlineStr">
        <is>
          <t>2025-10-16</t>
        </is>
      </c>
      <c r="AG93" t="n">
        <v>93.84690000000001</v>
      </c>
      <c r="AH93" t="n">
        <v>0.004664287859232544</v>
      </c>
      <c r="AI93" t="inlineStr">
        <is>
          <t>FLAT</t>
        </is>
      </c>
      <c r="AJ93" t="inlineStr">
        <is>
          <t>NO</t>
        </is>
      </c>
      <c r="AK93" t="n">
        <v>0.003664</v>
      </c>
      <c r="AL93">
        <f>IF($A93="","",IFERROR(INDEX(Company_List!$G$3:$G$207,MATCH($A93,Company_List!$A$3:$A$207,0)),"unassigned"))</f>
        <v/>
      </c>
      <c r="AM93" t="inlineStr">
        <is>
          <t>Phase 2/Charles Schwab/Q3 2025/SCHW-Q3-2025-press-release-SEC-EX99-1.htm; Phase 2/Charles Schwab/Q3 2025/SCHW-Q3-2025-earnings-call-transcript-InsiderMonkey.html</t>
        </is>
      </c>
      <c r="AN93" t="inlineStr">
        <is>
          <t>https://www.insidermonkey.com/blog/the-charles-schwab-corporation-nyseschw-q3-2025-earnings-call-transcript-1631368/; https://www.sec.gov/Archives/edgar/data/316709/000031670925000046/a3q25exhibit991.htm</t>
        </is>
      </c>
      <c r="AO93" t="inlineStr">
        <is>
          <t>manifest (whole bundle)</t>
        </is>
      </c>
      <c r="AP93">
        <f>IF($A93="","",IF(COUNTIFS(LLM_Data_Entry!$A$3:$A$548,$A93)&gt;0,"YES","NO"))</f>
        <v/>
      </c>
      <c r="AQ93">
        <f>IF($A93="","",IF(COUNTIFS($A$3:$A93,$A93,$C$3:$C93,$C93,$D$3:$D93,$D93)=1,"YES","NO"))</f>
        <v/>
      </c>
      <c r="AR93">
        <f>IF($A93="","",IF(AND($C93&amp;"-"&amp;$D93&gt;=Settings!$B$19,$C93&amp;"-"&amp;$D93&lt;=Settings!$B$20),"IN","OUT"))</f>
        <v/>
      </c>
      <c r="AS93">
        <f>IF($A93="","",IF($F93="Financial Results","financials",IF($F93="Outlook/Guidance","guidance",IF($F93="Transcript Q&amp;A","qanda",IF($F93="","unrecorded",IF($E93="All","full",IF($E93="","unrecorded",LOWER($E93)&amp;" only")))))))</f>
        <v/>
      </c>
      <c r="AT93">
        <f>IF(AND(OR($J93="BUY",$J93="SELL"),ISNUMBER($U93)),$U93,"")</f>
        <v/>
      </c>
      <c r="AU93">
        <f>IF(AND(OR($J93="BUY",$J93="SELL"),ISNUMBER($AK93)),$AK93,"")</f>
        <v/>
      </c>
      <c r="AV93">
        <f>IF(ISNUMBER($AT93),ABS(IF(ISNUMBER($I93),$I93,0)-Settings!$B$24),"")</f>
        <v/>
      </c>
      <c r="AW93">
        <f>IF(ISNUMBER($AV93),$AV93*$AT93,"")</f>
        <v/>
      </c>
      <c r="AX93">
        <f>IF(ISNUMBER($AU93),ABS(IF(ISNUMBER($I93),$I93,0)-Settings!$B$24),"")</f>
        <v/>
      </c>
      <c r="AY93">
        <f>IF(ISNUMBER($AX93),$AX93*$AU93,"")</f>
        <v/>
      </c>
      <c r="AZ93">
        <f>IF($A93="","",IFERROR(INDEX(Company_List!$H$3:$H$207,MATCH($A93,Company_List!$A$3:$A$207,0)),"unassigned"))</f>
        <v/>
      </c>
      <c r="BC93">
        <f>IF($A93="","",IF(COUNTIFS($A$3:$A93,$A93,$C$3:$C93,$C93,$D$3:$D93,$D93,$G$3:$G93,$G93)=1,1,0))</f>
        <v/>
      </c>
      <c r="BG93" t="inlineStr">
        <is>
          <t>no</t>
        </is>
      </c>
      <c r="BK93">
        <f>IF(OR($H93&lt;&gt;"Human",$S93="",$J93="",$Y93="",$Z93=""),"",IF(EXACT(UPPER($J93),UPPER($Y93)),1,0))</f>
        <v/>
      </c>
      <c r="BL93" t="inlineStr">
        <is>
          <t>assumed - no rater record</t>
        </is>
      </c>
      <c r="BM93" t="n">
        <v>2</v>
      </c>
      <c r="BN93" t="inlineStr">
        <is>
          <t>Insider Monkey (Koala Guide LLC)</t>
        </is>
      </c>
      <c r="BO93" t="inlineStr">
        <is>
          <t>free to read, copyright asserted</t>
        </is>
      </c>
      <c r="BP93" t="inlineStr">
        <is>
          <t>no</t>
        </is>
      </c>
      <c r="BQ93" t="inlineStr">
        <is>
          <t>yes</t>
        </is>
      </c>
    </row>
    <row r="94" ht="16.35" customHeight="1">
      <c r="A94" s="95" t="inlineStr">
        <is>
          <t>Charles Schwab</t>
        </is>
      </c>
      <c r="B94" s="96">
        <f>IF(A94="","",_xlfn.XLOOKUP(A94, Company_List!$A:$A, Company_List!$B:$B, ""))</f>
        <v/>
      </c>
      <c r="C94" s="21" t="n">
        <v>2025</v>
      </c>
      <c r="D94" s="20" t="inlineStr">
        <is>
          <t>Q4</t>
        </is>
      </c>
      <c r="E94" s="19" t="inlineStr">
        <is>
          <t>All</t>
        </is>
      </c>
      <c r="F94" s="19" t="inlineStr">
        <is>
          <t>All</t>
        </is>
      </c>
      <c r="G94" s="20" t="inlineStr">
        <is>
          <t>Dragos</t>
        </is>
      </c>
      <c r="H94" s="20" t="inlineStr">
        <is>
          <t>Human</t>
        </is>
      </c>
      <c r="I94" s="127" t="n">
        <v>0.5</v>
      </c>
      <c r="J94" s="145">
        <f>IF(OR(I94="",Settings!$B$6=""),"",IF(I94&gt;Settings!$B$6,"BUY",IF(I94&lt;-Settings!$B$6,"SELL","HOLD")))</f>
        <v/>
      </c>
      <c r="K94" s="139" t="n">
        <v>29</v>
      </c>
      <c r="L94" s="123" t="n">
        <v>46043</v>
      </c>
      <c r="M94" s="123" t="n">
        <v>46042</v>
      </c>
      <c r="N94" s="127" t="n">
        <v>100.99</v>
      </c>
      <c r="O94" s="123" t="n">
        <v>46043</v>
      </c>
      <c r="P94" s="22" t="n">
        <v>101.33</v>
      </c>
      <c r="Q94" s="148">
        <f>IF(OR(N94="",P94=""),"",ROUND((P94-N94)/N94,4))</f>
        <v/>
      </c>
      <c r="R94" s="20">
        <f>IF(OR(N94="",P94=""),"",IF(Q94&gt;Settings!$B$3/100,"UP",IF(Q94&lt;-Settings!$B$3/100,"DOWN","FLAT")))</f>
        <v/>
      </c>
      <c r="S94" s="20">
        <f>IF(OR(N94="",P94="",J94=""),"",IF(OR(AND(J94="BUY",R94="UP"),AND(J94="SELL",R94="DOWN"),AND(J94="HOLD",R94="FLAT")),"YES","NO"))</f>
        <v/>
      </c>
      <c r="T94" s="21">
        <f>IF(J94="","",IF(J94="BUY",1,IF(J94="SELL",-1,0)))</f>
        <v/>
      </c>
      <c r="U94" s="148">
        <f>IFERROR(IF(OR(J94="",N94="",P94=""),"",IF(T94=0,0,T94*Q94-Settings!$B$4/10000-IF(T94&lt;0,Settings!$B$5/10000,0))),"")</f>
        <v/>
      </c>
      <c r="V94" s="23" t="inlineStr">
        <is>
          <t>Record Q4: adj EPS $1.39 +38%, NNA $163.9B, FY EPS $4.87 beat own raised scenario; but 2026 guide decelerates to rev +9.5-10.5%, EPS $5.70-5.80, expenses 5.5-6.5%. Fourth straight record is fully telegraphed; guide is solid not a raise-shock, so inside the gap bar.</t>
        </is>
      </c>
      <c r="W94" s="21">
        <f>IF($K94="","",$K94*60)</f>
        <v/>
      </c>
      <c r="X94" s="91">
        <f>IF($A94="","",$A94&amp;"|"&amp;$C94&amp;"|"&amp;$D94)</f>
        <v/>
      </c>
      <c r="Y94" s="91">
        <f>IFERROR(IF($X94="","",INDEX(LLM_Data_Entry!$H$3:$H$548,MATCH($X94,INDEX(LLM_Data_Entry!$A$3:$A$548&amp;"|"&amp;LLM_Data_Entry!$C$3:$C$548&amp;"|"&amp;LLM_Data_Entry!$D$3:$D$548,0),0))),"")</f>
        <v/>
      </c>
      <c r="Z94" s="91">
        <f>IFERROR(IF($X94="","",INDEX(LLM_Data_Entry!$R$3:$R$548,MATCH($X94,INDEX(LLM_Data_Entry!$A$3:$A$548&amp;"|"&amp;LLM_Data_Entry!$C$3:$C$548&amp;"|"&amp;LLM_Data_Entry!$D$3:$D$548,0),0))),"")</f>
        <v/>
      </c>
      <c r="AB94" t="inlineStr">
        <is>
          <t>earnings calendar, seconded independently</t>
        </is>
      </c>
      <c r="AC94" t="inlineStr">
        <is>
          <t>SCHW</t>
        </is>
      </c>
      <c r="AD94" t="inlineStr">
        <is>
          <t>2026-01-20</t>
        </is>
      </c>
      <c r="AE94" t="n">
        <v>100.2902</v>
      </c>
      <c r="AF94" t="inlineStr">
        <is>
          <t>2026-01-21</t>
        </is>
      </c>
      <c r="AG94" t="n">
        <v>100.6279</v>
      </c>
      <c r="AH94" t="n">
        <v>0.003366761565933791</v>
      </c>
      <c r="AI94" t="inlineStr">
        <is>
          <t>FLAT</t>
        </is>
      </c>
      <c r="AJ94" t="inlineStr">
        <is>
          <t>NO</t>
        </is>
      </c>
      <c r="AK94" t="n">
        <v>0.002367</v>
      </c>
      <c r="AL94">
        <f>IF($A94="","",IFERROR(INDEX(Company_List!$G$3:$G$207,MATCH($A94,Company_List!$A$3:$A$207,0)),"unassigned"))</f>
        <v/>
      </c>
      <c r="AM94" t="inlineStr">
        <is>
          <t>Phase 2/Charles Schwab/Q4 2025/SCHW-Q4-2025-press-release-SEC-EX99-1.htm; Phase 2/Charles Schwab/Q4 2025/SCHW-Q4-2025-earnings-call-transcript-MotleyFool.html</t>
        </is>
      </c>
      <c r="AN94" t="inlineStr">
        <is>
          <t>https://www.fool.com/earnings/call-transcripts/2026/03/24/schwab-schw-q4-2025-earnings-call-transcript/; https://www.sec.gov/Archives/edgar/data/316709/000031670926000004/a4q25exhibit991.htm</t>
        </is>
      </c>
      <c r="AO94" t="inlineStr">
        <is>
          <t>manifest (whole bundle)</t>
        </is>
      </c>
      <c r="AP94">
        <f>IF($A94="","",IF(COUNTIFS(LLM_Data_Entry!$A$3:$A$548,$A94)&gt;0,"YES","NO"))</f>
        <v/>
      </c>
      <c r="AQ94">
        <f>IF($A94="","",IF(COUNTIFS($A$3:$A94,$A94,$C$3:$C94,$C94,$D$3:$D94,$D94)=1,"YES","NO"))</f>
        <v/>
      </c>
      <c r="AR94">
        <f>IF($A94="","",IF(AND($C94&amp;"-"&amp;$D94&gt;=Settings!$B$19,$C94&amp;"-"&amp;$D94&lt;=Settings!$B$20),"IN","OUT"))</f>
        <v/>
      </c>
      <c r="AS94">
        <f>IF($A94="","",IF($F94="Financial Results","financials",IF($F94="Outlook/Guidance","guidance",IF($F94="Transcript Q&amp;A","qanda",IF($F94="","unrecorded",IF($E94="All","full",IF($E94="","unrecorded",LOWER($E94)&amp;" only")))))))</f>
        <v/>
      </c>
      <c r="AT94">
        <f>IF(AND(OR($J94="BUY",$J94="SELL"),ISNUMBER($U94)),$U94,"")</f>
        <v/>
      </c>
      <c r="AU94">
        <f>IF(AND(OR($J94="BUY",$J94="SELL"),ISNUMBER($AK94)),$AK94,"")</f>
        <v/>
      </c>
      <c r="AV94">
        <f>IF(ISNUMBER($AT94),ABS(IF(ISNUMBER($I94),$I94,0)-Settings!$B$24),"")</f>
        <v/>
      </c>
      <c r="AW94">
        <f>IF(ISNUMBER($AV94),$AV94*$AT94,"")</f>
        <v/>
      </c>
      <c r="AX94">
        <f>IF(ISNUMBER($AU94),ABS(IF(ISNUMBER($I94),$I94,0)-Settings!$B$24),"")</f>
        <v/>
      </c>
      <c r="AY94">
        <f>IF(ISNUMBER($AX94),$AX94*$AU94,"")</f>
        <v/>
      </c>
      <c r="AZ94">
        <f>IF($A94="","",IFERROR(INDEX(Company_List!$H$3:$H$207,MATCH($A94,Company_List!$A$3:$A$207,0)),"unassigned"))</f>
        <v/>
      </c>
      <c r="BC94">
        <f>IF($A94="","",IF(COUNTIFS($A$3:$A94,$A94,$C$3:$C94,$C94,$D$3:$D94,$D94,$G$3:$G94,$G94)=1,1,0))</f>
        <v/>
      </c>
      <c r="BG94" t="inlineStr">
        <is>
          <t>no</t>
        </is>
      </c>
      <c r="BK94">
        <f>IF(OR($H94&lt;&gt;"Human",$S94="",$J94="",$Y94="",$Z94=""),"",IF(EXACT(UPPER($J94),UPPER($Y94)),1,0))</f>
        <v/>
      </c>
      <c r="BL94" t="inlineStr">
        <is>
          <t>assumed - no rater record</t>
        </is>
      </c>
      <c r="BM94" t="n">
        <v>2</v>
      </c>
      <c r="BN94" t="inlineStr">
        <is>
          <t>The Motley Fool</t>
        </is>
      </c>
      <c r="BO94" t="inlineStr">
        <is>
          <t>free to read, copyright asserted</t>
        </is>
      </c>
      <c r="BP94" t="inlineStr">
        <is>
          <t>no</t>
        </is>
      </c>
      <c r="BQ94" t="inlineStr">
        <is>
          <t>yes</t>
        </is>
      </c>
    </row>
    <row r="95" ht="16.35" customHeight="1">
      <c r="A95" s="95" t="inlineStr">
        <is>
          <t>Charles Schwab</t>
        </is>
      </c>
      <c r="B95" s="96">
        <f>IF(A95="","",_xlfn.XLOOKUP(A95, Company_List!$A:$A, Company_List!$B:$B, ""))</f>
        <v/>
      </c>
      <c r="C95" s="21" t="n">
        <v>2026</v>
      </c>
      <c r="D95" s="20" t="inlineStr">
        <is>
          <t>Q1</t>
        </is>
      </c>
      <c r="E95" s="19" t="inlineStr">
        <is>
          <t>All</t>
        </is>
      </c>
      <c r="F95" s="19" t="inlineStr">
        <is>
          <t>All</t>
        </is>
      </c>
      <c r="G95" s="20" t="inlineStr">
        <is>
          <t>Dragos</t>
        </is>
      </c>
      <c r="H95" s="20" t="inlineStr">
        <is>
          <t>Human</t>
        </is>
      </c>
      <c r="I95" s="127" t="n">
        <v>0.5</v>
      </c>
      <c r="J95" s="145">
        <f>IF(OR(I95="",Settings!$B$6=""),"",IF(I95&gt;Settings!$B$6,"BUY",IF(I95&lt;-Settings!$B$6,"SELL","HOLD")))</f>
        <v/>
      </c>
      <c r="K95" s="139" t="n">
        <v>21</v>
      </c>
      <c r="L95" s="123" t="n">
        <v>46128</v>
      </c>
      <c r="M95" s="123" t="n">
        <v>46127</v>
      </c>
      <c r="N95" s="127" t="n">
        <v>100.27</v>
      </c>
      <c r="O95" s="123" t="n">
        <v>46128</v>
      </c>
      <c r="P95" s="22" t="n">
        <v>95.76000000000001</v>
      </c>
      <c r="Q95" s="148">
        <f>IF(OR(N95="",P95=""),"",ROUND((P95-N95)/N95,4))</f>
        <v/>
      </c>
      <c r="R95" s="20">
        <f>IF(OR(N95="",P95=""),"",IF(Q95&gt;Settings!$B$3/100,"UP",IF(Q95&lt;-Settings!$B$3/100,"DOWN","FLAT")))</f>
        <v/>
      </c>
      <c r="S95" s="20">
        <f>IF(OR(N95="",P95="",J95=""),"",IF(OR(AND(J95="BUY",R95="UP"),AND(J95="SELL",R95="DOWN"),AND(J95="HOLD",R95="FLAT")),"YES","NO"))</f>
        <v/>
      </c>
      <c r="T95" s="21">
        <f>IF(J95="","",IF(J95="BUY",1,IF(J95="SELL",-1,0)))</f>
        <v/>
      </c>
      <c r="U95" s="148">
        <f>IFERROR(IF(OR(J95="",N95="",P95=""),"",IF(T95=0,0,T95*Q95-Settings!$B$4/10000-IF(T95&lt;0,Settings!$B$5/10000,0))),"")</f>
        <v/>
      </c>
      <c r="V95" s="23" t="inlineStr">
        <is>
          <t>Record adj EPS $1.43 +38%, NNA $158B ex-deconversion, div +19%, tracking above FY $5.70-5.80 scenario with no-cut curve a tailwind. Overhang: Q&amp;A dominated by cash-sweep monetization fears (JPM product, agentic AI) and lower rev per trade; strong print into a braced market favors an up-gap.</t>
        </is>
      </c>
      <c r="W95" s="21">
        <f>IF($K95="","",$K95*60)</f>
        <v/>
      </c>
      <c r="X95" s="91">
        <f>IF($A95="","",$A95&amp;"|"&amp;$C95&amp;"|"&amp;$D95)</f>
        <v/>
      </c>
      <c r="Y95" s="91">
        <f>IFERROR(IF($X95="","",INDEX(LLM_Data_Entry!$H$3:$H$548,MATCH($X95,INDEX(LLM_Data_Entry!$A$3:$A$548&amp;"|"&amp;LLM_Data_Entry!$C$3:$C$548&amp;"|"&amp;LLM_Data_Entry!$D$3:$D$548,0),0))),"")</f>
        <v/>
      </c>
      <c r="Z95" s="91">
        <f>IFERROR(IF($X95="","",INDEX(LLM_Data_Entry!$R$3:$R$548,MATCH($X95,INDEX(LLM_Data_Entry!$A$3:$A$548&amp;"|"&amp;LLM_Data_Entry!$C$3:$C$548&amp;"|"&amp;LLM_Data_Entry!$D$3:$D$548,0),0))),"")</f>
        <v/>
      </c>
      <c r="AB95" t="inlineStr">
        <is>
          <t>price signal — both moved; this one dominates</t>
        </is>
      </c>
      <c r="AC95" t="inlineStr">
        <is>
          <t>SCHW</t>
        </is>
      </c>
      <c r="AD95" t="inlineStr">
        <is>
          <t>2026-04-15</t>
        </is>
      </c>
      <c r="AE95" t="n">
        <v>99.9115</v>
      </c>
      <c r="AF95" t="inlineStr">
        <is>
          <t>2026-04-16</t>
        </is>
      </c>
      <c r="AG95" t="n">
        <v>95.41759999999999</v>
      </c>
      <c r="AH95" t="n">
        <v>-0.04497844079049667</v>
      </c>
      <c r="AI95" t="inlineStr">
        <is>
          <t>DOWN</t>
        </is>
      </c>
      <c r="AJ95" t="inlineStr">
        <is>
          <t>NO</t>
        </is>
      </c>
      <c r="AK95" t="n">
        <v>-0.045978</v>
      </c>
      <c r="AL95">
        <f>IF($A95="","",IFERROR(INDEX(Company_List!$G$3:$G$207,MATCH($A95,Company_List!$A$3:$A$207,0)),"unassigned"))</f>
        <v/>
      </c>
      <c r="AM95" t="inlineStr">
        <is>
          <t>Phase 2/Charles Schwab/Q1 2026/SCHW-Q1-2026-press-release-SEC-EX99-1.htm; Phase 2/Charles Schwab/Q1 2026/SCHW-Q1-2026-earnings-call-transcript-InsiderMonkey.html</t>
        </is>
      </c>
      <c r="AN95" t="inlineStr">
        <is>
          <t>https://www.insidermonkey.com/blog/the-charles-schwab-corporation-nyseschw-q1-2026-earnings-call-transcript-1740197/; https://www.sec.gov/Archives/edgar/data/316709/000031670926000016/a1q26exhibit991.htm</t>
        </is>
      </c>
      <c r="AO95" t="inlineStr">
        <is>
          <t>manifest (whole bundle)</t>
        </is>
      </c>
      <c r="AP95">
        <f>IF($A95="","",IF(COUNTIFS(LLM_Data_Entry!$A$3:$A$548,$A95)&gt;0,"YES","NO"))</f>
        <v/>
      </c>
      <c r="AQ95">
        <f>IF($A95="","",IF(COUNTIFS($A$3:$A95,$A95,$C$3:$C95,$C95,$D$3:$D95,$D95)=1,"YES","NO"))</f>
        <v/>
      </c>
      <c r="AR95">
        <f>IF($A95="","",IF(AND($C95&amp;"-"&amp;$D95&gt;=Settings!$B$19,$C95&amp;"-"&amp;$D95&lt;=Settings!$B$20),"IN","OUT"))</f>
        <v/>
      </c>
      <c r="AS95">
        <f>IF($A95="","",IF($F95="Financial Results","financials",IF($F95="Outlook/Guidance","guidance",IF($F95="Transcript Q&amp;A","qanda",IF($F95="","unrecorded",IF($E95="All","full",IF($E95="","unrecorded",LOWER($E95)&amp;" only")))))))</f>
        <v/>
      </c>
      <c r="AT95">
        <f>IF(AND(OR($J95="BUY",$J95="SELL"),ISNUMBER($U95)),$U95,"")</f>
        <v/>
      </c>
      <c r="AU95">
        <f>IF(AND(OR($J95="BUY",$J95="SELL"),ISNUMBER($AK95)),$AK95,"")</f>
        <v/>
      </c>
      <c r="AV95">
        <f>IF(ISNUMBER($AT95),ABS(IF(ISNUMBER($I95),$I95,0)-Settings!$B$24),"")</f>
        <v/>
      </c>
      <c r="AW95">
        <f>IF(ISNUMBER($AV95),$AV95*$AT95,"")</f>
        <v/>
      </c>
      <c r="AX95">
        <f>IF(ISNUMBER($AU95),ABS(IF(ISNUMBER($I95),$I95,0)-Settings!$B$24),"")</f>
        <v/>
      </c>
      <c r="AY95">
        <f>IF(ISNUMBER($AX95),$AX95*$AU95,"")</f>
        <v/>
      </c>
      <c r="AZ95">
        <f>IF($A95="","",IFERROR(INDEX(Company_List!$H$3:$H$207,MATCH($A95,Company_List!$A$3:$A$207,0)),"unassigned"))</f>
        <v/>
      </c>
      <c r="BC95">
        <f>IF($A95="","",IF(COUNTIFS($A$3:$A95,$A95,$C$3:$C95,$C95,$D$3:$D95,$D95,$G$3:$G95,$G95)=1,1,0))</f>
        <v/>
      </c>
      <c r="BG95" t="inlineStr">
        <is>
          <t>no</t>
        </is>
      </c>
      <c r="BK95">
        <f>IF(OR($H95&lt;&gt;"Human",$S95="",$J95="",$Y95="",$Z95=""),"",IF(EXACT(UPPER($J95),UPPER($Y95)),1,0))</f>
        <v/>
      </c>
      <c r="BL95" t="inlineStr">
        <is>
          <t>assumed - no rater record</t>
        </is>
      </c>
      <c r="BM95" t="n">
        <v>2</v>
      </c>
      <c r="BN95" t="inlineStr">
        <is>
          <t>Insider Monkey (Koala Guide LLC)</t>
        </is>
      </c>
      <c r="BO95" t="inlineStr">
        <is>
          <t>free to read, copyright asserted</t>
        </is>
      </c>
      <c r="BP95" t="inlineStr">
        <is>
          <t>no</t>
        </is>
      </c>
      <c r="BQ95" t="inlineStr">
        <is>
          <t>yes</t>
        </is>
      </c>
    </row>
    <row r="96" ht="16.35" customHeight="1">
      <c r="A96" s="95" t="inlineStr">
        <is>
          <t>Airbnb</t>
        </is>
      </c>
      <c r="B96" s="96">
        <f>IF(A96="","",_xlfn.XLOOKUP(A96, Company_List!$A:$A, Company_List!$B:$B, ""))</f>
        <v/>
      </c>
      <c r="C96" s="21" t="n">
        <v>2025</v>
      </c>
      <c r="D96" s="20" t="inlineStr">
        <is>
          <t>Q4</t>
        </is>
      </c>
      <c r="E96" s="19" t="inlineStr">
        <is>
          <t>Transcript</t>
        </is>
      </c>
      <c r="F96" s="19" t="inlineStr">
        <is>
          <t>All</t>
        </is>
      </c>
      <c r="G96" s="20" t="inlineStr">
        <is>
          <t>Anna</t>
        </is>
      </c>
      <c r="H96" s="20" t="inlineStr">
        <is>
          <t>Human</t>
        </is>
      </c>
      <c r="I96" s="127" t="n">
        <v>0.3</v>
      </c>
      <c r="J96" s="145">
        <f>IF(OR(I96="",Settings!$B$6=""),"",IF(I96&gt;Settings!$B$6,"BUY",IF(I96&lt;-Settings!$B$6,"SELL","HOLD")))</f>
        <v/>
      </c>
      <c r="K96" s="139" t="n">
        <v>25</v>
      </c>
      <c r="L96" s="123" t="n">
        <v>46065</v>
      </c>
      <c r="M96" s="123" t="n">
        <v>46065</v>
      </c>
      <c r="N96" s="127" t="n">
        <v>115.96</v>
      </c>
      <c r="O96" s="123" t="n">
        <v>46066</v>
      </c>
      <c r="P96" s="22" t="n">
        <v>126.46</v>
      </c>
      <c r="Q96" s="148">
        <f>IF(OR(N96="",P96=""),"",ROUND((P96-N96)/N96,4))</f>
        <v/>
      </c>
      <c r="R96" s="20">
        <f>IF(OR(N96="",P96=""),"",IF(Q96&gt;Settings!$B$3/100,"UP",IF(Q96&lt;-Settings!$B$3/100,"DOWN","FLAT")))</f>
        <v/>
      </c>
      <c r="S96" s="20">
        <f>IF(OR(N96="",P96="",J96=""),"",IF(OR(AND(J96="BUY",R96="UP"),AND(J96="SELL",R96="DOWN"),AND(J96="HOLD",R96="FLAT")),"YES","NO"))</f>
        <v/>
      </c>
      <c r="T96" s="21">
        <f>IF(J96="","",IF(J96="BUY",1,IF(J96="SELL",-1,0)))</f>
        <v/>
      </c>
      <c r="U96" s="148">
        <f>IFERROR(IF(OR(J96="",N96="",P96=""),"",IF(T96=0,0,T96*Q96-Settings!$B$4/10000-IF(T96&lt;0,Settings!$B$5/10000,0))),"")</f>
        <v/>
      </c>
      <c r="V96" s="23" t="n"/>
      <c r="W96" s="21">
        <f>IF($K96="","",$K96*60)</f>
        <v/>
      </c>
      <c r="X96" s="91">
        <f>IF($A96="","",$A96&amp;"|"&amp;$C96&amp;"|"&amp;$D96)</f>
        <v/>
      </c>
      <c r="Y96" s="91">
        <f>IFERROR(IF($X96="","",INDEX(LLM_Data_Entry!$H$3:$H$548,MATCH($X96,INDEX(LLM_Data_Entry!$A$3:$A$548&amp;"|"&amp;LLM_Data_Entry!$C$3:$C$548&amp;"|"&amp;LLM_Data_Entry!$D$3:$D$548,0),0))),"")</f>
        <v/>
      </c>
      <c r="Z96" s="91">
        <f>IFERROR(IF($X96="","",INDEX(LLM_Data_Entry!$R$3:$R$548,MATCH($X96,INDEX(LLM_Data_Entry!$A$3:$A$548&amp;"|"&amp;LLM_Data_Entry!$C$3:$C$548&amp;"|"&amp;LLM_Data_Entry!$D$3:$D$548,0),0))),"")</f>
        <v/>
      </c>
      <c r="AB96" t="inlineStr">
        <is>
          <t>price signal — only this window shows an abnormal move</t>
        </is>
      </c>
      <c r="AC96" t="inlineStr">
        <is>
          <t>ABNB</t>
        </is>
      </c>
      <c r="AD96" t="inlineStr">
        <is>
          <t>2026-02-12</t>
        </is>
      </c>
      <c r="AE96" t="n">
        <v>115.96</v>
      </c>
      <c r="AF96" t="inlineStr">
        <is>
          <t>2026-02-13</t>
        </is>
      </c>
      <c r="AG96" t="n">
        <v>126.465</v>
      </c>
      <c r="AH96" t="n">
        <v>0.09059155821482892</v>
      </c>
      <c r="AI96" t="inlineStr">
        <is>
          <t>UP</t>
        </is>
      </c>
      <c r="AJ96" t="inlineStr">
        <is>
          <t>YES</t>
        </is>
      </c>
      <c r="AK96" t="n">
        <v>0.089592</v>
      </c>
      <c r="AL96">
        <f>IF($A96="","",IFERROR(INDEX(Company_List!$G$3:$G$207,MATCH($A96,Company_List!$A$3:$A$207,0)),"unassigned"))</f>
        <v/>
      </c>
      <c r="AM96" t="inlineStr">
        <is>
          <t>Phase 2/Airbnb/Airbnb-Q4-25-Earnings-Call-Transcript.pdf</t>
        </is>
      </c>
      <c r="AO96" t="inlineStr">
        <is>
          <t>unique filename match</t>
        </is>
      </c>
      <c r="AP96">
        <f>IF($A96="","",IF(COUNTIFS(LLM_Data_Entry!$A$3:$A$548,$A96)&gt;0,"YES","NO"))</f>
        <v/>
      </c>
      <c r="AQ96">
        <f>IF($A96="","",IF(COUNTIFS($A$3:$A96,$A96,$C$3:$C96,$C96,$D$3:$D96,$D96)=1,"YES","NO"))</f>
        <v/>
      </c>
      <c r="AR96">
        <f>IF($A96="","",IF(AND($C96&amp;"-"&amp;$D96&gt;=Settings!$B$19,$C96&amp;"-"&amp;$D96&lt;=Settings!$B$20),"IN","OUT"))</f>
        <v/>
      </c>
      <c r="AS96">
        <f>IF($A96="","",IF($F96="Financial Results","financials",IF($F96="Outlook/Guidance","guidance",IF($F96="Transcript Q&amp;A","qanda",IF($F96="","unrecorded",IF($E96="All","full",IF($E96="","unrecorded",LOWER($E96)&amp;" only")))))))</f>
        <v/>
      </c>
      <c r="AT96">
        <f>IF(AND(OR($J96="BUY",$J96="SELL"),ISNUMBER($U96)),$U96,"")</f>
        <v/>
      </c>
      <c r="AU96">
        <f>IF(AND(OR($J96="BUY",$J96="SELL"),ISNUMBER($AK96)),$AK96,"")</f>
        <v/>
      </c>
      <c r="AV96">
        <f>IF(ISNUMBER($AT96),ABS(IF(ISNUMBER($I96),$I96,0)-Settings!$B$24),"")</f>
        <v/>
      </c>
      <c r="AW96">
        <f>IF(ISNUMBER($AV96),$AV96*$AT96,"")</f>
        <v/>
      </c>
      <c r="AX96">
        <f>IF(ISNUMBER($AU96),ABS(IF(ISNUMBER($I96),$I96,0)-Settings!$B$24),"")</f>
        <v/>
      </c>
      <c r="AY96">
        <f>IF(ISNUMBER($AX96),$AX96*$AU96,"")</f>
        <v/>
      </c>
      <c r="AZ96">
        <f>IF($A96="","",IFERROR(INDEX(Company_List!$H$3:$H$207,MATCH($A96,Company_List!$A$3:$A$207,0)),"unassigned"))</f>
        <v/>
      </c>
      <c r="BC96">
        <f>IF($A96="","",IF(COUNTIFS($A$3:$A96,$A96,$C$3:$C96,$C96,$D$3:$D96,$D96,$G$3:$G96,$G96)=1,1,0))</f>
        <v/>
      </c>
      <c r="BG96" t="inlineStr">
        <is>
          <t>no</t>
        </is>
      </c>
      <c r="BK96">
        <f>IF(OR($H96&lt;&gt;"Human",$S96="",$J96="",$Y96="",$Z96=""),"",IF(EXACT(UPPER($J96),UPPER($Y96)),1,0))</f>
        <v/>
      </c>
      <c r="BL96" t="inlineStr">
        <is>
          <t>assumed - no rater record</t>
        </is>
      </c>
      <c r="BM96" t="n">
        <v>1</v>
      </c>
      <c r="BN96" t="inlineStr">
        <is>
          <t>FactSet CallStreet</t>
        </is>
      </c>
      <c r="BO96" t="inlineStr">
        <is>
          <t>licensed vendor</t>
        </is>
      </c>
      <c r="BP96" t="inlineStr">
        <is>
          <t>no</t>
        </is>
      </c>
      <c r="BQ96" t="inlineStr">
        <is>
          <t>no</t>
        </is>
      </c>
    </row>
    <row r="97" ht="16.35" customHeight="1">
      <c r="A97" s="95" t="inlineStr">
        <is>
          <t>Lowe's</t>
        </is>
      </c>
      <c r="B97" s="96">
        <f>IF(A97="","",_xlfn.XLOOKUP(A97, Company_List!$A:$A, Company_List!$B:$B, ""))</f>
        <v/>
      </c>
      <c r="C97" s="21" t="n">
        <v>2025</v>
      </c>
      <c r="D97" s="20" t="inlineStr">
        <is>
          <t>Q4</t>
        </is>
      </c>
      <c r="E97" s="19" t="inlineStr">
        <is>
          <t>Transcript</t>
        </is>
      </c>
      <c r="F97" s="19" t="inlineStr">
        <is>
          <t>All</t>
        </is>
      </c>
      <c r="G97" s="20" t="inlineStr">
        <is>
          <t>Anna</t>
        </is>
      </c>
      <c r="H97" s="20" t="inlineStr">
        <is>
          <t>Human</t>
        </is>
      </c>
      <c r="I97" s="127" t="n">
        <v>-0.3</v>
      </c>
      <c r="J97" s="145">
        <f>IF(OR(I97="",Settings!$B$6=""),"",IF(I97&gt;Settings!$B$6,"BUY",IF(I97&lt;-Settings!$B$6,"SELL","HOLD")))</f>
        <v/>
      </c>
      <c r="K97" s="139" t="n">
        <v>23</v>
      </c>
      <c r="L97" s="123" t="n">
        <v>46078</v>
      </c>
      <c r="M97" s="123" t="n">
        <v>46078</v>
      </c>
      <c r="N97" s="127" t="n">
        <v>242.39</v>
      </c>
      <c r="O97" s="123" t="n">
        <v>46079</v>
      </c>
      <c r="P97" s="22" t="n">
        <v>251.93</v>
      </c>
      <c r="Q97" s="148">
        <f>IF(OR(N97="",P97=""),"",ROUND((P97-N97)/N97,4))</f>
        <v/>
      </c>
      <c r="R97" s="20">
        <f>IF(OR(N97="",P97=""),"",IF(Q97&gt;Settings!$B$3/100,"UP",IF(Q97&lt;-Settings!$B$3/100,"DOWN","FLAT")))</f>
        <v/>
      </c>
      <c r="S97" s="20">
        <f>IF(OR(N97="",P97="",J97=""),"",IF(OR(AND(J97="BUY",R97="UP"),AND(J97="SELL",R97="DOWN"),AND(J97="HOLD",R97="FLAT")),"YES","NO"))</f>
        <v/>
      </c>
      <c r="T97" s="21">
        <f>IF(J97="","",IF(J97="BUY",1,IF(J97="SELL",-1,0)))</f>
        <v/>
      </c>
      <c r="U97" s="148">
        <f>IFERROR(IF(OR(J97="",N97="",P97=""),"",IF(T97=0,0,T97*Q97-Settings!$B$4/10000-IF(T97&lt;0,Settings!$B$5/10000,0))),"")</f>
        <v/>
      </c>
      <c r="V97" s="23" t="n"/>
      <c r="W97" s="21">
        <f>IF($K97="","",$K97*60)</f>
        <v/>
      </c>
      <c r="X97" s="91">
        <f>IF($A97="","",$A97&amp;"|"&amp;$C97&amp;"|"&amp;$D97)</f>
        <v/>
      </c>
      <c r="Y97" s="91">
        <f>IFERROR(IF($X97="","",INDEX(LLM_Data_Entry!$H$3:$H$548,MATCH($X97,INDEX(LLM_Data_Entry!$A$3:$A$548&amp;"|"&amp;LLM_Data_Entry!$C$3:$C$548&amp;"|"&amp;LLM_Data_Entry!$D$3:$D$548,0),0))),"")</f>
        <v/>
      </c>
      <c r="Z97" s="91">
        <f>IFERROR(IF($X97="","",INDEX(LLM_Data_Entry!$R$3:$R$548,MATCH($X97,INDEX(LLM_Data_Entry!$A$3:$A$548&amp;"|"&amp;LLM_Data_Entry!$C$3:$C$548&amp;"|"&amp;LLM_Data_Entry!$D$3:$D$548,0),0))),"")</f>
        <v/>
      </c>
      <c r="AB97" t="inlineStr">
        <is>
          <t>recorded price identified against every pulled series</t>
        </is>
      </c>
      <c r="AC97" t="inlineStr">
        <is>
          <t>LOW</t>
        </is>
      </c>
      <c r="AD97" t="inlineStr">
        <is>
          <t>2026-02-24</t>
        </is>
      </c>
      <c r="AE97" t="n">
        <v>275.5561</v>
      </c>
      <c r="AF97" t="inlineStr">
        <is>
          <t>2026-02-25</t>
        </is>
      </c>
      <c r="AG97" t="n">
        <v>263.3505</v>
      </c>
      <c r="AH97" t="n">
        <v>-0.04429448388162475</v>
      </c>
      <c r="AI97" t="inlineStr">
        <is>
          <t>DOWN</t>
        </is>
      </c>
      <c r="AJ97" t="inlineStr">
        <is>
          <t>YES</t>
        </is>
      </c>
      <c r="AK97" t="n">
        <v>0.043294</v>
      </c>
      <c r="AL97">
        <f>IF($A97="","",IFERROR(INDEX(Company_List!$G$3:$G$207,MATCH($A97,Company_List!$A$3:$A$207,0)),"unassigned"))</f>
        <v/>
      </c>
      <c r="AM97" t="inlineStr">
        <is>
          <t>Phase 2/Lowe's/low-usq-transcript_2026-02-25.pdf</t>
        </is>
      </c>
      <c r="AO97" t="inlineStr">
        <is>
          <t>unique filename match</t>
        </is>
      </c>
      <c r="AP97">
        <f>IF($A97="","",IF(COUNTIFS(LLM_Data_Entry!$A$3:$A$548,$A97)&gt;0,"YES","NO"))</f>
        <v/>
      </c>
      <c r="AQ97">
        <f>IF($A97="","",IF(COUNTIFS($A$3:$A97,$A97,$C$3:$C97,$C97,$D$3:$D97,$D97)=1,"YES","NO"))</f>
        <v/>
      </c>
      <c r="AR97">
        <f>IF($A97="","",IF(AND($C97&amp;"-"&amp;$D97&gt;=Settings!$B$19,$C97&amp;"-"&amp;$D97&lt;=Settings!$B$20),"IN","OUT"))</f>
        <v/>
      </c>
      <c r="AS97">
        <f>IF($A97="","",IF($F97="Financial Results","financials",IF($F97="Outlook/Guidance","guidance",IF($F97="Transcript Q&amp;A","qanda",IF($F97="","unrecorded",IF($E97="All","full",IF($E97="","unrecorded",LOWER($E97)&amp;" only")))))))</f>
        <v/>
      </c>
      <c r="AT97">
        <f>IF(AND(OR($J97="BUY",$J97="SELL"),ISNUMBER($U97)),$U97,"")</f>
        <v/>
      </c>
      <c r="AU97">
        <f>IF(AND(OR($J97="BUY",$J97="SELL"),ISNUMBER($AK97)),$AK97,"")</f>
        <v/>
      </c>
      <c r="AV97">
        <f>IF(ISNUMBER($AT97),ABS(IF(ISNUMBER($I97),$I97,0)-Settings!$B$24),"")</f>
        <v/>
      </c>
      <c r="AW97">
        <f>IF(ISNUMBER($AV97),$AV97*$AT97,"")</f>
        <v/>
      </c>
      <c r="AX97">
        <f>IF(ISNUMBER($AU97),ABS(IF(ISNUMBER($I97),$I97,0)-Settings!$B$24),"")</f>
        <v/>
      </c>
      <c r="AY97">
        <f>IF(ISNUMBER($AX97),$AX97*$AU97,"")</f>
        <v/>
      </c>
      <c r="AZ97">
        <f>IF($A97="","",IFERROR(INDEX(Company_List!$H$3:$H$207,MATCH($A97,Company_List!$A$3:$A$207,0)),"unassigned"))</f>
        <v/>
      </c>
      <c r="BC97">
        <f>IF($A97="","",IF(COUNTIFS($A$3:$A97,$A97,$C$3:$C97,$C97,$D$3:$D97,$D97,$G$3:$G97,$G97)=1,1,0))</f>
        <v/>
      </c>
      <c r="BG97" t="inlineStr">
        <is>
          <t>no</t>
        </is>
      </c>
      <c r="BK97">
        <f>IF(OR($H97&lt;&gt;"Human",$S97="",$J97="",$Y97="",$Z97=""),"",IF(EXACT(UPPER($J97),UPPER($Y97)),1,0))</f>
        <v/>
      </c>
      <c r="BL97" t="inlineStr">
        <is>
          <t>assumed - no rater record</t>
        </is>
      </c>
      <c r="BM97" t="n">
        <v>1</v>
      </c>
      <c r="BN97" t="inlineStr">
        <is>
          <t>Refinitiv / LSEG StreetEvents</t>
        </is>
      </c>
      <c r="BO97" t="inlineStr">
        <is>
          <t>licensed vendor</t>
        </is>
      </c>
      <c r="BP97" t="inlineStr">
        <is>
          <t>no</t>
        </is>
      </c>
      <c r="BQ97" t="inlineStr">
        <is>
          <t>no</t>
        </is>
      </c>
    </row>
    <row r="98" ht="16.35" customHeight="1">
      <c r="A98" s="95" t="inlineStr">
        <is>
          <t>Lowe's</t>
        </is>
      </c>
      <c r="B98" s="96">
        <f>IF(A98="","",_xlfn.XLOOKUP(A98, Company_List!$A:$A, Company_List!$B:$B, ""))</f>
        <v/>
      </c>
      <c r="C98" s="21" t="n">
        <v>2025</v>
      </c>
      <c r="D98" s="20" t="inlineStr">
        <is>
          <t>Q2</t>
        </is>
      </c>
      <c r="E98" s="19" t="inlineStr">
        <is>
          <t>Transcript</t>
        </is>
      </c>
      <c r="F98" s="19" t="inlineStr">
        <is>
          <t>All</t>
        </is>
      </c>
      <c r="G98" s="20" t="inlineStr">
        <is>
          <t>Anna</t>
        </is>
      </c>
      <c r="H98" s="20" t="inlineStr">
        <is>
          <t>Human</t>
        </is>
      </c>
      <c r="I98" s="127" t="n">
        <v>0.2</v>
      </c>
      <c r="J98" s="145">
        <f>IF(OR(I98="",Settings!$B$6=""),"",IF(I98&gt;Settings!$B$6,"BUY",IF(I98&lt;-Settings!$B$6,"SELL","HOLD")))</f>
        <v/>
      </c>
      <c r="K98" s="139" t="n">
        <v>25</v>
      </c>
      <c r="L98" s="123" t="n">
        <v>45889</v>
      </c>
      <c r="M98" s="123" t="n">
        <v>45889</v>
      </c>
      <c r="N98" s="127" t="n">
        <v>257.14</v>
      </c>
      <c r="O98" s="123" t="n">
        <v>45890</v>
      </c>
      <c r="P98" s="22" t="n">
        <v>265.08</v>
      </c>
      <c r="Q98" s="148">
        <f>IF(OR(N98="",P98=""),"",ROUND((P98-N98)/N98,4))</f>
        <v/>
      </c>
      <c r="R98" s="20">
        <f>IF(OR(N98="",P98=""),"",IF(Q98&gt;Settings!$B$3/100,"UP",IF(Q98&lt;-Settings!$B$3/100,"DOWN","FLAT")))</f>
        <v/>
      </c>
      <c r="S98" s="20">
        <f>IF(OR(N98="",P98="",J98=""),"",IF(OR(AND(J98="BUY",R98="UP"),AND(J98="SELL",R98="DOWN"),AND(J98="HOLD",R98="FLAT")),"YES","NO"))</f>
        <v/>
      </c>
      <c r="T98" s="21">
        <f>IF(J98="","",IF(J98="BUY",1,IF(J98="SELL",-1,0)))</f>
        <v/>
      </c>
      <c r="U98" s="148">
        <f>IFERROR(IF(OR(J98="",N98="",P98=""),"",IF(T98=0,0,T98*Q98-Settings!$B$4/10000-IF(T98&lt;0,Settings!$B$5/10000,0))),"")</f>
        <v/>
      </c>
      <c r="V98" s="23" t="n"/>
      <c r="W98" s="21">
        <f>IF($K98="","",$K98*60)</f>
        <v/>
      </c>
      <c r="X98" s="91">
        <f>IF($A98="","",$A98&amp;"|"&amp;$C98&amp;"|"&amp;$D98)</f>
        <v/>
      </c>
      <c r="Y98" s="91">
        <f>IFERROR(IF($X98="","",INDEX(LLM_Data_Entry!$H$3:$H$548,MATCH($X98,INDEX(LLM_Data_Entry!$A$3:$A$548&amp;"|"&amp;LLM_Data_Entry!$C$3:$C$548&amp;"|"&amp;LLM_Data_Entry!$D$3:$D$548,0),0))),"")</f>
        <v/>
      </c>
      <c r="Z98" s="91">
        <f>IFERROR(IF($X98="","",INDEX(LLM_Data_Entry!$R$3:$R$548,MATCH($X98,INDEX(LLM_Data_Entry!$A$3:$A$548&amp;"|"&amp;LLM_Data_Entry!$C$3:$C$548&amp;"|"&amp;LLM_Data_Entry!$D$3:$D$548,0),0))),"")</f>
        <v/>
      </c>
      <c r="AB98" t="inlineStr">
        <is>
          <t>release date + stated time</t>
        </is>
      </c>
      <c r="AC98" t="inlineStr">
        <is>
          <t>LOW</t>
        </is>
      </c>
      <c r="AD98" t="inlineStr">
        <is>
          <t>2025-08-19</t>
        </is>
      </c>
      <c r="AE98" t="n">
        <v>251.1994</v>
      </c>
      <c r="AF98" t="inlineStr">
        <is>
          <t>2025-08-20</t>
        </is>
      </c>
      <c r="AG98" t="n">
        <v>260.0575</v>
      </c>
      <c r="AH98" t="n">
        <v>0.03526301478860992</v>
      </c>
      <c r="AI98" t="inlineStr">
        <is>
          <t>UP</t>
        </is>
      </c>
      <c r="AJ98" t="inlineStr">
        <is>
          <t>NO</t>
        </is>
      </c>
      <c r="AK98" t="n">
        <v>0</v>
      </c>
      <c r="AL98">
        <f>IF($A98="","",IFERROR(INDEX(Company_List!$G$3:$G$207,MATCH($A98,Company_List!$A$3:$A$207,0)),"unassigned"))</f>
        <v/>
      </c>
      <c r="AM98" t="inlineStr">
        <is>
          <t>Phase 2/Lowe's/low-usq-transcript-2025-08-20.pdf</t>
        </is>
      </c>
      <c r="AO98" t="inlineStr">
        <is>
          <t>unique filename match</t>
        </is>
      </c>
      <c r="AP98">
        <f>IF($A98="","",IF(COUNTIFS(LLM_Data_Entry!$A$3:$A$548,$A98)&gt;0,"YES","NO"))</f>
        <v/>
      </c>
      <c r="AQ98">
        <f>IF($A98="","",IF(COUNTIFS($A$3:$A98,$A98,$C$3:$C98,$C98,$D$3:$D98,$D98)=1,"YES","NO"))</f>
        <v/>
      </c>
      <c r="AR98">
        <f>IF($A98="","",IF(AND($C98&amp;"-"&amp;$D98&gt;=Settings!$B$19,$C98&amp;"-"&amp;$D98&lt;=Settings!$B$20),"IN","OUT"))</f>
        <v/>
      </c>
      <c r="AS98">
        <f>IF($A98="","",IF($F98="Financial Results","financials",IF($F98="Outlook/Guidance","guidance",IF($F98="Transcript Q&amp;A","qanda",IF($F98="","unrecorded",IF($E98="All","full",IF($E98="","unrecorded",LOWER($E98)&amp;" only")))))))</f>
        <v/>
      </c>
      <c r="AT98">
        <f>IF(AND(OR($J98="BUY",$J98="SELL"),ISNUMBER($U98)),$U98,"")</f>
        <v/>
      </c>
      <c r="AU98">
        <f>IF(AND(OR($J98="BUY",$J98="SELL"),ISNUMBER($AK98)),$AK98,"")</f>
        <v/>
      </c>
      <c r="AV98">
        <f>IF(ISNUMBER($AT98),ABS(IF(ISNUMBER($I98),$I98,0)-Settings!$B$24),"")</f>
        <v/>
      </c>
      <c r="AW98">
        <f>IF(ISNUMBER($AV98),$AV98*$AT98,"")</f>
        <v/>
      </c>
      <c r="AX98">
        <f>IF(ISNUMBER($AU98),ABS(IF(ISNUMBER($I98),$I98,0)-Settings!$B$24),"")</f>
        <v/>
      </c>
      <c r="AY98">
        <f>IF(ISNUMBER($AX98),$AX98*$AU98,"")</f>
        <v/>
      </c>
      <c r="AZ98">
        <f>IF($A98="","",IFERROR(INDEX(Company_List!$H$3:$H$207,MATCH($A98,Company_List!$A$3:$A$207,0)),"unassigned"))</f>
        <v/>
      </c>
      <c r="BC98">
        <f>IF($A98="","",IF(COUNTIFS($A$3:$A98,$A98,$C$3:$C98,$C98,$D$3:$D98,$D98,$G$3:$G98,$G98)=1,1,0))</f>
        <v/>
      </c>
      <c r="BG98" t="inlineStr">
        <is>
          <t>no</t>
        </is>
      </c>
      <c r="BK98">
        <f>IF(OR($H98&lt;&gt;"Human",$S98="",$J98="",$Y98="",$Z98=""),"",IF(EXACT(UPPER($J98),UPPER($Y98)),1,0))</f>
        <v/>
      </c>
      <c r="BL98" t="inlineStr">
        <is>
          <t>assumed - no rater record</t>
        </is>
      </c>
      <c r="BM98" t="n">
        <v>1</v>
      </c>
      <c r="BN98" t="inlineStr">
        <is>
          <t>Refinitiv / LSEG StreetEvents</t>
        </is>
      </c>
      <c r="BO98" t="inlineStr">
        <is>
          <t>licensed vendor</t>
        </is>
      </c>
      <c r="BP98" t="inlineStr">
        <is>
          <t>no</t>
        </is>
      </c>
      <c r="BQ98" t="inlineStr">
        <is>
          <t>no</t>
        </is>
      </c>
    </row>
    <row r="99" ht="16.35" customHeight="1">
      <c r="A99" s="95" t="inlineStr">
        <is>
          <t>Lowe's</t>
        </is>
      </c>
      <c r="B99" s="96">
        <f>IF(A99="","",_xlfn.XLOOKUP(A99, Company_List!$A:$A, Company_List!$B:$B, ""))</f>
        <v/>
      </c>
      <c r="C99" s="21" t="n">
        <v>2025</v>
      </c>
      <c r="D99" s="20" t="inlineStr">
        <is>
          <t>Q3</t>
        </is>
      </c>
      <c r="E99" s="19" t="inlineStr">
        <is>
          <t>Transcript</t>
        </is>
      </c>
      <c r="F99" s="19" t="inlineStr">
        <is>
          <t>All</t>
        </is>
      </c>
      <c r="G99" s="20" t="inlineStr">
        <is>
          <t>Anna</t>
        </is>
      </c>
      <c r="H99" s="20" t="inlineStr">
        <is>
          <t>Human</t>
        </is>
      </c>
      <c r="I99" s="127" t="n">
        <v>0.1</v>
      </c>
      <c r="J99" s="145">
        <f>IF(OR(I99="",Settings!$B$6=""),"",IF(I99&gt;Settings!$B$6,"BUY",IF(I99&lt;-Settings!$B$6,"SELL","HOLD")))</f>
        <v/>
      </c>
      <c r="K99" s="139" t="n">
        <v>30</v>
      </c>
      <c r="L99" s="123" t="n">
        <v>45980</v>
      </c>
      <c r="M99" s="123" t="n">
        <v>45980</v>
      </c>
      <c r="N99" s="127" t="n">
        <v>228.41</v>
      </c>
      <c r="O99" s="123" t="n">
        <v>45981</v>
      </c>
      <c r="P99" s="22" t="n">
        <v>228.08</v>
      </c>
      <c r="Q99" s="148">
        <f>IF(OR(N99="",P99=""),"",ROUND((P99-N99)/N99,4))</f>
        <v/>
      </c>
      <c r="R99" s="20">
        <f>IF(OR(N99="",P99=""),"",IF(Q99&gt;Settings!$B$3/100,"UP",IF(Q99&lt;-Settings!$B$3/100,"DOWN","FLAT")))</f>
        <v/>
      </c>
      <c r="S99" s="20">
        <f>IF(OR(N99="",P99="",J99=""),"",IF(OR(AND(J99="BUY",R99="UP"),AND(J99="SELL",R99="DOWN"),AND(J99="HOLD",R99="FLAT")),"YES","NO"))</f>
        <v/>
      </c>
      <c r="T99" s="21">
        <f>IF(J99="","",IF(J99="BUY",1,IF(J99="SELL",-1,0)))</f>
        <v/>
      </c>
      <c r="U99" s="148">
        <f>IFERROR(IF(OR(J99="",N99="",P99=""),"",IF(T99=0,0,T99*Q99-Settings!$B$4/10000-IF(T99&lt;0,Settings!$B$5/10000,0))),"")</f>
        <v/>
      </c>
      <c r="V99" s="23" t="n"/>
      <c r="W99" s="21">
        <f>IF($K99="","",$K99*60)</f>
        <v/>
      </c>
      <c r="X99" s="91">
        <f>IF($A99="","",$A99&amp;"|"&amp;$C99&amp;"|"&amp;$D99)</f>
        <v/>
      </c>
      <c r="Y99" s="91">
        <f>IFERROR(IF($X99="","",INDEX(LLM_Data_Entry!$H$3:$H$548,MATCH($X99,INDEX(LLM_Data_Entry!$A$3:$A$548&amp;"|"&amp;LLM_Data_Entry!$C$3:$C$548&amp;"|"&amp;LLM_Data_Entry!$D$3:$D$548,0),0))),"")</f>
        <v/>
      </c>
      <c r="Z99" s="91">
        <f>IFERROR(IF($X99="","",INDEX(LLM_Data_Entry!$R$3:$R$548,MATCH($X99,INDEX(LLM_Data_Entry!$A$3:$A$548&amp;"|"&amp;LLM_Data_Entry!$C$3:$C$548&amp;"|"&amp;LLM_Data_Entry!$D$3:$D$548,0),0))),"")</f>
        <v/>
      </c>
      <c r="AB99" t="inlineStr">
        <is>
          <t>document date + price signal</t>
        </is>
      </c>
      <c r="AC99" t="inlineStr">
        <is>
          <t>LOW</t>
        </is>
      </c>
      <c r="AD99" t="inlineStr">
        <is>
          <t>2025-11-18</t>
        </is>
      </c>
      <c r="AE99" t="n">
        <v>216.2079</v>
      </c>
      <c r="AF99" t="inlineStr">
        <is>
          <t>2025-11-19</t>
        </is>
      </c>
      <c r="AG99" t="n">
        <v>226.488</v>
      </c>
      <c r="AH99" t="n">
        <v>0.04754749705677633</v>
      </c>
      <c r="AI99" t="inlineStr">
        <is>
          <t>UP</t>
        </is>
      </c>
      <c r="AJ99" t="inlineStr">
        <is>
          <t>NO</t>
        </is>
      </c>
      <c r="AK99" t="n">
        <v>0</v>
      </c>
      <c r="AL99">
        <f>IF($A99="","",IFERROR(INDEX(Company_List!$G$3:$G$207,MATCH($A99,Company_List!$A$3:$A$207,0)),"unassigned"))</f>
        <v/>
      </c>
      <c r="AM99" t="inlineStr">
        <is>
          <t>Phase 2/Lowe's/low-usq-transcript-2025-11-19.pdf</t>
        </is>
      </c>
      <c r="AO99" t="inlineStr">
        <is>
          <t>unique filename match</t>
        </is>
      </c>
      <c r="AP99">
        <f>IF($A99="","",IF(COUNTIFS(LLM_Data_Entry!$A$3:$A$548,$A99)&gt;0,"YES","NO"))</f>
        <v/>
      </c>
      <c r="AQ99">
        <f>IF($A99="","",IF(COUNTIFS($A$3:$A99,$A99,$C$3:$C99,$C99,$D$3:$D99,$D99)=1,"YES","NO"))</f>
        <v/>
      </c>
      <c r="AR99">
        <f>IF($A99="","",IF(AND($C99&amp;"-"&amp;$D99&gt;=Settings!$B$19,$C99&amp;"-"&amp;$D99&lt;=Settings!$B$20),"IN","OUT"))</f>
        <v/>
      </c>
      <c r="AS99">
        <f>IF($A99="","",IF($F99="Financial Results","financials",IF($F99="Outlook/Guidance","guidance",IF($F99="Transcript Q&amp;A","qanda",IF($F99="","unrecorded",IF($E99="All","full",IF($E99="","unrecorded",LOWER($E99)&amp;" only")))))))</f>
        <v/>
      </c>
      <c r="AT99">
        <f>IF(AND(OR($J99="BUY",$J99="SELL"),ISNUMBER($U99)),$U99,"")</f>
        <v/>
      </c>
      <c r="AU99">
        <f>IF(AND(OR($J99="BUY",$J99="SELL"),ISNUMBER($AK99)),$AK99,"")</f>
        <v/>
      </c>
      <c r="AV99">
        <f>IF(ISNUMBER($AT99),ABS(IF(ISNUMBER($I99),$I99,0)-Settings!$B$24),"")</f>
        <v/>
      </c>
      <c r="AW99">
        <f>IF(ISNUMBER($AV99),$AV99*$AT99,"")</f>
        <v/>
      </c>
      <c r="AX99">
        <f>IF(ISNUMBER($AU99),ABS(IF(ISNUMBER($I99),$I99,0)-Settings!$B$24),"")</f>
        <v/>
      </c>
      <c r="AY99">
        <f>IF(ISNUMBER($AX99),$AX99*$AU99,"")</f>
        <v/>
      </c>
      <c r="AZ99">
        <f>IF($A99="","",IFERROR(INDEX(Company_List!$H$3:$H$207,MATCH($A99,Company_List!$A$3:$A$207,0)),"unassigned"))</f>
        <v/>
      </c>
      <c r="BC99">
        <f>IF($A99="","",IF(COUNTIFS($A$3:$A99,$A99,$C$3:$C99,$C99,$D$3:$D99,$D99,$G$3:$G99,$G99)=1,1,0))</f>
        <v/>
      </c>
      <c r="BG99" t="inlineStr">
        <is>
          <t>no</t>
        </is>
      </c>
      <c r="BK99">
        <f>IF(OR($H99&lt;&gt;"Human",$S99="",$J99="",$Y99="",$Z99=""),"",IF(EXACT(UPPER($J99),UPPER($Y99)),1,0))</f>
        <v/>
      </c>
      <c r="BL99" t="inlineStr">
        <is>
          <t>assumed - no rater record</t>
        </is>
      </c>
      <c r="BM99" t="n">
        <v>1</v>
      </c>
      <c r="BN99" t="inlineStr">
        <is>
          <t>Refinitiv / LSEG StreetEvents</t>
        </is>
      </c>
      <c r="BO99" t="inlineStr">
        <is>
          <t>licensed vendor</t>
        </is>
      </c>
      <c r="BP99" t="inlineStr">
        <is>
          <t>no</t>
        </is>
      </c>
      <c r="BQ99" t="inlineStr">
        <is>
          <t>no</t>
        </is>
      </c>
    </row>
    <row r="100" ht="16.35" customHeight="1">
      <c r="A100" s="95" t="inlineStr">
        <is>
          <t>Lowe's</t>
        </is>
      </c>
      <c r="B100" s="96">
        <f>IF(A100="","",_xlfn.XLOOKUP(A100, Company_List!$A:$A, Company_List!$B:$B, ""))</f>
        <v/>
      </c>
      <c r="C100" s="21" t="n">
        <v>2026</v>
      </c>
      <c r="D100" s="20" t="inlineStr">
        <is>
          <t>Q1</t>
        </is>
      </c>
      <c r="E100" s="19" t="inlineStr">
        <is>
          <t>Transcript</t>
        </is>
      </c>
      <c r="F100" s="19" t="inlineStr">
        <is>
          <t>All</t>
        </is>
      </c>
      <c r="G100" s="20" t="inlineStr">
        <is>
          <t>Anna</t>
        </is>
      </c>
      <c r="H100" s="20" t="inlineStr">
        <is>
          <t>Human</t>
        </is>
      </c>
      <c r="I100" s="127" t="n">
        <v>0.4</v>
      </c>
      <c r="J100" s="145">
        <f>IF(OR(I100="",Settings!$B$6=""),"",IF(I100&gt;Settings!$B$6,"BUY",IF(I100&lt;-Settings!$B$6,"SELL","HOLD")))</f>
        <v/>
      </c>
      <c r="K100" s="139" t="n">
        <v>22</v>
      </c>
      <c r="L100" s="123" t="n">
        <v>45798</v>
      </c>
      <c r="M100" s="123" t="n">
        <v>45798</v>
      </c>
      <c r="N100" s="127" t="n">
        <v>221.05</v>
      </c>
      <c r="O100" s="123" t="n">
        <v>45799</v>
      </c>
      <c r="P100" s="22" t="n">
        <v>217.75</v>
      </c>
      <c r="Q100" s="148">
        <f>IF(OR(N100="",P100=""),"",ROUND((P100-N100)/N100,4))</f>
        <v/>
      </c>
      <c r="R100" s="20">
        <f>IF(OR(N100="",P100=""),"",IF(Q100&gt;Settings!$B$3/100,"UP",IF(Q100&lt;-Settings!$B$3/100,"DOWN","FLAT")))</f>
        <v/>
      </c>
      <c r="S100" s="20">
        <f>IF(OR(N100="",P100="",J100=""),"",IF(OR(AND(J100="BUY",R100="UP"),AND(J100="SELL",R100="DOWN"),AND(J100="HOLD",R100="FLAT")),"YES","NO"))</f>
        <v/>
      </c>
      <c r="T100" s="21">
        <f>IF(J100="","",IF(J100="BUY",1,IF(J100="SELL",-1,0)))</f>
        <v/>
      </c>
      <c r="U100" s="148">
        <f>IFERROR(IF(OR(J100="",N100="",P100=""),"",IF(T100=0,0,T100*Q100-Settings!$B$4/10000-IF(T100&lt;0,Settings!$B$5/10000,0))),"")</f>
        <v/>
      </c>
      <c r="V100" s="23" t="n"/>
      <c r="W100" s="21">
        <f>IF($K100="","",$K100*60)</f>
        <v/>
      </c>
      <c r="X100" s="91">
        <f>IF($A100="","",$A100&amp;"|"&amp;$C100&amp;"|"&amp;$D100)</f>
        <v/>
      </c>
      <c r="Y100" s="91">
        <f>IFERROR(IF($X100="","",INDEX(LLM_Data_Entry!$H$3:$H$548,MATCH($X100,INDEX(LLM_Data_Entry!$A$3:$A$548&amp;"|"&amp;LLM_Data_Entry!$C$3:$C$548&amp;"|"&amp;LLM_Data_Entry!$D$3:$D$548,0),0))),"")</f>
        <v/>
      </c>
      <c r="Z100" s="91">
        <f>IFERROR(IF($X100="","",INDEX(LLM_Data_Entry!$R$3:$R$548,MATCH($X100,INDEX(LLM_Data_Entry!$A$3:$A$548&amp;"|"&amp;LLM_Data_Entry!$C$3:$C$548&amp;"|"&amp;LLM_Data_Entry!$D$3:$D$548,0),0))),"")</f>
        <v/>
      </c>
      <c r="AB100" t="inlineStr">
        <is>
          <t>price signal</t>
        </is>
      </c>
      <c r="AC100" t="inlineStr">
        <is>
          <t>LOW</t>
        </is>
      </c>
      <c r="AD100" t="inlineStr">
        <is>
          <t>2025-05-20</t>
        </is>
      </c>
      <c r="AE100" t="n">
        <v>225.3962</v>
      </c>
      <c r="AF100" t="inlineStr">
        <is>
          <t>2025-05-21</t>
        </is>
      </c>
      <c r="AG100" t="n">
        <v>226.8095</v>
      </c>
      <c r="AH100" t="n">
        <v>0.006270270910386287</v>
      </c>
      <c r="AI100" t="inlineStr">
        <is>
          <t>FLAT</t>
        </is>
      </c>
      <c r="AJ100" t="inlineStr">
        <is>
          <t>NO</t>
        </is>
      </c>
      <c r="AK100" t="n">
        <v>0.00527</v>
      </c>
      <c r="AL100">
        <f>IF($A100="","",IFERROR(INDEX(Company_List!$G$3:$G$207,MATCH($A100,Company_List!$A$3:$A$207,0)),"unassigned"))</f>
        <v/>
      </c>
      <c r="AM100" t="inlineStr">
        <is>
          <t>Phase 2/Lowe's/2026-Q1/LOW-2026-Q1-earnings-call-transcript-corporate-lowes-com.pdf</t>
        </is>
      </c>
      <c r="AN100" t="inlineStr">
        <is>
          <t>https://corporate.lowes.com/sites/lowes-corp/files/low-usq-transcript-2026-05-20-1.pdf</t>
        </is>
      </c>
      <c r="AO100" t="inlineStr">
        <is>
          <t>manifest</t>
        </is>
      </c>
      <c r="AP100">
        <f>IF($A100="","",IF(COUNTIFS(LLM_Data_Entry!$A$3:$A$548,$A100)&gt;0,"YES","NO"))</f>
        <v/>
      </c>
      <c r="AQ100">
        <f>IF($A100="","",IF(COUNTIFS($A$3:$A100,$A100,$C$3:$C100,$C100,$D$3:$D100,$D100)=1,"YES","NO"))</f>
        <v/>
      </c>
      <c r="AR100">
        <f>IF($A100="","",IF(AND($C100&amp;"-"&amp;$D100&gt;=Settings!$B$19,$C100&amp;"-"&amp;$D100&lt;=Settings!$B$20),"IN","OUT"))</f>
        <v/>
      </c>
      <c r="AS100">
        <f>IF($A100="","",IF($F100="Financial Results","financials",IF($F100="Outlook/Guidance","guidance",IF($F100="Transcript Q&amp;A","qanda",IF($F100="","unrecorded",IF($E100="All","full",IF($E100="","unrecorded",LOWER($E100)&amp;" only")))))))</f>
        <v/>
      </c>
      <c r="AT100">
        <f>IF(AND(OR($J100="BUY",$J100="SELL"),ISNUMBER($U100)),$U100,"")</f>
        <v/>
      </c>
      <c r="AU100">
        <f>IF(AND(OR($J100="BUY",$J100="SELL"),ISNUMBER($AK100)),$AK100,"")</f>
        <v/>
      </c>
      <c r="AV100">
        <f>IF(ISNUMBER($AT100),ABS(IF(ISNUMBER($I100),$I100,0)-Settings!$B$24),"")</f>
        <v/>
      </c>
      <c r="AW100">
        <f>IF(ISNUMBER($AV100),$AV100*$AT100,"")</f>
        <v/>
      </c>
      <c r="AX100">
        <f>IF(ISNUMBER($AU100),ABS(IF(ISNUMBER($I100),$I100,0)-Settings!$B$24),"")</f>
        <v/>
      </c>
      <c r="AY100">
        <f>IF(ISNUMBER($AX100),$AX100*$AU100,"")</f>
        <v/>
      </c>
      <c r="AZ100">
        <f>IF($A100="","",IFERROR(INDEX(Company_List!$H$3:$H$207,MATCH($A100,Company_List!$A$3:$A$207,0)),"unassigned"))</f>
        <v/>
      </c>
      <c r="BC100">
        <f>IF($A100="","",IF(COUNTIFS($A$3:$A100,$A100,$C$3:$C100,$C100,$D$3:$D100,$D100,$G$3:$G100,$G100)=1,1,0))</f>
        <v/>
      </c>
      <c r="BG100" t="inlineStr">
        <is>
          <t>no</t>
        </is>
      </c>
      <c r="BK100">
        <f>IF(OR($H100&lt;&gt;"Human",$S100="",$J100="",$Y100="",$Z100=""),"",IF(EXACT(UPPER($J100),UPPER($Y100)),1,0))</f>
        <v/>
      </c>
      <c r="BL100" t="inlineStr">
        <is>
          <t>assumed - no rater record</t>
        </is>
      </c>
      <c r="BM100" t="n">
        <v>1</v>
      </c>
      <c r="BN100" t="inlineStr">
        <is>
          <t>Refinitiv / LSEG StreetEvents</t>
        </is>
      </c>
      <c r="BO100" t="inlineStr">
        <is>
          <t>licensed vendor</t>
        </is>
      </c>
      <c r="BP100" t="inlineStr">
        <is>
          <t>no</t>
        </is>
      </c>
      <c r="BQ100" t="inlineStr">
        <is>
          <t>yes</t>
        </is>
      </c>
    </row>
    <row r="101" ht="16.35" customHeight="1">
      <c r="A101" s="95" t="inlineStr">
        <is>
          <t>CVS Health</t>
        </is>
      </c>
      <c r="B101" s="96">
        <f>IF(A101="","",_xlfn.XLOOKUP(A101, Company_List!$A:$A, Company_List!$B:$B, ""))</f>
        <v/>
      </c>
      <c r="C101" s="21" t="n">
        <v>2026</v>
      </c>
      <c r="D101" s="20" t="inlineStr">
        <is>
          <t>Q1</t>
        </is>
      </c>
      <c r="E101" s="19" t="inlineStr">
        <is>
          <t>Transcript</t>
        </is>
      </c>
      <c r="F101" s="19" t="inlineStr">
        <is>
          <t>All</t>
        </is>
      </c>
      <c r="G101" s="20" t="inlineStr">
        <is>
          <t>Anna</t>
        </is>
      </c>
      <c r="H101" s="20" t="inlineStr">
        <is>
          <t>Human</t>
        </is>
      </c>
      <c r="I101" s="127" t="n">
        <v>0.5</v>
      </c>
      <c r="J101" s="145">
        <f>IF(OR(I101="",Settings!$B$6=""),"",IF(I101&gt;Settings!$B$6,"BUY",IF(I101&lt;-Settings!$B$6,"SELL","HOLD")))</f>
        <v/>
      </c>
      <c r="K101" s="139" t="n">
        <v>35</v>
      </c>
      <c r="L101" s="123" t="n">
        <v>46148</v>
      </c>
      <c r="M101" s="123" t="n">
        <v>46148</v>
      </c>
      <c r="N101" s="127" t="n">
        <v>87.36</v>
      </c>
      <c r="O101" s="123" t="n">
        <v>46149</v>
      </c>
      <c r="P101" s="22" t="n">
        <v>88</v>
      </c>
      <c r="Q101" s="148">
        <f>IF(OR(N101="",P101=""),"",ROUND((P101-N101)/N101,4))</f>
        <v/>
      </c>
      <c r="R101" s="20">
        <f>IF(OR(N101="",P101=""),"",IF(Q101&gt;Settings!$B$3/100,"UP",IF(Q101&lt;-Settings!$B$3/100,"DOWN","FLAT")))</f>
        <v/>
      </c>
      <c r="S101" s="20">
        <f>IF(OR(N101="",P101="",J101=""),"",IF(OR(AND(J101="BUY",R101="UP"),AND(J101="SELL",R101="DOWN"),AND(J101="HOLD",R101="FLAT")),"YES","NO"))</f>
        <v/>
      </c>
      <c r="T101" s="21">
        <f>IF(J101="","",IF(J101="BUY",1,IF(J101="SELL",-1,0)))</f>
        <v/>
      </c>
      <c r="U101" s="148">
        <f>IFERROR(IF(OR(J101="",N101="",P101=""),"",IF(T101=0,0,T101*Q101-Settings!$B$4/10000-IF(T101&lt;0,Settings!$B$5/10000,0))),"")</f>
        <v/>
      </c>
      <c r="V101" s="23" t="n"/>
      <c r="W101" s="21">
        <f>IF($K101="","",$K101*60)</f>
        <v/>
      </c>
      <c r="X101" s="91">
        <f>IF($A101="","",$A101&amp;"|"&amp;$C101&amp;"|"&amp;$D101)</f>
        <v/>
      </c>
      <c r="Y101" s="91">
        <f>IFERROR(IF($X101="","",INDEX(LLM_Data_Entry!$H$3:$H$548,MATCH($X101,INDEX(LLM_Data_Entry!$A$3:$A$548&amp;"|"&amp;LLM_Data_Entry!$C$3:$C$548&amp;"|"&amp;LLM_Data_Entry!$D$3:$D$548,0),0))),"")</f>
        <v/>
      </c>
      <c r="Z101" s="91">
        <f>IFERROR(IF($X101="","",INDEX(LLM_Data_Entry!$R$3:$R$548,MATCH($X101,INDEX(LLM_Data_Entry!$A$3:$A$548&amp;"|"&amp;LLM_Data_Entry!$C$3:$C$548&amp;"|"&amp;LLM_Data_Entry!$D$3:$D$548,0),0))),"")</f>
        <v/>
      </c>
      <c r="AB101" t="inlineStr">
        <is>
          <t>recorded price identified against every pulled series</t>
        </is>
      </c>
      <c r="AC101" t="inlineStr">
        <is>
          <t>CVS</t>
        </is>
      </c>
      <c r="AD101" t="inlineStr">
        <is>
          <t>2026-05-05</t>
        </is>
      </c>
      <c r="AE101" t="n">
        <v>80.1935</v>
      </c>
      <c r="AF101" t="inlineStr">
        <is>
          <t>2026-05-06</t>
        </is>
      </c>
      <c r="AG101" t="n">
        <v>84.98390000000001</v>
      </c>
      <c r="AH101" t="n">
        <v>0.05973477609127331</v>
      </c>
      <c r="AI101" t="inlineStr">
        <is>
          <t>UP</t>
        </is>
      </c>
      <c r="AJ101" t="inlineStr">
        <is>
          <t>YES</t>
        </is>
      </c>
      <c r="AK101" t="n">
        <v>0.058735</v>
      </c>
      <c r="AL101">
        <f>IF($A101="","",IFERROR(INDEX(Company_List!$G$3:$G$207,MATCH($A101,Company_List!$A$3:$A$207,0)),"unassigned"))</f>
        <v/>
      </c>
      <c r="AM101" t="inlineStr">
        <is>
          <t>Phase 2/CVS Health/CVS-Health-Q1-2026-Earnings-Transcript.pdf</t>
        </is>
      </c>
      <c r="AO101" t="inlineStr">
        <is>
          <t>unique filename match</t>
        </is>
      </c>
      <c r="AP101">
        <f>IF($A101="","",IF(COUNTIFS(LLM_Data_Entry!$A$3:$A$548,$A101)&gt;0,"YES","NO"))</f>
        <v/>
      </c>
      <c r="AQ101">
        <f>IF($A101="","",IF(COUNTIFS($A$3:$A101,$A101,$C$3:$C101,$C101,$D$3:$D101,$D101)=1,"YES","NO"))</f>
        <v/>
      </c>
      <c r="AR101">
        <f>IF($A101="","",IF(AND($C101&amp;"-"&amp;$D101&gt;=Settings!$B$19,$C101&amp;"-"&amp;$D101&lt;=Settings!$B$20),"IN","OUT"))</f>
        <v/>
      </c>
      <c r="AS101">
        <f>IF($A101="","",IF($F101="Financial Results","financials",IF($F101="Outlook/Guidance","guidance",IF($F101="Transcript Q&amp;A","qanda",IF($F101="","unrecorded",IF($E101="All","full",IF($E101="","unrecorded",LOWER($E101)&amp;" only")))))))</f>
        <v/>
      </c>
      <c r="AT101">
        <f>IF(AND(OR($J101="BUY",$J101="SELL"),ISNUMBER($U101)),$U101,"")</f>
        <v/>
      </c>
      <c r="AU101">
        <f>IF(AND(OR($J101="BUY",$J101="SELL"),ISNUMBER($AK101)),$AK101,"")</f>
        <v/>
      </c>
      <c r="AV101">
        <f>IF(ISNUMBER($AT101),ABS(IF(ISNUMBER($I101),$I101,0)-Settings!$B$24),"")</f>
        <v/>
      </c>
      <c r="AW101">
        <f>IF(ISNUMBER($AV101),$AV101*$AT101,"")</f>
        <v/>
      </c>
      <c r="AX101">
        <f>IF(ISNUMBER($AU101),ABS(IF(ISNUMBER($I101),$I101,0)-Settings!$B$24),"")</f>
        <v/>
      </c>
      <c r="AY101">
        <f>IF(ISNUMBER($AX101),$AX101*$AU101,"")</f>
        <v/>
      </c>
      <c r="AZ101">
        <f>IF($A101="","",IFERROR(INDEX(Company_List!$H$3:$H$207,MATCH($A101,Company_List!$A$3:$A$207,0)),"unassigned"))</f>
        <v/>
      </c>
      <c r="BC101">
        <f>IF($A101="","",IF(COUNTIFS($A$3:$A101,$A101,$C$3:$C101,$C101,$D$3:$D101,$D101,$G$3:$G101,$G101)=1,1,0))</f>
        <v/>
      </c>
      <c r="BG101" t="inlineStr">
        <is>
          <t>no</t>
        </is>
      </c>
      <c r="BK101">
        <f>IF(OR($H101&lt;&gt;"Human",$S101="",$J101="",$Y101="",$Z101=""),"",IF(EXACT(UPPER($J101),UPPER($Y101)),1,0))</f>
        <v/>
      </c>
      <c r="BL101" t="inlineStr">
        <is>
          <t>assumed - no rater record</t>
        </is>
      </c>
      <c r="BM101" t="n">
        <v>1</v>
      </c>
      <c r="BN101" t="inlineStr">
        <is>
          <t>FactSet CallStreet</t>
        </is>
      </c>
      <c r="BO101" t="inlineStr">
        <is>
          <t>licensed vendor</t>
        </is>
      </c>
      <c r="BP101" t="inlineStr">
        <is>
          <t>no</t>
        </is>
      </c>
      <c r="BQ101" t="inlineStr">
        <is>
          <t>no</t>
        </is>
      </c>
    </row>
    <row r="102" ht="16.35" customHeight="1">
      <c r="A102" s="95" t="inlineStr">
        <is>
          <t>Uber</t>
        </is>
      </c>
      <c r="B102" s="96">
        <f>IF(A102="","",_xlfn.XLOOKUP(A102, Company_List!$A:$A, Company_List!$B:$B, ""))</f>
        <v/>
      </c>
      <c r="C102" s="21" t="n">
        <v>2025</v>
      </c>
      <c r="D102" s="20" t="inlineStr">
        <is>
          <t>Q1</t>
        </is>
      </c>
      <c r="E102" s="19" t="inlineStr">
        <is>
          <t>Transcript</t>
        </is>
      </c>
      <c r="F102" s="19" t="inlineStr">
        <is>
          <t>All</t>
        </is>
      </c>
      <c r="G102" s="20" t="inlineStr">
        <is>
          <t>Abdul</t>
        </is>
      </c>
      <c r="H102" s="20" t="inlineStr">
        <is>
          <t>Human</t>
        </is>
      </c>
      <c r="I102" s="127" t="n">
        <v>-0.3</v>
      </c>
      <c r="J102" s="145">
        <f>IF(OR(I102="",Settings!$B$6=""),"",IF(I102&gt;Settings!$B$6,"BUY",IF(I102&lt;-Settings!$B$6,"SELL","HOLD")))</f>
        <v/>
      </c>
      <c r="K102" s="139" t="n">
        <v>30</v>
      </c>
      <c r="L102" s="123" t="n">
        <v>45784</v>
      </c>
      <c r="M102" s="123" t="n">
        <v>45784</v>
      </c>
      <c r="N102" s="127" t="n">
        <v>85.83</v>
      </c>
      <c r="O102" s="123" t="n">
        <v>45785</v>
      </c>
      <c r="P102" s="22" t="n">
        <v>83.13</v>
      </c>
      <c r="Q102" s="148">
        <f>IF(OR(N102="",P102=""),"",ROUND((P102-N102)/N102,4))</f>
        <v/>
      </c>
      <c r="R102" s="20">
        <f>IF(OR(N102="",P102=""),"",IF(Q102&gt;Settings!$B$3/100,"UP",IF(Q102&lt;-Settings!$B$3/100,"DOWN","FLAT")))</f>
        <v/>
      </c>
      <c r="S102" s="20">
        <f>IF(OR(N102="",P102="",J102=""),"",IF(OR(AND(J102="BUY",R102="UP"),AND(J102="SELL",R102="DOWN"),AND(J102="HOLD",R102="FLAT")),"YES","NO"))</f>
        <v/>
      </c>
      <c r="T102" s="21">
        <f>IF(J102="","",IF(J102="BUY",1,IF(J102="SELL",-1,0)))</f>
        <v/>
      </c>
      <c r="U102" s="148">
        <f>IFERROR(IF(OR(J102="",N102="",P102=""),"",IF(T102=0,0,T102*Q102-Settings!$B$4/10000-IF(T102&lt;0,Settings!$B$5/10000,0))),"")</f>
        <v/>
      </c>
      <c r="V102" s="23" t="n"/>
      <c r="W102" s="21">
        <f>IF($K102="","",$K102*60)</f>
        <v/>
      </c>
      <c r="X102" s="91">
        <f>IF($A102="","",$A102&amp;"|"&amp;$C102&amp;"|"&amp;$D102)</f>
        <v/>
      </c>
      <c r="Y102" s="91">
        <f>IFERROR(IF($X102="","",INDEX(LLM_Data_Entry!$H$3:$H$548,MATCH($X102,INDEX(LLM_Data_Entry!$A$3:$A$548&amp;"|"&amp;LLM_Data_Entry!$C$3:$C$548&amp;"|"&amp;LLM_Data_Entry!$D$3:$D$548,0),0))),"")</f>
        <v/>
      </c>
      <c r="Z102" s="91">
        <f>IFERROR(IF($X102="","",INDEX(LLM_Data_Entry!$R$3:$R$548,MATCH($X102,INDEX(LLM_Data_Entry!$A$3:$A$548&amp;"|"&amp;LLM_Data_Entry!$C$3:$C$548&amp;"|"&amp;LLM_Data_Entry!$D$3:$D$548,0),0))),"")</f>
        <v/>
      </c>
      <c r="AB102" t="inlineStr">
        <is>
          <t>price signal — both moved; this one dominates</t>
        </is>
      </c>
      <c r="AC102" t="inlineStr">
        <is>
          <t>UBER</t>
        </is>
      </c>
      <c r="AD102" t="inlineStr">
        <is>
          <t>2025-05-06</t>
        </is>
      </c>
      <c r="AE102" t="n">
        <v>85.83</v>
      </c>
      <c r="AF102" t="inlineStr">
        <is>
          <t>2025-05-07</t>
        </is>
      </c>
      <c r="AG102" t="n">
        <v>83.13</v>
      </c>
      <c r="AH102" t="n">
        <v>-0.03145758985302121</v>
      </c>
      <c r="AI102" t="inlineStr">
        <is>
          <t>DOWN</t>
        </is>
      </c>
      <c r="AJ102" t="inlineStr">
        <is>
          <t>YES</t>
        </is>
      </c>
      <c r="AK102" t="n">
        <v>0.030458</v>
      </c>
      <c r="AL102">
        <f>IF($A102="","",IFERROR(INDEX(Company_List!$G$3:$G$207,MATCH($A102,Company_List!$A$3:$A$207,0)),"unassigned"))</f>
        <v/>
      </c>
      <c r="AM102" t="inlineStr">
        <is>
          <t>Phase 2/Uber/uber-q1-25-earnings-call-transcript.pdf</t>
        </is>
      </c>
      <c r="AO102" t="inlineStr">
        <is>
          <t>unique filename match</t>
        </is>
      </c>
      <c r="AP102">
        <f>IF($A102="","",IF(COUNTIFS(LLM_Data_Entry!$A$3:$A$548,$A102)&gt;0,"YES","NO"))</f>
        <v/>
      </c>
      <c r="AQ102">
        <f>IF($A102="","",IF(COUNTIFS($A$3:$A102,$A102,$C$3:$C102,$C102,$D$3:$D102,$D102)=1,"YES","NO"))</f>
        <v/>
      </c>
      <c r="AR102">
        <f>IF($A102="","",IF(AND($C102&amp;"-"&amp;$D102&gt;=Settings!$B$19,$C102&amp;"-"&amp;$D102&lt;=Settings!$B$20),"IN","OUT"))</f>
        <v/>
      </c>
      <c r="AS102">
        <f>IF($A102="","",IF($F102="Financial Results","financials",IF($F102="Outlook/Guidance","guidance",IF($F102="Transcript Q&amp;A","qanda",IF($F102="","unrecorded",IF($E102="All","full",IF($E102="","unrecorded",LOWER($E102)&amp;" only")))))))</f>
        <v/>
      </c>
      <c r="AT102">
        <f>IF(AND(OR($J102="BUY",$J102="SELL"),ISNUMBER($U102)),$U102,"")</f>
        <v/>
      </c>
      <c r="AU102">
        <f>IF(AND(OR($J102="BUY",$J102="SELL"),ISNUMBER($AK102)),$AK102,"")</f>
        <v/>
      </c>
      <c r="AV102">
        <f>IF(ISNUMBER($AT102),ABS(IF(ISNUMBER($I102),$I102,0)-Settings!$B$24),"")</f>
        <v/>
      </c>
      <c r="AW102">
        <f>IF(ISNUMBER($AV102),$AV102*$AT102,"")</f>
        <v/>
      </c>
      <c r="AX102">
        <f>IF(ISNUMBER($AU102),ABS(IF(ISNUMBER($I102),$I102,0)-Settings!$B$24),"")</f>
        <v/>
      </c>
      <c r="AY102">
        <f>IF(ISNUMBER($AX102),$AX102*$AU102,"")</f>
        <v/>
      </c>
      <c r="AZ102">
        <f>IF($A102="","",IFERROR(INDEX(Company_List!$H$3:$H$207,MATCH($A102,Company_List!$A$3:$A$207,0)),"unassigned"))</f>
        <v/>
      </c>
      <c r="BC102">
        <f>IF($A102="","",IF(COUNTIFS($A$3:$A102,$A102,$C$3:$C102,$C102,$D$3:$D102,$D102,$G$3:$G102,$G102)=1,1,0))</f>
        <v/>
      </c>
      <c r="BG102" t="inlineStr">
        <is>
          <t>no</t>
        </is>
      </c>
      <c r="BK102">
        <f>IF(OR($H102&lt;&gt;"Human",$S102="",$J102="",$Y102="",$Z102=""),"",IF(EXACT(UPPER($J102),UPPER($Y102)),1,0))</f>
        <v/>
      </c>
      <c r="BL102" t="inlineStr">
        <is>
          <t>assumed - no rater record</t>
        </is>
      </c>
      <c r="BM102" t="n">
        <v>1</v>
      </c>
      <c r="BN102" t="inlineStr">
        <is>
          <t>FactSet CallStreet</t>
        </is>
      </c>
      <c r="BO102" t="inlineStr">
        <is>
          <t>licensed vendor</t>
        </is>
      </c>
      <c r="BP102" t="inlineStr">
        <is>
          <t>no</t>
        </is>
      </c>
      <c r="BQ102" t="inlineStr">
        <is>
          <t>no</t>
        </is>
      </c>
    </row>
    <row r="103" ht="16.35" customHeight="1">
      <c r="A103" s="95" t="inlineStr">
        <is>
          <t>Uber</t>
        </is>
      </c>
      <c r="B103" s="96">
        <f>IF(A103="","",_xlfn.XLOOKUP(A103, Company_List!$A:$A, Company_List!$B:$B, ""))</f>
        <v/>
      </c>
      <c r="C103" s="21" t="n">
        <v>2025</v>
      </c>
      <c r="D103" s="20" t="inlineStr">
        <is>
          <t>Q2</t>
        </is>
      </c>
      <c r="E103" s="19" t="inlineStr">
        <is>
          <t>Transcript</t>
        </is>
      </c>
      <c r="F103" s="19" t="inlineStr">
        <is>
          <t>All</t>
        </is>
      </c>
      <c r="G103" s="20" t="inlineStr">
        <is>
          <t>Abdul</t>
        </is>
      </c>
      <c r="H103" s="20" t="inlineStr">
        <is>
          <t>Human</t>
        </is>
      </c>
      <c r="I103" s="127" t="n">
        <v>0.4</v>
      </c>
      <c r="J103" s="145">
        <f>IF(OR(I103="",Settings!$B$6=""),"",IF(I103&gt;Settings!$B$6,"BUY",IF(I103&lt;-Settings!$B$6,"SELL","HOLD")))</f>
        <v/>
      </c>
      <c r="K103" s="139" t="n">
        <v>21</v>
      </c>
      <c r="L103" s="123" t="n">
        <v>45875</v>
      </c>
      <c r="M103" s="123" t="n">
        <v>45875</v>
      </c>
      <c r="N103" s="127" t="n">
        <v>89.39</v>
      </c>
      <c r="O103" s="123" t="n">
        <v>45876</v>
      </c>
      <c r="P103" s="22" t="n">
        <v>90.95</v>
      </c>
      <c r="Q103" s="148">
        <f>IF(OR(N103="",P103=""),"",ROUND((P103-N103)/N103,4))</f>
        <v/>
      </c>
      <c r="R103" s="20">
        <f>IF(OR(N103="",P103=""),"",IF(Q103&gt;Settings!$B$3/100,"UP",IF(Q103&lt;-Settings!$B$3/100,"DOWN","FLAT")))</f>
        <v/>
      </c>
      <c r="S103" s="20">
        <f>IF(OR(N103="",P103="",J103=""),"",IF(OR(AND(J103="BUY",R103="UP"),AND(J103="SELL",R103="DOWN"),AND(J103="HOLD",R103="FLAT")),"YES","NO"))</f>
        <v/>
      </c>
      <c r="T103" s="21">
        <f>IF(J103="","",IF(J103="BUY",1,IF(J103="SELL",-1,0)))</f>
        <v/>
      </c>
      <c r="U103" s="148">
        <f>IFERROR(IF(OR(J103="",N103="",P103=""),"",IF(T103=0,0,T103*Q103-Settings!$B$4/10000-IF(T103&lt;0,Settings!$B$5/10000,0))),"")</f>
        <v/>
      </c>
      <c r="V103" s="23" t="n"/>
      <c r="W103" s="21">
        <f>IF($K103="","",$K103*60)</f>
        <v/>
      </c>
      <c r="X103" s="91">
        <f>IF($A103="","",$A103&amp;"|"&amp;$C103&amp;"|"&amp;$D103)</f>
        <v/>
      </c>
      <c r="Y103" s="91">
        <f>IFERROR(IF($X103="","",INDEX(LLM_Data_Entry!$H$3:$H$548,MATCH($X103,INDEX(LLM_Data_Entry!$A$3:$A$548&amp;"|"&amp;LLM_Data_Entry!$C$3:$C$548&amp;"|"&amp;LLM_Data_Entry!$D$3:$D$548,0),0))),"")</f>
        <v/>
      </c>
      <c r="Z103" s="91">
        <f>IFERROR(IF($X103="","",INDEX(LLM_Data_Entry!$R$3:$R$548,MATCH($X103,INDEX(LLM_Data_Entry!$A$3:$A$548&amp;"|"&amp;LLM_Data_Entry!$C$3:$C$548&amp;"|"&amp;LLM_Data_Entry!$D$3:$D$548,0),0))),"")</f>
        <v/>
      </c>
      <c r="AB103" t="inlineStr">
        <is>
          <t>price signal — only this window shows an abnormal move</t>
        </is>
      </c>
      <c r="AC103" t="inlineStr">
        <is>
          <t>UBER</t>
        </is>
      </c>
      <c r="AD103" t="inlineStr">
        <is>
          <t>2025-08-05</t>
        </is>
      </c>
      <c r="AE103" t="n">
        <v>89.39</v>
      </c>
      <c r="AF103" t="inlineStr">
        <is>
          <t>2025-08-06</t>
        </is>
      </c>
      <c r="AG103" t="n">
        <v>90.95</v>
      </c>
      <c r="AH103" t="n">
        <v>0.01745159433327651</v>
      </c>
      <c r="AI103" t="inlineStr">
        <is>
          <t>FLAT</t>
        </is>
      </c>
      <c r="AJ103" t="inlineStr">
        <is>
          <t>NO</t>
        </is>
      </c>
      <c r="AK103" t="n">
        <v>0.016452</v>
      </c>
      <c r="AL103">
        <f>IF($A103="","",IFERROR(INDEX(Company_List!$G$3:$G$207,MATCH($A103,Company_List!$A$3:$A$207,0)),"unassigned"))</f>
        <v/>
      </c>
      <c r="AM103" t="inlineStr">
        <is>
          <t>Phase 2/Uber/uber-q2-25-earnings-call-transcript.pdf</t>
        </is>
      </c>
      <c r="AO103" t="inlineStr">
        <is>
          <t>unique filename match</t>
        </is>
      </c>
      <c r="AP103">
        <f>IF($A103="","",IF(COUNTIFS(LLM_Data_Entry!$A$3:$A$548,$A103)&gt;0,"YES","NO"))</f>
        <v/>
      </c>
      <c r="AQ103">
        <f>IF($A103="","",IF(COUNTIFS($A$3:$A103,$A103,$C$3:$C103,$C103,$D$3:$D103,$D103)=1,"YES","NO"))</f>
        <v/>
      </c>
      <c r="AR103">
        <f>IF($A103="","",IF(AND($C103&amp;"-"&amp;$D103&gt;=Settings!$B$19,$C103&amp;"-"&amp;$D103&lt;=Settings!$B$20),"IN","OUT"))</f>
        <v/>
      </c>
      <c r="AS103">
        <f>IF($A103="","",IF($F103="Financial Results","financials",IF($F103="Outlook/Guidance","guidance",IF($F103="Transcript Q&amp;A","qanda",IF($F103="","unrecorded",IF($E103="All","full",IF($E103="","unrecorded",LOWER($E103)&amp;" only")))))))</f>
        <v/>
      </c>
      <c r="AT103">
        <f>IF(AND(OR($J103="BUY",$J103="SELL"),ISNUMBER($U103)),$U103,"")</f>
        <v/>
      </c>
      <c r="AU103">
        <f>IF(AND(OR($J103="BUY",$J103="SELL"),ISNUMBER($AK103)),$AK103,"")</f>
        <v/>
      </c>
      <c r="AV103">
        <f>IF(ISNUMBER($AT103),ABS(IF(ISNUMBER($I103),$I103,0)-Settings!$B$24),"")</f>
        <v/>
      </c>
      <c r="AW103">
        <f>IF(ISNUMBER($AV103),$AV103*$AT103,"")</f>
        <v/>
      </c>
      <c r="AX103">
        <f>IF(ISNUMBER($AU103),ABS(IF(ISNUMBER($I103),$I103,0)-Settings!$B$24),"")</f>
        <v/>
      </c>
      <c r="AY103">
        <f>IF(ISNUMBER($AX103),$AX103*$AU103,"")</f>
        <v/>
      </c>
      <c r="AZ103">
        <f>IF($A103="","",IFERROR(INDEX(Company_List!$H$3:$H$207,MATCH($A103,Company_List!$A$3:$A$207,0)),"unassigned"))</f>
        <v/>
      </c>
      <c r="BC103">
        <f>IF($A103="","",IF(COUNTIFS($A$3:$A103,$A103,$C$3:$C103,$C103,$D$3:$D103,$D103,$G$3:$G103,$G103)=1,1,0))</f>
        <v/>
      </c>
      <c r="BG103" t="inlineStr">
        <is>
          <t>no</t>
        </is>
      </c>
      <c r="BK103">
        <f>IF(OR($H103&lt;&gt;"Human",$S103="",$J103="",$Y103="",$Z103=""),"",IF(EXACT(UPPER($J103),UPPER($Y103)),1,0))</f>
        <v/>
      </c>
      <c r="BL103" t="inlineStr">
        <is>
          <t>assumed - no rater record</t>
        </is>
      </c>
      <c r="BM103" t="n">
        <v>1</v>
      </c>
      <c r="BN103" t="inlineStr">
        <is>
          <t>FactSet CallStreet</t>
        </is>
      </c>
      <c r="BO103" t="inlineStr">
        <is>
          <t>licensed vendor</t>
        </is>
      </c>
      <c r="BP103" t="inlineStr">
        <is>
          <t>no</t>
        </is>
      </c>
      <c r="BQ103" t="inlineStr">
        <is>
          <t>no</t>
        </is>
      </c>
    </row>
    <row r="104" ht="16.35" customHeight="1">
      <c r="A104" s="95" t="inlineStr">
        <is>
          <t>Uber</t>
        </is>
      </c>
      <c r="B104" s="96">
        <f>IF(A104="","",_xlfn.XLOOKUP(A104, Company_List!$A:$A, Company_List!$B:$B, ""))</f>
        <v/>
      </c>
      <c r="C104" s="21" t="n">
        <v>2025</v>
      </c>
      <c r="D104" s="20" t="inlineStr">
        <is>
          <t>Q4</t>
        </is>
      </c>
      <c r="E104" s="19" t="inlineStr">
        <is>
          <t>Transcript</t>
        </is>
      </c>
      <c r="F104" s="19" t="inlineStr">
        <is>
          <t>All</t>
        </is>
      </c>
      <c r="G104" s="20" t="inlineStr">
        <is>
          <t>Abdul</t>
        </is>
      </c>
      <c r="H104" s="20" t="inlineStr">
        <is>
          <t>Human</t>
        </is>
      </c>
      <c r="I104" s="127" t="n">
        <v>0.5</v>
      </c>
      <c r="J104" s="145">
        <f>IF(OR(I104="",Settings!$B$6=""),"",IF(I104&gt;Settings!$B$6,"BUY",IF(I104&lt;-Settings!$B$6,"SELL","HOLD")))</f>
        <v/>
      </c>
      <c r="K104" s="139" t="n">
        <v>27</v>
      </c>
      <c r="L104" s="123" t="n">
        <v>46057</v>
      </c>
      <c r="M104" s="123" t="n">
        <v>46056</v>
      </c>
      <c r="N104" s="127" t="n">
        <v>77.93000000000001</v>
      </c>
      <c r="O104" s="123" t="n">
        <v>46057</v>
      </c>
      <c r="P104" s="22" t="n">
        <v>75.63</v>
      </c>
      <c r="Q104" s="148">
        <f>IF(OR(N104="",P104=""),"",ROUND((P104-N104)/N104,4))</f>
        <v/>
      </c>
      <c r="R104" s="20">
        <f>IF(OR(N104="",P104=""),"",IF(Q104&gt;Settings!$B$3/100,"UP",IF(Q104&lt;-Settings!$B$3/100,"DOWN","FLAT")))</f>
        <v/>
      </c>
      <c r="S104" s="20">
        <f>IF(OR(N104="",P104="",J104=""),"",IF(OR(AND(J104="BUY",R104="UP"),AND(J104="SELL",R104="DOWN"),AND(J104="HOLD",R104="FLAT")),"YES","NO"))</f>
        <v/>
      </c>
      <c r="T104" s="21">
        <f>IF(J104="","",IF(J104="BUY",1,IF(J104="SELL",-1,0)))</f>
        <v/>
      </c>
      <c r="U104" s="148">
        <f>IFERROR(IF(OR(J104="",N104="",P104=""),"",IF(T104=0,0,T104*Q104-Settings!$B$4/10000-IF(T104&lt;0,Settings!$B$5/10000,0))),"")</f>
        <v/>
      </c>
      <c r="V104" s="23" t="n"/>
      <c r="W104" s="21">
        <f>IF($K104="","",$K104*60)</f>
        <v/>
      </c>
      <c r="X104" s="91">
        <f>IF($A104="","",$A104&amp;"|"&amp;$C104&amp;"|"&amp;$D104)</f>
        <v/>
      </c>
      <c r="Y104" s="91">
        <f>IFERROR(IF($X104="","",INDEX(LLM_Data_Entry!$H$3:$H$548,MATCH($X104,INDEX(LLM_Data_Entry!$A$3:$A$548&amp;"|"&amp;LLM_Data_Entry!$C$3:$C$548&amp;"|"&amp;LLM_Data_Entry!$D$3:$D$548,0),0))),"")</f>
        <v/>
      </c>
      <c r="Z104" s="91">
        <f>IFERROR(IF($X104="","",INDEX(LLM_Data_Entry!$R$3:$R$548,MATCH($X104,INDEX(LLM_Data_Entry!$A$3:$A$548&amp;"|"&amp;LLM_Data_Entry!$C$3:$C$548&amp;"|"&amp;LLM_Data_Entry!$D$3:$D$548,0),0))),"")</f>
        <v/>
      </c>
      <c r="AB104" t="inlineStr">
        <is>
          <t>price signal — only this window shows an abnormal move</t>
        </is>
      </c>
      <c r="AC104" t="inlineStr">
        <is>
          <t>UBER</t>
        </is>
      </c>
      <c r="AD104" t="inlineStr">
        <is>
          <t>2026-02-03</t>
        </is>
      </c>
      <c r="AE104" t="n">
        <v>77.93000000000001</v>
      </c>
      <c r="AF104" t="inlineStr">
        <is>
          <t>2026-02-04</t>
        </is>
      </c>
      <c r="AG104" t="n">
        <v>75.625</v>
      </c>
      <c r="AH104" t="n">
        <v>-0.02957782625433089</v>
      </c>
      <c r="AI104" t="inlineStr">
        <is>
          <t>DOWN</t>
        </is>
      </c>
      <c r="AJ104" t="inlineStr">
        <is>
          <t>NO</t>
        </is>
      </c>
      <c r="AK104" t="n">
        <v>-0.030578</v>
      </c>
      <c r="AL104">
        <f>IF($A104="","",IFERROR(INDEX(Company_List!$G$3:$G$207,MATCH($A104,Company_List!$A$3:$A$207,0)),"unassigned"))</f>
        <v/>
      </c>
      <c r="AM104" t="inlineStr">
        <is>
          <t>Phase 2/Uber/Uber-Q4-25-Earnings-Call-Transcript.pdf</t>
        </is>
      </c>
      <c r="AO104" t="inlineStr">
        <is>
          <t>unique filename match</t>
        </is>
      </c>
      <c r="AP104">
        <f>IF($A104="","",IF(COUNTIFS(LLM_Data_Entry!$A$3:$A$548,$A104)&gt;0,"YES","NO"))</f>
        <v/>
      </c>
      <c r="AQ104">
        <f>IF($A104="","",IF(COUNTIFS($A$3:$A104,$A104,$C$3:$C104,$C104,$D$3:$D104,$D104)=1,"YES","NO"))</f>
        <v/>
      </c>
      <c r="AR104">
        <f>IF($A104="","",IF(AND($C104&amp;"-"&amp;$D104&gt;=Settings!$B$19,$C104&amp;"-"&amp;$D104&lt;=Settings!$B$20),"IN","OUT"))</f>
        <v/>
      </c>
      <c r="AS104">
        <f>IF($A104="","",IF($F104="Financial Results","financials",IF($F104="Outlook/Guidance","guidance",IF($F104="Transcript Q&amp;A","qanda",IF($F104="","unrecorded",IF($E104="All","full",IF($E104="","unrecorded",LOWER($E104)&amp;" only")))))))</f>
        <v/>
      </c>
      <c r="AT104">
        <f>IF(AND(OR($J104="BUY",$J104="SELL"),ISNUMBER($U104)),$U104,"")</f>
        <v/>
      </c>
      <c r="AU104">
        <f>IF(AND(OR($J104="BUY",$J104="SELL"),ISNUMBER($AK104)),$AK104,"")</f>
        <v/>
      </c>
      <c r="AV104">
        <f>IF(ISNUMBER($AT104),ABS(IF(ISNUMBER($I104),$I104,0)-Settings!$B$24),"")</f>
        <v/>
      </c>
      <c r="AW104">
        <f>IF(ISNUMBER($AV104),$AV104*$AT104,"")</f>
        <v/>
      </c>
      <c r="AX104">
        <f>IF(ISNUMBER($AU104),ABS(IF(ISNUMBER($I104),$I104,0)-Settings!$B$24),"")</f>
        <v/>
      </c>
      <c r="AY104">
        <f>IF(ISNUMBER($AX104),$AX104*$AU104,"")</f>
        <v/>
      </c>
      <c r="AZ104">
        <f>IF($A104="","",IFERROR(INDEX(Company_List!$H$3:$H$207,MATCH($A104,Company_List!$A$3:$A$207,0)),"unassigned"))</f>
        <v/>
      </c>
      <c r="BC104">
        <f>IF($A104="","",IF(COUNTIFS($A$3:$A104,$A104,$C$3:$C104,$C104,$D$3:$D104,$D104,$G$3:$G104,$G104)=1,1,0))</f>
        <v/>
      </c>
      <c r="BG104" t="inlineStr">
        <is>
          <t>no</t>
        </is>
      </c>
      <c r="BK104">
        <f>IF(OR($H104&lt;&gt;"Human",$S104="",$J104="",$Y104="",$Z104=""),"",IF(EXACT(UPPER($J104),UPPER($Y104)),1,0))</f>
        <v/>
      </c>
      <c r="BL104" t="inlineStr">
        <is>
          <t>assumed - no rater record</t>
        </is>
      </c>
      <c r="BM104" t="n">
        <v>1</v>
      </c>
      <c r="BN104" t="inlineStr">
        <is>
          <t>FactSet CallStreet</t>
        </is>
      </c>
      <c r="BO104" t="inlineStr">
        <is>
          <t>licensed vendor</t>
        </is>
      </c>
      <c r="BP104" t="inlineStr">
        <is>
          <t>no</t>
        </is>
      </c>
      <c r="BQ104" t="inlineStr">
        <is>
          <t>no</t>
        </is>
      </c>
    </row>
    <row r="105" ht="16.35" customHeight="1">
      <c r="A105" s="95" t="inlineStr">
        <is>
          <t>Uber</t>
        </is>
      </c>
      <c r="B105" s="96">
        <f>IF(A105="","",_xlfn.XLOOKUP(A105, Company_List!$A:$A, Company_List!$B:$B, ""))</f>
        <v/>
      </c>
      <c r="C105" s="21" t="n">
        <v>2026</v>
      </c>
      <c r="D105" s="20" t="inlineStr">
        <is>
          <t>Q1</t>
        </is>
      </c>
      <c r="E105" s="19" t="inlineStr">
        <is>
          <t>Transcript</t>
        </is>
      </c>
      <c r="F105" s="19" t="inlineStr">
        <is>
          <t>All</t>
        </is>
      </c>
      <c r="G105" s="20" t="inlineStr">
        <is>
          <t>Abdul</t>
        </is>
      </c>
      <c r="H105" s="20" t="inlineStr">
        <is>
          <t>Human</t>
        </is>
      </c>
      <c r="I105" s="127" t="n">
        <v>0.3</v>
      </c>
      <c r="J105" s="145">
        <f>IF(OR(I105="",Settings!$B$6=""),"",IF(I105&gt;Settings!$B$6,"BUY",IF(I105&lt;-Settings!$B$6,"SELL","HOLD")))</f>
        <v/>
      </c>
      <c r="K105" s="139" t="n">
        <v>35</v>
      </c>
      <c r="L105" s="123" t="n">
        <v>46148</v>
      </c>
      <c r="M105" s="123" t="n">
        <v>46148</v>
      </c>
      <c r="N105" s="127" t="n">
        <v>72.95</v>
      </c>
      <c r="O105" s="123" t="n">
        <v>46149</v>
      </c>
      <c r="P105" s="22" t="n">
        <v>77.45999999999999</v>
      </c>
      <c r="Q105" s="148">
        <f>IF(OR(N105="",P105=""),"",ROUND((P105-N105)/N105,4))</f>
        <v/>
      </c>
      <c r="R105" s="20">
        <f>IF(OR(N105="",P105=""),"",IF(Q105&gt;Settings!$B$3/100,"UP",IF(Q105&lt;-Settings!$B$3/100,"DOWN","FLAT")))</f>
        <v/>
      </c>
      <c r="S105" s="20">
        <f>IF(OR(N105="",P105="",J105=""),"",IF(OR(AND(J105="BUY",R105="UP"),AND(J105="SELL",R105="DOWN"),AND(J105="HOLD",R105="FLAT")),"YES","NO"))</f>
        <v/>
      </c>
      <c r="T105" s="21">
        <f>IF(J105="","",IF(J105="BUY",1,IF(J105="SELL",-1,0)))</f>
        <v/>
      </c>
      <c r="U105" s="148">
        <f>IFERROR(IF(OR(J105="",N105="",P105=""),"",IF(T105=0,0,T105*Q105-Settings!$B$4/10000-IF(T105&lt;0,Settings!$B$5/10000,0))),"")</f>
        <v/>
      </c>
      <c r="V105" s="23" t="n"/>
      <c r="W105" s="21">
        <f>IF($K105="","",$K105*60)</f>
        <v/>
      </c>
      <c r="X105" s="91">
        <f>IF($A105="","",$A105&amp;"|"&amp;$C105&amp;"|"&amp;$D105)</f>
        <v/>
      </c>
      <c r="Y105" s="91">
        <f>IFERROR(IF($X105="","",INDEX(LLM_Data_Entry!$H$3:$H$548,MATCH($X105,INDEX(LLM_Data_Entry!$A$3:$A$548&amp;"|"&amp;LLM_Data_Entry!$C$3:$C$548&amp;"|"&amp;LLM_Data_Entry!$D$3:$D$548,0),0))),"")</f>
        <v/>
      </c>
      <c r="Z105" s="91">
        <f>IFERROR(IF($X105="","",INDEX(LLM_Data_Entry!$R$3:$R$548,MATCH($X105,INDEX(LLM_Data_Entry!$A$3:$A$548&amp;"|"&amp;LLM_Data_Entry!$C$3:$C$548&amp;"|"&amp;LLM_Data_Entry!$D$3:$D$548,0),0))),"")</f>
        <v/>
      </c>
      <c r="AB105" t="inlineStr">
        <is>
          <t>price signal — only this window shows an abnormal move</t>
        </is>
      </c>
      <c r="AC105" t="inlineStr">
        <is>
          <t>UBER</t>
        </is>
      </c>
      <c r="AD105" t="inlineStr">
        <is>
          <t>2026-05-05</t>
        </is>
      </c>
      <c r="AE105" t="n">
        <v>72.95</v>
      </c>
      <c r="AF105" t="inlineStr">
        <is>
          <t>2026-05-06</t>
        </is>
      </c>
      <c r="AG105" t="n">
        <v>77.45999999999999</v>
      </c>
      <c r="AH105" t="n">
        <v>0.06182319651089226</v>
      </c>
      <c r="AI105" t="inlineStr">
        <is>
          <t>UP</t>
        </is>
      </c>
      <c r="AJ105" t="inlineStr">
        <is>
          <t>YES</t>
        </is>
      </c>
      <c r="AK105" t="n">
        <v>0.060823</v>
      </c>
      <c r="AL105">
        <f>IF($A105="","",IFERROR(INDEX(Company_List!$G$3:$G$207,MATCH($A105,Company_List!$A$3:$A$207,0)),"unassigned"))</f>
        <v/>
      </c>
      <c r="AM105" t="inlineStr">
        <is>
          <t>Phase 2/Uber/Uber-Q1-26-Earnings-Call-Transcript.pdf</t>
        </is>
      </c>
      <c r="AO105" t="inlineStr">
        <is>
          <t>unique filename match</t>
        </is>
      </c>
      <c r="AP105">
        <f>IF($A105="","",IF(COUNTIFS(LLM_Data_Entry!$A$3:$A$548,$A105)&gt;0,"YES","NO"))</f>
        <v/>
      </c>
      <c r="AQ105">
        <f>IF($A105="","",IF(COUNTIFS($A$3:$A105,$A105,$C$3:$C105,$C105,$D$3:$D105,$D105)=1,"YES","NO"))</f>
        <v/>
      </c>
      <c r="AR105">
        <f>IF($A105="","",IF(AND($C105&amp;"-"&amp;$D105&gt;=Settings!$B$19,$C105&amp;"-"&amp;$D105&lt;=Settings!$B$20),"IN","OUT"))</f>
        <v/>
      </c>
      <c r="AS105">
        <f>IF($A105="","",IF($F105="Financial Results","financials",IF($F105="Outlook/Guidance","guidance",IF($F105="Transcript Q&amp;A","qanda",IF($F105="","unrecorded",IF($E105="All","full",IF($E105="","unrecorded",LOWER($E105)&amp;" only")))))))</f>
        <v/>
      </c>
      <c r="AT105">
        <f>IF(AND(OR($J105="BUY",$J105="SELL"),ISNUMBER($U105)),$U105,"")</f>
        <v/>
      </c>
      <c r="AU105">
        <f>IF(AND(OR($J105="BUY",$J105="SELL"),ISNUMBER($AK105)),$AK105,"")</f>
        <v/>
      </c>
      <c r="AV105">
        <f>IF(ISNUMBER($AT105),ABS(IF(ISNUMBER($I105),$I105,0)-Settings!$B$24),"")</f>
        <v/>
      </c>
      <c r="AW105">
        <f>IF(ISNUMBER($AV105),$AV105*$AT105,"")</f>
        <v/>
      </c>
      <c r="AX105">
        <f>IF(ISNUMBER($AU105),ABS(IF(ISNUMBER($I105),$I105,0)-Settings!$B$24),"")</f>
        <v/>
      </c>
      <c r="AY105">
        <f>IF(ISNUMBER($AX105),$AX105*$AU105,"")</f>
        <v/>
      </c>
      <c r="AZ105">
        <f>IF($A105="","",IFERROR(INDEX(Company_List!$H$3:$H$207,MATCH($A105,Company_List!$A$3:$A$207,0)),"unassigned"))</f>
        <v/>
      </c>
      <c r="BC105">
        <f>IF($A105="","",IF(COUNTIFS($A$3:$A105,$A105,$C$3:$C105,$C105,$D$3:$D105,$D105,$G$3:$G105,$G105)=1,1,0))</f>
        <v/>
      </c>
      <c r="BG105" t="inlineStr">
        <is>
          <t>no</t>
        </is>
      </c>
      <c r="BK105">
        <f>IF(OR($H105&lt;&gt;"Human",$S105="",$J105="",$Y105="",$Z105=""),"",IF(EXACT(UPPER($J105),UPPER($Y105)),1,0))</f>
        <v/>
      </c>
      <c r="BL105" t="inlineStr">
        <is>
          <t>assumed - no rater record</t>
        </is>
      </c>
      <c r="BM105" t="n">
        <v>1</v>
      </c>
      <c r="BN105" t="inlineStr">
        <is>
          <t>FactSet CallStreet</t>
        </is>
      </c>
      <c r="BO105" t="inlineStr">
        <is>
          <t>licensed vendor</t>
        </is>
      </c>
      <c r="BP105" t="inlineStr">
        <is>
          <t>no</t>
        </is>
      </c>
      <c r="BQ105" t="inlineStr">
        <is>
          <t>no</t>
        </is>
      </c>
    </row>
    <row r="106" ht="16.35" customHeight="1">
      <c r="A106" s="95" t="inlineStr">
        <is>
          <t>Coinbase</t>
        </is>
      </c>
      <c r="B106" s="96">
        <f>IF(A106="","",_xlfn.XLOOKUP(A106, Company_List!$A:$A, Company_List!$B:$B, ""))</f>
        <v/>
      </c>
      <c r="C106" s="21" t="n">
        <v>2026</v>
      </c>
      <c r="D106" s="20" t="inlineStr">
        <is>
          <t>Q1</t>
        </is>
      </c>
      <c r="E106" s="19" t="inlineStr">
        <is>
          <t>All</t>
        </is>
      </c>
      <c r="F106" s="19" t="inlineStr">
        <is>
          <t>All</t>
        </is>
      </c>
      <c r="G106" s="20" t="inlineStr">
        <is>
          <t>David</t>
        </is>
      </c>
      <c r="H106" s="20" t="inlineStr">
        <is>
          <t>Human</t>
        </is>
      </c>
      <c r="I106" s="127" t="n">
        <v>0.35</v>
      </c>
      <c r="J106" s="145">
        <f>IF(OR(I106="",Settings!$B$6=""),"",IF(I106&gt;Settings!$B$6,"BUY",IF(I106&lt;-Settings!$B$6,"SELL","HOLD")))</f>
        <v/>
      </c>
      <c r="K106" s="139" t="n">
        <v>63</v>
      </c>
      <c r="L106" s="123" t="n">
        <v>46149</v>
      </c>
      <c r="M106" s="123" t="n">
        <v>46149</v>
      </c>
      <c r="N106" s="127" t="n">
        <v>192.96</v>
      </c>
      <c r="O106" s="123" t="n">
        <v>46150</v>
      </c>
      <c r="P106" s="22" t="n">
        <v>186.05</v>
      </c>
      <c r="Q106" s="148">
        <f>IF(OR(N106="",P106=""),"",ROUND((P106-N106)/N106,4))</f>
        <v/>
      </c>
      <c r="R106" s="20">
        <f>IF(OR(N106="",P106=""),"",IF(Q106&gt;Settings!$B$3/100,"UP",IF(Q106&lt;-Settings!$B$3/100,"DOWN","FLAT")))</f>
        <v/>
      </c>
      <c r="S106" s="20">
        <f>IF(OR(N106="",P106="",J106=""),"",IF(OR(AND(J106="BUY",R106="UP"),AND(J106="SELL",R106="DOWN"),AND(J106="HOLD",R106="FLAT")),"YES","NO"))</f>
        <v/>
      </c>
      <c r="T106" s="21">
        <f>IF(J106="","",IF(J106="BUY",1,IF(J106="SELL",-1,0)))</f>
        <v/>
      </c>
      <c r="U106" s="148">
        <f>IFERROR(IF(OR(J106="",N106="",P106=""),"",IF(T106=0,0,T106*Q106-Settings!$B$4/10000-IF(T106&lt;0,Settings!$B$5/10000,0))),"")</f>
        <v/>
      </c>
      <c r="V106" s="23" t="n"/>
      <c r="W106" s="21">
        <f>IF($K106="","",$K106*60)</f>
        <v/>
      </c>
      <c r="X106" s="91">
        <f>IF($A106="","",$A106&amp;"|"&amp;$C106&amp;"|"&amp;$D106)</f>
        <v/>
      </c>
      <c r="Y106" s="91">
        <f>IFERROR(IF($X106="","",INDEX(LLM_Data_Entry!$H$3:$H$548,MATCH($X106,INDEX(LLM_Data_Entry!$A$3:$A$548&amp;"|"&amp;LLM_Data_Entry!$C$3:$C$548&amp;"|"&amp;LLM_Data_Entry!$D$3:$D$548,0),0))),"")</f>
        <v/>
      </c>
      <c r="Z106" s="91">
        <f>IFERROR(IF($X106="","",INDEX(LLM_Data_Entry!$R$3:$R$548,MATCH($X106,INDEX(LLM_Data_Entry!$A$3:$A$548&amp;"|"&amp;LLM_Data_Entry!$C$3:$C$548&amp;"|"&amp;LLM_Data_Entry!$D$3:$D$548,0),0))),"")</f>
        <v/>
      </c>
      <c r="AB106" t="inlineStr">
        <is>
          <t>release date + stated time in the document (rater worksheet)</t>
        </is>
      </c>
      <c r="AC106" t="inlineStr">
        <is>
          <t>COIN</t>
        </is>
      </c>
      <c r="AD106" t="inlineStr">
        <is>
          <t>2026-05-07</t>
        </is>
      </c>
      <c r="AE106" t="n">
        <v>192.96</v>
      </c>
      <c r="AF106" t="inlineStr">
        <is>
          <t>2026-05-08</t>
        </is>
      </c>
      <c r="AG106" t="n">
        <v>186.05</v>
      </c>
      <c r="AH106" t="n">
        <v>-0.03581055011052102</v>
      </c>
      <c r="AI106" t="inlineStr">
        <is>
          <t>DOWN</t>
        </is>
      </c>
      <c r="AJ106" t="inlineStr">
        <is>
          <t>NO</t>
        </is>
      </c>
      <c r="AK106" t="n">
        <v>-0.036811</v>
      </c>
      <c r="AL106">
        <f>IF($A106="","",IFERROR(INDEX(Company_List!$G$3:$G$207,MATCH($A106,Company_List!$A$3:$A$207,0)),"unassigned"))</f>
        <v/>
      </c>
      <c r="AM106" t="inlineStr">
        <is>
          <t>Phase 2/Coin Base/2026-Q1/COIN-2026-Q1-press-release-SEC-EX-99-1.htm</t>
        </is>
      </c>
      <c r="AN106" t="inlineStr">
        <is>
          <t>https://www.sec.gov/Archives/edgar/data/1679788/000167978826000053/q126earningsdeck-finalse.htm</t>
        </is>
      </c>
      <c r="AO106" t="inlineStr">
        <is>
          <t>manifest</t>
        </is>
      </c>
      <c r="AP106">
        <f>IF($A106="","",IF(COUNTIFS(LLM_Data_Entry!$A$3:$A$548,$A106)&gt;0,"YES","NO"))</f>
        <v/>
      </c>
      <c r="AQ106">
        <f>IF($A106="","",IF(COUNTIFS($A$3:$A106,$A106,$C$3:$C106,$C106,$D$3:$D106,$D106)=1,"YES","NO"))</f>
        <v/>
      </c>
      <c r="AR106">
        <f>IF($A106="","",IF(AND($C106&amp;"-"&amp;$D106&gt;=Settings!$B$19,$C106&amp;"-"&amp;$D106&lt;=Settings!$B$20),"IN","OUT"))</f>
        <v/>
      </c>
      <c r="AS106">
        <f>IF($A106="","",IF($F106="Financial Results","financials",IF($F106="Outlook/Guidance","guidance",IF($F106="Transcript Q&amp;A","qanda",IF($F106="","unrecorded",IF($E106="All","full",IF($E106="","unrecorded",LOWER($E106)&amp;" only")))))))</f>
        <v/>
      </c>
      <c r="AT106">
        <f>IF(AND(OR($J106="BUY",$J106="SELL"),ISNUMBER($U106)),$U106,"")</f>
        <v/>
      </c>
      <c r="AU106">
        <f>IF(AND(OR($J106="BUY",$J106="SELL"),ISNUMBER($AK106)),$AK106,"")</f>
        <v/>
      </c>
      <c r="AV106">
        <f>IF(ISNUMBER($AT106),ABS(IF(ISNUMBER($I106),$I106,0)-Settings!$B$24),"")</f>
        <v/>
      </c>
      <c r="AW106">
        <f>IF(ISNUMBER($AV106),$AV106*$AT106,"")</f>
        <v/>
      </c>
      <c r="AX106">
        <f>IF(ISNUMBER($AU106),ABS(IF(ISNUMBER($I106),$I106,0)-Settings!$B$24),"")</f>
        <v/>
      </c>
      <c r="AY106">
        <f>IF(ISNUMBER($AX106),$AX106*$AU106,"")</f>
        <v/>
      </c>
      <c r="AZ106">
        <f>IF($A106="","",IFERROR(INDEX(Company_List!$H$3:$H$207,MATCH($A106,Company_List!$A$3:$A$207,0)),"unassigned"))</f>
        <v/>
      </c>
      <c r="BC106">
        <f>IF($A106="","",IF(COUNTIFS($A$3:$A106,$A106,$C$3:$C106,$C106,$D$3:$D106,$D106,$G$3:$G106,$G106)=1,1,0))</f>
        <v/>
      </c>
      <c r="BG106" t="inlineStr">
        <is>
          <t>no</t>
        </is>
      </c>
      <c r="BK106">
        <f>IF(OR($H106&lt;&gt;"Human",$S106="",$J106="",$Y106="",$Z106=""),"",IF(EXACT(UPPER($J106),UPPER($Y106)),1,0))</f>
        <v/>
      </c>
      <c r="BL106" t="inlineStr">
        <is>
          <t>assumed - no rater record</t>
        </is>
      </c>
      <c r="BM106" t="n">
        <v>1</v>
      </c>
      <c r="BN106" t="inlineStr">
        <is>
          <t>not publisher-identified</t>
        </is>
      </c>
      <c r="BO106" t="inlineStr">
        <is>
          <t>not publisher-identified</t>
        </is>
      </c>
      <c r="BP106" t="inlineStr">
        <is>
          <t>no</t>
        </is>
      </c>
      <c r="BQ106" t="inlineStr">
        <is>
          <t>yes</t>
        </is>
      </c>
      <c r="BR106" t="inlineStr">
        <is>
          <t>filled 11 Aug 2026 from the corpus manifest: the company-quarter holds exactly one document and the manifest carries its release date</t>
        </is>
      </c>
    </row>
    <row r="107" ht="16.35" customHeight="1">
      <c r="A107" s="95" t="inlineStr">
        <is>
          <t>Coinbase</t>
        </is>
      </c>
      <c r="B107" s="96">
        <f>IF(A107="","",_xlfn.XLOOKUP(A107, Company_List!$A:$A, Company_List!$B:$B, ""))</f>
        <v/>
      </c>
      <c r="C107" s="21" t="n">
        <v>2025</v>
      </c>
      <c r="D107" s="20" t="inlineStr">
        <is>
          <t>Q3</t>
        </is>
      </c>
      <c r="E107" s="19" t="inlineStr">
        <is>
          <t>All</t>
        </is>
      </c>
      <c r="F107" s="19" t="inlineStr">
        <is>
          <t>All</t>
        </is>
      </c>
      <c r="G107" s="20" t="inlineStr">
        <is>
          <t>David</t>
        </is>
      </c>
      <c r="H107" s="20" t="inlineStr">
        <is>
          <t>Human</t>
        </is>
      </c>
      <c r="I107" s="127" t="n">
        <v>0.6</v>
      </c>
      <c r="J107" s="145">
        <f>IF(OR(I107="",Settings!$B$6=""),"",IF(I107&gt;Settings!$B$6,"BUY",IF(I107&lt;-Settings!$B$6,"SELL","HOLD")))</f>
        <v/>
      </c>
      <c r="K107" s="139" t="n">
        <v>49</v>
      </c>
      <c r="L107" s="123" t="n">
        <v>45960</v>
      </c>
      <c r="M107" s="123" t="n">
        <v>45960</v>
      </c>
      <c r="N107" s="127" t="n">
        <v>328.51</v>
      </c>
      <c r="O107" s="123" t="n">
        <v>45961</v>
      </c>
      <c r="P107" s="22" t="n">
        <v>336</v>
      </c>
      <c r="Q107" s="148">
        <f>IF(OR(N107="",P107=""),"",ROUND((P107-N107)/N107,4))</f>
        <v/>
      </c>
      <c r="R107" s="20">
        <f>IF(OR(N107="",P107=""),"",IF(Q107&gt;Settings!$B$3/100,"UP",IF(Q107&lt;-Settings!$B$3/100,"DOWN","FLAT")))</f>
        <v/>
      </c>
      <c r="S107" s="20">
        <f>IF(OR(N107="",P107="",J107=""),"",IF(OR(AND(J107="BUY",R107="UP"),AND(J107="SELL",R107="DOWN"),AND(J107="HOLD",R107="FLAT")),"YES","NO"))</f>
        <v/>
      </c>
      <c r="T107" s="21">
        <f>IF(J107="","",IF(J107="BUY",1,IF(J107="SELL",-1,0)))</f>
        <v/>
      </c>
      <c r="U107" s="148">
        <f>IFERROR(IF(OR(J107="",N107="",P107=""),"",IF(T107=0,0,T107*Q107-Settings!$B$4/10000-IF(T107&lt;0,Settings!$B$5/10000,0))),"")</f>
        <v/>
      </c>
      <c r="V107" s="23" t="n"/>
      <c r="W107" s="21">
        <f>IF($K107="","",$K107*60)</f>
        <v/>
      </c>
      <c r="X107" s="91">
        <f>IF($A107="","",$A107&amp;"|"&amp;$C107&amp;"|"&amp;$D107)</f>
        <v/>
      </c>
      <c r="Y107" s="91">
        <f>IFERROR(IF($X107="","",INDEX(LLM_Data_Entry!$H$3:$H$548,MATCH($X107,INDEX(LLM_Data_Entry!$A$3:$A$548&amp;"|"&amp;LLM_Data_Entry!$C$3:$C$548&amp;"|"&amp;LLM_Data_Entry!$D$3:$D$548,0),0))),"")</f>
        <v/>
      </c>
      <c r="Z107" s="91">
        <f>IFERROR(IF($X107="","",INDEX(LLM_Data_Entry!$R$3:$R$548,MATCH($X107,INDEX(LLM_Data_Entry!$A$3:$A$548&amp;"|"&amp;LLM_Data_Entry!$C$3:$C$548&amp;"|"&amp;LLM_Data_Entry!$D$3:$D$548,0),0))),"")</f>
        <v/>
      </c>
      <c r="AB107" t="inlineStr">
        <is>
          <t>release date + stated time in the document (rater worksheet)</t>
        </is>
      </c>
      <c r="AC107" t="inlineStr">
        <is>
          <t>COIN</t>
        </is>
      </c>
      <c r="AD107" t="inlineStr">
        <is>
          <t>2025-10-30</t>
        </is>
      </c>
      <c r="AE107" t="n">
        <v>328.51</v>
      </c>
      <c r="AF107" t="inlineStr">
        <is>
          <t>2025-10-31</t>
        </is>
      </c>
      <c r="AG107" t="n">
        <v>336</v>
      </c>
      <c r="AH107" t="n">
        <v>0.02279988363216079</v>
      </c>
      <c r="AI107" t="inlineStr">
        <is>
          <t>UP</t>
        </is>
      </c>
      <c r="AJ107" t="inlineStr">
        <is>
          <t>YES</t>
        </is>
      </c>
      <c r="AK107" t="n">
        <v>0.0218</v>
      </c>
      <c r="AL107">
        <f>IF($A107="","",IFERROR(INDEX(Company_List!$G$3:$G$207,MATCH($A107,Company_List!$A$3:$A$207,0)),"unassigned"))</f>
        <v/>
      </c>
      <c r="AM107" t="inlineStr">
        <is>
          <t>Phase 2/Coin Base/2025-Q3/COIN-2025-Q3-press-release-SEC-EX-99-1.htm</t>
        </is>
      </c>
      <c r="AN107" t="inlineStr">
        <is>
          <t>https://www.sec.gov/Archives/edgar/data/1679788/000167978825000207/q325shareholderletter.htm</t>
        </is>
      </c>
      <c r="AO107" t="inlineStr">
        <is>
          <t>manifest</t>
        </is>
      </c>
      <c r="AP107">
        <f>IF($A107="","",IF(COUNTIFS(LLM_Data_Entry!$A$3:$A$548,$A107)&gt;0,"YES","NO"))</f>
        <v/>
      </c>
      <c r="AQ107">
        <f>IF($A107="","",IF(COUNTIFS($A$3:$A107,$A107,$C$3:$C107,$C107,$D$3:$D107,$D107)=1,"YES","NO"))</f>
        <v/>
      </c>
      <c r="AR107">
        <f>IF($A107="","",IF(AND($C107&amp;"-"&amp;$D107&gt;=Settings!$B$19,$C107&amp;"-"&amp;$D107&lt;=Settings!$B$20),"IN","OUT"))</f>
        <v/>
      </c>
      <c r="AS107">
        <f>IF($A107="","",IF($F107="Financial Results","financials",IF($F107="Outlook/Guidance","guidance",IF($F107="Transcript Q&amp;A","qanda",IF($F107="","unrecorded",IF($E107="All","full",IF($E107="","unrecorded",LOWER($E107)&amp;" only")))))))</f>
        <v/>
      </c>
      <c r="AT107">
        <f>IF(AND(OR($J107="BUY",$J107="SELL"),ISNUMBER($U107)),$U107,"")</f>
        <v/>
      </c>
      <c r="AU107">
        <f>IF(AND(OR($J107="BUY",$J107="SELL"),ISNUMBER($AK107)),$AK107,"")</f>
        <v/>
      </c>
      <c r="AV107">
        <f>IF(ISNUMBER($AT107),ABS(IF(ISNUMBER($I107),$I107,0)-Settings!$B$24),"")</f>
        <v/>
      </c>
      <c r="AW107">
        <f>IF(ISNUMBER($AV107),$AV107*$AT107,"")</f>
        <v/>
      </c>
      <c r="AX107">
        <f>IF(ISNUMBER($AU107),ABS(IF(ISNUMBER($I107),$I107,0)-Settings!$B$24),"")</f>
        <v/>
      </c>
      <c r="AY107">
        <f>IF(ISNUMBER($AX107),$AX107*$AU107,"")</f>
        <v/>
      </c>
      <c r="AZ107">
        <f>IF($A107="","",IFERROR(INDEX(Company_List!$H$3:$H$207,MATCH($A107,Company_List!$A$3:$A$207,0)),"unassigned"))</f>
        <v/>
      </c>
      <c r="BC107">
        <f>IF($A107="","",IF(COUNTIFS($A$3:$A107,$A107,$C$3:$C107,$C107,$D$3:$D107,$D107,$G$3:$G107,$G107)=1,1,0))</f>
        <v/>
      </c>
      <c r="BG107" t="inlineStr">
        <is>
          <t>no</t>
        </is>
      </c>
      <c r="BK107">
        <f>IF(OR($H107&lt;&gt;"Human",$S107="",$J107="",$Y107="",$Z107=""),"",IF(EXACT(UPPER($J107),UPPER($Y107)),1,0))</f>
        <v/>
      </c>
      <c r="BL107" t="inlineStr">
        <is>
          <t>assumed - no rater record</t>
        </is>
      </c>
      <c r="BM107" t="n">
        <v>1</v>
      </c>
      <c r="BN107" t="inlineStr">
        <is>
          <t>not publisher-identified</t>
        </is>
      </c>
      <c r="BO107" t="inlineStr">
        <is>
          <t>not publisher-identified</t>
        </is>
      </c>
      <c r="BP107" t="inlineStr">
        <is>
          <t>no</t>
        </is>
      </c>
      <c r="BQ107" t="inlineStr">
        <is>
          <t>yes</t>
        </is>
      </c>
      <c r="BR107" t="inlineStr">
        <is>
          <t>filled 11 Aug 2026 from the corpus manifest: the company-quarter holds exactly one document and the manifest carries its release date</t>
        </is>
      </c>
    </row>
    <row r="108" ht="16.35" customHeight="1">
      <c r="A108" s="95" t="inlineStr">
        <is>
          <t>Coinbase</t>
        </is>
      </c>
      <c r="B108" s="96">
        <f>IF(A108="","",_xlfn.XLOOKUP(A108, Company_List!$A:$A, Company_List!$B:$B, ""))</f>
        <v/>
      </c>
      <c r="C108" s="21" t="n">
        <v>2025</v>
      </c>
      <c r="D108" s="20" t="inlineStr">
        <is>
          <t>Q4</t>
        </is>
      </c>
      <c r="E108" s="19" t="inlineStr">
        <is>
          <t>All</t>
        </is>
      </c>
      <c r="F108" s="19" t="inlineStr">
        <is>
          <t>All</t>
        </is>
      </c>
      <c r="G108" s="20" t="inlineStr">
        <is>
          <t>David</t>
        </is>
      </c>
      <c r="H108" s="20" t="inlineStr">
        <is>
          <t>Human</t>
        </is>
      </c>
      <c r="I108" s="127" t="n">
        <v>-0.1</v>
      </c>
      <c r="J108" s="145">
        <f>IF(OR(I108="",Settings!$B$6=""),"",IF(I108&gt;Settings!$B$6,"BUY",IF(I108&lt;-Settings!$B$6,"SELL","HOLD")))</f>
        <v/>
      </c>
      <c r="K108" s="139" t="n">
        <v>42</v>
      </c>
      <c r="L108" s="123" t="n">
        <v>46065</v>
      </c>
      <c r="M108" s="123" t="n">
        <v>46065</v>
      </c>
      <c r="N108" s="127" t="n">
        <v>141.09</v>
      </c>
      <c r="O108" s="123" t="n">
        <v>46066</v>
      </c>
      <c r="P108" s="22" t="n">
        <v>153.7</v>
      </c>
      <c r="Q108" s="148">
        <f>IF(OR(N108="",P108=""),"",ROUND((P108-N108)/N108,4))</f>
        <v/>
      </c>
      <c r="R108" s="20">
        <f>IF(OR(N108="",P108=""),"",IF(Q108&gt;Settings!$B$3/100,"UP",IF(Q108&lt;-Settings!$B$3/100,"DOWN","FLAT")))</f>
        <v/>
      </c>
      <c r="S108" s="20">
        <f>IF(OR(N108="",P108="",J108=""),"",IF(OR(AND(J108="BUY",R108="UP"),AND(J108="SELL",R108="DOWN"),AND(J108="HOLD",R108="FLAT")),"YES","NO"))</f>
        <v/>
      </c>
      <c r="T108" s="21">
        <f>IF(J108="","",IF(J108="BUY",1,IF(J108="SELL",-1,0)))</f>
        <v/>
      </c>
      <c r="U108" s="148">
        <f>IFERROR(IF(OR(J108="",N108="",P108=""),"",IF(T108=0,0,T108*Q108-Settings!$B$4/10000-IF(T108&lt;0,Settings!$B$5/10000,0))),"")</f>
        <v/>
      </c>
      <c r="V108" s="23" t="n"/>
      <c r="W108" s="21">
        <f>IF($K108="","",$K108*60)</f>
        <v/>
      </c>
      <c r="X108" s="91">
        <f>IF($A108="","",$A108&amp;"|"&amp;$C108&amp;"|"&amp;$D108)</f>
        <v/>
      </c>
      <c r="Y108" s="91">
        <f>IFERROR(IF($X108="","",INDEX(LLM_Data_Entry!$H$3:$H$548,MATCH($X108,INDEX(LLM_Data_Entry!$A$3:$A$548&amp;"|"&amp;LLM_Data_Entry!$C$3:$C$548&amp;"|"&amp;LLM_Data_Entry!$D$3:$D$548,0),0))),"")</f>
        <v/>
      </c>
      <c r="Z108" s="91">
        <f>IFERROR(IF($X108="","",INDEX(LLM_Data_Entry!$R$3:$R$548,MATCH($X108,INDEX(LLM_Data_Entry!$A$3:$A$548&amp;"|"&amp;LLM_Data_Entry!$C$3:$C$548&amp;"|"&amp;LLM_Data_Entry!$D$3:$D$548,0),0))),"")</f>
        <v/>
      </c>
      <c r="AB108" t="inlineStr">
        <is>
          <t>release date + stated time in the document (rater worksheet)</t>
        </is>
      </c>
      <c r="AC108" t="inlineStr">
        <is>
          <t>COIN</t>
        </is>
      </c>
      <c r="AD108" t="inlineStr">
        <is>
          <t>2026-02-12</t>
        </is>
      </c>
      <c r="AE108" t="n">
        <v>141.09</v>
      </c>
      <c r="AF108" t="inlineStr">
        <is>
          <t>2026-02-13</t>
        </is>
      </c>
      <c r="AG108" t="n">
        <v>153.7</v>
      </c>
      <c r="AH108" t="n">
        <v>0.08937558549509053</v>
      </c>
      <c r="AI108" t="inlineStr">
        <is>
          <t>UP</t>
        </is>
      </c>
      <c r="AJ108" t="inlineStr">
        <is>
          <t>NO</t>
        </is>
      </c>
      <c r="AK108" t="n">
        <v>0</v>
      </c>
      <c r="AL108">
        <f>IF($A108="","",IFERROR(INDEX(Company_List!$G$3:$G$207,MATCH($A108,Company_List!$A$3:$A$207,0)),"unassigned"))</f>
        <v/>
      </c>
      <c r="AM108" t="inlineStr">
        <is>
          <t>Phase 2/Coin Base/2025-Q4/COIN-2025-Q4-press-release-SEC-EX-99-1.htm</t>
        </is>
      </c>
      <c r="AN108" t="inlineStr">
        <is>
          <t>https://www.sec.gov/Archives/edgar/data/1679788/000167978826000011/q425shareholderletter.htm</t>
        </is>
      </c>
      <c r="AO108" t="inlineStr">
        <is>
          <t>manifest</t>
        </is>
      </c>
      <c r="AP108">
        <f>IF($A108="","",IF(COUNTIFS(LLM_Data_Entry!$A$3:$A$548,$A108)&gt;0,"YES","NO"))</f>
        <v/>
      </c>
      <c r="AQ108">
        <f>IF($A108="","",IF(COUNTIFS($A$3:$A108,$A108,$C$3:$C108,$C108,$D$3:$D108,$D108)=1,"YES","NO"))</f>
        <v/>
      </c>
      <c r="AR108">
        <f>IF($A108="","",IF(AND($C108&amp;"-"&amp;$D108&gt;=Settings!$B$19,$C108&amp;"-"&amp;$D108&lt;=Settings!$B$20),"IN","OUT"))</f>
        <v/>
      </c>
      <c r="AS108">
        <f>IF($A108="","",IF($F108="Financial Results","financials",IF($F108="Outlook/Guidance","guidance",IF($F108="Transcript Q&amp;A","qanda",IF($F108="","unrecorded",IF($E108="All","full",IF($E108="","unrecorded",LOWER($E108)&amp;" only")))))))</f>
        <v/>
      </c>
      <c r="AT108">
        <f>IF(AND(OR($J108="BUY",$J108="SELL"),ISNUMBER($U108)),$U108,"")</f>
        <v/>
      </c>
      <c r="AU108">
        <f>IF(AND(OR($J108="BUY",$J108="SELL"),ISNUMBER($AK108)),$AK108,"")</f>
        <v/>
      </c>
      <c r="AV108">
        <f>IF(ISNUMBER($AT108),ABS(IF(ISNUMBER($I108),$I108,0)-Settings!$B$24),"")</f>
        <v/>
      </c>
      <c r="AW108">
        <f>IF(ISNUMBER($AV108),$AV108*$AT108,"")</f>
        <v/>
      </c>
      <c r="AX108">
        <f>IF(ISNUMBER($AU108),ABS(IF(ISNUMBER($I108),$I108,0)-Settings!$B$24),"")</f>
        <v/>
      </c>
      <c r="AY108">
        <f>IF(ISNUMBER($AX108),$AX108*$AU108,"")</f>
        <v/>
      </c>
      <c r="AZ108">
        <f>IF($A108="","",IFERROR(INDEX(Company_List!$H$3:$H$207,MATCH($A108,Company_List!$A$3:$A$207,0)),"unassigned"))</f>
        <v/>
      </c>
      <c r="BC108">
        <f>IF($A108="","",IF(COUNTIFS($A$3:$A108,$A108,$C$3:$C108,$C108,$D$3:$D108,$D108,$G$3:$G108,$G108)=1,1,0))</f>
        <v/>
      </c>
      <c r="BG108" t="inlineStr">
        <is>
          <t>no</t>
        </is>
      </c>
      <c r="BK108">
        <f>IF(OR($H108&lt;&gt;"Human",$S108="",$J108="",$Y108="",$Z108=""),"",IF(EXACT(UPPER($J108),UPPER($Y108)),1,0))</f>
        <v/>
      </c>
      <c r="BL108" t="inlineStr">
        <is>
          <t>assumed - no rater record</t>
        </is>
      </c>
      <c r="BM108" t="n">
        <v>1</v>
      </c>
      <c r="BN108" t="inlineStr">
        <is>
          <t>not publisher-identified</t>
        </is>
      </c>
      <c r="BO108" t="inlineStr">
        <is>
          <t>not publisher-identified</t>
        </is>
      </c>
      <c r="BP108" t="inlineStr">
        <is>
          <t>no</t>
        </is>
      </c>
      <c r="BQ108" t="inlineStr">
        <is>
          <t>yes</t>
        </is>
      </c>
      <c r="BR108" t="inlineStr">
        <is>
          <t>filled 11 Aug 2026 from the corpus manifest: the company-quarter holds exactly one document and the manifest carries its release date</t>
        </is>
      </c>
    </row>
    <row r="109" ht="16.35" customHeight="1">
      <c r="A109" s="95" t="inlineStr">
        <is>
          <t>Eli Lilly</t>
        </is>
      </c>
      <c r="B109" s="96">
        <f>IF(A109="","",_xlfn.XLOOKUP(A109, Company_List!$A:$A, Company_List!$B:$B, ""))</f>
        <v/>
      </c>
      <c r="C109" s="21" t="n">
        <v>2026</v>
      </c>
      <c r="D109" s="20" t="inlineStr">
        <is>
          <t>Q1</t>
        </is>
      </c>
      <c r="E109" s="19" t="inlineStr">
        <is>
          <t>All</t>
        </is>
      </c>
      <c r="F109" s="19" t="inlineStr">
        <is>
          <t>All</t>
        </is>
      </c>
      <c r="G109" s="20" t="inlineStr">
        <is>
          <t>David</t>
        </is>
      </c>
      <c r="H109" s="20" t="inlineStr">
        <is>
          <t>Human</t>
        </is>
      </c>
      <c r="I109" s="127" t="n">
        <v>0.85</v>
      </c>
      <c r="J109" s="145">
        <f>IF(OR(I109="",Settings!$B$6=""),"",IF(I109&gt;Settings!$B$6,"BUY",IF(I109&lt;-Settings!$B$6,"SELL","HOLD")))</f>
        <v/>
      </c>
      <c r="K109" s="139" t="n">
        <v>68</v>
      </c>
      <c r="L109" s="123" t="n">
        <v>46142</v>
      </c>
      <c r="M109" s="123" t="n">
        <v>46141</v>
      </c>
      <c r="N109" s="127" t="n">
        <v>851.21</v>
      </c>
      <c r="O109" s="123" t="n">
        <v>46142</v>
      </c>
      <c r="P109" s="22" t="n">
        <v>898.78</v>
      </c>
      <c r="Q109" s="148">
        <f>IF(OR(N109="",P109=""),"",ROUND((P109-N109)/N109,4))</f>
        <v/>
      </c>
      <c r="R109" s="20">
        <f>IF(OR(N109="",P109=""),"",IF(Q109&gt;Settings!$B$3/100,"UP",IF(Q109&lt;-Settings!$B$3/100,"DOWN","FLAT")))</f>
        <v/>
      </c>
      <c r="S109" s="20">
        <f>IF(OR(N109="",P109="",J109=""),"",IF(OR(AND(J109="BUY",R109="UP"),AND(J109="SELL",R109="DOWN"),AND(J109="HOLD",R109="FLAT")),"YES","NO"))</f>
        <v/>
      </c>
      <c r="T109" s="21">
        <f>IF(J109="","",IF(J109="BUY",1,IF(J109="SELL",-1,0)))</f>
        <v/>
      </c>
      <c r="U109" s="148">
        <f>IFERROR(IF(OR(J109="",N109="",P109=""),"",IF(T109=0,0,T109*Q109-Settings!$B$4/10000-IF(T109&lt;0,Settings!$B$5/10000,0))),"")</f>
        <v/>
      </c>
      <c r="V109" s="23" t="n"/>
      <c r="W109" s="21">
        <f>IF($K109="","",$K109*60)</f>
        <v/>
      </c>
      <c r="X109" s="91">
        <f>IF($A109="","",$A109&amp;"|"&amp;$C109&amp;"|"&amp;$D109)</f>
        <v/>
      </c>
      <c r="Y109" s="91">
        <f>IFERROR(IF($X109="","",INDEX(LLM_Data_Entry!$H$3:$H$548,MATCH($X109,INDEX(LLM_Data_Entry!$A$3:$A$548&amp;"|"&amp;LLM_Data_Entry!$C$3:$C$548&amp;"|"&amp;LLM_Data_Entry!$D$3:$D$548,0),0))),"")</f>
        <v/>
      </c>
      <c r="Z109" s="91">
        <f>IFERROR(IF($X109="","",INDEX(LLM_Data_Entry!$R$3:$R$548,MATCH($X109,INDEX(LLM_Data_Entry!$A$3:$A$548&amp;"|"&amp;LLM_Data_Entry!$C$3:$C$548&amp;"|"&amp;LLM_Data_Entry!$D$3:$D$548,0),0))),"")</f>
        <v/>
      </c>
      <c r="AB109" t="inlineStr">
        <is>
          <t>release date + stated time in the document (rater worksheet)</t>
        </is>
      </c>
      <c r="AC109" t="inlineStr">
        <is>
          <t>LLY</t>
        </is>
      </c>
      <c r="AD109" t="inlineStr">
        <is>
          <t>2026-04-29</t>
        </is>
      </c>
      <c r="AE109" t="n">
        <v>849.7473</v>
      </c>
      <c r="AF109" t="inlineStr">
        <is>
          <t>2026-04-30</t>
        </is>
      </c>
      <c r="AG109" t="n">
        <v>897.2355</v>
      </c>
      <c r="AH109" t="n">
        <v>0.05588514850647311</v>
      </c>
      <c r="AI109" t="inlineStr">
        <is>
          <t>UP</t>
        </is>
      </c>
      <c r="AJ109" t="inlineStr">
        <is>
          <t>YES</t>
        </is>
      </c>
      <c r="AK109" t="n">
        <v>0.054885</v>
      </c>
      <c r="AL109">
        <f>IF($A109="","",IFERROR(INDEX(Company_List!$G$3:$G$207,MATCH($A109,Company_List!$A$3:$A$207,0)),"unassigned"))</f>
        <v/>
      </c>
      <c r="AM109" t="inlineStr">
        <is>
          <t>Phase 2/Eli Lilly/2026-Q1/LLY-2026-Q1-press-release-SEC-EX-99.htm</t>
        </is>
      </c>
      <c r="AN109" t="inlineStr">
        <is>
          <t>https://www.sec.gov/Archives/edgar/data/59478/000005947826000043/q126lillysalesandearningsp.htm</t>
        </is>
      </c>
      <c r="AO109" t="inlineStr">
        <is>
          <t>manifest</t>
        </is>
      </c>
      <c r="AP109">
        <f>IF($A109="","",IF(COUNTIFS(LLM_Data_Entry!$A$3:$A$548,$A109)&gt;0,"YES","NO"))</f>
        <v/>
      </c>
      <c r="AQ109">
        <f>IF($A109="","",IF(COUNTIFS($A$3:$A109,$A109,$C$3:$C109,$C109,$D$3:$D109,$D109)=1,"YES","NO"))</f>
        <v/>
      </c>
      <c r="AR109">
        <f>IF($A109="","",IF(AND($C109&amp;"-"&amp;$D109&gt;=Settings!$B$19,$C109&amp;"-"&amp;$D109&lt;=Settings!$B$20),"IN","OUT"))</f>
        <v/>
      </c>
      <c r="AS109">
        <f>IF($A109="","",IF($F109="Financial Results","financials",IF($F109="Outlook/Guidance","guidance",IF($F109="Transcript Q&amp;A","qanda",IF($F109="","unrecorded",IF($E109="All","full",IF($E109="","unrecorded",LOWER($E109)&amp;" only")))))))</f>
        <v/>
      </c>
      <c r="AT109">
        <f>IF(AND(OR($J109="BUY",$J109="SELL"),ISNUMBER($U109)),$U109,"")</f>
        <v/>
      </c>
      <c r="AU109">
        <f>IF(AND(OR($J109="BUY",$J109="SELL"),ISNUMBER($AK109)),$AK109,"")</f>
        <v/>
      </c>
      <c r="AV109">
        <f>IF(ISNUMBER($AT109),ABS(IF(ISNUMBER($I109),$I109,0)-Settings!$B$24),"")</f>
        <v/>
      </c>
      <c r="AW109">
        <f>IF(ISNUMBER($AV109),$AV109*$AT109,"")</f>
        <v/>
      </c>
      <c r="AX109">
        <f>IF(ISNUMBER($AU109),ABS(IF(ISNUMBER($I109),$I109,0)-Settings!$B$24),"")</f>
        <v/>
      </c>
      <c r="AY109">
        <f>IF(ISNUMBER($AX109),$AX109*$AU109,"")</f>
        <v/>
      </c>
      <c r="AZ109">
        <f>IF($A109="","",IFERROR(INDEX(Company_List!$H$3:$H$207,MATCH($A109,Company_List!$A$3:$A$207,0)),"unassigned"))</f>
        <v/>
      </c>
      <c r="BC109">
        <f>IF($A109="","",IF(COUNTIFS($A$3:$A109,$A109,$C$3:$C109,$C109,$D$3:$D109,$D109,$G$3:$G109,$G109)=1,1,0))</f>
        <v/>
      </c>
      <c r="BG109" t="inlineStr">
        <is>
          <t>no</t>
        </is>
      </c>
      <c r="BK109">
        <f>IF(OR($H109&lt;&gt;"Human",$S109="",$J109="",$Y109="",$Z109=""),"",IF(EXACT(UPPER($J109),UPPER($Y109)),1,0))</f>
        <v/>
      </c>
      <c r="BL109" t="inlineStr">
        <is>
          <t>assumed - no rater record</t>
        </is>
      </c>
      <c r="BM109" t="n">
        <v>1</v>
      </c>
      <c r="BN109" t="inlineStr">
        <is>
          <t>not publisher-identified</t>
        </is>
      </c>
      <c r="BO109" t="inlineStr">
        <is>
          <t>not publisher-identified</t>
        </is>
      </c>
      <c r="BP109" t="inlineStr">
        <is>
          <t>no</t>
        </is>
      </c>
      <c r="BQ109" t="inlineStr">
        <is>
          <t>yes</t>
        </is>
      </c>
      <c r="BR109" t="inlineStr">
        <is>
          <t>filled 11 Aug 2026 from the corpus manifest: the company-quarter holds exactly one document and the manifest carries its release date</t>
        </is>
      </c>
    </row>
    <row r="110" ht="16.35" customHeight="1">
      <c r="A110" s="95" t="inlineStr">
        <is>
          <t>Eli Lilly</t>
        </is>
      </c>
      <c r="B110" s="96">
        <f>IF(A110="","",_xlfn.XLOOKUP(A110, Company_List!$A:$A, Company_List!$B:$B, ""))</f>
        <v/>
      </c>
      <c r="C110" s="21" t="n">
        <v>2025</v>
      </c>
      <c r="D110" s="20" t="inlineStr">
        <is>
          <t>Q3</t>
        </is>
      </c>
      <c r="E110" s="19" t="inlineStr">
        <is>
          <t>All</t>
        </is>
      </c>
      <c r="F110" s="19" t="inlineStr">
        <is>
          <t>All</t>
        </is>
      </c>
      <c r="G110" s="20" t="inlineStr">
        <is>
          <t>David</t>
        </is>
      </c>
      <c r="H110" s="20" t="inlineStr">
        <is>
          <t>Human</t>
        </is>
      </c>
      <c r="I110" s="127" t="n">
        <v>-0.35</v>
      </c>
      <c r="J110" s="145">
        <f>IF(OR(I110="",Settings!$B$6=""),"",IF(I110&gt;Settings!$B$6,"BUY",IF(I110&lt;-Settings!$B$6,"SELL","HOLD")))</f>
        <v/>
      </c>
      <c r="K110" s="139" t="n">
        <v>61</v>
      </c>
      <c r="L110" s="123" t="n">
        <v>45960</v>
      </c>
      <c r="M110" s="123" t="n">
        <v>45959</v>
      </c>
      <c r="N110" s="127" t="n">
        <v>813.53</v>
      </c>
      <c r="O110" s="123" t="n">
        <v>45960</v>
      </c>
      <c r="P110" s="22" t="n">
        <v>837.5</v>
      </c>
      <c r="Q110" s="148">
        <f>IF(OR(N110="",P110=""),"",ROUND((P110-N110)/N110,4))</f>
        <v/>
      </c>
      <c r="R110" s="20">
        <f>IF(OR(N110="",P110=""),"",IF(Q110&gt;Settings!$B$3/100,"UP",IF(Q110&lt;-Settings!$B$3/100,"DOWN","FLAT")))</f>
        <v/>
      </c>
      <c r="S110" s="20">
        <f>IF(OR(N110="",P110="",J110=""),"",IF(OR(AND(J110="BUY",R110="UP"),AND(J110="SELL",R110="DOWN"),AND(J110="HOLD",R110="FLAT")),"YES","NO"))</f>
        <v/>
      </c>
      <c r="T110" s="21">
        <f>IF(J110="","",IF(J110="BUY",1,IF(J110="SELL",-1,0)))</f>
        <v/>
      </c>
      <c r="U110" s="148">
        <f>IFERROR(IF(OR(J110="",N110="",P110=""),"",IF(T110=0,0,T110*Q110-Settings!$B$4/10000-IF(T110&lt;0,Settings!$B$5/10000,0))),"")</f>
        <v/>
      </c>
      <c r="V110" s="23" t="n"/>
      <c r="W110" s="21">
        <f>IF($K110="","",$K110*60)</f>
        <v/>
      </c>
      <c r="X110" s="91">
        <f>IF($A110="","",$A110&amp;"|"&amp;$C110&amp;"|"&amp;$D110)</f>
        <v/>
      </c>
      <c r="Y110" s="91">
        <f>IFERROR(IF($X110="","",INDEX(LLM_Data_Entry!$H$3:$H$548,MATCH($X110,INDEX(LLM_Data_Entry!$A$3:$A$548&amp;"|"&amp;LLM_Data_Entry!$C$3:$C$548&amp;"|"&amp;LLM_Data_Entry!$D$3:$D$548,0),0))),"")</f>
        <v/>
      </c>
      <c r="Z110" s="91">
        <f>IFERROR(IF($X110="","",INDEX(LLM_Data_Entry!$R$3:$R$548,MATCH($X110,INDEX(LLM_Data_Entry!$A$3:$A$548&amp;"|"&amp;LLM_Data_Entry!$C$3:$C$548&amp;"|"&amp;LLM_Data_Entry!$D$3:$D$548,0),0))),"")</f>
        <v/>
      </c>
      <c r="AB110" t="inlineStr">
        <is>
          <t>release date + stated time in the document (rater worksheet)</t>
        </is>
      </c>
      <c r="AC110" t="inlineStr">
        <is>
          <t>LLY</t>
        </is>
      </c>
      <c r="AD110" t="inlineStr">
        <is>
          <t>2025-10-29</t>
        </is>
      </c>
      <c r="AE110" t="n">
        <v>809.5898</v>
      </c>
      <c r="AF110" t="inlineStr">
        <is>
          <t>2025-10-30</t>
        </is>
      </c>
      <c r="AG110" t="n">
        <v>833.4437</v>
      </c>
      <c r="AH110" t="n">
        <v>0.02946411647138618</v>
      </c>
      <c r="AI110" t="inlineStr">
        <is>
          <t>UP</t>
        </is>
      </c>
      <c r="AJ110" t="inlineStr">
        <is>
          <t>NO</t>
        </is>
      </c>
      <c r="AK110" t="n">
        <v>-0.030464</v>
      </c>
      <c r="AL110">
        <f>IF($A110="","",IFERROR(INDEX(Company_List!$G$3:$G$207,MATCH($A110,Company_List!$A$3:$A$207,0)),"unassigned"))</f>
        <v/>
      </c>
      <c r="AM110" t="inlineStr">
        <is>
          <t>Phase 2/Eli Lilly/2025-Q3/LLY-2025-Q3-press-release-SEC-EX-99-1.htm</t>
        </is>
      </c>
      <c r="AN110" t="inlineStr">
        <is>
          <t>https://www.sec.gov/Archives/edgar/data/59478/000005947825000251/q325lillysalesandearningsp.htm</t>
        </is>
      </c>
      <c r="AO110" t="inlineStr">
        <is>
          <t>manifest</t>
        </is>
      </c>
      <c r="AP110">
        <f>IF($A110="","",IF(COUNTIFS(LLM_Data_Entry!$A$3:$A$548,$A110)&gt;0,"YES","NO"))</f>
        <v/>
      </c>
      <c r="AQ110">
        <f>IF($A110="","",IF(COUNTIFS($A$3:$A110,$A110,$C$3:$C110,$C110,$D$3:$D110,$D110)=1,"YES","NO"))</f>
        <v/>
      </c>
      <c r="AR110">
        <f>IF($A110="","",IF(AND($C110&amp;"-"&amp;$D110&gt;=Settings!$B$19,$C110&amp;"-"&amp;$D110&lt;=Settings!$B$20),"IN","OUT"))</f>
        <v/>
      </c>
      <c r="AS110">
        <f>IF($A110="","",IF($F110="Financial Results","financials",IF($F110="Outlook/Guidance","guidance",IF($F110="Transcript Q&amp;A","qanda",IF($F110="","unrecorded",IF($E110="All","full",IF($E110="","unrecorded",LOWER($E110)&amp;" only")))))))</f>
        <v/>
      </c>
      <c r="AT110">
        <f>IF(AND(OR($J110="BUY",$J110="SELL"),ISNUMBER($U110)),$U110,"")</f>
        <v/>
      </c>
      <c r="AU110">
        <f>IF(AND(OR($J110="BUY",$J110="SELL"),ISNUMBER($AK110)),$AK110,"")</f>
        <v/>
      </c>
      <c r="AV110">
        <f>IF(ISNUMBER($AT110),ABS(IF(ISNUMBER($I110),$I110,0)-Settings!$B$24),"")</f>
        <v/>
      </c>
      <c r="AW110">
        <f>IF(ISNUMBER($AV110),$AV110*$AT110,"")</f>
        <v/>
      </c>
      <c r="AX110">
        <f>IF(ISNUMBER($AU110),ABS(IF(ISNUMBER($I110),$I110,0)-Settings!$B$24),"")</f>
        <v/>
      </c>
      <c r="AY110">
        <f>IF(ISNUMBER($AX110),$AX110*$AU110,"")</f>
        <v/>
      </c>
      <c r="AZ110">
        <f>IF($A110="","",IFERROR(INDEX(Company_List!$H$3:$H$207,MATCH($A110,Company_List!$A$3:$A$207,0)),"unassigned"))</f>
        <v/>
      </c>
      <c r="BC110">
        <f>IF($A110="","",IF(COUNTIFS($A$3:$A110,$A110,$C$3:$C110,$C110,$D$3:$D110,$D110,$G$3:$G110,$G110)=1,1,0))</f>
        <v/>
      </c>
      <c r="BG110" t="inlineStr">
        <is>
          <t>no</t>
        </is>
      </c>
      <c r="BK110">
        <f>IF(OR($H110&lt;&gt;"Human",$S110="",$J110="",$Y110="",$Z110=""),"",IF(EXACT(UPPER($J110),UPPER($Y110)),1,0))</f>
        <v/>
      </c>
      <c r="BL110" t="inlineStr">
        <is>
          <t>assumed - no rater record</t>
        </is>
      </c>
      <c r="BM110" t="n">
        <v>1</v>
      </c>
      <c r="BN110" t="inlineStr">
        <is>
          <t>not publisher-identified</t>
        </is>
      </c>
      <c r="BO110" t="inlineStr">
        <is>
          <t>not publisher-identified</t>
        </is>
      </c>
      <c r="BP110" t="inlineStr">
        <is>
          <t>no</t>
        </is>
      </c>
      <c r="BQ110" t="inlineStr">
        <is>
          <t>yes</t>
        </is>
      </c>
      <c r="BR110" t="inlineStr">
        <is>
          <t>filled 11 Aug 2026 from the corpus manifest: the company-quarter holds exactly one document and the manifest carries its release date</t>
        </is>
      </c>
    </row>
    <row r="111" ht="16.35" customHeight="1">
      <c r="A111" s="95" t="inlineStr">
        <is>
          <t>Eli Lilly</t>
        </is>
      </c>
      <c r="B111" s="96">
        <f>IF(A111="","",_xlfn.XLOOKUP(A111, Company_List!$A:$A, Company_List!$B:$B, ""))</f>
        <v/>
      </c>
      <c r="C111" s="21" t="n">
        <v>2025</v>
      </c>
      <c r="D111" s="20" t="inlineStr">
        <is>
          <t>Q4</t>
        </is>
      </c>
      <c r="E111" s="19" t="inlineStr">
        <is>
          <t>All</t>
        </is>
      </c>
      <c r="F111" s="19" t="inlineStr">
        <is>
          <t>All</t>
        </is>
      </c>
      <c r="G111" s="20" t="inlineStr">
        <is>
          <t>David</t>
        </is>
      </c>
      <c r="H111" s="20" t="inlineStr">
        <is>
          <t>Human</t>
        </is>
      </c>
      <c r="I111" s="127" t="n">
        <v>0.8</v>
      </c>
      <c r="J111" s="145">
        <f>IF(OR(I111="",Settings!$B$6=""),"",IF(I111&gt;Settings!$B$6,"BUY",IF(I111&lt;-Settings!$B$6,"SELL","HOLD")))</f>
        <v/>
      </c>
      <c r="K111" s="139" t="n">
        <v>57</v>
      </c>
      <c r="L111" s="123" t="n">
        <v>46057</v>
      </c>
      <c r="M111" s="123" t="n">
        <v>46056</v>
      </c>
      <c r="N111" s="127" t="n">
        <v>1003.46</v>
      </c>
      <c r="O111" s="123" t="n">
        <v>46057</v>
      </c>
      <c r="P111" s="22" t="n">
        <v>1075.12</v>
      </c>
      <c r="Q111" s="148">
        <f>IF(OR(N111="",P111=""),"",ROUND((P111-N111)/N111,4))</f>
        <v/>
      </c>
      <c r="R111" s="20">
        <f>IF(OR(N111="",P111=""),"",IF(Q111&gt;Settings!$B$3/100,"UP",IF(Q111&lt;-Settings!$B$3/100,"DOWN","FLAT")))</f>
        <v/>
      </c>
      <c r="S111" s="20">
        <f>IF(OR(N111="",P111="",J111=""),"",IF(OR(AND(J111="BUY",R111="UP"),AND(J111="SELL",R111="DOWN"),AND(J111="HOLD",R111="FLAT")),"YES","NO"))</f>
        <v/>
      </c>
      <c r="T111" s="21">
        <f>IF(J111="","",IF(J111="BUY",1,IF(J111="SELL",-1,0)))</f>
        <v/>
      </c>
      <c r="U111" s="148">
        <f>IFERROR(IF(OR(J111="",N111="",P111=""),"",IF(T111=0,0,T111*Q111-Settings!$B$4/10000-IF(T111&lt;0,Settings!$B$5/10000,0))),"")</f>
        <v/>
      </c>
      <c r="V111" s="23" t="n"/>
      <c r="W111" s="21">
        <f>IF($K111="","",$K111*60)</f>
        <v/>
      </c>
      <c r="X111" s="91">
        <f>IF($A111="","",$A111&amp;"|"&amp;$C111&amp;"|"&amp;$D111)</f>
        <v/>
      </c>
      <c r="Y111" s="91">
        <f>IFERROR(IF($X111="","",INDEX(LLM_Data_Entry!$H$3:$H$548,MATCH($X111,INDEX(LLM_Data_Entry!$A$3:$A$548&amp;"|"&amp;LLM_Data_Entry!$C$3:$C$548&amp;"|"&amp;LLM_Data_Entry!$D$3:$D$548,0),0))),"")</f>
        <v/>
      </c>
      <c r="Z111" s="91">
        <f>IFERROR(IF($X111="","",INDEX(LLM_Data_Entry!$R$3:$R$548,MATCH($X111,INDEX(LLM_Data_Entry!$A$3:$A$548&amp;"|"&amp;LLM_Data_Entry!$C$3:$C$548&amp;"|"&amp;LLM_Data_Entry!$D$3:$D$548,0),0))),"")</f>
        <v/>
      </c>
      <c r="AB111" t="inlineStr">
        <is>
          <t>release date + stated time in the document (rater worksheet)</t>
        </is>
      </c>
      <c r="AC111" t="inlineStr">
        <is>
          <t>LLY</t>
        </is>
      </c>
      <c r="AD111" t="inlineStr">
        <is>
          <t>2026-02-03</t>
        </is>
      </c>
      <c r="AE111" t="n">
        <v>1000.0665</v>
      </c>
      <c r="AF111" t="inlineStr">
        <is>
          <t>2026-02-04</t>
        </is>
      </c>
      <c r="AG111" t="n">
        <v>1071.4841</v>
      </c>
      <c r="AH111" t="n">
        <v>0.07141286038889046</v>
      </c>
      <c r="AI111" t="inlineStr">
        <is>
          <t>UP</t>
        </is>
      </c>
      <c r="AJ111" t="inlineStr">
        <is>
          <t>YES</t>
        </is>
      </c>
      <c r="AK111" t="n">
        <v>0.070413</v>
      </c>
      <c r="AL111">
        <f>IF($A111="","",IFERROR(INDEX(Company_List!$G$3:$G$207,MATCH($A111,Company_List!$A$3:$A$207,0)),"unassigned"))</f>
        <v/>
      </c>
      <c r="AM111" t="inlineStr">
        <is>
          <t>Phase 2/Eli Lilly/2025-Q4/LLY-2025-Q4-press-release-SEC-EX-99-1.htm</t>
        </is>
      </c>
      <c r="AN111" t="inlineStr">
        <is>
          <t>https://www.sec.gov/Archives/edgar/data/59478/000005947826000008/q425lillysalesandearningsp.htm</t>
        </is>
      </c>
      <c r="AO111" t="inlineStr">
        <is>
          <t>manifest</t>
        </is>
      </c>
      <c r="AP111">
        <f>IF($A111="","",IF(COUNTIFS(LLM_Data_Entry!$A$3:$A$548,$A111)&gt;0,"YES","NO"))</f>
        <v/>
      </c>
      <c r="AQ111">
        <f>IF($A111="","",IF(COUNTIFS($A$3:$A111,$A111,$C$3:$C111,$C111,$D$3:$D111,$D111)=1,"YES","NO"))</f>
        <v/>
      </c>
      <c r="AR111">
        <f>IF($A111="","",IF(AND($C111&amp;"-"&amp;$D111&gt;=Settings!$B$19,$C111&amp;"-"&amp;$D111&lt;=Settings!$B$20),"IN","OUT"))</f>
        <v/>
      </c>
      <c r="AS111">
        <f>IF($A111="","",IF($F111="Financial Results","financials",IF($F111="Outlook/Guidance","guidance",IF($F111="Transcript Q&amp;A","qanda",IF($F111="","unrecorded",IF($E111="All","full",IF($E111="","unrecorded",LOWER($E111)&amp;" only")))))))</f>
        <v/>
      </c>
      <c r="AT111">
        <f>IF(AND(OR($J111="BUY",$J111="SELL"),ISNUMBER($U111)),$U111,"")</f>
        <v/>
      </c>
      <c r="AU111">
        <f>IF(AND(OR($J111="BUY",$J111="SELL"),ISNUMBER($AK111)),$AK111,"")</f>
        <v/>
      </c>
      <c r="AV111">
        <f>IF(ISNUMBER($AT111),ABS(IF(ISNUMBER($I111),$I111,0)-Settings!$B$24),"")</f>
        <v/>
      </c>
      <c r="AW111">
        <f>IF(ISNUMBER($AV111),$AV111*$AT111,"")</f>
        <v/>
      </c>
      <c r="AX111">
        <f>IF(ISNUMBER($AU111),ABS(IF(ISNUMBER($I111),$I111,0)-Settings!$B$24),"")</f>
        <v/>
      </c>
      <c r="AY111">
        <f>IF(ISNUMBER($AX111),$AX111*$AU111,"")</f>
        <v/>
      </c>
      <c r="AZ111">
        <f>IF($A111="","",IFERROR(INDEX(Company_List!$H$3:$H$207,MATCH($A111,Company_List!$A$3:$A$207,0)),"unassigned"))</f>
        <v/>
      </c>
      <c r="BC111">
        <f>IF($A111="","",IF(COUNTIFS($A$3:$A111,$A111,$C$3:$C111,$C111,$D$3:$D111,$D111,$G$3:$G111,$G111)=1,1,0))</f>
        <v/>
      </c>
      <c r="BG111" t="inlineStr">
        <is>
          <t>no</t>
        </is>
      </c>
      <c r="BK111">
        <f>IF(OR($H111&lt;&gt;"Human",$S111="",$J111="",$Y111="",$Z111=""),"",IF(EXACT(UPPER($J111),UPPER($Y111)),1,0))</f>
        <v/>
      </c>
      <c r="BL111" t="inlineStr">
        <is>
          <t>assumed - no rater record</t>
        </is>
      </c>
      <c r="BM111" t="n">
        <v>1</v>
      </c>
      <c r="BN111" t="inlineStr">
        <is>
          <t>not publisher-identified</t>
        </is>
      </c>
      <c r="BO111" t="inlineStr">
        <is>
          <t>not publisher-identified</t>
        </is>
      </c>
      <c r="BP111" t="inlineStr">
        <is>
          <t>no</t>
        </is>
      </c>
      <c r="BQ111" t="inlineStr">
        <is>
          <t>yes</t>
        </is>
      </c>
      <c r="BR111" t="inlineStr">
        <is>
          <t>filled 11 Aug 2026 from the corpus manifest: the company-quarter holds exactly one document and the manifest carries its release date</t>
        </is>
      </c>
    </row>
    <row r="112" ht="16.35" customHeight="1">
      <c r="A112" s="95" t="inlineStr">
        <is>
          <t>Meta</t>
        </is>
      </c>
      <c r="B112" s="96">
        <f>IF(A112="","",_xlfn.XLOOKUP(A112, Company_List!$A:$A, Company_List!$B:$B, ""))</f>
        <v/>
      </c>
      <c r="C112" s="21" t="n">
        <v>2026</v>
      </c>
      <c r="D112" s="20" t="inlineStr">
        <is>
          <t>Q1</t>
        </is>
      </c>
      <c r="E112" s="19" t="inlineStr">
        <is>
          <t>All</t>
        </is>
      </c>
      <c r="F112" s="19" t="inlineStr">
        <is>
          <t>All</t>
        </is>
      </c>
      <c r="G112" s="20" t="inlineStr">
        <is>
          <t>David</t>
        </is>
      </c>
      <c r="H112" s="20" t="inlineStr">
        <is>
          <t>Human</t>
        </is>
      </c>
      <c r="I112" s="127" t="n">
        <v>0.7</v>
      </c>
      <c r="J112" s="145">
        <f>IF(OR(I112="",Settings!$B$6=""),"",IF(I112&gt;Settings!$B$6,"BUY",IF(I112&lt;-Settings!$B$6,"SELL","HOLD")))</f>
        <v/>
      </c>
      <c r="K112" s="139" t="n">
        <v>46</v>
      </c>
      <c r="L112" s="123" t="n">
        <v>46141</v>
      </c>
      <c r="M112" s="123" t="n">
        <v>46141</v>
      </c>
      <c r="N112" s="127" t="n">
        <v>669.12</v>
      </c>
      <c r="O112" s="123" t="n">
        <v>46142</v>
      </c>
      <c r="P112" s="22" t="n">
        <v>619.3200000000001</v>
      </c>
      <c r="Q112" s="148">
        <f>IF(OR(N112="",P112=""),"",ROUND((P112-N112)/N112,4))</f>
        <v/>
      </c>
      <c r="R112" s="20">
        <f>IF(OR(N112="",P112=""),"",IF(Q112&gt;Settings!$B$3/100,"UP",IF(Q112&lt;-Settings!$B$3/100,"DOWN","FLAT")))</f>
        <v/>
      </c>
      <c r="S112" s="20">
        <f>IF(OR(N112="",P112="",J112=""),"",IF(OR(AND(J112="BUY",R112="UP"),AND(J112="SELL",R112="DOWN"),AND(J112="HOLD",R112="FLAT")),"YES","NO"))</f>
        <v/>
      </c>
      <c r="T112" s="21">
        <f>IF(J112="","",IF(J112="BUY",1,IF(J112="SELL",-1,0)))</f>
        <v/>
      </c>
      <c r="U112" s="148">
        <f>IFERROR(IF(OR(J112="",N112="",P112=""),"",IF(T112=0,0,T112*Q112-Settings!$B$4/10000-IF(T112&lt;0,Settings!$B$5/10000,0))),"")</f>
        <v/>
      </c>
      <c r="V112" s="23" t="n"/>
      <c r="W112" s="21">
        <f>IF($K112="","",$K112*60)</f>
        <v/>
      </c>
      <c r="X112" s="91">
        <f>IF($A112="","",$A112&amp;"|"&amp;$C112&amp;"|"&amp;$D112)</f>
        <v/>
      </c>
      <c r="Y112" s="91">
        <f>IFERROR(IF($X112="","",INDEX(LLM_Data_Entry!$H$3:$H$548,MATCH($X112,INDEX(LLM_Data_Entry!$A$3:$A$548&amp;"|"&amp;LLM_Data_Entry!$C$3:$C$548&amp;"|"&amp;LLM_Data_Entry!$D$3:$D$548,0),0))),"")</f>
        <v/>
      </c>
      <c r="Z112" s="91">
        <f>IFERROR(IF($X112="","",INDEX(LLM_Data_Entry!$R$3:$R$548,MATCH($X112,INDEX(LLM_Data_Entry!$A$3:$A$548&amp;"|"&amp;LLM_Data_Entry!$C$3:$C$548&amp;"|"&amp;LLM_Data_Entry!$D$3:$D$548,0),0))),"")</f>
        <v/>
      </c>
      <c r="AB112" t="inlineStr">
        <is>
          <t>release date + stated time in the document (rater worksheet)</t>
        </is>
      </c>
      <c r="AC112" t="inlineStr">
        <is>
          <t>META</t>
        </is>
      </c>
      <c r="AD112" t="inlineStr">
        <is>
          <t>2026-04-29</t>
        </is>
      </c>
      <c r="AE112" t="n">
        <v>668.5004</v>
      </c>
      <c r="AF112" t="inlineStr">
        <is>
          <t>2026-04-30</t>
        </is>
      </c>
      <c r="AG112" t="n">
        <v>618.7465999999999</v>
      </c>
      <c r="AH112" t="n">
        <v>-0.07442608591111155</v>
      </c>
      <c r="AI112" t="inlineStr">
        <is>
          <t>DOWN</t>
        </is>
      </c>
      <c r="AJ112" t="inlineStr">
        <is>
          <t>NO</t>
        </is>
      </c>
      <c r="AK112" t="n">
        <v>-0.07542600000000001</v>
      </c>
      <c r="AL112">
        <f>IF($A112="","",IFERROR(INDEX(Company_List!$G$3:$G$207,MATCH($A112,Company_List!$A$3:$A$207,0)),"unassigned"))</f>
        <v/>
      </c>
      <c r="AM112" t="inlineStr">
        <is>
          <t>Phase 2/META/2026-Q1/META-2026-Q1-press-release-SEC-EX-99-1.htm</t>
        </is>
      </c>
      <c r="AN112" t="inlineStr">
        <is>
          <t>https://www.sec.gov/Archives/edgar/data/1326801/000162828026028364/meta-03312026xexhibit991.htm</t>
        </is>
      </c>
      <c r="AO112" t="inlineStr">
        <is>
          <t>manifest</t>
        </is>
      </c>
      <c r="AP112">
        <f>IF($A112="","",IF(COUNTIFS(LLM_Data_Entry!$A$3:$A$548,$A112)&gt;0,"YES","NO"))</f>
        <v/>
      </c>
      <c r="AQ112">
        <f>IF($A112="","",IF(COUNTIFS($A$3:$A112,$A112,$C$3:$C112,$C112,$D$3:$D112,$D112)=1,"YES","NO"))</f>
        <v/>
      </c>
      <c r="AR112">
        <f>IF($A112="","",IF(AND($C112&amp;"-"&amp;$D112&gt;=Settings!$B$19,$C112&amp;"-"&amp;$D112&lt;=Settings!$B$20),"IN","OUT"))</f>
        <v/>
      </c>
      <c r="AS112">
        <f>IF($A112="","",IF($F112="Financial Results","financials",IF($F112="Outlook/Guidance","guidance",IF($F112="Transcript Q&amp;A","qanda",IF($F112="","unrecorded",IF($E112="All","full",IF($E112="","unrecorded",LOWER($E112)&amp;" only")))))))</f>
        <v/>
      </c>
      <c r="AT112">
        <f>IF(AND(OR($J112="BUY",$J112="SELL"),ISNUMBER($U112)),$U112,"")</f>
        <v/>
      </c>
      <c r="AU112">
        <f>IF(AND(OR($J112="BUY",$J112="SELL"),ISNUMBER($AK112)),$AK112,"")</f>
        <v/>
      </c>
      <c r="AV112">
        <f>IF(ISNUMBER($AT112),ABS(IF(ISNUMBER($I112),$I112,0)-Settings!$B$24),"")</f>
        <v/>
      </c>
      <c r="AW112">
        <f>IF(ISNUMBER($AV112),$AV112*$AT112,"")</f>
        <v/>
      </c>
      <c r="AX112">
        <f>IF(ISNUMBER($AU112),ABS(IF(ISNUMBER($I112),$I112,0)-Settings!$B$24),"")</f>
        <v/>
      </c>
      <c r="AY112">
        <f>IF(ISNUMBER($AX112),$AX112*$AU112,"")</f>
        <v/>
      </c>
      <c r="AZ112">
        <f>IF($A112="","",IFERROR(INDEX(Company_List!$H$3:$H$207,MATCH($A112,Company_List!$A$3:$A$207,0)),"unassigned"))</f>
        <v/>
      </c>
      <c r="BC112">
        <f>IF($A112="","",IF(COUNTIFS($A$3:$A112,$A112,$C$3:$C112,$C112,$D$3:$D112,$D112,$G$3:$G112,$G112)=1,1,0))</f>
        <v/>
      </c>
      <c r="BG112" t="inlineStr">
        <is>
          <t>no</t>
        </is>
      </c>
      <c r="BK112">
        <f>IF(OR($H112&lt;&gt;"Human",$S112="",$J112="",$Y112="",$Z112=""),"",IF(EXACT(UPPER($J112),UPPER($Y112)),1,0))</f>
        <v/>
      </c>
      <c r="BL112" t="inlineStr">
        <is>
          <t>assumed - no rater record</t>
        </is>
      </c>
      <c r="BM112" t="n">
        <v>1</v>
      </c>
      <c r="BN112" t="inlineStr">
        <is>
          <t>not publisher-identified</t>
        </is>
      </c>
      <c r="BO112" t="inlineStr">
        <is>
          <t>not publisher-identified</t>
        </is>
      </c>
      <c r="BP112" t="inlineStr">
        <is>
          <t>no</t>
        </is>
      </c>
      <c r="BQ112" t="inlineStr">
        <is>
          <t>yes</t>
        </is>
      </c>
      <c r="BR112" t="inlineStr">
        <is>
          <t>filled 11 Aug 2026 from the corpus manifest: the company-quarter holds exactly one document and the manifest carries its release date</t>
        </is>
      </c>
    </row>
    <row r="113" ht="16.35" customHeight="1">
      <c r="A113" s="95" t="inlineStr">
        <is>
          <t>Meta</t>
        </is>
      </c>
      <c r="B113" s="96">
        <f>IF(A113="","",_xlfn.XLOOKUP(A113, Company_List!$A:$A, Company_List!$B:$B, ""))</f>
        <v/>
      </c>
      <c r="C113" s="21" t="n">
        <v>2025</v>
      </c>
      <c r="D113" s="20" t="inlineStr">
        <is>
          <t>Q3</t>
        </is>
      </c>
      <c r="E113" s="19" t="inlineStr">
        <is>
          <t>All</t>
        </is>
      </c>
      <c r="F113" s="19" t="inlineStr">
        <is>
          <t>All</t>
        </is>
      </c>
      <c r="G113" s="20" t="inlineStr">
        <is>
          <t>David</t>
        </is>
      </c>
      <c r="H113" s="20" t="inlineStr">
        <is>
          <t>Human</t>
        </is>
      </c>
      <c r="I113" s="127" t="n">
        <v>0.45</v>
      </c>
      <c r="J113" s="145">
        <f>IF(OR(I113="",Settings!$B$6=""),"",IF(I113&gt;Settings!$B$6,"BUY",IF(I113&lt;-Settings!$B$6,"SELL","HOLD")))</f>
        <v/>
      </c>
      <c r="K113" s="139" t="n">
        <v>53</v>
      </c>
      <c r="L113" s="123" t="n">
        <v>45959</v>
      </c>
      <c r="M113" s="123" t="n">
        <v>45959</v>
      </c>
      <c r="N113" s="127" t="n">
        <v>751.67</v>
      </c>
      <c r="O113" s="123" t="n">
        <v>45960</v>
      </c>
      <c r="P113" s="22" t="n">
        <v>669.15</v>
      </c>
      <c r="Q113" s="148">
        <f>IF(OR(N113="",P113=""),"",ROUND((P113-N113)/N113,4))</f>
        <v/>
      </c>
      <c r="R113" s="20">
        <f>IF(OR(N113="",P113=""),"",IF(Q113&gt;Settings!$B$3/100,"UP",IF(Q113&lt;-Settings!$B$3/100,"DOWN","FLAT")))</f>
        <v/>
      </c>
      <c r="S113" s="20">
        <f>IF(OR(N113="",P113="",J113=""),"",IF(OR(AND(J113="BUY",R113="UP"),AND(J113="SELL",R113="DOWN"),AND(J113="HOLD",R113="FLAT")),"YES","NO"))</f>
        <v/>
      </c>
      <c r="T113" s="21">
        <f>IF(J113="","",IF(J113="BUY",1,IF(J113="SELL",-1,0)))</f>
        <v/>
      </c>
      <c r="U113" s="148">
        <f>IFERROR(IF(OR(J113="",N113="",P113=""),"",IF(T113=0,0,T113*Q113-Settings!$B$4/10000-IF(T113&lt;0,Settings!$B$5/10000,0))),"")</f>
        <v/>
      </c>
      <c r="V113" s="23" t="n"/>
      <c r="W113" s="21">
        <f>IF($K113="","",$K113*60)</f>
        <v/>
      </c>
      <c r="X113" s="91">
        <f>IF($A113="","",$A113&amp;"|"&amp;$C113&amp;"|"&amp;$D113)</f>
        <v/>
      </c>
      <c r="Y113" s="91">
        <f>IFERROR(IF($X113="","",INDEX(LLM_Data_Entry!$H$3:$H$548,MATCH($X113,INDEX(LLM_Data_Entry!$A$3:$A$548&amp;"|"&amp;LLM_Data_Entry!$C$3:$C$548&amp;"|"&amp;LLM_Data_Entry!$D$3:$D$548,0),0))),"")</f>
        <v/>
      </c>
      <c r="Z113" s="91">
        <f>IFERROR(IF($X113="","",INDEX(LLM_Data_Entry!$R$3:$R$548,MATCH($X113,INDEX(LLM_Data_Entry!$A$3:$A$548&amp;"|"&amp;LLM_Data_Entry!$C$3:$C$548&amp;"|"&amp;LLM_Data_Entry!$D$3:$D$548,0),0))),"")</f>
        <v/>
      </c>
      <c r="AB113" t="inlineStr">
        <is>
          <t>release date + stated time in the document (rater worksheet)</t>
        </is>
      </c>
      <c r="AC113" t="inlineStr">
        <is>
          <t>META</t>
        </is>
      </c>
      <c r="AD113" t="inlineStr">
        <is>
          <t>2025-10-29</t>
        </is>
      </c>
      <c r="AE113" t="n">
        <v>749.7201</v>
      </c>
      <c r="AF113" t="inlineStr">
        <is>
          <t>2025-10-30</t>
        </is>
      </c>
      <c r="AG113" t="n">
        <v>667.4142000000001</v>
      </c>
      <c r="AH113" t="n">
        <v>-0.1097821761251839</v>
      </c>
      <c r="AI113" t="inlineStr">
        <is>
          <t>DOWN</t>
        </is>
      </c>
      <c r="AJ113" t="inlineStr">
        <is>
          <t>NO</t>
        </is>
      </c>
      <c r="AK113" t="n">
        <v>-0.110782</v>
      </c>
      <c r="AL113">
        <f>IF($A113="","",IFERROR(INDEX(Company_List!$G$3:$G$207,MATCH($A113,Company_List!$A$3:$A$207,0)),"unassigned"))</f>
        <v/>
      </c>
      <c r="AM113" t="inlineStr">
        <is>
          <t>Phase 2/META/2025-Q3/META-2025-Q3-press-release-SEC-EX-99-1.htm</t>
        </is>
      </c>
      <c r="AN113" t="inlineStr">
        <is>
          <t>https://www.sec.gov/Archives/edgar/data/1326801/000162828025047114/meta-09302025xexhibit991.htm</t>
        </is>
      </c>
      <c r="AO113" t="inlineStr">
        <is>
          <t>manifest</t>
        </is>
      </c>
      <c r="AP113">
        <f>IF($A113="","",IF(COUNTIFS(LLM_Data_Entry!$A$3:$A$548,$A113)&gt;0,"YES","NO"))</f>
        <v/>
      </c>
      <c r="AQ113">
        <f>IF($A113="","",IF(COUNTIFS($A$3:$A113,$A113,$C$3:$C113,$C113,$D$3:$D113,$D113)=1,"YES","NO"))</f>
        <v/>
      </c>
      <c r="AR113">
        <f>IF($A113="","",IF(AND($C113&amp;"-"&amp;$D113&gt;=Settings!$B$19,$C113&amp;"-"&amp;$D113&lt;=Settings!$B$20),"IN","OUT"))</f>
        <v/>
      </c>
      <c r="AS113">
        <f>IF($A113="","",IF($F113="Financial Results","financials",IF($F113="Outlook/Guidance","guidance",IF($F113="Transcript Q&amp;A","qanda",IF($F113="","unrecorded",IF($E113="All","full",IF($E113="","unrecorded",LOWER($E113)&amp;" only")))))))</f>
        <v/>
      </c>
      <c r="AT113">
        <f>IF(AND(OR($J113="BUY",$J113="SELL"),ISNUMBER($U113)),$U113,"")</f>
        <v/>
      </c>
      <c r="AU113">
        <f>IF(AND(OR($J113="BUY",$J113="SELL"),ISNUMBER($AK113)),$AK113,"")</f>
        <v/>
      </c>
      <c r="AV113">
        <f>IF(ISNUMBER($AT113),ABS(IF(ISNUMBER($I113),$I113,0)-Settings!$B$24),"")</f>
        <v/>
      </c>
      <c r="AW113">
        <f>IF(ISNUMBER($AV113),$AV113*$AT113,"")</f>
        <v/>
      </c>
      <c r="AX113">
        <f>IF(ISNUMBER($AU113),ABS(IF(ISNUMBER($I113),$I113,0)-Settings!$B$24),"")</f>
        <v/>
      </c>
      <c r="AY113">
        <f>IF(ISNUMBER($AX113),$AX113*$AU113,"")</f>
        <v/>
      </c>
      <c r="AZ113">
        <f>IF($A113="","",IFERROR(INDEX(Company_List!$H$3:$H$207,MATCH($A113,Company_List!$A$3:$A$207,0)),"unassigned"))</f>
        <v/>
      </c>
      <c r="BC113">
        <f>IF($A113="","",IF(COUNTIFS($A$3:$A113,$A113,$C$3:$C113,$C113,$D$3:$D113,$D113,$G$3:$G113,$G113)=1,1,0))</f>
        <v/>
      </c>
      <c r="BG113" t="inlineStr">
        <is>
          <t>no</t>
        </is>
      </c>
      <c r="BK113">
        <f>IF(OR($H113&lt;&gt;"Human",$S113="",$J113="",$Y113="",$Z113=""),"",IF(EXACT(UPPER($J113),UPPER($Y113)),1,0))</f>
        <v/>
      </c>
      <c r="BL113" t="inlineStr">
        <is>
          <t>assumed - no rater record</t>
        </is>
      </c>
      <c r="BM113" t="n">
        <v>1</v>
      </c>
      <c r="BN113" t="inlineStr">
        <is>
          <t>not publisher-identified</t>
        </is>
      </c>
      <c r="BO113" t="inlineStr">
        <is>
          <t>not publisher-identified</t>
        </is>
      </c>
      <c r="BP113" t="inlineStr">
        <is>
          <t>no</t>
        </is>
      </c>
      <c r="BQ113" t="inlineStr">
        <is>
          <t>yes</t>
        </is>
      </c>
      <c r="BR113" t="inlineStr">
        <is>
          <t>filled 11 Aug 2026 from the corpus manifest: the company-quarter holds exactly one document and the manifest carries its release date</t>
        </is>
      </c>
    </row>
    <row r="114" ht="16.35" customHeight="1">
      <c r="A114" s="95" t="inlineStr">
        <is>
          <t>Meta</t>
        </is>
      </c>
      <c r="B114" s="96">
        <f>IF(A114="","",_xlfn.XLOOKUP(A114, Company_List!$A:$A, Company_List!$B:$B, ""))</f>
        <v/>
      </c>
      <c r="C114" s="21" t="n">
        <v>2025</v>
      </c>
      <c r="D114" s="20" t="inlineStr">
        <is>
          <t>Q4</t>
        </is>
      </c>
      <c r="E114" s="19" t="inlineStr">
        <is>
          <t>All</t>
        </is>
      </c>
      <c r="F114" s="19" t="inlineStr">
        <is>
          <t>All</t>
        </is>
      </c>
      <c r="G114" s="20" t="inlineStr">
        <is>
          <t>David</t>
        </is>
      </c>
      <c r="H114" s="20" t="inlineStr">
        <is>
          <t>Human</t>
        </is>
      </c>
      <c r="I114" s="127" t="n">
        <v>0.5</v>
      </c>
      <c r="J114" s="145">
        <f>IF(OR(I114="",Settings!$B$6=""),"",IF(I114&gt;Settings!$B$6,"BUY",IF(I114&lt;-Settings!$B$6,"SELL","HOLD")))</f>
        <v/>
      </c>
      <c r="K114" s="139" t="n">
        <v>65</v>
      </c>
      <c r="L114" s="123" t="n">
        <v>46050</v>
      </c>
      <c r="M114" s="123" t="n">
        <v>46050</v>
      </c>
      <c r="N114" s="127" t="n">
        <v>668.73</v>
      </c>
      <c r="O114" s="123" t="n">
        <v>46051</v>
      </c>
      <c r="P114" s="22" t="n">
        <v>737.4299999999999</v>
      </c>
      <c r="Q114" s="148">
        <f>IF(OR(N114="",P114=""),"",ROUND((P114-N114)/N114,4))</f>
        <v/>
      </c>
      <c r="R114" s="20">
        <f>IF(OR(N114="",P114=""),"",IF(Q114&gt;Settings!$B$3/100,"UP",IF(Q114&lt;-Settings!$B$3/100,"DOWN","FLAT")))</f>
        <v/>
      </c>
      <c r="S114" s="20">
        <f>IF(OR(N114="",P114="",J114=""),"",IF(OR(AND(J114="BUY",R114="UP"),AND(J114="SELL",R114="DOWN"),AND(J114="HOLD",R114="FLAT")),"YES","NO"))</f>
        <v/>
      </c>
      <c r="T114" s="21">
        <f>IF(J114="","",IF(J114="BUY",1,IF(J114="SELL",-1,0)))</f>
        <v/>
      </c>
      <c r="U114" s="148">
        <f>IFERROR(IF(OR(J114="",N114="",P114=""),"",IF(T114=0,0,T114*Q114-Settings!$B$4/10000-IF(T114&lt;0,Settings!$B$5/10000,0))),"")</f>
        <v/>
      </c>
      <c r="V114" s="23" t="n"/>
      <c r="W114" s="21">
        <f>IF($K114="","",$K114*60)</f>
        <v/>
      </c>
      <c r="X114" s="91">
        <f>IF($A114="","",$A114&amp;"|"&amp;$C114&amp;"|"&amp;$D114)</f>
        <v/>
      </c>
      <c r="Y114" s="91">
        <f>IFERROR(IF($X114="","",INDEX(LLM_Data_Entry!$H$3:$H$548,MATCH($X114,INDEX(LLM_Data_Entry!$A$3:$A$548&amp;"|"&amp;LLM_Data_Entry!$C$3:$C$548&amp;"|"&amp;LLM_Data_Entry!$D$3:$D$548,0),0))),"")</f>
        <v/>
      </c>
      <c r="Z114" s="91">
        <f>IFERROR(IF($X114="","",INDEX(LLM_Data_Entry!$R$3:$R$548,MATCH($X114,INDEX(LLM_Data_Entry!$A$3:$A$548&amp;"|"&amp;LLM_Data_Entry!$C$3:$C$548&amp;"|"&amp;LLM_Data_Entry!$D$3:$D$548,0),0))),"")</f>
        <v/>
      </c>
      <c r="AB114" t="inlineStr">
        <is>
          <t>release date + stated time in the document (rater worksheet)</t>
        </is>
      </c>
      <c r="AC114" t="inlineStr">
        <is>
          <t>META</t>
        </is>
      </c>
      <c r="AD114" t="inlineStr">
        <is>
          <t>2026-01-28</t>
        </is>
      </c>
      <c r="AE114" t="n">
        <v>667.5392000000001</v>
      </c>
      <c r="AF114" t="inlineStr">
        <is>
          <t>2026-01-29</t>
        </is>
      </c>
      <c r="AG114" t="n">
        <v>736.1169</v>
      </c>
      <c r="AH114" t="n">
        <v>0.102732153378451</v>
      </c>
      <c r="AI114" t="inlineStr">
        <is>
          <t>UP</t>
        </is>
      </c>
      <c r="AJ114" t="inlineStr">
        <is>
          <t>YES</t>
        </is>
      </c>
      <c r="AK114" t="n">
        <v>0.101732</v>
      </c>
      <c r="AL114">
        <f>IF($A114="","",IFERROR(INDEX(Company_List!$G$3:$G$207,MATCH($A114,Company_List!$A$3:$A$207,0)),"unassigned"))</f>
        <v/>
      </c>
      <c r="AM114" t="inlineStr">
        <is>
          <t>Phase 2/META/2025-Q4/META-2025-Q4-press-release-SEC-EX-99-1.htm</t>
        </is>
      </c>
      <c r="AN114" t="inlineStr">
        <is>
          <t>https://www.sec.gov/Archives/edgar/data/1326801/000162828026003832/meta-12312025xexhibit991.htm</t>
        </is>
      </c>
      <c r="AO114" t="inlineStr">
        <is>
          <t>manifest</t>
        </is>
      </c>
      <c r="AP114">
        <f>IF($A114="","",IF(COUNTIFS(LLM_Data_Entry!$A$3:$A$548,$A114)&gt;0,"YES","NO"))</f>
        <v/>
      </c>
      <c r="AQ114">
        <f>IF($A114="","",IF(COUNTIFS($A$3:$A114,$A114,$C$3:$C114,$C114,$D$3:$D114,$D114)=1,"YES","NO"))</f>
        <v/>
      </c>
      <c r="AR114">
        <f>IF($A114="","",IF(AND($C114&amp;"-"&amp;$D114&gt;=Settings!$B$19,$C114&amp;"-"&amp;$D114&lt;=Settings!$B$20),"IN","OUT"))</f>
        <v/>
      </c>
      <c r="AS114">
        <f>IF($A114="","",IF($F114="Financial Results","financials",IF($F114="Outlook/Guidance","guidance",IF($F114="Transcript Q&amp;A","qanda",IF($F114="","unrecorded",IF($E114="All","full",IF($E114="","unrecorded",LOWER($E114)&amp;" only")))))))</f>
        <v/>
      </c>
      <c r="AT114">
        <f>IF(AND(OR($J114="BUY",$J114="SELL"),ISNUMBER($U114)),$U114,"")</f>
        <v/>
      </c>
      <c r="AU114">
        <f>IF(AND(OR($J114="BUY",$J114="SELL"),ISNUMBER($AK114)),$AK114,"")</f>
        <v/>
      </c>
      <c r="AV114">
        <f>IF(ISNUMBER($AT114),ABS(IF(ISNUMBER($I114),$I114,0)-Settings!$B$24),"")</f>
        <v/>
      </c>
      <c r="AW114">
        <f>IF(ISNUMBER($AV114),$AV114*$AT114,"")</f>
        <v/>
      </c>
      <c r="AX114">
        <f>IF(ISNUMBER($AU114),ABS(IF(ISNUMBER($I114),$I114,0)-Settings!$B$24),"")</f>
        <v/>
      </c>
      <c r="AY114">
        <f>IF(ISNUMBER($AX114),$AX114*$AU114,"")</f>
        <v/>
      </c>
      <c r="AZ114">
        <f>IF($A114="","",IFERROR(INDEX(Company_List!$H$3:$H$207,MATCH($A114,Company_List!$A$3:$A$207,0)),"unassigned"))</f>
        <v/>
      </c>
      <c r="BC114">
        <f>IF($A114="","",IF(COUNTIFS($A$3:$A114,$A114,$C$3:$C114,$C114,$D$3:$D114,$D114,$G$3:$G114,$G114)=1,1,0))</f>
        <v/>
      </c>
      <c r="BG114" t="inlineStr">
        <is>
          <t>no</t>
        </is>
      </c>
      <c r="BK114">
        <f>IF(OR($H114&lt;&gt;"Human",$S114="",$J114="",$Y114="",$Z114=""),"",IF(EXACT(UPPER($J114),UPPER($Y114)),1,0))</f>
        <v/>
      </c>
      <c r="BL114" t="inlineStr">
        <is>
          <t>assumed - no rater record</t>
        </is>
      </c>
      <c r="BM114" t="n">
        <v>1</v>
      </c>
      <c r="BN114" t="inlineStr">
        <is>
          <t>not publisher-identified</t>
        </is>
      </c>
      <c r="BO114" t="inlineStr">
        <is>
          <t>not publisher-identified</t>
        </is>
      </c>
      <c r="BP114" t="inlineStr">
        <is>
          <t>no</t>
        </is>
      </c>
      <c r="BQ114" t="inlineStr">
        <is>
          <t>yes</t>
        </is>
      </c>
      <c r="BR114" t="inlineStr">
        <is>
          <t>filled 11 Aug 2026 from the corpus manifest: the company-quarter holds exactly one document and the manifest carries its release date</t>
        </is>
      </c>
    </row>
    <row r="115" ht="16.35" customHeight="1">
      <c r="A115" s="95" t="inlineStr">
        <is>
          <t>Tesla</t>
        </is>
      </c>
      <c r="B115" s="96">
        <f>IF(A115="","",_xlfn.XLOOKUP(A115, Company_List!$A:$A, Company_List!$B:$B, ""))</f>
        <v/>
      </c>
      <c r="C115" s="21" t="n">
        <v>2026</v>
      </c>
      <c r="D115" s="20" t="inlineStr">
        <is>
          <t>Q1</t>
        </is>
      </c>
      <c r="E115" s="19" t="inlineStr">
        <is>
          <t>All</t>
        </is>
      </c>
      <c r="F115" s="19" t="inlineStr">
        <is>
          <t>All</t>
        </is>
      </c>
      <c r="G115" s="20" t="inlineStr">
        <is>
          <t>David</t>
        </is>
      </c>
      <c r="H115" s="20" t="inlineStr">
        <is>
          <t>Human</t>
        </is>
      </c>
      <c r="I115" s="127" t="n">
        <v>0.35</v>
      </c>
      <c r="J115" s="145">
        <f>IF(OR(I115="",Settings!$B$6=""),"",IF(I115&gt;Settings!$B$6,"BUY",IF(I115&lt;-Settings!$B$6,"SELL","HOLD")))</f>
        <v/>
      </c>
      <c r="K115" s="139" t="n">
        <v>41</v>
      </c>
      <c r="L115" s="123" t="n">
        <v>46134</v>
      </c>
      <c r="M115" s="123" t="n">
        <v>46134</v>
      </c>
      <c r="N115" s="127" t="n">
        <v>387.51</v>
      </c>
      <c r="O115" s="123" t="n">
        <v>46135</v>
      </c>
      <c r="P115" s="22" t="n">
        <v>375.28</v>
      </c>
      <c r="Q115" s="148">
        <f>IF(OR(N115="",P115=""),"",ROUND((P115-N115)/N115,4))</f>
        <v/>
      </c>
      <c r="R115" s="20">
        <f>IF(OR(N115="",P115=""),"",IF(Q115&gt;Settings!$B$3/100,"UP",IF(Q115&lt;-Settings!$B$3/100,"DOWN","FLAT")))</f>
        <v/>
      </c>
      <c r="S115" s="20">
        <f>IF(OR(N115="",P115="",J115=""),"",IF(OR(AND(J115="BUY",R115="UP"),AND(J115="SELL",R115="DOWN"),AND(J115="HOLD",R115="FLAT")),"YES","NO"))</f>
        <v/>
      </c>
      <c r="T115" s="21">
        <f>IF(J115="","",IF(J115="BUY",1,IF(J115="SELL",-1,0)))</f>
        <v/>
      </c>
      <c r="U115" s="148">
        <f>IFERROR(IF(OR(J115="",N115="",P115=""),"",IF(T115=0,0,T115*Q115-Settings!$B$4/10000-IF(T115&lt;0,Settings!$B$5/10000,0))),"")</f>
        <v/>
      </c>
      <c r="V115" s="23" t="n"/>
      <c r="W115" s="21">
        <f>IF($K115="","",$K115*60)</f>
        <v/>
      </c>
      <c r="X115" s="91">
        <f>IF($A115="","",$A115&amp;"|"&amp;$C115&amp;"|"&amp;$D115)</f>
        <v/>
      </c>
      <c r="Y115" s="91">
        <f>IFERROR(IF($X115="","",INDEX(LLM_Data_Entry!$H$3:$H$548,MATCH($X115,INDEX(LLM_Data_Entry!$A$3:$A$548&amp;"|"&amp;LLM_Data_Entry!$C$3:$C$548&amp;"|"&amp;LLM_Data_Entry!$D$3:$D$548,0),0))),"")</f>
        <v/>
      </c>
      <c r="Z115" s="91">
        <f>IFERROR(IF($X115="","",INDEX(LLM_Data_Entry!$R$3:$R$548,MATCH($X115,INDEX(LLM_Data_Entry!$A$3:$A$548&amp;"|"&amp;LLM_Data_Entry!$C$3:$C$548&amp;"|"&amp;LLM_Data_Entry!$D$3:$D$548,0),0))),"")</f>
        <v/>
      </c>
      <c r="AB115" t="inlineStr">
        <is>
          <t>release date + stated time in the document (rater worksheet)</t>
        </is>
      </c>
      <c r="AC115" t="inlineStr">
        <is>
          <t>TSLA</t>
        </is>
      </c>
      <c r="AD115" t="inlineStr">
        <is>
          <t>2026-04-22</t>
        </is>
      </c>
      <c r="AE115" t="n">
        <v>387.51</v>
      </c>
      <c r="AF115" t="inlineStr">
        <is>
          <t>2026-04-23</t>
        </is>
      </c>
      <c r="AG115" t="n">
        <v>375.28</v>
      </c>
      <c r="AH115" t="n">
        <v>-0.03156050343060827</v>
      </c>
      <c r="AI115" t="inlineStr">
        <is>
          <t>DOWN</t>
        </is>
      </c>
      <c r="AJ115" t="inlineStr">
        <is>
          <t>NO</t>
        </is>
      </c>
      <c r="AK115" t="n">
        <v>-0.032561</v>
      </c>
      <c r="AL115">
        <f>IF($A115="","",IFERROR(INDEX(Company_List!$G$3:$G$207,MATCH($A115,Company_List!$A$3:$A$207,0)),"unassigned"))</f>
        <v/>
      </c>
      <c r="AM115" t="inlineStr">
        <is>
          <t>Phase 2/Tesla/2026-Q1/TSLA-2026-Q1-press-release-SEC-EX-99-1.htm</t>
        </is>
      </c>
      <c r="AN115" t="inlineStr">
        <is>
          <t>https://www.sec.gov/Archives/edgar/data/1318605/000162828026026551/exhibit991.htm</t>
        </is>
      </c>
      <c r="AO115" t="inlineStr">
        <is>
          <t>manifest</t>
        </is>
      </c>
      <c r="AP115">
        <f>IF($A115="","",IF(COUNTIFS(LLM_Data_Entry!$A$3:$A$548,$A115)&gt;0,"YES","NO"))</f>
        <v/>
      </c>
      <c r="AQ115">
        <f>IF($A115="","",IF(COUNTIFS($A$3:$A115,$A115,$C$3:$C115,$C115,$D$3:$D115,$D115)=1,"YES","NO"))</f>
        <v/>
      </c>
      <c r="AR115">
        <f>IF($A115="","",IF(AND($C115&amp;"-"&amp;$D115&gt;=Settings!$B$19,$C115&amp;"-"&amp;$D115&lt;=Settings!$B$20),"IN","OUT"))</f>
        <v/>
      </c>
      <c r="AS115">
        <f>IF($A115="","",IF($F115="Financial Results","financials",IF($F115="Outlook/Guidance","guidance",IF($F115="Transcript Q&amp;A","qanda",IF($F115="","unrecorded",IF($E115="All","full",IF($E115="","unrecorded",LOWER($E115)&amp;" only")))))))</f>
        <v/>
      </c>
      <c r="AT115">
        <f>IF(AND(OR($J115="BUY",$J115="SELL"),ISNUMBER($U115)),$U115,"")</f>
        <v/>
      </c>
      <c r="AU115">
        <f>IF(AND(OR($J115="BUY",$J115="SELL"),ISNUMBER($AK115)),$AK115,"")</f>
        <v/>
      </c>
      <c r="AV115">
        <f>IF(ISNUMBER($AT115),ABS(IF(ISNUMBER($I115),$I115,0)-Settings!$B$24),"")</f>
        <v/>
      </c>
      <c r="AW115">
        <f>IF(ISNUMBER($AV115),$AV115*$AT115,"")</f>
        <v/>
      </c>
      <c r="AX115">
        <f>IF(ISNUMBER($AU115),ABS(IF(ISNUMBER($I115),$I115,0)-Settings!$B$24),"")</f>
        <v/>
      </c>
      <c r="AY115">
        <f>IF(ISNUMBER($AX115),$AX115*$AU115,"")</f>
        <v/>
      </c>
      <c r="AZ115">
        <f>IF($A115="","",IFERROR(INDEX(Company_List!$H$3:$H$207,MATCH($A115,Company_List!$A$3:$A$207,0)),"unassigned"))</f>
        <v/>
      </c>
      <c r="BC115">
        <f>IF($A115="","",IF(COUNTIFS($A$3:$A115,$A115,$C$3:$C115,$C115,$D$3:$D115,$D115,$G$3:$G115,$G115)=1,1,0))</f>
        <v/>
      </c>
      <c r="BG115" t="inlineStr">
        <is>
          <t>no</t>
        </is>
      </c>
      <c r="BK115">
        <f>IF(OR($H115&lt;&gt;"Human",$S115="",$J115="",$Y115="",$Z115=""),"",IF(EXACT(UPPER($J115),UPPER($Y115)),1,0))</f>
        <v/>
      </c>
      <c r="BL115" t="inlineStr">
        <is>
          <t>assumed - no rater record</t>
        </is>
      </c>
      <c r="BM115" t="n">
        <v>1</v>
      </c>
      <c r="BN115" t="inlineStr">
        <is>
          <t>not publisher-identified</t>
        </is>
      </c>
      <c r="BO115" t="inlineStr">
        <is>
          <t>not publisher-identified</t>
        </is>
      </c>
      <c r="BP115" t="inlineStr">
        <is>
          <t>no</t>
        </is>
      </c>
      <c r="BQ115" t="inlineStr">
        <is>
          <t>yes</t>
        </is>
      </c>
      <c r="BR115" t="inlineStr">
        <is>
          <t>filled 11 Aug 2026 from the corpus manifest: the company-quarter holds exactly one document and the manifest carries its release date</t>
        </is>
      </c>
    </row>
    <row r="116" ht="16.35" customHeight="1">
      <c r="A116" s="95" t="inlineStr">
        <is>
          <t>Tesla</t>
        </is>
      </c>
      <c r="B116" s="96">
        <f>IF(A116="","",_xlfn.XLOOKUP(A116, Company_List!$A:$A, Company_List!$B:$B, ""))</f>
        <v/>
      </c>
      <c r="C116" s="21" t="n">
        <v>2025</v>
      </c>
      <c r="D116" s="20" t="inlineStr">
        <is>
          <t>Q3</t>
        </is>
      </c>
      <c r="E116" s="19" t="inlineStr">
        <is>
          <t>All</t>
        </is>
      </c>
      <c r="F116" s="19" t="inlineStr">
        <is>
          <t>All</t>
        </is>
      </c>
      <c r="G116" s="20" t="inlineStr">
        <is>
          <t>David</t>
        </is>
      </c>
      <c r="H116" s="20" t="inlineStr">
        <is>
          <t>Human</t>
        </is>
      </c>
      <c r="I116" s="127" t="n">
        <v>0.6</v>
      </c>
      <c r="J116" s="145">
        <f>IF(OR(I116="",Settings!$B$6=""),"",IF(I116&gt;Settings!$B$6,"BUY",IF(I116&lt;-Settings!$B$6,"SELL","HOLD")))</f>
        <v/>
      </c>
      <c r="K116" s="139" t="n">
        <v>60</v>
      </c>
      <c r="L116" s="123" t="n">
        <v>45952</v>
      </c>
      <c r="M116" s="123" t="n">
        <v>45952</v>
      </c>
      <c r="N116" s="127" t="n">
        <v>438.97</v>
      </c>
      <c r="O116" s="123" t="n">
        <v>45953</v>
      </c>
      <c r="P116" s="22" t="n">
        <v>420</v>
      </c>
      <c r="Q116" s="148">
        <f>IF(OR(N116="",P116=""),"",ROUND((P116-N116)/N116,4))</f>
        <v/>
      </c>
      <c r="R116" s="20">
        <f>IF(OR(N116="",P116=""),"",IF(Q116&gt;Settings!$B$3/100,"UP",IF(Q116&lt;-Settings!$B$3/100,"DOWN","FLAT")))</f>
        <v/>
      </c>
      <c r="S116" s="20">
        <f>IF(OR(N116="",P116="",J116=""),"",IF(OR(AND(J116="BUY",R116="UP"),AND(J116="SELL",R116="DOWN"),AND(J116="HOLD",R116="FLAT")),"YES","NO"))</f>
        <v/>
      </c>
      <c r="T116" s="21">
        <f>IF(J116="","",IF(J116="BUY",1,IF(J116="SELL",-1,0)))</f>
        <v/>
      </c>
      <c r="U116" s="148">
        <f>IFERROR(IF(OR(J116="",N116="",P116=""),"",IF(T116=0,0,T116*Q116-Settings!$B$4/10000-IF(T116&lt;0,Settings!$B$5/10000,0))),"")</f>
        <v/>
      </c>
      <c r="V116" s="23" t="n"/>
      <c r="W116" s="21">
        <f>IF($K116="","",$K116*60)</f>
        <v/>
      </c>
      <c r="X116" s="91">
        <f>IF($A116="","",$A116&amp;"|"&amp;$C116&amp;"|"&amp;$D116)</f>
        <v/>
      </c>
      <c r="Y116" s="91">
        <f>IFERROR(IF($X116="","",INDEX(LLM_Data_Entry!$H$3:$H$548,MATCH($X116,INDEX(LLM_Data_Entry!$A$3:$A$548&amp;"|"&amp;LLM_Data_Entry!$C$3:$C$548&amp;"|"&amp;LLM_Data_Entry!$D$3:$D$548,0),0))),"")</f>
        <v/>
      </c>
      <c r="Z116" s="91">
        <f>IFERROR(IF($X116="","",INDEX(LLM_Data_Entry!$R$3:$R$548,MATCH($X116,INDEX(LLM_Data_Entry!$A$3:$A$548&amp;"|"&amp;LLM_Data_Entry!$C$3:$C$548&amp;"|"&amp;LLM_Data_Entry!$D$3:$D$548,0),0))),"")</f>
        <v/>
      </c>
      <c r="AB116" t="inlineStr">
        <is>
          <t>release date + stated time in the document (rater worksheet)</t>
        </is>
      </c>
      <c r="AC116" t="inlineStr">
        <is>
          <t>TSLA</t>
        </is>
      </c>
      <c r="AD116" t="inlineStr">
        <is>
          <t>2025-10-22</t>
        </is>
      </c>
      <c r="AE116" t="n">
        <v>438.97</v>
      </c>
      <c r="AF116" t="inlineStr">
        <is>
          <t>2025-10-23</t>
        </is>
      </c>
      <c r="AG116" t="n">
        <v>420</v>
      </c>
      <c r="AH116" t="n">
        <v>-0.04321480045740079</v>
      </c>
      <c r="AI116" t="inlineStr">
        <is>
          <t>DOWN</t>
        </is>
      </c>
      <c r="AJ116" t="inlineStr">
        <is>
          <t>NO</t>
        </is>
      </c>
      <c r="AK116" t="n">
        <v>-0.044215</v>
      </c>
      <c r="AL116">
        <f>IF($A116="","",IFERROR(INDEX(Company_List!$G$3:$G$207,MATCH($A116,Company_List!$A$3:$A$207,0)),"unassigned"))</f>
        <v/>
      </c>
      <c r="AM116" t="inlineStr">
        <is>
          <t>Phase 2/Tesla/2025-Q3/TSLA-2025-Q3-press-release-SEC-EX-99-1.htm</t>
        </is>
      </c>
      <c r="AN116" t="inlineStr">
        <is>
          <t>https://www.sec.gov/Archives/edgar/data/1318605/000162828025045861/exhibit991.htm</t>
        </is>
      </c>
      <c r="AO116" t="inlineStr">
        <is>
          <t>manifest</t>
        </is>
      </c>
      <c r="AP116">
        <f>IF($A116="","",IF(COUNTIFS(LLM_Data_Entry!$A$3:$A$548,$A116)&gt;0,"YES","NO"))</f>
        <v/>
      </c>
      <c r="AQ116">
        <f>IF($A116="","",IF(COUNTIFS($A$3:$A116,$A116,$C$3:$C116,$C116,$D$3:$D116,$D116)=1,"YES","NO"))</f>
        <v/>
      </c>
      <c r="AR116">
        <f>IF($A116="","",IF(AND($C116&amp;"-"&amp;$D116&gt;=Settings!$B$19,$C116&amp;"-"&amp;$D116&lt;=Settings!$B$20),"IN","OUT"))</f>
        <v/>
      </c>
      <c r="AS116">
        <f>IF($A116="","",IF($F116="Financial Results","financials",IF($F116="Outlook/Guidance","guidance",IF($F116="Transcript Q&amp;A","qanda",IF($F116="","unrecorded",IF($E116="All","full",IF($E116="","unrecorded",LOWER($E116)&amp;" only")))))))</f>
        <v/>
      </c>
      <c r="AT116">
        <f>IF(AND(OR($J116="BUY",$J116="SELL"),ISNUMBER($U116)),$U116,"")</f>
        <v/>
      </c>
      <c r="AU116">
        <f>IF(AND(OR($J116="BUY",$J116="SELL"),ISNUMBER($AK116)),$AK116,"")</f>
        <v/>
      </c>
      <c r="AV116">
        <f>IF(ISNUMBER($AT116),ABS(IF(ISNUMBER($I116),$I116,0)-Settings!$B$24),"")</f>
        <v/>
      </c>
      <c r="AW116">
        <f>IF(ISNUMBER($AV116),$AV116*$AT116,"")</f>
        <v/>
      </c>
      <c r="AX116">
        <f>IF(ISNUMBER($AU116),ABS(IF(ISNUMBER($I116),$I116,0)-Settings!$B$24),"")</f>
        <v/>
      </c>
      <c r="AY116">
        <f>IF(ISNUMBER($AX116),$AX116*$AU116,"")</f>
        <v/>
      </c>
      <c r="AZ116">
        <f>IF($A116="","",IFERROR(INDEX(Company_List!$H$3:$H$207,MATCH($A116,Company_List!$A$3:$A$207,0)),"unassigned"))</f>
        <v/>
      </c>
      <c r="BC116">
        <f>IF($A116="","",IF(COUNTIFS($A$3:$A116,$A116,$C$3:$C116,$C116,$D$3:$D116,$D116,$G$3:$G116,$G116)=1,1,0))</f>
        <v/>
      </c>
      <c r="BG116" t="inlineStr">
        <is>
          <t>no</t>
        </is>
      </c>
      <c r="BK116">
        <f>IF(OR($H116&lt;&gt;"Human",$S116="",$J116="",$Y116="",$Z116=""),"",IF(EXACT(UPPER($J116),UPPER($Y116)),1,0))</f>
        <v/>
      </c>
      <c r="BL116" t="inlineStr">
        <is>
          <t>assumed - no rater record</t>
        </is>
      </c>
      <c r="BM116" t="n">
        <v>1</v>
      </c>
      <c r="BN116" t="inlineStr">
        <is>
          <t>not publisher-identified</t>
        </is>
      </c>
      <c r="BO116" t="inlineStr">
        <is>
          <t>not publisher-identified</t>
        </is>
      </c>
      <c r="BP116" t="inlineStr">
        <is>
          <t>no</t>
        </is>
      </c>
      <c r="BQ116" t="inlineStr">
        <is>
          <t>yes</t>
        </is>
      </c>
      <c r="BR116" t="inlineStr">
        <is>
          <t>filled 11 Aug 2026 from the corpus manifest: the company-quarter holds exactly one document and the manifest carries its release date</t>
        </is>
      </c>
    </row>
    <row r="117" ht="16.35" customHeight="1">
      <c r="A117" s="95" t="inlineStr">
        <is>
          <t>Tesla</t>
        </is>
      </c>
      <c r="B117" s="96">
        <f>IF(A117="","",_xlfn.XLOOKUP(A117, Company_List!$A:$A, Company_List!$B:$B, ""))</f>
        <v/>
      </c>
      <c r="C117" s="21" t="n">
        <v>2025</v>
      </c>
      <c r="D117" s="20" t="inlineStr">
        <is>
          <t>Q4</t>
        </is>
      </c>
      <c r="E117" s="19" t="inlineStr">
        <is>
          <t>All</t>
        </is>
      </c>
      <c r="F117" s="19" t="inlineStr">
        <is>
          <t>All</t>
        </is>
      </c>
      <c r="G117" s="20" t="inlineStr">
        <is>
          <t>David</t>
        </is>
      </c>
      <c r="H117" s="20" t="inlineStr">
        <is>
          <t>Human</t>
        </is>
      </c>
      <c r="I117" s="127" t="n">
        <v>0.6</v>
      </c>
      <c r="J117" s="145">
        <f>IF(OR(I117="",Settings!$B$6=""),"",IF(I117&gt;Settings!$B$6,"BUY",IF(I117&lt;-Settings!$B$6,"SELL","HOLD")))</f>
        <v/>
      </c>
      <c r="K117" s="139" t="n">
        <v>50</v>
      </c>
      <c r="L117" s="123" t="n">
        <v>46050</v>
      </c>
      <c r="M117" s="123" t="n">
        <v>46050</v>
      </c>
      <c r="N117" s="127" t="n">
        <v>431.46</v>
      </c>
      <c r="O117" s="123" t="n">
        <v>46051</v>
      </c>
      <c r="P117" s="22" t="n">
        <v>437.8</v>
      </c>
      <c r="Q117" s="148">
        <f>IF(OR(N117="",P117=""),"",ROUND((P117-N117)/N117,4))</f>
        <v/>
      </c>
      <c r="R117" s="20">
        <f>IF(OR(N117="",P117=""),"",IF(Q117&gt;Settings!$B$3/100,"UP",IF(Q117&lt;-Settings!$B$3/100,"DOWN","FLAT")))</f>
        <v/>
      </c>
      <c r="S117" s="20">
        <f>IF(OR(N117="",P117="",J117=""),"",IF(OR(AND(J117="BUY",R117="UP"),AND(J117="SELL",R117="DOWN"),AND(J117="HOLD",R117="FLAT")),"YES","NO"))</f>
        <v/>
      </c>
      <c r="T117" s="21">
        <f>IF(J117="","",IF(J117="BUY",1,IF(J117="SELL",-1,0)))</f>
        <v/>
      </c>
      <c r="U117" s="148">
        <f>IFERROR(IF(OR(J117="",N117="",P117=""),"",IF(T117=0,0,T117*Q117-Settings!$B$4/10000-IF(T117&lt;0,Settings!$B$5/10000,0))),"")</f>
        <v/>
      </c>
      <c r="V117" s="23" t="n"/>
      <c r="W117" s="21">
        <f>IF($K117="","",$K117*60)</f>
        <v/>
      </c>
      <c r="X117" s="91">
        <f>IF($A117="","",$A117&amp;"|"&amp;$C117&amp;"|"&amp;$D117)</f>
        <v/>
      </c>
      <c r="Y117" s="91">
        <f>IFERROR(IF($X117="","",INDEX(LLM_Data_Entry!$H$3:$H$548,MATCH($X117,INDEX(LLM_Data_Entry!$A$3:$A$548&amp;"|"&amp;LLM_Data_Entry!$C$3:$C$548&amp;"|"&amp;LLM_Data_Entry!$D$3:$D$548,0),0))),"")</f>
        <v/>
      </c>
      <c r="Z117" s="91">
        <f>IFERROR(IF($X117="","",INDEX(LLM_Data_Entry!$R$3:$R$548,MATCH($X117,INDEX(LLM_Data_Entry!$A$3:$A$548&amp;"|"&amp;LLM_Data_Entry!$C$3:$C$548&amp;"|"&amp;LLM_Data_Entry!$D$3:$D$548,0),0))),"")</f>
        <v/>
      </c>
      <c r="AB117" t="inlineStr">
        <is>
          <t>release date + stated time in the document (rater worksheet)</t>
        </is>
      </c>
      <c r="AC117" t="inlineStr">
        <is>
          <t>TSLA</t>
        </is>
      </c>
      <c r="AD117" t="inlineStr">
        <is>
          <t>2026-01-28</t>
        </is>
      </c>
      <c r="AE117" t="n">
        <v>431.46</v>
      </c>
      <c r="AF117" t="inlineStr">
        <is>
          <t>2026-01-29</t>
        </is>
      </c>
      <c r="AG117" t="n">
        <v>437.8</v>
      </c>
      <c r="AH117" t="n">
        <v>0.01469428714654561</v>
      </c>
      <c r="AI117" t="inlineStr">
        <is>
          <t>FLAT</t>
        </is>
      </c>
      <c r="AJ117" t="inlineStr">
        <is>
          <t>NO</t>
        </is>
      </c>
      <c r="AK117" t="n">
        <v>0.013694</v>
      </c>
      <c r="AL117">
        <f>IF($A117="","",IFERROR(INDEX(Company_List!$G$3:$G$207,MATCH($A117,Company_List!$A$3:$A$207,0)),"unassigned"))</f>
        <v/>
      </c>
      <c r="AM117" t="inlineStr">
        <is>
          <t>Phase 2/Tesla/2025-Q4/TSLA-2025-Q4-press-release-SEC-EX-99-1.htm</t>
        </is>
      </c>
      <c r="AN117" t="inlineStr">
        <is>
          <t>https://www.sec.gov/Archives/edgar/data/1318605/000162828026003837/exhibit991.htm</t>
        </is>
      </c>
      <c r="AO117" t="inlineStr">
        <is>
          <t>manifest</t>
        </is>
      </c>
      <c r="AP117">
        <f>IF($A117="","",IF(COUNTIFS(LLM_Data_Entry!$A$3:$A$548,$A117)&gt;0,"YES","NO"))</f>
        <v/>
      </c>
      <c r="AQ117">
        <f>IF($A117="","",IF(COUNTIFS($A$3:$A117,$A117,$C$3:$C117,$C117,$D$3:$D117,$D117)=1,"YES","NO"))</f>
        <v/>
      </c>
      <c r="AR117">
        <f>IF($A117="","",IF(AND($C117&amp;"-"&amp;$D117&gt;=Settings!$B$19,$C117&amp;"-"&amp;$D117&lt;=Settings!$B$20),"IN","OUT"))</f>
        <v/>
      </c>
      <c r="AS117">
        <f>IF($A117="","",IF($F117="Financial Results","financials",IF($F117="Outlook/Guidance","guidance",IF($F117="Transcript Q&amp;A","qanda",IF($F117="","unrecorded",IF($E117="All","full",IF($E117="","unrecorded",LOWER($E117)&amp;" only")))))))</f>
        <v/>
      </c>
      <c r="AT117">
        <f>IF(AND(OR($J117="BUY",$J117="SELL"),ISNUMBER($U117)),$U117,"")</f>
        <v/>
      </c>
      <c r="AU117">
        <f>IF(AND(OR($J117="BUY",$J117="SELL"),ISNUMBER($AK117)),$AK117,"")</f>
        <v/>
      </c>
      <c r="AV117">
        <f>IF(ISNUMBER($AT117),ABS(IF(ISNUMBER($I117),$I117,0)-Settings!$B$24),"")</f>
        <v/>
      </c>
      <c r="AW117">
        <f>IF(ISNUMBER($AV117),$AV117*$AT117,"")</f>
        <v/>
      </c>
      <c r="AX117">
        <f>IF(ISNUMBER($AU117),ABS(IF(ISNUMBER($I117),$I117,0)-Settings!$B$24),"")</f>
        <v/>
      </c>
      <c r="AY117">
        <f>IF(ISNUMBER($AX117),$AX117*$AU117,"")</f>
        <v/>
      </c>
      <c r="AZ117">
        <f>IF($A117="","",IFERROR(INDEX(Company_List!$H$3:$H$207,MATCH($A117,Company_List!$A$3:$A$207,0)),"unassigned"))</f>
        <v/>
      </c>
      <c r="BC117">
        <f>IF($A117="","",IF(COUNTIFS($A$3:$A117,$A117,$C$3:$C117,$C117,$D$3:$D117,$D117,$G$3:$G117,$G117)=1,1,0))</f>
        <v/>
      </c>
      <c r="BG117" t="inlineStr">
        <is>
          <t>no</t>
        </is>
      </c>
      <c r="BK117">
        <f>IF(OR($H117&lt;&gt;"Human",$S117="",$J117="",$Y117="",$Z117=""),"",IF(EXACT(UPPER($J117),UPPER($Y117)),1,0))</f>
        <v/>
      </c>
      <c r="BL117" t="inlineStr">
        <is>
          <t>assumed - no rater record</t>
        </is>
      </c>
      <c r="BM117" t="n">
        <v>1</v>
      </c>
      <c r="BN117" t="inlineStr">
        <is>
          <t>not publisher-identified</t>
        </is>
      </c>
      <c r="BO117" t="inlineStr">
        <is>
          <t>not publisher-identified</t>
        </is>
      </c>
      <c r="BP117" t="inlineStr">
        <is>
          <t>no</t>
        </is>
      </c>
      <c r="BQ117" t="inlineStr">
        <is>
          <t>yes</t>
        </is>
      </c>
      <c r="BR117" t="inlineStr">
        <is>
          <t>filled 11 Aug 2026 from the corpus manifest: the company-quarter holds exactly one document and the manifest carries its release date</t>
        </is>
      </c>
    </row>
    <row r="118" ht="16.35" customHeight="1">
      <c r="A118" s="95" t="inlineStr">
        <is>
          <t>Pfizer</t>
        </is>
      </c>
      <c r="B118" s="96">
        <f>IF(A118="","",_xlfn.XLOOKUP(A118, Company_List!$A:$A, Company_List!$B:$B, ""))</f>
        <v/>
      </c>
      <c r="C118" s="21" t="n">
        <v>2025</v>
      </c>
      <c r="D118" s="20" t="inlineStr">
        <is>
          <t>Q1</t>
        </is>
      </c>
      <c r="E118" s="19" t="inlineStr">
        <is>
          <t>Transcript</t>
        </is>
      </c>
      <c r="F118" s="19" t="inlineStr">
        <is>
          <t>All</t>
        </is>
      </c>
      <c r="G118" s="20" t="inlineStr">
        <is>
          <t>Abdul</t>
        </is>
      </c>
      <c r="H118" s="20" t="inlineStr">
        <is>
          <t>Human</t>
        </is>
      </c>
      <c r="I118" s="127" t="n">
        <v>-0.3</v>
      </c>
      <c r="J118" s="145">
        <f>IF(OR(I118="",Settings!$B$6=""),"",IF(I118&gt;Settings!$B$6,"BUY",IF(I118&lt;-Settings!$B$6,"SELL","HOLD")))</f>
        <v/>
      </c>
      <c r="K118" s="139" t="n">
        <v>55</v>
      </c>
      <c r="L118" s="123" t="n">
        <v>45776</v>
      </c>
      <c r="M118" s="123" t="n">
        <v>45776</v>
      </c>
      <c r="N118" s="127" t="n">
        <v>23.05</v>
      </c>
      <c r="O118" s="123" t="n">
        <v>45777</v>
      </c>
      <c r="P118" s="22" t="n">
        <v>22.83</v>
      </c>
      <c r="Q118" s="148">
        <f>IF(OR(N118="",P118=""),"",ROUND((P118-N118)/N118,4))</f>
        <v/>
      </c>
      <c r="R118" s="20">
        <f>IF(OR(N118="",P118=""),"",IF(Q118&gt;Settings!$B$3/100,"UP",IF(Q118&lt;-Settings!$B$3/100,"DOWN","FLAT")))</f>
        <v/>
      </c>
      <c r="S118" s="20">
        <f>IF(OR(N118="",P118="",J118=""),"",IF(OR(AND(J118="BUY",R118="UP"),AND(J118="SELL",R118="DOWN"),AND(J118="HOLD",R118="FLAT")),"YES","NO"))</f>
        <v/>
      </c>
      <c r="T118" s="21">
        <f>IF(J118="","",IF(J118="BUY",1,IF(J118="SELL",-1,0)))</f>
        <v/>
      </c>
      <c r="U118" s="148">
        <f>IFERROR(IF(OR(J118="",N118="",P118=""),"",IF(T118=0,0,T118*Q118-Settings!$B$4/10000-IF(T118&lt;0,Settings!$B$5/10000,0))),"")</f>
        <v/>
      </c>
      <c r="V118" s="23" t="n"/>
      <c r="W118" s="21">
        <f>IF($K118="","",$K118*60)</f>
        <v/>
      </c>
      <c r="X118" s="91">
        <f>IF($A118="","",$A118&amp;"|"&amp;$C118&amp;"|"&amp;$D118)</f>
        <v/>
      </c>
      <c r="Y118" s="91">
        <f>IFERROR(IF($X118="","",INDEX(LLM_Data_Entry!$H$3:$H$548,MATCH($X118,INDEX(LLM_Data_Entry!$A$3:$A$548&amp;"|"&amp;LLM_Data_Entry!$C$3:$C$548&amp;"|"&amp;LLM_Data_Entry!$D$3:$D$548,0),0))),"")</f>
        <v/>
      </c>
      <c r="Z118" s="91">
        <f>IFERROR(IF($X118="","",INDEX(LLM_Data_Entry!$R$3:$R$548,MATCH($X118,INDEX(LLM_Data_Entry!$A$3:$A$548&amp;"|"&amp;LLM_Data_Entry!$C$3:$C$548&amp;"|"&amp;LLM_Data_Entry!$D$3:$D$548,0),0))),"")</f>
        <v/>
      </c>
      <c r="AB118" t="inlineStr">
        <is>
          <t>earnings calendar, seconded independently</t>
        </is>
      </c>
      <c r="AC118" t="inlineStr">
        <is>
          <t>PFE</t>
        </is>
      </c>
      <c r="AD118" t="inlineStr">
        <is>
          <t>2025-04-28</t>
        </is>
      </c>
      <c r="AE118" t="n">
        <v>20.7777</v>
      </c>
      <c r="AF118" t="inlineStr">
        <is>
          <t>2025-04-29</t>
        </is>
      </c>
      <c r="AG118" t="n">
        <v>20.5793</v>
      </c>
      <c r="AH118" t="n">
        <v>-0.009544570031988756</v>
      </c>
      <c r="AI118" t="inlineStr">
        <is>
          <t>FLAT</t>
        </is>
      </c>
      <c r="AJ118" t="inlineStr">
        <is>
          <t>NO</t>
        </is>
      </c>
      <c r="AK118" t="n">
        <v>0.008545000000000001</v>
      </c>
      <c r="AL118">
        <f>IF($A118="","",IFERROR(INDEX(Company_List!$G$3:$G$207,MATCH($A118,Company_List!$A$3:$A$207,0)),"unassigned"))</f>
        <v/>
      </c>
      <c r="AM118" t="inlineStr">
        <is>
          <t>Phase 2/Pfizer/PFE-USQ_Transcript_2025-04-29.pdf</t>
        </is>
      </c>
      <c r="AO118" t="inlineStr">
        <is>
          <t>unique filename match</t>
        </is>
      </c>
      <c r="AP118">
        <f>IF($A118="","",IF(COUNTIFS(LLM_Data_Entry!$A$3:$A$548,$A118)&gt;0,"YES","NO"))</f>
        <v/>
      </c>
      <c r="AQ118">
        <f>IF($A118="","",IF(COUNTIFS($A$3:$A118,$A118,$C$3:$C118,$C118,$D$3:$D118,$D118)=1,"YES","NO"))</f>
        <v/>
      </c>
      <c r="AR118">
        <f>IF($A118="","",IF(AND($C118&amp;"-"&amp;$D118&gt;=Settings!$B$19,$C118&amp;"-"&amp;$D118&lt;=Settings!$B$20),"IN","OUT"))</f>
        <v/>
      </c>
      <c r="AS118">
        <f>IF($A118="","",IF($F118="Financial Results","financials",IF($F118="Outlook/Guidance","guidance",IF($F118="Transcript Q&amp;A","qanda",IF($F118="","unrecorded",IF($E118="All","full",IF($E118="","unrecorded",LOWER($E118)&amp;" only")))))))</f>
        <v/>
      </c>
      <c r="AT118">
        <f>IF(AND(OR($J118="BUY",$J118="SELL"),ISNUMBER($U118)),$U118,"")</f>
        <v/>
      </c>
      <c r="AU118">
        <f>IF(AND(OR($J118="BUY",$J118="SELL"),ISNUMBER($AK118)),$AK118,"")</f>
        <v/>
      </c>
      <c r="AV118">
        <f>IF(ISNUMBER($AT118),ABS(IF(ISNUMBER($I118),$I118,0)-Settings!$B$24),"")</f>
        <v/>
      </c>
      <c r="AW118">
        <f>IF(ISNUMBER($AV118),$AV118*$AT118,"")</f>
        <v/>
      </c>
      <c r="AX118">
        <f>IF(ISNUMBER($AU118),ABS(IF(ISNUMBER($I118),$I118,0)-Settings!$B$24),"")</f>
        <v/>
      </c>
      <c r="AY118">
        <f>IF(ISNUMBER($AX118),$AX118*$AU118,"")</f>
        <v/>
      </c>
      <c r="AZ118">
        <f>IF($A118="","",IFERROR(INDEX(Company_List!$H$3:$H$207,MATCH($A118,Company_List!$A$3:$A$207,0)),"unassigned"))</f>
        <v/>
      </c>
      <c r="BC118">
        <f>IF($A118="","",IF(COUNTIFS($A$3:$A118,$A118,$C$3:$C118,$C118,$D$3:$D118,$D118,$G$3:$G118,$G118)=1,1,0))</f>
        <v/>
      </c>
      <c r="BG118" t="inlineStr">
        <is>
          <t>no</t>
        </is>
      </c>
      <c r="BK118">
        <f>IF(OR($H118&lt;&gt;"Human",$S118="",$J118="",$Y118="",$Z118=""),"",IF(EXACT(UPPER($J118),UPPER($Y118)),1,0))</f>
        <v/>
      </c>
      <c r="BL118" t="inlineStr">
        <is>
          <t>assumed - no rater record</t>
        </is>
      </c>
      <c r="BM118" t="n">
        <v>1</v>
      </c>
      <c r="BN118" t="inlineStr">
        <is>
          <t>Refinitiv / LSEG StreetEvents</t>
        </is>
      </c>
      <c r="BO118" t="inlineStr">
        <is>
          <t>licensed vendor</t>
        </is>
      </c>
      <c r="BP118" t="inlineStr">
        <is>
          <t>no</t>
        </is>
      </c>
      <c r="BQ118" t="inlineStr">
        <is>
          <t>no</t>
        </is>
      </c>
    </row>
    <row r="119" ht="16.35" customHeight="1">
      <c r="A119" s="95" t="inlineStr">
        <is>
          <t>Pfizer</t>
        </is>
      </c>
      <c r="B119" s="96">
        <f>IF(A119="","",_xlfn.XLOOKUP(A119, Company_List!$A:$A, Company_List!$B:$B, ""))</f>
        <v/>
      </c>
      <c r="C119" s="21" t="n">
        <v>2025</v>
      </c>
      <c r="D119" s="20" t="inlineStr">
        <is>
          <t>Q2</t>
        </is>
      </c>
      <c r="E119" s="19" t="inlineStr">
        <is>
          <t>Transcript</t>
        </is>
      </c>
      <c r="F119" s="19" t="inlineStr">
        <is>
          <t>All</t>
        </is>
      </c>
      <c r="G119" s="20" t="inlineStr">
        <is>
          <t>Abdul</t>
        </is>
      </c>
      <c r="H119" s="20" t="inlineStr">
        <is>
          <t>Human</t>
        </is>
      </c>
      <c r="I119" s="127" t="n">
        <v>0.4</v>
      </c>
      <c r="J119" s="145">
        <f>IF(OR(I119="",Settings!$B$6=""),"",IF(I119&gt;Settings!$B$6,"BUY",IF(I119&lt;-Settings!$B$6,"SELL","HOLD")))</f>
        <v/>
      </c>
      <c r="K119" s="139" t="n">
        <v>45</v>
      </c>
      <c r="L119" s="123" t="n">
        <v>45874</v>
      </c>
      <c r="M119" s="123" t="n">
        <v>45874</v>
      </c>
      <c r="N119" s="127" t="n">
        <v>23.53</v>
      </c>
      <c r="O119" s="123" t="n">
        <v>45875</v>
      </c>
      <c r="P119" s="22" t="n">
        <v>24.27</v>
      </c>
      <c r="Q119" s="148">
        <f>IF(OR(N119="",P119=""),"",ROUND((P119-N119)/N119,4))</f>
        <v/>
      </c>
      <c r="R119" s="20">
        <f>IF(OR(N119="",P119=""),"",IF(Q119&gt;Settings!$B$3/100,"UP",IF(Q119&lt;-Settings!$B$3/100,"DOWN","FLAT")))</f>
        <v/>
      </c>
      <c r="S119" s="20">
        <f>IF(OR(N119="",P119="",J119=""),"",IF(OR(AND(J119="BUY",R119="UP"),AND(J119="SELL",R119="DOWN"),AND(J119="HOLD",R119="FLAT")),"YES","NO"))</f>
        <v/>
      </c>
      <c r="T119" s="21">
        <f>IF(J119="","",IF(J119="BUY",1,IF(J119="SELL",-1,0)))</f>
        <v/>
      </c>
      <c r="U119" s="148">
        <f>IFERROR(IF(OR(J119="",N119="",P119=""),"",IF(T119=0,0,T119*Q119-Settings!$B$4/10000-IF(T119&lt;0,Settings!$B$5/10000,0))),"")</f>
        <v/>
      </c>
      <c r="V119" s="23" t="n"/>
      <c r="W119" s="21">
        <f>IF($K119="","",$K119*60)</f>
        <v/>
      </c>
      <c r="X119" s="91">
        <f>IF($A119="","",$A119&amp;"|"&amp;$C119&amp;"|"&amp;$D119)</f>
        <v/>
      </c>
      <c r="Y119" s="91">
        <f>IFERROR(IF($X119="","",INDEX(LLM_Data_Entry!$H$3:$H$548,MATCH($X119,INDEX(LLM_Data_Entry!$A$3:$A$548&amp;"|"&amp;LLM_Data_Entry!$C$3:$C$548&amp;"|"&amp;LLM_Data_Entry!$D$3:$D$548,0),0))),"")</f>
        <v/>
      </c>
      <c r="Z119" s="91">
        <f>IFERROR(IF($X119="","",INDEX(LLM_Data_Entry!$R$3:$R$548,MATCH($X119,INDEX(LLM_Data_Entry!$A$3:$A$548&amp;"|"&amp;LLM_Data_Entry!$C$3:$C$548&amp;"|"&amp;LLM_Data_Entry!$D$3:$D$548,0),0))),"")</f>
        <v/>
      </c>
      <c r="AB119" t="inlineStr">
        <is>
          <t>price signal — both moved; this one dominates</t>
        </is>
      </c>
      <c r="AC119" t="inlineStr">
        <is>
          <t>PFE</t>
        </is>
      </c>
      <c r="AD119" t="inlineStr">
        <is>
          <t>2025-08-04</t>
        </is>
      </c>
      <c r="AE119" t="n">
        <v>21.9879</v>
      </c>
      <c r="AF119" t="inlineStr">
        <is>
          <t>2025-08-05</t>
        </is>
      </c>
      <c r="AG119" t="n">
        <v>22.6794</v>
      </c>
      <c r="AH119" t="n">
        <v>0.03144916541941944</v>
      </c>
      <c r="AI119" t="inlineStr">
        <is>
          <t>UP</t>
        </is>
      </c>
      <c r="AJ119" t="inlineStr">
        <is>
          <t>YES</t>
        </is>
      </c>
      <c r="AK119" t="n">
        <v>0.030449</v>
      </c>
      <c r="AL119">
        <f>IF($A119="","",IFERROR(INDEX(Company_List!$G$3:$G$207,MATCH($A119,Company_List!$A$3:$A$207,0)),"unassigned"))</f>
        <v/>
      </c>
      <c r="AM119" t="inlineStr">
        <is>
          <t>Phase 2/Pfizer/PFE-USQ_Transcript_2025-08-05.pdf</t>
        </is>
      </c>
      <c r="AO119" t="inlineStr">
        <is>
          <t>unique filename match</t>
        </is>
      </c>
      <c r="AP119">
        <f>IF($A119="","",IF(COUNTIFS(LLM_Data_Entry!$A$3:$A$548,$A119)&gt;0,"YES","NO"))</f>
        <v/>
      </c>
      <c r="AQ119">
        <f>IF($A119="","",IF(COUNTIFS($A$3:$A119,$A119,$C$3:$C119,$C119,$D$3:$D119,$D119)=1,"YES","NO"))</f>
        <v/>
      </c>
      <c r="AR119">
        <f>IF($A119="","",IF(AND($C119&amp;"-"&amp;$D119&gt;=Settings!$B$19,$C119&amp;"-"&amp;$D119&lt;=Settings!$B$20),"IN","OUT"))</f>
        <v/>
      </c>
      <c r="AS119">
        <f>IF($A119="","",IF($F119="Financial Results","financials",IF($F119="Outlook/Guidance","guidance",IF($F119="Transcript Q&amp;A","qanda",IF($F119="","unrecorded",IF($E119="All","full",IF($E119="","unrecorded",LOWER($E119)&amp;" only")))))))</f>
        <v/>
      </c>
      <c r="AT119">
        <f>IF(AND(OR($J119="BUY",$J119="SELL"),ISNUMBER($U119)),$U119,"")</f>
        <v/>
      </c>
      <c r="AU119">
        <f>IF(AND(OR($J119="BUY",$J119="SELL"),ISNUMBER($AK119)),$AK119,"")</f>
        <v/>
      </c>
      <c r="AV119">
        <f>IF(ISNUMBER($AT119),ABS(IF(ISNUMBER($I119),$I119,0)-Settings!$B$24),"")</f>
        <v/>
      </c>
      <c r="AW119">
        <f>IF(ISNUMBER($AV119),$AV119*$AT119,"")</f>
        <v/>
      </c>
      <c r="AX119">
        <f>IF(ISNUMBER($AU119),ABS(IF(ISNUMBER($I119),$I119,0)-Settings!$B$24),"")</f>
        <v/>
      </c>
      <c r="AY119">
        <f>IF(ISNUMBER($AX119),$AX119*$AU119,"")</f>
        <v/>
      </c>
      <c r="AZ119">
        <f>IF($A119="","",IFERROR(INDEX(Company_List!$H$3:$H$207,MATCH($A119,Company_List!$A$3:$A$207,0)),"unassigned"))</f>
        <v/>
      </c>
      <c r="BC119">
        <f>IF($A119="","",IF(COUNTIFS($A$3:$A119,$A119,$C$3:$C119,$C119,$D$3:$D119,$D119,$G$3:$G119,$G119)=1,1,0))</f>
        <v/>
      </c>
      <c r="BG119" t="inlineStr">
        <is>
          <t>no</t>
        </is>
      </c>
      <c r="BK119">
        <f>IF(OR($H119&lt;&gt;"Human",$S119="",$J119="",$Y119="",$Z119=""),"",IF(EXACT(UPPER($J119),UPPER($Y119)),1,0))</f>
        <v/>
      </c>
      <c r="BL119" t="inlineStr">
        <is>
          <t>assumed - no rater record</t>
        </is>
      </c>
      <c r="BM119" t="n">
        <v>1</v>
      </c>
      <c r="BN119" t="inlineStr">
        <is>
          <t>Refinitiv / LSEG StreetEvents</t>
        </is>
      </c>
      <c r="BO119" t="inlineStr">
        <is>
          <t>licensed vendor</t>
        </is>
      </c>
      <c r="BP119" t="inlineStr">
        <is>
          <t>no</t>
        </is>
      </c>
      <c r="BQ119" t="inlineStr">
        <is>
          <t>no</t>
        </is>
      </c>
    </row>
    <row r="120" ht="16.35" customHeight="1">
      <c r="A120" s="95" t="inlineStr">
        <is>
          <t>Pfizer</t>
        </is>
      </c>
      <c r="B120" s="96">
        <f>IF(A120="","",_xlfn.XLOOKUP(A120, Company_List!$A:$A, Company_List!$B:$B, ""))</f>
        <v/>
      </c>
      <c r="C120" s="21" t="n">
        <v>2025</v>
      </c>
      <c r="D120" s="20" t="inlineStr">
        <is>
          <t>Q4</t>
        </is>
      </c>
      <c r="E120" s="19" t="inlineStr">
        <is>
          <t>Transcript</t>
        </is>
      </c>
      <c r="F120" s="19" t="inlineStr">
        <is>
          <t>All</t>
        </is>
      </c>
      <c r="G120" s="20" t="inlineStr">
        <is>
          <t>Abdul</t>
        </is>
      </c>
      <c r="H120" s="20" t="inlineStr">
        <is>
          <t>Human</t>
        </is>
      </c>
      <c r="I120" s="127" t="n">
        <v>-0.6</v>
      </c>
      <c r="J120" s="145">
        <f>IF(OR(I120="",Settings!$B$6=""),"",IF(I120&gt;Settings!$B$6,"BUY",IF(I120&lt;-Settings!$B$6,"SELL","HOLD")))</f>
        <v/>
      </c>
      <c r="K120" s="139" t="n">
        <v>49</v>
      </c>
      <c r="L120" s="123" t="n">
        <v>46056</v>
      </c>
      <c r="M120" s="123" t="n">
        <v>46056</v>
      </c>
      <c r="N120" s="127" t="n">
        <v>26.66</v>
      </c>
      <c r="O120" s="123" t="n">
        <v>46057</v>
      </c>
      <c r="P120" s="22" t="n">
        <v>25.36</v>
      </c>
      <c r="Q120" s="148">
        <f>IF(OR(N120="",P120=""),"",ROUND((P120-N120)/N120,4))</f>
        <v/>
      </c>
      <c r="R120" s="20">
        <f>IF(OR(N120="",P120=""),"",IF(Q120&gt;Settings!$B$3/100,"UP",IF(Q120&lt;-Settings!$B$3/100,"DOWN","FLAT")))</f>
        <v/>
      </c>
      <c r="S120" s="20">
        <f>IF(OR(N120="",P120="",J120=""),"",IF(OR(AND(J120="BUY",R120="UP"),AND(J120="SELL",R120="DOWN"),AND(J120="HOLD",R120="FLAT")),"YES","NO"))</f>
        <v/>
      </c>
      <c r="T120" s="21">
        <f>IF(J120="","",IF(J120="BUY",1,IF(J120="SELL",-1,0)))</f>
        <v/>
      </c>
      <c r="U120" s="148">
        <f>IFERROR(IF(OR(J120="",N120="",P120=""),"",IF(T120=0,0,T120*Q120-Settings!$B$4/10000-IF(T120&lt;0,Settings!$B$5/10000,0))),"")</f>
        <v/>
      </c>
      <c r="V120" s="23" t="n"/>
      <c r="W120" s="21">
        <f>IF($K120="","",$K120*60)</f>
        <v/>
      </c>
      <c r="X120" s="91">
        <f>IF($A120="","",$A120&amp;"|"&amp;$C120&amp;"|"&amp;$D120)</f>
        <v/>
      </c>
      <c r="Y120" s="91">
        <f>IFERROR(IF($X120="","",INDEX(LLM_Data_Entry!$H$3:$H$548,MATCH($X120,INDEX(LLM_Data_Entry!$A$3:$A$548&amp;"|"&amp;LLM_Data_Entry!$C$3:$C$548&amp;"|"&amp;LLM_Data_Entry!$D$3:$D$548,0),0))),"")</f>
        <v/>
      </c>
      <c r="Z120" s="91">
        <f>IFERROR(IF($X120="","",INDEX(LLM_Data_Entry!$R$3:$R$548,MATCH($X120,INDEX(LLM_Data_Entry!$A$3:$A$548&amp;"|"&amp;LLM_Data_Entry!$C$3:$C$548&amp;"|"&amp;LLM_Data_Entry!$D$3:$D$548,0),0))),"")</f>
        <v/>
      </c>
      <c r="AB120" t="inlineStr">
        <is>
          <t>price signal — only this window shows an abnormal move</t>
        </is>
      </c>
      <c r="AC120" t="inlineStr">
        <is>
          <t>PFE</t>
        </is>
      </c>
      <c r="AD120" t="inlineStr">
        <is>
          <t>2026-02-02</t>
        </is>
      </c>
      <c r="AE120" t="n">
        <v>25.7762</v>
      </c>
      <c r="AF120" t="inlineStr">
        <is>
          <t>2026-02-03</t>
        </is>
      </c>
      <c r="AG120" t="n">
        <v>24.5193</v>
      </c>
      <c r="AH120" t="n">
        <v>-0.04876210990506553</v>
      </c>
      <c r="AI120" t="inlineStr">
        <is>
          <t>DOWN</t>
        </is>
      </c>
      <c r="AJ120" t="inlineStr">
        <is>
          <t>YES</t>
        </is>
      </c>
      <c r="AK120" t="n">
        <v>0.047762</v>
      </c>
      <c r="AL120">
        <f>IF($A120="","",IFERROR(INDEX(Company_List!$G$3:$G$207,MATCH($A120,Company_List!$A$3:$A$207,0)),"unassigned"))</f>
        <v/>
      </c>
      <c r="AM120" t="inlineStr">
        <is>
          <t>Phase 2/Pfizer/PFE-USQ_Transcript_2026-02-03.pdf</t>
        </is>
      </c>
      <c r="AO120" t="inlineStr">
        <is>
          <t>unique filename match</t>
        </is>
      </c>
      <c r="AP120">
        <f>IF($A120="","",IF(COUNTIFS(LLM_Data_Entry!$A$3:$A$548,$A120)&gt;0,"YES","NO"))</f>
        <v/>
      </c>
      <c r="AQ120">
        <f>IF($A120="","",IF(COUNTIFS($A$3:$A120,$A120,$C$3:$C120,$C120,$D$3:$D120,$D120)=1,"YES","NO"))</f>
        <v/>
      </c>
      <c r="AR120">
        <f>IF($A120="","",IF(AND($C120&amp;"-"&amp;$D120&gt;=Settings!$B$19,$C120&amp;"-"&amp;$D120&lt;=Settings!$B$20),"IN","OUT"))</f>
        <v/>
      </c>
      <c r="AS120">
        <f>IF($A120="","",IF($F120="Financial Results","financials",IF($F120="Outlook/Guidance","guidance",IF($F120="Transcript Q&amp;A","qanda",IF($F120="","unrecorded",IF($E120="All","full",IF($E120="","unrecorded",LOWER($E120)&amp;" only")))))))</f>
        <v/>
      </c>
      <c r="AT120">
        <f>IF(AND(OR($J120="BUY",$J120="SELL"),ISNUMBER($U120)),$U120,"")</f>
        <v/>
      </c>
      <c r="AU120">
        <f>IF(AND(OR($J120="BUY",$J120="SELL"),ISNUMBER($AK120)),$AK120,"")</f>
        <v/>
      </c>
      <c r="AV120">
        <f>IF(ISNUMBER($AT120),ABS(IF(ISNUMBER($I120),$I120,0)-Settings!$B$24),"")</f>
        <v/>
      </c>
      <c r="AW120">
        <f>IF(ISNUMBER($AV120),$AV120*$AT120,"")</f>
        <v/>
      </c>
      <c r="AX120">
        <f>IF(ISNUMBER($AU120),ABS(IF(ISNUMBER($I120),$I120,0)-Settings!$B$24),"")</f>
        <v/>
      </c>
      <c r="AY120">
        <f>IF(ISNUMBER($AX120),$AX120*$AU120,"")</f>
        <v/>
      </c>
      <c r="AZ120">
        <f>IF($A120="","",IFERROR(INDEX(Company_List!$H$3:$H$207,MATCH($A120,Company_List!$A$3:$A$207,0)),"unassigned"))</f>
        <v/>
      </c>
      <c r="BC120">
        <f>IF($A120="","",IF(COUNTIFS($A$3:$A120,$A120,$C$3:$C120,$C120,$D$3:$D120,$D120,$G$3:$G120,$G120)=1,1,0))</f>
        <v/>
      </c>
      <c r="BG120" t="inlineStr">
        <is>
          <t>no</t>
        </is>
      </c>
      <c r="BK120">
        <f>IF(OR($H120&lt;&gt;"Human",$S120="",$J120="",$Y120="",$Z120=""),"",IF(EXACT(UPPER($J120),UPPER($Y120)),1,0))</f>
        <v/>
      </c>
      <c r="BL120" t="inlineStr">
        <is>
          <t>assumed - no rater record</t>
        </is>
      </c>
      <c r="BM120" t="n">
        <v>1</v>
      </c>
      <c r="BN120" t="inlineStr">
        <is>
          <t>Refinitiv / LSEG StreetEvents</t>
        </is>
      </c>
      <c r="BO120" t="inlineStr">
        <is>
          <t>licensed vendor</t>
        </is>
      </c>
      <c r="BP120" t="inlineStr">
        <is>
          <t>no</t>
        </is>
      </c>
      <c r="BQ120" t="inlineStr">
        <is>
          <t>no</t>
        </is>
      </c>
    </row>
    <row r="121" ht="16.35" customHeight="1">
      <c r="A121" s="95" t="inlineStr">
        <is>
          <t>Pfizer</t>
        </is>
      </c>
      <c r="B121" s="96">
        <f>IF(A121="","",_xlfn.XLOOKUP(A121, Company_List!$A:$A, Company_List!$B:$B, ""))</f>
        <v/>
      </c>
      <c r="C121" s="21" t="n">
        <v>2026</v>
      </c>
      <c r="D121" s="20" t="inlineStr">
        <is>
          <t>Q1</t>
        </is>
      </c>
      <c r="E121" s="19" t="inlineStr">
        <is>
          <t>Transcript</t>
        </is>
      </c>
      <c r="F121" s="19" t="inlineStr">
        <is>
          <t>All</t>
        </is>
      </c>
      <c r="G121" s="20" t="inlineStr">
        <is>
          <t>Abdul</t>
        </is>
      </c>
      <c r="H121" s="20" t="inlineStr">
        <is>
          <t>Human</t>
        </is>
      </c>
      <c r="I121" s="127" t="n">
        <v>0.7</v>
      </c>
      <c r="J121" s="145">
        <f>IF(OR(I121="",Settings!$B$6=""),"",IF(I121&gt;Settings!$B$6,"BUY",IF(I121&lt;-Settings!$B$6,"SELL","HOLD")))</f>
        <v/>
      </c>
      <c r="K121" s="139" t="n">
        <v>40</v>
      </c>
      <c r="L121" s="123" t="n">
        <v>46147</v>
      </c>
      <c r="M121" s="123" t="n">
        <v>46147</v>
      </c>
      <c r="N121" s="127" t="n">
        <v>26.3</v>
      </c>
      <c r="O121" s="123" t="n">
        <v>46148</v>
      </c>
      <c r="P121" s="22" t="n">
        <v>26.59</v>
      </c>
      <c r="Q121" s="148">
        <f>IF(OR(N121="",P121=""),"",ROUND((P121-N121)/N121,4))</f>
        <v/>
      </c>
      <c r="R121" s="20">
        <f>IF(OR(N121="",P121=""),"",IF(Q121&gt;Settings!$B$3/100,"UP",IF(Q121&lt;-Settings!$B$3/100,"DOWN","FLAT")))</f>
        <v/>
      </c>
      <c r="S121" s="20">
        <f>IF(OR(N121="",P121="",J121=""),"",IF(OR(AND(J121="BUY",R121="UP"),AND(J121="SELL",R121="DOWN"),AND(J121="HOLD",R121="FLAT")),"YES","NO"))</f>
        <v/>
      </c>
      <c r="T121" s="21">
        <f>IF(J121="","",IF(J121="BUY",1,IF(J121="SELL",-1,0)))</f>
        <v/>
      </c>
      <c r="U121" s="148">
        <f>IFERROR(IF(OR(J121="",N121="",P121=""),"",IF(T121=0,0,T121*Q121-Settings!$B$4/10000-IF(T121&lt;0,Settings!$B$5/10000,0))),"")</f>
        <v/>
      </c>
      <c r="V121" s="23" t="n"/>
      <c r="W121" s="21">
        <f>IF($K121="","",$K121*60)</f>
        <v/>
      </c>
      <c r="X121" s="91">
        <f>IF($A121="","",$A121&amp;"|"&amp;$C121&amp;"|"&amp;$D121)</f>
        <v/>
      </c>
      <c r="Y121" s="91">
        <f>IFERROR(IF($X121="","",INDEX(LLM_Data_Entry!$H$3:$H$548,MATCH($X121,INDEX(LLM_Data_Entry!$A$3:$A$548&amp;"|"&amp;LLM_Data_Entry!$C$3:$C$548&amp;"|"&amp;LLM_Data_Entry!$D$3:$D$548,0),0))),"")</f>
        <v/>
      </c>
      <c r="Z121" s="91">
        <f>IFERROR(IF($X121="","",INDEX(LLM_Data_Entry!$R$3:$R$548,MATCH($X121,INDEX(LLM_Data_Entry!$A$3:$A$548&amp;"|"&amp;LLM_Data_Entry!$C$3:$C$548&amp;"|"&amp;LLM_Data_Entry!$D$3:$D$548,0),0))),"")</f>
        <v/>
      </c>
      <c r="AB121" t="inlineStr">
        <is>
          <t>earnings calendar, seconded independently</t>
        </is>
      </c>
      <c r="AC121" t="inlineStr">
        <is>
          <t>PFE</t>
        </is>
      </c>
      <c r="AD121" t="inlineStr">
        <is>
          <t>2026-05-04</t>
        </is>
      </c>
      <c r="AE121" t="n">
        <v>25.4281</v>
      </c>
      <c r="AF121" t="inlineStr">
        <is>
          <t>2026-05-05</t>
        </is>
      </c>
      <c r="AG121" t="n">
        <v>25.7085</v>
      </c>
      <c r="AH121" t="n">
        <v>0.01102665328244645</v>
      </c>
      <c r="AI121" t="inlineStr">
        <is>
          <t>FLAT</t>
        </is>
      </c>
      <c r="AJ121" t="inlineStr">
        <is>
          <t>NO</t>
        </is>
      </c>
      <c r="AK121" t="n">
        <v>0.010027</v>
      </c>
      <c r="AL121">
        <f>IF($A121="","",IFERROR(INDEX(Company_List!$G$3:$G$207,MATCH($A121,Company_List!$A$3:$A$207,0)),"unassigned"))</f>
        <v/>
      </c>
      <c r="AM121" t="inlineStr">
        <is>
          <t>Phase 2/Pfizer/PFE-USQ_Transcript_2026-05-05.pdf</t>
        </is>
      </c>
      <c r="AO121" t="inlineStr">
        <is>
          <t>unique filename match</t>
        </is>
      </c>
      <c r="AP121">
        <f>IF($A121="","",IF(COUNTIFS(LLM_Data_Entry!$A$3:$A$548,$A121)&gt;0,"YES","NO"))</f>
        <v/>
      </c>
      <c r="AQ121">
        <f>IF($A121="","",IF(COUNTIFS($A$3:$A121,$A121,$C$3:$C121,$C121,$D$3:$D121,$D121)=1,"YES","NO"))</f>
        <v/>
      </c>
      <c r="AR121">
        <f>IF($A121="","",IF(AND($C121&amp;"-"&amp;$D121&gt;=Settings!$B$19,$C121&amp;"-"&amp;$D121&lt;=Settings!$B$20),"IN","OUT"))</f>
        <v/>
      </c>
      <c r="AS121">
        <f>IF($A121="","",IF($F121="Financial Results","financials",IF($F121="Outlook/Guidance","guidance",IF($F121="Transcript Q&amp;A","qanda",IF($F121="","unrecorded",IF($E121="All","full",IF($E121="","unrecorded",LOWER($E121)&amp;" only")))))))</f>
        <v/>
      </c>
      <c r="AT121">
        <f>IF(AND(OR($J121="BUY",$J121="SELL"),ISNUMBER($U121)),$U121,"")</f>
        <v/>
      </c>
      <c r="AU121">
        <f>IF(AND(OR($J121="BUY",$J121="SELL"),ISNUMBER($AK121)),$AK121,"")</f>
        <v/>
      </c>
      <c r="AV121">
        <f>IF(ISNUMBER($AT121),ABS(IF(ISNUMBER($I121),$I121,0)-Settings!$B$24),"")</f>
        <v/>
      </c>
      <c r="AW121">
        <f>IF(ISNUMBER($AV121),$AV121*$AT121,"")</f>
        <v/>
      </c>
      <c r="AX121">
        <f>IF(ISNUMBER($AU121),ABS(IF(ISNUMBER($I121),$I121,0)-Settings!$B$24),"")</f>
        <v/>
      </c>
      <c r="AY121">
        <f>IF(ISNUMBER($AX121),$AX121*$AU121,"")</f>
        <v/>
      </c>
      <c r="AZ121">
        <f>IF($A121="","",IFERROR(INDEX(Company_List!$H$3:$H$207,MATCH($A121,Company_List!$A$3:$A$207,0)),"unassigned"))</f>
        <v/>
      </c>
      <c r="BC121">
        <f>IF($A121="","",IF(COUNTIFS($A$3:$A121,$A121,$C$3:$C121,$C121,$D$3:$D121,$D121,$G$3:$G121,$G121)=1,1,0))</f>
        <v/>
      </c>
      <c r="BG121" t="inlineStr">
        <is>
          <t>no</t>
        </is>
      </c>
      <c r="BK121">
        <f>IF(OR($H121&lt;&gt;"Human",$S121="",$J121="",$Y121="",$Z121=""),"",IF(EXACT(UPPER($J121),UPPER($Y121)),1,0))</f>
        <v/>
      </c>
      <c r="BL121" t="inlineStr">
        <is>
          <t>assumed - no rater record</t>
        </is>
      </c>
      <c r="BM121" t="n">
        <v>1</v>
      </c>
      <c r="BN121" t="inlineStr">
        <is>
          <t>Refinitiv / LSEG StreetEvents</t>
        </is>
      </c>
      <c r="BO121" t="inlineStr">
        <is>
          <t>licensed vendor</t>
        </is>
      </c>
      <c r="BP121" t="inlineStr">
        <is>
          <t>no</t>
        </is>
      </c>
      <c r="BQ121" t="inlineStr">
        <is>
          <t>no</t>
        </is>
      </c>
    </row>
    <row r="122" ht="16.35" customHeight="1">
      <c r="A122" s="95" t="inlineStr">
        <is>
          <t>Microsoft</t>
        </is>
      </c>
      <c r="B122" s="96">
        <f>IF(A122="","",_xlfn.XLOOKUP(A122, Company_List!$A:$A, Company_List!$B:$B, ""))</f>
        <v/>
      </c>
      <c r="C122" s="21" t="n">
        <v>2025</v>
      </c>
      <c r="D122" s="20" t="inlineStr">
        <is>
          <t>Q1</t>
        </is>
      </c>
      <c r="E122" s="19" t="inlineStr">
        <is>
          <t>Transcript</t>
        </is>
      </c>
      <c r="F122" s="19" t="inlineStr">
        <is>
          <t>All</t>
        </is>
      </c>
      <c r="G122" s="20" t="inlineStr">
        <is>
          <t>Abdul</t>
        </is>
      </c>
      <c r="H122" s="20" t="inlineStr">
        <is>
          <t>Human</t>
        </is>
      </c>
      <c r="I122" s="127" t="n">
        <v>0.1</v>
      </c>
      <c r="J122" s="145">
        <f>IF(OR(I122="",Settings!$B$6=""),"",IF(I122&gt;Settings!$B$6,"BUY",IF(I122&lt;-Settings!$B$6,"SELL","HOLD")))</f>
        <v/>
      </c>
      <c r="K122" s="139" t="n">
        <v>70</v>
      </c>
      <c r="L122" s="123" t="n">
        <v>45777</v>
      </c>
      <c r="M122" s="123" t="n">
        <v>45777</v>
      </c>
      <c r="N122" s="127" t="n">
        <v>432.53</v>
      </c>
      <c r="O122" s="123" t="n">
        <v>45778</v>
      </c>
      <c r="P122" s="22" t="n">
        <v>415.36</v>
      </c>
      <c r="Q122" s="148">
        <f>IF(OR(N122="",P122=""),"",ROUND((P122-N122)/N122,4))</f>
        <v/>
      </c>
      <c r="R122" s="20">
        <f>IF(OR(N122="",P122=""),"",IF(Q122&gt;Settings!$B$3/100,"UP",IF(Q122&lt;-Settings!$B$3/100,"DOWN","FLAT")))</f>
        <v/>
      </c>
      <c r="S122" s="20">
        <f>IF(OR(N122="",P122="",J122=""),"",IF(OR(AND(J122="BUY",R122="UP"),AND(J122="SELL",R122="DOWN"),AND(J122="HOLD",R122="FLAT")),"YES","NO"))</f>
        <v/>
      </c>
      <c r="T122" s="21">
        <f>IF(J122="","",IF(J122="BUY",1,IF(J122="SELL",-1,0)))</f>
        <v/>
      </c>
      <c r="U122" s="148">
        <f>IFERROR(IF(OR(J122="",N122="",P122=""),"",IF(T122=0,0,T122*Q122-Settings!$B$4/10000-IF(T122&lt;0,Settings!$B$5/10000,0))),"")</f>
        <v/>
      </c>
      <c r="V122" s="23" t="n"/>
      <c r="W122" s="21">
        <f>IF($K122="","",$K122*60)</f>
        <v/>
      </c>
      <c r="X122" s="91">
        <f>IF($A122="","",$A122&amp;"|"&amp;$C122&amp;"|"&amp;$D122)</f>
        <v/>
      </c>
      <c r="Y122" s="91">
        <f>IFERROR(IF($X122="","",INDEX(LLM_Data_Entry!$H$3:$H$548,MATCH($X122,INDEX(LLM_Data_Entry!$A$3:$A$548&amp;"|"&amp;LLM_Data_Entry!$C$3:$C$548&amp;"|"&amp;LLM_Data_Entry!$D$3:$D$548,0),0))),"")</f>
        <v/>
      </c>
      <c r="Z122" s="91">
        <f>IFERROR(IF($X122="","",INDEX(LLM_Data_Entry!$R$3:$R$548,MATCH($X122,INDEX(LLM_Data_Entry!$A$3:$A$548&amp;"|"&amp;LLM_Data_Entry!$C$3:$C$548&amp;"|"&amp;LLM_Data_Entry!$D$3:$D$548,0),0))),"")</f>
        <v/>
      </c>
      <c r="AB122" t="inlineStr">
        <is>
          <t>price signal — both moved; this one dominates</t>
        </is>
      </c>
      <c r="AC122" t="inlineStr">
        <is>
          <t>MSFT</t>
        </is>
      </c>
      <c r="AD122" t="inlineStr">
        <is>
          <t>2024-10-30</t>
        </is>
      </c>
      <c r="AE122" t="n">
        <v>426.6052</v>
      </c>
      <c r="AF122" t="inlineStr">
        <is>
          <t>2024-10-31</t>
        </is>
      </c>
      <c r="AG122" t="n">
        <v>409.6703</v>
      </c>
      <c r="AH122" t="n">
        <v>-0.03969677779628429</v>
      </c>
      <c r="AI122" t="inlineStr">
        <is>
          <t>DOWN</t>
        </is>
      </c>
      <c r="AJ122" t="inlineStr">
        <is>
          <t>NO</t>
        </is>
      </c>
      <c r="AK122" t="n">
        <v>0</v>
      </c>
      <c r="AL122">
        <f>IF($A122="","",IFERROR(INDEX(Company_List!$G$3:$G$207,MATCH($A122,Company_List!$A$3:$A$207,0)),"unassigned"))</f>
        <v/>
      </c>
      <c r="AM122" t="inlineStr">
        <is>
          <t>Phase 2/Microsoft/2025-Q1/MSFT-2025-Q1-earnings-call-transcript-microsoft-com.html</t>
        </is>
      </c>
      <c r="AN122" t="inlineStr">
        <is>
          <t>https://www.microsoft.com/en-us/investor/events/fy-2025/earnings-fy-2025-q1</t>
        </is>
      </c>
      <c r="AO122" t="inlineStr">
        <is>
          <t>manifest</t>
        </is>
      </c>
      <c r="AP122">
        <f>IF($A122="","",IF(COUNTIFS(LLM_Data_Entry!$A$3:$A$548,$A122)&gt;0,"YES","NO"))</f>
        <v/>
      </c>
      <c r="AQ122">
        <f>IF($A122="","",IF(COUNTIFS($A$3:$A122,$A122,$C$3:$C122,$C122,$D$3:$D122,$D122)=1,"YES","NO"))</f>
        <v/>
      </c>
      <c r="AR122">
        <f>IF($A122="","",IF(AND($C122&amp;"-"&amp;$D122&gt;=Settings!$B$19,$C122&amp;"-"&amp;$D122&lt;=Settings!$B$20),"IN","OUT"))</f>
        <v/>
      </c>
      <c r="AS122">
        <f>IF($A122="","",IF($F122="Financial Results","financials",IF($F122="Outlook/Guidance","guidance",IF($F122="Transcript Q&amp;A","qanda",IF($F122="","unrecorded",IF($E122="All","full",IF($E122="","unrecorded",LOWER($E122)&amp;" only")))))))</f>
        <v/>
      </c>
      <c r="AT122">
        <f>IF(AND(OR($J122="BUY",$J122="SELL"),ISNUMBER($U122)),$U122,"")</f>
        <v/>
      </c>
      <c r="AU122">
        <f>IF(AND(OR($J122="BUY",$J122="SELL"),ISNUMBER($AK122)),$AK122,"")</f>
        <v/>
      </c>
      <c r="AV122">
        <f>IF(ISNUMBER($AT122),ABS(IF(ISNUMBER($I122),$I122,0)-Settings!$B$24),"")</f>
        <v/>
      </c>
      <c r="AW122">
        <f>IF(ISNUMBER($AV122),$AV122*$AT122,"")</f>
        <v/>
      </c>
      <c r="AX122">
        <f>IF(ISNUMBER($AU122),ABS(IF(ISNUMBER($I122),$I122,0)-Settings!$B$24),"")</f>
        <v/>
      </c>
      <c r="AY122">
        <f>IF(ISNUMBER($AX122),$AX122*$AU122,"")</f>
        <v/>
      </c>
      <c r="AZ122">
        <f>IF($A122="","",IFERROR(INDEX(Company_List!$H$3:$H$207,MATCH($A122,Company_List!$A$3:$A$207,0)),"unassigned"))</f>
        <v/>
      </c>
      <c r="BC122">
        <f>IF($A122="","",IF(COUNTIFS($A$3:$A122,$A122,$C$3:$C122,$C122,$D$3:$D122,$D122,$G$3:$G122,$G122)=1,1,0))</f>
        <v/>
      </c>
      <c r="BG122" t="inlineStr">
        <is>
          <t>no</t>
        </is>
      </c>
      <c r="BK122">
        <f>IF(OR($H122&lt;&gt;"Human",$S122="",$J122="",$Y122="",$Z122=""),"",IF(EXACT(UPPER($J122),UPPER($Y122)),1,0))</f>
        <v/>
      </c>
      <c r="BL122" t="inlineStr">
        <is>
          <t>assumed - no rater record</t>
        </is>
      </c>
      <c r="BM122" t="n">
        <v>1</v>
      </c>
      <c r="BN122" t="inlineStr">
        <is>
          <t>not publisher-identified</t>
        </is>
      </c>
      <c r="BO122" t="inlineStr">
        <is>
          <t>not publisher-identified</t>
        </is>
      </c>
      <c r="BP122" t="inlineStr">
        <is>
          <t>no</t>
        </is>
      </c>
      <c r="BQ122" t="inlineStr">
        <is>
          <t>yes</t>
        </is>
      </c>
    </row>
    <row r="123" ht="16.35" customHeight="1">
      <c r="A123" s="95" t="inlineStr">
        <is>
          <t>Microsoft</t>
        </is>
      </c>
      <c r="B123" s="96">
        <f>IF(A123="","",_xlfn.XLOOKUP(A123, Company_List!$A:$A, Company_List!$B:$B, ""))</f>
        <v/>
      </c>
      <c r="C123" s="21" t="n">
        <v>2025</v>
      </c>
      <c r="D123" s="20" t="inlineStr">
        <is>
          <t>Q2</t>
        </is>
      </c>
      <c r="E123" s="19" t="inlineStr">
        <is>
          <t>Transcript</t>
        </is>
      </c>
      <c r="F123" s="19" t="inlineStr">
        <is>
          <t>All</t>
        </is>
      </c>
      <c r="G123" s="20" t="inlineStr">
        <is>
          <t>Abdul</t>
        </is>
      </c>
      <c r="H123" s="20" t="inlineStr">
        <is>
          <t>Human</t>
        </is>
      </c>
      <c r="I123" s="127" t="n">
        <v>-0.6</v>
      </c>
      <c r="J123" s="145">
        <f>IF(OR(I123="",Settings!$B$6=""),"",IF(I123&gt;Settings!$B$6,"BUY",IF(I123&lt;-Settings!$B$6,"SELL","HOLD")))</f>
        <v/>
      </c>
      <c r="K123" s="139" t="n">
        <v>55</v>
      </c>
      <c r="L123" s="123" t="n">
        <v>45868</v>
      </c>
      <c r="M123" s="123" t="n">
        <v>45868</v>
      </c>
      <c r="N123" s="127" t="n">
        <v>442.33</v>
      </c>
      <c r="O123" s="123" t="n">
        <v>45869</v>
      </c>
      <c r="P123" s="22" t="n">
        <v>418.77</v>
      </c>
      <c r="Q123" s="148">
        <f>IF(OR(N123="",P123=""),"",ROUND((P123-N123)/N123,4))</f>
        <v/>
      </c>
      <c r="R123" s="20">
        <f>IF(OR(N123="",P123=""),"",IF(Q123&gt;Settings!$B$3/100,"UP",IF(Q123&lt;-Settings!$B$3/100,"DOWN","FLAT")))</f>
        <v/>
      </c>
      <c r="S123" s="20">
        <f>IF(OR(N123="",P123="",J123=""),"",IF(OR(AND(J123="BUY",R123="UP"),AND(J123="SELL",R123="DOWN"),AND(J123="HOLD",R123="FLAT")),"YES","NO"))</f>
        <v/>
      </c>
      <c r="T123" s="21">
        <f>IF(J123="","",IF(J123="BUY",1,IF(J123="SELL",-1,0)))</f>
        <v/>
      </c>
      <c r="U123" s="148">
        <f>IFERROR(IF(OR(J123="",N123="",P123=""),"",IF(T123=0,0,T123*Q123-Settings!$B$4/10000-IF(T123&lt;0,Settings!$B$5/10000,0))),"")</f>
        <v/>
      </c>
      <c r="V123" s="23" t="n"/>
      <c r="W123" s="21">
        <f>IF($K123="","",$K123*60)</f>
        <v/>
      </c>
      <c r="X123" s="91">
        <f>IF($A123="","",$A123&amp;"|"&amp;$C123&amp;"|"&amp;$D123)</f>
        <v/>
      </c>
      <c r="Y123" s="91">
        <f>IFERROR(IF($X123="","",INDEX(LLM_Data_Entry!$H$3:$H$548,MATCH($X123,INDEX(LLM_Data_Entry!$A$3:$A$548&amp;"|"&amp;LLM_Data_Entry!$C$3:$C$548&amp;"|"&amp;LLM_Data_Entry!$D$3:$D$548,0),0))),"")</f>
        <v/>
      </c>
      <c r="Z123" s="91">
        <f>IFERROR(IF($X123="","",INDEX(LLM_Data_Entry!$R$3:$R$548,MATCH($X123,INDEX(LLM_Data_Entry!$A$3:$A$548&amp;"|"&amp;LLM_Data_Entry!$C$3:$C$548&amp;"|"&amp;LLM_Data_Entry!$D$3:$D$548,0),0))),"")</f>
        <v/>
      </c>
      <c r="AB123" t="inlineStr">
        <is>
          <t>price signal — only this window shows an abnormal move</t>
        </is>
      </c>
      <c r="AC123" t="inlineStr">
        <is>
          <t>MSFT</t>
        </is>
      </c>
      <c r="AD123" t="inlineStr">
        <is>
          <t>2025-01-29</t>
        </is>
      </c>
      <c r="AE123" t="n">
        <v>437.1442</v>
      </c>
      <c r="AF123" t="inlineStr">
        <is>
          <t>2025-01-30</t>
        </is>
      </c>
      <c r="AG123" t="n">
        <v>413.8604</v>
      </c>
      <c r="AH123" t="n">
        <v>-0.0532634734427876</v>
      </c>
      <c r="AI123" t="inlineStr">
        <is>
          <t>DOWN</t>
        </is>
      </c>
      <c r="AJ123" t="inlineStr">
        <is>
          <t>YES</t>
        </is>
      </c>
      <c r="AK123" t="n">
        <v>0.052263</v>
      </c>
      <c r="AL123">
        <f>IF($A123="","",IFERROR(INDEX(Company_List!$G$3:$G$207,MATCH($A123,Company_List!$A$3:$A$207,0)),"unassigned"))</f>
        <v/>
      </c>
      <c r="AM123" t="inlineStr">
        <is>
          <t>Phase 2/Microsoft/2025-Q2/MSFT-2025-Q2-earnings-call-transcript-fool-com.html</t>
        </is>
      </c>
      <c r="AN123" t="inlineStr">
        <is>
          <t>https://www.fool.com/earnings/call-transcripts/2025/01/29/microsoft-msft-q2-2025-earnings-call-transcript/</t>
        </is>
      </c>
      <c r="AO123" t="inlineStr">
        <is>
          <t>manifest</t>
        </is>
      </c>
      <c r="AP123">
        <f>IF($A123="","",IF(COUNTIFS(LLM_Data_Entry!$A$3:$A$548,$A123)&gt;0,"YES","NO"))</f>
        <v/>
      </c>
      <c r="AQ123">
        <f>IF($A123="","",IF(COUNTIFS($A$3:$A123,$A123,$C$3:$C123,$C123,$D$3:$D123,$D123)=1,"YES","NO"))</f>
        <v/>
      </c>
      <c r="AR123">
        <f>IF($A123="","",IF(AND($C123&amp;"-"&amp;$D123&gt;=Settings!$B$19,$C123&amp;"-"&amp;$D123&lt;=Settings!$B$20),"IN","OUT"))</f>
        <v/>
      </c>
      <c r="AS123">
        <f>IF($A123="","",IF($F123="Financial Results","financials",IF($F123="Outlook/Guidance","guidance",IF($F123="Transcript Q&amp;A","qanda",IF($F123="","unrecorded",IF($E123="All","full",IF($E123="","unrecorded",LOWER($E123)&amp;" only")))))))</f>
        <v/>
      </c>
      <c r="AT123">
        <f>IF(AND(OR($J123="BUY",$J123="SELL"),ISNUMBER($U123)),$U123,"")</f>
        <v/>
      </c>
      <c r="AU123">
        <f>IF(AND(OR($J123="BUY",$J123="SELL"),ISNUMBER($AK123)),$AK123,"")</f>
        <v/>
      </c>
      <c r="AV123">
        <f>IF(ISNUMBER($AT123),ABS(IF(ISNUMBER($I123),$I123,0)-Settings!$B$24),"")</f>
        <v/>
      </c>
      <c r="AW123">
        <f>IF(ISNUMBER($AV123),$AV123*$AT123,"")</f>
        <v/>
      </c>
      <c r="AX123">
        <f>IF(ISNUMBER($AU123),ABS(IF(ISNUMBER($I123),$I123,0)-Settings!$B$24),"")</f>
        <v/>
      </c>
      <c r="AY123">
        <f>IF(ISNUMBER($AX123),$AX123*$AU123,"")</f>
        <v/>
      </c>
      <c r="AZ123">
        <f>IF($A123="","",IFERROR(INDEX(Company_List!$H$3:$H$207,MATCH($A123,Company_List!$A$3:$A$207,0)),"unassigned"))</f>
        <v/>
      </c>
      <c r="BC123">
        <f>IF($A123="","",IF(COUNTIFS($A$3:$A123,$A123,$C$3:$C123,$C123,$D$3:$D123,$D123,$G$3:$G123,$G123)=1,1,0))</f>
        <v/>
      </c>
      <c r="BG123" t="inlineStr">
        <is>
          <t>no</t>
        </is>
      </c>
      <c r="BK123">
        <f>IF(OR($H123&lt;&gt;"Human",$S123="",$J123="",$Y123="",$Z123=""),"",IF(EXACT(UPPER($J123),UPPER($Y123)),1,0))</f>
        <v/>
      </c>
      <c r="BL123" t="inlineStr">
        <is>
          <t>assumed - no rater record</t>
        </is>
      </c>
      <c r="BM123" t="n">
        <v>1</v>
      </c>
      <c r="BN123" t="inlineStr">
        <is>
          <t>The Motley Fool</t>
        </is>
      </c>
      <c r="BO123" t="inlineStr">
        <is>
          <t>free to read, copyright asserted</t>
        </is>
      </c>
      <c r="BP123" t="inlineStr">
        <is>
          <t>no</t>
        </is>
      </c>
      <c r="BQ123" t="inlineStr">
        <is>
          <t>yes</t>
        </is>
      </c>
    </row>
    <row r="124" ht="16.35" customHeight="1">
      <c r="A124" s="95" t="inlineStr">
        <is>
          <t>Microsoft</t>
        </is>
      </c>
      <c r="B124" s="96">
        <f>IF(A124="","",_xlfn.XLOOKUP(A124, Company_List!$A:$A, Company_List!$B:$B, ""))</f>
        <v/>
      </c>
      <c r="C124" s="21" t="n">
        <v>2026</v>
      </c>
      <c r="D124" s="20" t="inlineStr">
        <is>
          <t>Q1</t>
        </is>
      </c>
      <c r="E124" s="19" t="inlineStr">
        <is>
          <t>Transcript</t>
        </is>
      </c>
      <c r="F124" s="19" t="inlineStr">
        <is>
          <t>All</t>
        </is>
      </c>
      <c r="G124" s="20" t="inlineStr">
        <is>
          <t>Abdul</t>
        </is>
      </c>
      <c r="H124" s="20" t="inlineStr">
        <is>
          <t>Human</t>
        </is>
      </c>
      <c r="I124" s="127" t="n">
        <v>-0.4</v>
      </c>
      <c r="J124" s="145">
        <f>IF(OR(I124="",Settings!$B$6=""),"",IF(I124&gt;Settings!$B$6,"BUY",IF(I124&lt;-Settings!$B$6,"SELL","HOLD")))</f>
        <v/>
      </c>
      <c r="K124" s="139" t="n">
        <v>46</v>
      </c>
      <c r="L124" s="123" t="n">
        <v>46141</v>
      </c>
      <c r="M124" s="123" t="n">
        <v>46141</v>
      </c>
      <c r="N124" s="127" t="n">
        <v>541.55</v>
      </c>
      <c r="O124" s="123" t="n">
        <v>46142</v>
      </c>
      <c r="P124" s="22" t="n">
        <v>530.48</v>
      </c>
      <c r="Q124" s="148">
        <f>IF(OR(N124="",P124=""),"",ROUND((P124-N124)/N124,4))</f>
        <v/>
      </c>
      <c r="R124" s="20">
        <f>IF(OR(N124="",P124=""),"",IF(Q124&gt;Settings!$B$3/100,"UP",IF(Q124&lt;-Settings!$B$3/100,"DOWN","FLAT")))</f>
        <v/>
      </c>
      <c r="S124" s="20">
        <f>IF(OR(N124="",P124="",J124=""),"",IF(OR(AND(J124="BUY",R124="UP"),AND(J124="SELL",R124="DOWN"),AND(J124="HOLD",R124="FLAT")),"YES","NO"))</f>
        <v/>
      </c>
      <c r="T124" s="21">
        <f>IF(J124="","",IF(J124="BUY",1,IF(J124="SELL",-1,0)))</f>
        <v/>
      </c>
      <c r="U124" s="148">
        <f>IFERROR(IF(OR(J124="",N124="",P124=""),"",IF(T124=0,0,T124*Q124-Settings!$B$4/10000-IF(T124&lt;0,Settings!$B$5/10000,0))),"")</f>
        <v/>
      </c>
      <c r="V124" s="23" t="n"/>
      <c r="W124" s="21">
        <f>IF($K124="","",$K124*60)</f>
        <v/>
      </c>
      <c r="X124" s="91">
        <f>IF($A124="","",$A124&amp;"|"&amp;$C124&amp;"|"&amp;$D124)</f>
        <v/>
      </c>
      <c r="Y124" s="91">
        <f>IFERROR(IF($X124="","",INDEX(LLM_Data_Entry!$H$3:$H$548,MATCH($X124,INDEX(LLM_Data_Entry!$A$3:$A$548&amp;"|"&amp;LLM_Data_Entry!$C$3:$C$548&amp;"|"&amp;LLM_Data_Entry!$D$3:$D$548,0),0))),"")</f>
        <v/>
      </c>
      <c r="Z124" s="91">
        <f>IFERROR(IF($X124="","",INDEX(LLM_Data_Entry!$R$3:$R$548,MATCH($X124,INDEX(LLM_Data_Entry!$A$3:$A$548&amp;"|"&amp;LLM_Data_Entry!$C$3:$C$548&amp;"|"&amp;LLM_Data_Entry!$D$3:$D$548,0),0))),"")</f>
        <v/>
      </c>
      <c r="AB124" t="inlineStr">
        <is>
          <t>price signal — only this window shows an abnormal move</t>
        </is>
      </c>
      <c r="AC124" t="inlineStr">
        <is>
          <t>MSFT</t>
        </is>
      </c>
      <c r="AD124" t="inlineStr">
        <is>
          <t>2025-10-29</t>
        </is>
      </c>
      <c r="AE124" t="n">
        <v>538.1418</v>
      </c>
      <c r="AF124" t="inlineStr">
        <is>
          <t>2025-10-30</t>
        </is>
      </c>
      <c r="AG124" t="n">
        <v>527.1415</v>
      </c>
      <c r="AH124" t="n">
        <v>-0.02044124169005466</v>
      </c>
      <c r="AI124" t="inlineStr">
        <is>
          <t>DOWN</t>
        </is>
      </c>
      <c r="AJ124" t="inlineStr">
        <is>
          <t>YES</t>
        </is>
      </c>
      <c r="AK124" t="n">
        <v>0.019441</v>
      </c>
      <c r="AL124">
        <f>IF($A124="","",IFERROR(INDEX(Company_List!$G$3:$G$207,MATCH($A124,Company_List!$A$3:$A$207,0)),"unassigned"))</f>
        <v/>
      </c>
      <c r="AM124" t="inlineStr">
        <is>
          <t>Phase 2/Microsoft/2026-Q1/MSFT-2026-Q1-earnings-call-transcript-microsoft-com.html</t>
        </is>
      </c>
      <c r="AN124" t="inlineStr">
        <is>
          <t>https://www.microsoft.com/en-us/investor/events/fy-2026/earnings-fy-2026-q1</t>
        </is>
      </c>
      <c r="AO124" t="inlineStr">
        <is>
          <t>manifest</t>
        </is>
      </c>
      <c r="AP124">
        <f>IF($A124="","",IF(COUNTIFS(LLM_Data_Entry!$A$3:$A$548,$A124)&gt;0,"YES","NO"))</f>
        <v/>
      </c>
      <c r="AQ124">
        <f>IF($A124="","",IF(COUNTIFS($A$3:$A124,$A124,$C$3:$C124,$C124,$D$3:$D124,$D124)=1,"YES","NO"))</f>
        <v/>
      </c>
      <c r="AR124">
        <f>IF($A124="","",IF(AND($C124&amp;"-"&amp;$D124&gt;=Settings!$B$19,$C124&amp;"-"&amp;$D124&lt;=Settings!$B$20),"IN","OUT"))</f>
        <v/>
      </c>
      <c r="AS124">
        <f>IF($A124="","",IF($F124="Financial Results","financials",IF($F124="Outlook/Guidance","guidance",IF($F124="Transcript Q&amp;A","qanda",IF($F124="","unrecorded",IF($E124="All","full",IF($E124="","unrecorded",LOWER($E124)&amp;" only")))))))</f>
        <v/>
      </c>
      <c r="AT124">
        <f>IF(AND(OR($J124="BUY",$J124="SELL"),ISNUMBER($U124)),$U124,"")</f>
        <v/>
      </c>
      <c r="AU124">
        <f>IF(AND(OR($J124="BUY",$J124="SELL"),ISNUMBER($AK124)),$AK124,"")</f>
        <v/>
      </c>
      <c r="AV124">
        <f>IF(ISNUMBER($AT124),ABS(IF(ISNUMBER($I124),$I124,0)-Settings!$B$24),"")</f>
        <v/>
      </c>
      <c r="AW124">
        <f>IF(ISNUMBER($AV124),$AV124*$AT124,"")</f>
        <v/>
      </c>
      <c r="AX124">
        <f>IF(ISNUMBER($AU124),ABS(IF(ISNUMBER($I124),$I124,0)-Settings!$B$24),"")</f>
        <v/>
      </c>
      <c r="AY124">
        <f>IF(ISNUMBER($AX124),$AX124*$AU124,"")</f>
        <v/>
      </c>
      <c r="AZ124">
        <f>IF($A124="","",IFERROR(INDEX(Company_List!$H$3:$H$207,MATCH($A124,Company_List!$A$3:$A$207,0)),"unassigned"))</f>
        <v/>
      </c>
      <c r="BC124">
        <f>IF($A124="","",IF(COUNTIFS($A$3:$A124,$A124,$C$3:$C124,$C124,$D$3:$D124,$D124,$G$3:$G124,$G124)=1,1,0))</f>
        <v/>
      </c>
      <c r="BG124" t="inlineStr">
        <is>
          <t>no</t>
        </is>
      </c>
      <c r="BK124">
        <f>IF(OR($H124&lt;&gt;"Human",$S124="",$J124="",$Y124="",$Z124=""),"",IF(EXACT(UPPER($J124),UPPER($Y124)),1,0))</f>
        <v/>
      </c>
      <c r="BL124" t="inlineStr">
        <is>
          <t>assumed - no rater record</t>
        </is>
      </c>
      <c r="BM124" t="n">
        <v>1</v>
      </c>
      <c r="BN124" t="inlineStr">
        <is>
          <t>not publisher-identified</t>
        </is>
      </c>
      <c r="BO124" t="inlineStr">
        <is>
          <t>not publisher-identified</t>
        </is>
      </c>
      <c r="BP124" t="inlineStr">
        <is>
          <t>no</t>
        </is>
      </c>
      <c r="BQ124" t="inlineStr">
        <is>
          <t>yes</t>
        </is>
      </c>
    </row>
    <row r="125" ht="16.35" customHeight="1">
      <c r="A125" s="95" t="inlineStr">
        <is>
          <t>Ford</t>
        </is>
      </c>
      <c r="B125" s="96">
        <f>IF(A125="","",_xlfn.XLOOKUP(A125, Company_List!$A:$A, Company_List!$B:$B, ""))</f>
        <v/>
      </c>
      <c r="C125" s="21" t="n">
        <v>2025</v>
      </c>
      <c r="D125" s="20" t="inlineStr">
        <is>
          <t>Q2</t>
        </is>
      </c>
      <c r="E125" s="19" t="inlineStr">
        <is>
          <t>Transcript</t>
        </is>
      </c>
      <c r="F125" s="19" t="inlineStr">
        <is>
          <t>All</t>
        </is>
      </c>
      <c r="G125" s="20" t="inlineStr">
        <is>
          <t>Abdul</t>
        </is>
      </c>
      <c r="H125" s="20" t="inlineStr">
        <is>
          <t>Human</t>
        </is>
      </c>
      <c r="I125" s="127" t="n">
        <v>-0.1</v>
      </c>
      <c r="J125" s="145">
        <f>IF(OR(I125="",Settings!$B$6=""),"",IF(I125&gt;Settings!$B$6,"BUY",IF(I125&lt;-Settings!$B$6,"SELL","HOLD")))</f>
        <v/>
      </c>
      <c r="K125" s="139" t="n">
        <v>58</v>
      </c>
      <c r="L125" s="123" t="n">
        <v>45868</v>
      </c>
      <c r="M125" s="123" t="n">
        <v>45868</v>
      </c>
      <c r="N125" s="127" t="n">
        <v>10.87</v>
      </c>
      <c r="O125" s="123" t="n">
        <v>45869</v>
      </c>
      <c r="P125" s="22" t="n">
        <v>10.77</v>
      </c>
      <c r="Q125" s="148">
        <f>IF(OR(N125="",P125=""),"",ROUND((P125-N125)/N125,4))</f>
        <v/>
      </c>
      <c r="R125" s="20">
        <f>IF(OR(N125="",P125=""),"",IF(Q125&gt;Settings!$B$3/100,"UP",IF(Q125&lt;-Settings!$B$3/100,"DOWN","FLAT")))</f>
        <v/>
      </c>
      <c r="S125" s="20">
        <f>IF(OR(N125="",P125="",J125=""),"",IF(OR(AND(J125="BUY",R125="UP"),AND(J125="SELL",R125="DOWN"),AND(J125="HOLD",R125="FLAT")),"YES","NO"))</f>
        <v/>
      </c>
      <c r="T125" s="21">
        <f>IF(J125="","",IF(J125="BUY",1,IF(J125="SELL",-1,0)))</f>
        <v/>
      </c>
      <c r="U125" s="148">
        <f>IFERROR(IF(OR(J125="",N125="",P125=""),"",IF(T125=0,0,T125*Q125-Settings!$B$4/10000-IF(T125&lt;0,Settings!$B$5/10000,0))),"")</f>
        <v/>
      </c>
      <c r="V125" s="23" t="n"/>
      <c r="W125" s="21">
        <f>IF($K125="","",$K125*60)</f>
        <v/>
      </c>
      <c r="X125" s="91">
        <f>IF($A125="","",$A125&amp;"|"&amp;$C125&amp;"|"&amp;$D125)</f>
        <v/>
      </c>
      <c r="Y125" s="91">
        <f>IFERROR(IF($X125="","",INDEX(LLM_Data_Entry!$H$3:$H$548,MATCH($X125,INDEX(LLM_Data_Entry!$A$3:$A$548&amp;"|"&amp;LLM_Data_Entry!$C$3:$C$548&amp;"|"&amp;LLM_Data_Entry!$D$3:$D$548,0),0))),"")</f>
        <v/>
      </c>
      <c r="Z125" s="91">
        <f>IFERROR(IF($X125="","",INDEX(LLM_Data_Entry!$R$3:$R$548,MATCH($X125,INDEX(LLM_Data_Entry!$A$3:$A$548&amp;"|"&amp;LLM_Data_Entry!$C$3:$C$548&amp;"|"&amp;LLM_Data_Entry!$D$3:$D$548,0),0))),"")</f>
        <v/>
      </c>
      <c r="AB125" t="inlineStr">
        <is>
          <t>price signal — only this window shows an abnormal move</t>
        </is>
      </c>
      <c r="AC125" t="inlineStr">
        <is>
          <t>F</t>
        </is>
      </c>
      <c r="AD125" t="inlineStr">
        <is>
          <t>2025-07-30</t>
        </is>
      </c>
      <c r="AE125" t="n">
        <v>10.3591</v>
      </c>
      <c r="AF125" t="inlineStr">
        <is>
          <t>2025-07-31</t>
        </is>
      </c>
      <c r="AG125" t="n">
        <v>10.2638</v>
      </c>
      <c r="AH125" t="n">
        <v>-0.009199603761870054</v>
      </c>
      <c r="AI125" t="inlineStr">
        <is>
          <t>FLAT</t>
        </is>
      </c>
      <c r="AJ125" t="inlineStr">
        <is>
          <t>YES</t>
        </is>
      </c>
      <c r="AK125" t="n">
        <v>0</v>
      </c>
      <c r="AL125">
        <f>IF($A125="","",IFERROR(INDEX(Company_List!$G$3:$G$207,MATCH($A125,Company_List!$A$3:$A$207,0)),"unassigned"))</f>
        <v/>
      </c>
      <c r="AM125" t="inlineStr">
        <is>
          <t>Phase 2/Ford/Ford-Q2-2025-Earnings-Call-Transcript.pdf</t>
        </is>
      </c>
      <c r="AO125" t="inlineStr">
        <is>
          <t>unique filename match</t>
        </is>
      </c>
      <c r="AP125">
        <f>IF($A125="","",IF(COUNTIFS(LLM_Data_Entry!$A$3:$A$548,$A125)&gt;0,"YES","NO"))</f>
        <v/>
      </c>
      <c r="AQ125">
        <f>IF($A125="","",IF(COUNTIFS($A$3:$A125,$A125,$C$3:$C125,$C125,$D$3:$D125,$D125)=1,"YES","NO"))</f>
        <v/>
      </c>
      <c r="AR125">
        <f>IF($A125="","",IF(AND($C125&amp;"-"&amp;$D125&gt;=Settings!$B$19,$C125&amp;"-"&amp;$D125&lt;=Settings!$B$20),"IN","OUT"))</f>
        <v/>
      </c>
      <c r="AS125">
        <f>IF($A125="","",IF($F125="Financial Results","financials",IF($F125="Outlook/Guidance","guidance",IF($F125="Transcript Q&amp;A","qanda",IF($F125="","unrecorded",IF($E125="All","full",IF($E125="","unrecorded",LOWER($E125)&amp;" only")))))))</f>
        <v/>
      </c>
      <c r="AT125">
        <f>IF(AND(OR($J125="BUY",$J125="SELL"),ISNUMBER($U125)),$U125,"")</f>
        <v/>
      </c>
      <c r="AU125">
        <f>IF(AND(OR($J125="BUY",$J125="SELL"),ISNUMBER($AK125)),$AK125,"")</f>
        <v/>
      </c>
      <c r="AV125">
        <f>IF(ISNUMBER($AT125),ABS(IF(ISNUMBER($I125),$I125,0)-Settings!$B$24),"")</f>
        <v/>
      </c>
      <c r="AW125">
        <f>IF(ISNUMBER($AV125),$AV125*$AT125,"")</f>
        <v/>
      </c>
      <c r="AX125">
        <f>IF(ISNUMBER($AU125),ABS(IF(ISNUMBER($I125),$I125,0)-Settings!$B$24),"")</f>
        <v/>
      </c>
      <c r="AY125">
        <f>IF(ISNUMBER($AX125),$AX125*$AU125,"")</f>
        <v/>
      </c>
      <c r="AZ125">
        <f>IF($A125="","",IFERROR(INDEX(Company_List!$H$3:$H$207,MATCH($A125,Company_List!$A$3:$A$207,0)),"unassigned"))</f>
        <v/>
      </c>
      <c r="BC125">
        <f>IF($A125="","",IF(COUNTIFS($A$3:$A125,$A125,$C$3:$C125,$C125,$D$3:$D125,$D125,$G$3:$G125,$G125)=1,1,0))</f>
        <v/>
      </c>
      <c r="BG125" t="inlineStr">
        <is>
          <t>no</t>
        </is>
      </c>
      <c r="BK125">
        <f>IF(OR($H125&lt;&gt;"Human",$S125="",$J125="",$Y125="",$Z125=""),"",IF(EXACT(UPPER($J125),UPPER($Y125)),1,0))</f>
        <v/>
      </c>
      <c r="BL125" t="inlineStr">
        <is>
          <t>assumed - no rater record</t>
        </is>
      </c>
      <c r="BM125" t="n">
        <v>1</v>
      </c>
      <c r="BN125" t="inlineStr">
        <is>
          <t>not publisher-identified</t>
        </is>
      </c>
      <c r="BO125" t="inlineStr">
        <is>
          <t>not publisher-identified</t>
        </is>
      </c>
      <c r="BP125" t="inlineStr">
        <is>
          <t>no</t>
        </is>
      </c>
      <c r="BQ125" t="inlineStr">
        <is>
          <t>no</t>
        </is>
      </c>
    </row>
    <row r="126" ht="16.35" customHeight="1">
      <c r="A126" s="95" t="inlineStr">
        <is>
          <t>Ford</t>
        </is>
      </c>
      <c r="B126" s="96">
        <f>IF(A126="","",_xlfn.XLOOKUP(A126, Company_List!$A:$A, Company_List!$B:$B, ""))</f>
        <v/>
      </c>
      <c r="C126" s="21" t="n">
        <v>2025</v>
      </c>
      <c r="D126" s="20" t="inlineStr">
        <is>
          <t>Q4</t>
        </is>
      </c>
      <c r="E126" s="19" t="inlineStr">
        <is>
          <t>Transcript</t>
        </is>
      </c>
      <c r="F126" s="19" t="inlineStr">
        <is>
          <t>All</t>
        </is>
      </c>
      <c r="G126" s="20" t="inlineStr">
        <is>
          <t>Abdul</t>
        </is>
      </c>
      <c r="H126" s="20" t="inlineStr">
        <is>
          <t>Human</t>
        </is>
      </c>
      <c r="I126" s="127" t="n">
        <v>0.2</v>
      </c>
      <c r="J126" s="145">
        <f>IF(OR(I126="",Settings!$B$6=""),"",IF(I126&gt;Settings!$B$6,"BUY",IF(I126&lt;-Settings!$B$6,"SELL","HOLD")))</f>
        <v/>
      </c>
      <c r="K126" s="139" t="n">
        <v>48</v>
      </c>
      <c r="L126" s="123" t="n">
        <v>46063</v>
      </c>
      <c r="M126" s="123" t="n">
        <v>46063</v>
      </c>
      <c r="N126" s="127" t="n">
        <v>13.57</v>
      </c>
      <c r="O126" s="123" t="n">
        <v>46064</v>
      </c>
      <c r="P126" s="22" t="n">
        <v>13.62</v>
      </c>
      <c r="Q126" s="148">
        <f>IF(OR(N126="",P126=""),"",ROUND((P126-N126)/N126,4))</f>
        <v/>
      </c>
      <c r="R126" s="20">
        <f>IF(OR(N126="",P126=""),"",IF(Q126&gt;Settings!$B$3/100,"UP",IF(Q126&lt;-Settings!$B$3/100,"DOWN","FLAT")))</f>
        <v/>
      </c>
      <c r="S126" s="20">
        <f>IF(OR(N126="",P126="",J126=""),"",IF(OR(AND(J126="BUY",R126="UP"),AND(J126="SELL",R126="DOWN"),AND(J126="HOLD",R126="FLAT")),"YES","NO"))</f>
        <v/>
      </c>
      <c r="T126" s="21">
        <f>IF(J126="","",IF(J126="BUY",1,IF(J126="SELL",-1,0)))</f>
        <v/>
      </c>
      <c r="U126" s="148">
        <f>IFERROR(IF(OR(J126="",N126="",P126=""),"",IF(T126=0,0,T126*Q126-Settings!$B$4/10000-IF(T126&lt;0,Settings!$B$5/10000,0))),"")</f>
        <v/>
      </c>
      <c r="V126" s="23" t="n"/>
      <c r="W126" s="21">
        <f>IF($K126="","",$K126*60)</f>
        <v/>
      </c>
      <c r="X126" s="91">
        <f>IF($A126="","",$A126&amp;"|"&amp;$C126&amp;"|"&amp;$D126)</f>
        <v/>
      </c>
      <c r="Y126" s="91">
        <f>IFERROR(IF($X126="","",INDEX(LLM_Data_Entry!$H$3:$H$548,MATCH($X126,INDEX(LLM_Data_Entry!$A$3:$A$548&amp;"|"&amp;LLM_Data_Entry!$C$3:$C$548&amp;"|"&amp;LLM_Data_Entry!$D$3:$D$548,0),0))),"")</f>
        <v/>
      </c>
      <c r="Z126" s="91">
        <f>IFERROR(IF($X126="","",INDEX(LLM_Data_Entry!$R$3:$R$548,MATCH($X126,INDEX(LLM_Data_Entry!$A$3:$A$548&amp;"|"&amp;LLM_Data_Entry!$C$3:$C$548&amp;"|"&amp;LLM_Data_Entry!$D$3:$D$548,0),0))),"")</f>
        <v/>
      </c>
      <c r="AB126" t="inlineStr">
        <is>
          <t>earnings calendar, seconded independently</t>
        </is>
      </c>
      <c r="AC126" t="inlineStr">
        <is>
          <t>F</t>
        </is>
      </c>
      <c r="AD126" t="inlineStr">
        <is>
          <t>2026-02-10</t>
        </is>
      </c>
      <c r="AE126" t="n">
        <v>13.2575</v>
      </c>
      <c r="AF126" t="inlineStr">
        <is>
          <t>2026-02-11</t>
        </is>
      </c>
      <c r="AG126" t="n">
        <v>13.3063</v>
      </c>
      <c r="AH126" t="n">
        <v>0.003684683706256294</v>
      </c>
      <c r="AI126" t="inlineStr">
        <is>
          <t>FLAT</t>
        </is>
      </c>
      <c r="AJ126" t="inlineStr">
        <is>
          <t>YES</t>
        </is>
      </c>
      <c r="AK126" t="n">
        <v>0</v>
      </c>
      <c r="AL126">
        <f>IF($A126="","",IFERROR(INDEX(Company_List!$G$3:$G$207,MATCH($A126,Company_List!$A$3:$A$207,0)),"unassigned"))</f>
        <v/>
      </c>
      <c r="AM126" t="inlineStr">
        <is>
          <t>Phase 2/Ford/Ford-Q4-2025-Earnings-Call-Transcript.pdf</t>
        </is>
      </c>
      <c r="AO126" t="inlineStr">
        <is>
          <t>unique filename match</t>
        </is>
      </c>
      <c r="AP126">
        <f>IF($A126="","",IF(COUNTIFS(LLM_Data_Entry!$A$3:$A$548,$A126)&gt;0,"YES","NO"))</f>
        <v/>
      </c>
      <c r="AQ126">
        <f>IF($A126="","",IF(COUNTIFS($A$3:$A126,$A126,$C$3:$C126,$C126,$D$3:$D126,$D126)=1,"YES","NO"))</f>
        <v/>
      </c>
      <c r="AR126">
        <f>IF($A126="","",IF(AND($C126&amp;"-"&amp;$D126&gt;=Settings!$B$19,$C126&amp;"-"&amp;$D126&lt;=Settings!$B$20),"IN","OUT"))</f>
        <v/>
      </c>
      <c r="AS126">
        <f>IF($A126="","",IF($F126="Financial Results","financials",IF($F126="Outlook/Guidance","guidance",IF($F126="Transcript Q&amp;A","qanda",IF($F126="","unrecorded",IF($E126="All","full",IF($E126="","unrecorded",LOWER($E126)&amp;" only")))))))</f>
        <v/>
      </c>
      <c r="AT126">
        <f>IF(AND(OR($J126="BUY",$J126="SELL"),ISNUMBER($U126)),$U126,"")</f>
        <v/>
      </c>
      <c r="AU126">
        <f>IF(AND(OR($J126="BUY",$J126="SELL"),ISNUMBER($AK126)),$AK126,"")</f>
        <v/>
      </c>
      <c r="AV126">
        <f>IF(ISNUMBER($AT126),ABS(IF(ISNUMBER($I126),$I126,0)-Settings!$B$24),"")</f>
        <v/>
      </c>
      <c r="AW126">
        <f>IF(ISNUMBER($AV126),$AV126*$AT126,"")</f>
        <v/>
      </c>
      <c r="AX126">
        <f>IF(ISNUMBER($AU126),ABS(IF(ISNUMBER($I126),$I126,0)-Settings!$B$24),"")</f>
        <v/>
      </c>
      <c r="AY126">
        <f>IF(ISNUMBER($AX126),$AX126*$AU126,"")</f>
        <v/>
      </c>
      <c r="AZ126">
        <f>IF($A126="","",IFERROR(INDEX(Company_List!$H$3:$H$207,MATCH($A126,Company_List!$A$3:$A$207,0)),"unassigned"))</f>
        <v/>
      </c>
      <c r="BC126">
        <f>IF($A126="","",IF(COUNTIFS($A$3:$A126,$A126,$C$3:$C126,$C126,$D$3:$D126,$D126,$G$3:$G126,$G126)=1,1,0))</f>
        <v/>
      </c>
      <c r="BG126" t="inlineStr">
        <is>
          <t>no</t>
        </is>
      </c>
      <c r="BK126">
        <f>IF(OR($H126&lt;&gt;"Human",$S126="",$J126="",$Y126="",$Z126=""),"",IF(EXACT(UPPER($J126),UPPER($Y126)),1,0))</f>
        <v/>
      </c>
      <c r="BL126" t="inlineStr">
        <is>
          <t>assumed - no rater record</t>
        </is>
      </c>
      <c r="BM126" t="n">
        <v>1</v>
      </c>
      <c r="BN126" t="inlineStr">
        <is>
          <t>not publisher-identified</t>
        </is>
      </c>
      <c r="BO126" t="inlineStr">
        <is>
          <t>not publisher-identified</t>
        </is>
      </c>
      <c r="BP126" t="inlineStr">
        <is>
          <t>no</t>
        </is>
      </c>
      <c r="BQ126" t="inlineStr">
        <is>
          <t>no</t>
        </is>
      </c>
    </row>
    <row r="127" ht="16.35" customHeight="1">
      <c r="A127" s="95" t="inlineStr">
        <is>
          <t>Ford</t>
        </is>
      </c>
      <c r="B127" s="96">
        <f>IF(A127="","",_xlfn.XLOOKUP(A127, Company_List!$A:$A, Company_List!$B:$B, ""))</f>
        <v/>
      </c>
      <c r="C127" s="21" t="n">
        <v>2026</v>
      </c>
      <c r="D127" s="20" t="inlineStr">
        <is>
          <t>Q1</t>
        </is>
      </c>
      <c r="E127" s="19" t="inlineStr">
        <is>
          <t>Transcript</t>
        </is>
      </c>
      <c r="F127" s="19" t="inlineStr">
        <is>
          <t>All</t>
        </is>
      </c>
      <c r="G127" s="20" t="inlineStr">
        <is>
          <t>Abdul</t>
        </is>
      </c>
      <c r="H127" s="20" t="inlineStr">
        <is>
          <t>Human</t>
        </is>
      </c>
      <c r="I127" s="127" t="n">
        <v>-0.3</v>
      </c>
      <c r="J127" s="145">
        <f>IF(OR(I127="",Settings!$B$6=""),"",IF(I127&gt;Settings!$B$6,"BUY",IF(I127&lt;-Settings!$B$6,"SELL","HOLD")))</f>
        <v/>
      </c>
      <c r="K127" s="139" t="n">
        <v>50</v>
      </c>
      <c r="L127" s="123" t="n">
        <v>46141</v>
      </c>
      <c r="M127" s="123" t="n">
        <v>46141</v>
      </c>
      <c r="N127" s="127" t="n">
        <v>12.24</v>
      </c>
      <c r="O127" s="123" t="n">
        <v>46142</v>
      </c>
      <c r="P127" s="22" t="n">
        <v>11.55</v>
      </c>
      <c r="Q127" s="148">
        <f>IF(OR(N127="",P127=""),"",ROUND((P127-N127)/N127,4))</f>
        <v/>
      </c>
      <c r="R127" s="20">
        <f>IF(OR(N127="",P127=""),"",IF(Q127&gt;Settings!$B$3/100,"UP",IF(Q127&lt;-Settings!$B$3/100,"DOWN","FLAT")))</f>
        <v/>
      </c>
      <c r="S127" s="20">
        <f>IF(OR(N127="",P127="",J127=""),"",IF(OR(AND(J127="BUY",R127="UP"),AND(J127="SELL",R127="DOWN"),AND(J127="HOLD",R127="FLAT")),"YES","NO"))</f>
        <v/>
      </c>
      <c r="T127" s="21">
        <f>IF(J127="","",IF(J127="BUY",1,IF(J127="SELL",-1,0)))</f>
        <v/>
      </c>
      <c r="U127" s="148">
        <f>IFERROR(IF(OR(J127="",N127="",P127=""),"",IF(T127=0,0,T127*Q127-Settings!$B$4/10000-IF(T127&lt;0,Settings!$B$5/10000,0))),"")</f>
        <v/>
      </c>
      <c r="V127" s="23" t="n"/>
      <c r="W127" s="21">
        <f>IF($K127="","",$K127*60)</f>
        <v/>
      </c>
      <c r="X127" s="91">
        <f>IF($A127="","",$A127&amp;"|"&amp;$C127&amp;"|"&amp;$D127)</f>
        <v/>
      </c>
      <c r="Y127" s="91">
        <f>IFERROR(IF($X127="","",INDEX(LLM_Data_Entry!$H$3:$H$548,MATCH($X127,INDEX(LLM_Data_Entry!$A$3:$A$548&amp;"|"&amp;LLM_Data_Entry!$C$3:$C$548&amp;"|"&amp;LLM_Data_Entry!$D$3:$D$548,0),0))),"")</f>
        <v/>
      </c>
      <c r="Z127" s="91">
        <f>IFERROR(IF($X127="","",INDEX(LLM_Data_Entry!$R$3:$R$548,MATCH($X127,INDEX(LLM_Data_Entry!$A$3:$A$548&amp;"|"&amp;LLM_Data_Entry!$C$3:$C$548&amp;"|"&amp;LLM_Data_Entry!$D$3:$D$548,0),0))),"")</f>
        <v/>
      </c>
      <c r="AB127" t="inlineStr">
        <is>
          <t>price signal — only this window shows an abnormal move</t>
        </is>
      </c>
      <c r="AC127" t="inlineStr">
        <is>
          <t>F</t>
        </is>
      </c>
      <c r="AD127" t="inlineStr">
        <is>
          <t>2026-04-29</t>
        </is>
      </c>
      <c r="AE127" t="n">
        <v>12.0876</v>
      </c>
      <c r="AF127" t="inlineStr">
        <is>
          <t>2026-04-30</t>
        </is>
      </c>
      <c r="AG127" t="n">
        <v>11.4062</v>
      </c>
      <c r="AH127" t="n">
        <v>-0.05637260433755552</v>
      </c>
      <c r="AI127" t="inlineStr">
        <is>
          <t>DOWN</t>
        </is>
      </c>
      <c r="AJ127" t="inlineStr">
        <is>
          <t>YES</t>
        </is>
      </c>
      <c r="AK127" t="n">
        <v>0.055373</v>
      </c>
      <c r="AL127">
        <f>IF($A127="","",IFERROR(INDEX(Company_List!$G$3:$G$207,MATCH($A127,Company_List!$A$3:$A$207,0)),"unassigned"))</f>
        <v/>
      </c>
      <c r="AM127" t="inlineStr">
        <is>
          <t>Phase 2/Ford/Ford-Q1-2026-Earnings-Call-Transcript.pdf</t>
        </is>
      </c>
      <c r="AO127" t="inlineStr">
        <is>
          <t>unique filename match</t>
        </is>
      </c>
      <c r="AP127">
        <f>IF($A127="","",IF(COUNTIFS(LLM_Data_Entry!$A$3:$A$548,$A127)&gt;0,"YES","NO"))</f>
        <v/>
      </c>
      <c r="AQ127">
        <f>IF($A127="","",IF(COUNTIFS($A$3:$A127,$A127,$C$3:$C127,$C127,$D$3:$D127,$D127)=1,"YES","NO"))</f>
        <v/>
      </c>
      <c r="AR127">
        <f>IF($A127="","",IF(AND($C127&amp;"-"&amp;$D127&gt;=Settings!$B$19,$C127&amp;"-"&amp;$D127&lt;=Settings!$B$20),"IN","OUT"))</f>
        <v/>
      </c>
      <c r="AS127">
        <f>IF($A127="","",IF($F127="Financial Results","financials",IF($F127="Outlook/Guidance","guidance",IF($F127="Transcript Q&amp;A","qanda",IF($F127="","unrecorded",IF($E127="All","full",IF($E127="","unrecorded",LOWER($E127)&amp;" only")))))))</f>
        <v/>
      </c>
      <c r="AT127">
        <f>IF(AND(OR($J127="BUY",$J127="SELL"),ISNUMBER($U127)),$U127,"")</f>
        <v/>
      </c>
      <c r="AU127">
        <f>IF(AND(OR($J127="BUY",$J127="SELL"),ISNUMBER($AK127)),$AK127,"")</f>
        <v/>
      </c>
      <c r="AV127">
        <f>IF(ISNUMBER($AT127),ABS(IF(ISNUMBER($I127),$I127,0)-Settings!$B$24),"")</f>
        <v/>
      </c>
      <c r="AW127">
        <f>IF(ISNUMBER($AV127),$AV127*$AT127,"")</f>
        <v/>
      </c>
      <c r="AX127">
        <f>IF(ISNUMBER($AU127),ABS(IF(ISNUMBER($I127),$I127,0)-Settings!$B$24),"")</f>
        <v/>
      </c>
      <c r="AY127">
        <f>IF(ISNUMBER($AX127),$AX127*$AU127,"")</f>
        <v/>
      </c>
      <c r="AZ127">
        <f>IF($A127="","",IFERROR(INDEX(Company_List!$H$3:$H$207,MATCH($A127,Company_List!$A$3:$A$207,0)),"unassigned"))</f>
        <v/>
      </c>
      <c r="BC127">
        <f>IF($A127="","",IF(COUNTIFS($A$3:$A127,$A127,$C$3:$C127,$C127,$D$3:$D127,$D127,$G$3:$G127,$G127)=1,1,0))</f>
        <v/>
      </c>
      <c r="BG127" t="inlineStr">
        <is>
          <t>no</t>
        </is>
      </c>
      <c r="BK127">
        <f>IF(OR($H127&lt;&gt;"Human",$S127="",$J127="",$Y127="",$Z127=""),"",IF(EXACT(UPPER($J127),UPPER($Y127)),1,0))</f>
        <v/>
      </c>
      <c r="BL127" t="inlineStr">
        <is>
          <t>assumed - no rater record</t>
        </is>
      </c>
      <c r="BM127" t="n">
        <v>1</v>
      </c>
      <c r="BN127" t="inlineStr">
        <is>
          <t>not publisher-identified</t>
        </is>
      </c>
      <c r="BO127" t="inlineStr">
        <is>
          <t>not publisher-identified</t>
        </is>
      </c>
      <c r="BP127" t="inlineStr">
        <is>
          <t>no</t>
        </is>
      </c>
      <c r="BQ127" t="inlineStr">
        <is>
          <t>no</t>
        </is>
      </c>
    </row>
    <row r="128" ht="16.35" customHeight="1">
      <c r="A128" s="95" t="inlineStr">
        <is>
          <t>Barclays</t>
        </is>
      </c>
      <c r="B128" s="96">
        <f>IF(A128="","",_xlfn.XLOOKUP(A128, Company_List!$A:$A, Company_List!$B:$B, ""))</f>
        <v/>
      </c>
      <c r="C128" s="21" t="n">
        <v>2025</v>
      </c>
      <c r="D128" s="20" t="inlineStr">
        <is>
          <t>Q2</t>
        </is>
      </c>
      <c r="E128" s="19" t="inlineStr">
        <is>
          <t>Transcript</t>
        </is>
      </c>
      <c r="F128" s="19" t="inlineStr">
        <is>
          <t>All</t>
        </is>
      </c>
      <c r="G128" s="20" t="inlineStr">
        <is>
          <t>Abdul</t>
        </is>
      </c>
      <c r="H128" s="20" t="inlineStr">
        <is>
          <t>Human</t>
        </is>
      </c>
      <c r="I128" s="127" t="n">
        <v>0.4</v>
      </c>
      <c r="J128" s="145">
        <f>IF(OR(I128="",Settings!$B$6=""),"",IF(I128&gt;Settings!$B$6,"BUY",IF(I128&lt;-Settings!$B$6,"SELL","HOLD")))</f>
        <v/>
      </c>
      <c r="K128" s="139" t="n">
        <v>41</v>
      </c>
      <c r="L128" s="123" t="n">
        <v>45867</v>
      </c>
      <c r="M128" s="123" t="n">
        <v>45867</v>
      </c>
      <c r="N128" s="127" t="n">
        <v>361.2</v>
      </c>
      <c r="O128" s="123" t="n">
        <v>45868</v>
      </c>
      <c r="P128" s="22" t="n">
        <v>359.6</v>
      </c>
      <c r="Q128" s="148">
        <f>IF(OR(N128="",P128=""),"",ROUND((P128-N128)/N128,4))</f>
        <v/>
      </c>
      <c r="R128" s="20">
        <f>IF(OR(N128="",P128=""),"",IF(Q128&gt;Settings!$B$3/100,"UP",IF(Q128&lt;-Settings!$B$3/100,"DOWN","FLAT")))</f>
        <v/>
      </c>
      <c r="S128" s="20">
        <f>IF(OR(N128="",P128="",J128=""),"",IF(OR(AND(J128="BUY",R128="UP"),AND(J128="SELL",R128="DOWN"),AND(J128="HOLD",R128="FLAT")),"YES","NO"))</f>
        <v/>
      </c>
      <c r="T128" s="21">
        <f>IF(J128="","",IF(J128="BUY",1,IF(J128="SELL",-1,0)))</f>
        <v/>
      </c>
      <c r="U128" s="148">
        <f>IFERROR(IF(OR(J128="",N128="",P128=""),"",IF(T128=0,0,T128*Q128-Settings!$B$4/10000-IF(T128&lt;0,Settings!$B$5/10000,0))),"")</f>
        <v/>
      </c>
      <c r="V128" s="23" t="n"/>
      <c r="W128" s="21">
        <f>IF($K128="","",$K128*60)</f>
        <v/>
      </c>
      <c r="X128" s="91">
        <f>IF($A128="","",$A128&amp;"|"&amp;$C128&amp;"|"&amp;$D128)</f>
        <v/>
      </c>
      <c r="Y128" s="91">
        <f>IFERROR(IF($X128="","",INDEX(LLM_Data_Entry!$H$3:$H$548,MATCH($X128,INDEX(LLM_Data_Entry!$A$3:$A$548&amp;"|"&amp;LLM_Data_Entry!$C$3:$C$548&amp;"|"&amp;LLM_Data_Entry!$D$3:$D$548,0),0))),"")</f>
        <v/>
      </c>
      <c r="Z128" s="91">
        <f>IFERROR(IF($X128="","",INDEX(LLM_Data_Entry!$R$3:$R$548,MATCH($X128,INDEX(LLM_Data_Entry!$A$3:$A$548&amp;"|"&amp;LLM_Data_Entry!$C$3:$C$548&amp;"|"&amp;LLM_Data_Entry!$D$3:$D$548,0),0))),"")</f>
        <v/>
      </c>
      <c r="AB128" t="inlineStr">
        <is>
          <t>repriced on the issuer's primary listing</t>
        </is>
      </c>
      <c r="AC128" t="inlineStr">
        <is>
          <t>BARC.L</t>
        </is>
      </c>
      <c r="AD128" t="inlineStr">
        <is>
          <t>2025-07-28</t>
        </is>
      </c>
      <c r="AE128" t="n">
        <v>361.0883</v>
      </c>
      <c r="AF128" t="inlineStr">
        <is>
          <t>2025-07-29</t>
        </is>
      </c>
      <c r="AG128" t="n">
        <v>359.4888</v>
      </c>
      <c r="AH128" t="n">
        <v>-0.004429665367434825</v>
      </c>
      <c r="AI128" t="inlineStr">
        <is>
          <t>FLAT</t>
        </is>
      </c>
      <c r="AJ128" t="inlineStr">
        <is>
          <t>NO</t>
        </is>
      </c>
      <c r="AK128" t="n">
        <v>-0.00543</v>
      </c>
      <c r="AL128">
        <f>IF($A128="","",IFERROR(INDEX(Company_List!$G$3:$G$207,MATCH($A128,Company_List!$A$3:$A$207,0)),"unassigned"))</f>
        <v/>
      </c>
      <c r="AM128" t="inlineStr">
        <is>
          <t>Phase 2/Barclays/2025-Q2/BCS-2025-Q2-earnings-call-transcript-home-barclays.pdf</t>
        </is>
      </c>
      <c r="AN128" t="inlineStr">
        <is>
          <t>https://home.barclays/content/dam/home-barclays/documents/investor-relations/ResultAnnouncements/H12025Results/Q225-Q&amp;A-Transcript.pdf</t>
        </is>
      </c>
      <c r="AO128" t="inlineStr">
        <is>
          <t>manifest</t>
        </is>
      </c>
      <c r="AP128">
        <f>IF($A128="","",IF(COUNTIFS(LLM_Data_Entry!$A$3:$A$548,$A128)&gt;0,"YES","NO"))</f>
        <v/>
      </c>
      <c r="AQ128">
        <f>IF($A128="","",IF(COUNTIFS($A$3:$A128,$A128,$C$3:$C128,$C128,$D$3:$D128,$D128)=1,"YES","NO"))</f>
        <v/>
      </c>
      <c r="AR128">
        <f>IF($A128="","",IF(AND($C128&amp;"-"&amp;$D128&gt;=Settings!$B$19,$C128&amp;"-"&amp;$D128&lt;=Settings!$B$20),"IN","OUT"))</f>
        <v/>
      </c>
      <c r="AS128">
        <f>IF($A128="","",IF($F128="Financial Results","financials",IF($F128="Outlook/Guidance","guidance",IF($F128="Transcript Q&amp;A","qanda",IF($F128="","unrecorded",IF($E128="All","full",IF($E128="","unrecorded",LOWER($E128)&amp;" only")))))))</f>
        <v/>
      </c>
      <c r="AT128">
        <f>IF(AND(OR($J128="BUY",$J128="SELL"),ISNUMBER($U128)),$U128,"")</f>
        <v/>
      </c>
      <c r="AU128">
        <f>IF(AND(OR($J128="BUY",$J128="SELL"),ISNUMBER($AK128)),$AK128,"")</f>
        <v/>
      </c>
      <c r="AV128">
        <f>IF(ISNUMBER($AT128),ABS(IF(ISNUMBER($I128),$I128,0)-Settings!$B$24),"")</f>
        <v/>
      </c>
      <c r="AW128">
        <f>IF(ISNUMBER($AV128),$AV128*$AT128,"")</f>
        <v/>
      </c>
      <c r="AX128">
        <f>IF(ISNUMBER($AU128),ABS(IF(ISNUMBER($I128),$I128,0)-Settings!$B$24),"")</f>
        <v/>
      </c>
      <c r="AY128">
        <f>IF(ISNUMBER($AX128),$AX128*$AU128,"")</f>
        <v/>
      </c>
      <c r="AZ128">
        <f>IF($A128="","",IFERROR(INDEX(Company_List!$H$3:$H$207,MATCH($A128,Company_List!$A$3:$A$207,0)),"unassigned"))</f>
        <v/>
      </c>
      <c r="BC128">
        <f>IF($A128="","",IF(COUNTIFS($A$3:$A128,$A128,$C$3:$C128,$C128,$D$3:$D128,$D128,$G$3:$G128,$G128)=1,1,0))</f>
        <v/>
      </c>
      <c r="BG128" t="inlineStr">
        <is>
          <t>no</t>
        </is>
      </c>
      <c r="BK128">
        <f>IF(OR($H128&lt;&gt;"Human",$S128="",$J128="",$Y128="",$Z128=""),"",IF(EXACT(UPPER($J128),UPPER($Y128)),1,0))</f>
        <v/>
      </c>
      <c r="BL128" t="inlineStr">
        <is>
          <t>assumed - no rater record</t>
        </is>
      </c>
      <c r="BM128" t="n">
        <v>1</v>
      </c>
      <c r="BN128" t="inlineStr">
        <is>
          <t>not publisher-identified</t>
        </is>
      </c>
      <c r="BO128" t="inlineStr">
        <is>
          <t>not publisher-identified</t>
        </is>
      </c>
      <c r="BP128" t="inlineStr">
        <is>
          <t>no</t>
        </is>
      </c>
      <c r="BQ128" t="inlineStr">
        <is>
          <t>yes</t>
        </is>
      </c>
    </row>
    <row r="129" ht="16.35" customHeight="1">
      <c r="A129" s="95" t="inlineStr">
        <is>
          <t>Barclays</t>
        </is>
      </c>
      <c r="B129" s="96">
        <f>IF(A129="","",_xlfn.XLOOKUP(A129, Company_List!$A:$A, Company_List!$B:$B, ""))</f>
        <v/>
      </c>
      <c r="C129" s="21" t="n">
        <v>2025</v>
      </c>
      <c r="D129" s="20" t="inlineStr">
        <is>
          <t>Q3</t>
        </is>
      </c>
      <c r="E129" s="19" t="inlineStr">
        <is>
          <t>Transcript</t>
        </is>
      </c>
      <c r="F129" s="19" t="inlineStr">
        <is>
          <t>All</t>
        </is>
      </c>
      <c r="G129" s="20" t="inlineStr">
        <is>
          <t>Abdul</t>
        </is>
      </c>
      <c r="H129" s="20" t="inlineStr">
        <is>
          <t>Human</t>
        </is>
      </c>
      <c r="I129" s="127" t="n">
        <v>0.3</v>
      </c>
      <c r="J129" s="145">
        <f>IF(OR(I129="",Settings!$B$6=""),"",IF(I129&gt;Settings!$B$6,"BUY",IF(I129&lt;-Settings!$B$6,"SELL","HOLD")))</f>
        <v/>
      </c>
      <c r="K129" s="139" t="n">
        <v>45</v>
      </c>
      <c r="L129" s="123" t="n">
        <v>45952</v>
      </c>
      <c r="M129" s="123" t="n">
        <v>45952</v>
      </c>
      <c r="N129" s="127" t="n">
        <v>395.7</v>
      </c>
      <c r="O129" s="123" t="n">
        <v>45953</v>
      </c>
      <c r="P129" s="22" t="n">
        <v>398</v>
      </c>
      <c r="Q129" s="148">
        <f>IF(OR(N129="",P129=""),"",ROUND((P129-N129)/N129,4))</f>
        <v/>
      </c>
      <c r="R129" s="20">
        <f>IF(OR(N129="",P129=""),"",IF(Q129&gt;Settings!$B$3/100,"UP",IF(Q129&lt;-Settings!$B$3/100,"DOWN","FLAT")))</f>
        <v/>
      </c>
      <c r="S129" s="20">
        <f>IF(OR(N129="",P129="",J129=""),"",IF(OR(AND(J129="BUY",R129="UP"),AND(J129="SELL",R129="DOWN"),AND(J129="HOLD",R129="FLAT")),"YES","NO"))</f>
        <v/>
      </c>
      <c r="T129" s="21">
        <f>IF(J129="","",IF(J129="BUY",1,IF(J129="SELL",-1,0)))</f>
        <v/>
      </c>
      <c r="U129" s="148">
        <f>IFERROR(IF(OR(J129="",N129="",P129=""),"",IF(T129=0,0,T129*Q129-Settings!$B$4/10000-IF(T129&lt;0,Settings!$B$5/10000,0))),"")</f>
        <v/>
      </c>
      <c r="V129" s="23" t="n"/>
      <c r="W129" s="21">
        <f>IF($K129="","",$K129*60)</f>
        <v/>
      </c>
      <c r="X129" s="91">
        <f>IF($A129="","",$A129&amp;"|"&amp;$C129&amp;"|"&amp;$D129)</f>
        <v/>
      </c>
      <c r="Y129" s="91">
        <f>IFERROR(IF($X129="","",INDEX(LLM_Data_Entry!$H$3:$H$548,MATCH($X129,INDEX(LLM_Data_Entry!$A$3:$A$548&amp;"|"&amp;LLM_Data_Entry!$C$3:$C$548&amp;"|"&amp;LLM_Data_Entry!$D$3:$D$548,0),0))),"")</f>
        <v/>
      </c>
      <c r="Z129" s="91">
        <f>IFERROR(IF($X129="","",INDEX(LLM_Data_Entry!$R$3:$R$548,MATCH($X129,INDEX(LLM_Data_Entry!$A$3:$A$548&amp;"|"&amp;LLM_Data_Entry!$C$3:$C$548&amp;"|"&amp;LLM_Data_Entry!$D$3:$D$548,0),0))),"")</f>
        <v/>
      </c>
      <c r="AB129" t="inlineStr">
        <is>
          <t>repriced on the issuer's primary listing</t>
        </is>
      </c>
      <c r="AC129" t="inlineStr">
        <is>
          <t>BARC.L</t>
        </is>
      </c>
      <c r="AD129" t="inlineStr">
        <is>
          <t>2025-10-21</t>
        </is>
      </c>
      <c r="AE129" t="n">
        <v>364.1673</v>
      </c>
      <c r="AF129" t="inlineStr">
        <is>
          <t>2025-10-22</t>
        </is>
      </c>
      <c r="AG129" t="n">
        <v>372.4154</v>
      </c>
      <c r="AH129" t="n">
        <v>0.02264928506958951</v>
      </c>
      <c r="AI129" t="inlineStr">
        <is>
          <t>UP</t>
        </is>
      </c>
      <c r="AJ129" t="inlineStr">
        <is>
          <t>YES</t>
        </is>
      </c>
      <c r="AK129" t="n">
        <v>0.021649</v>
      </c>
      <c r="AL129">
        <f>IF($A129="","",IFERROR(INDEX(Company_List!$G$3:$G$207,MATCH($A129,Company_List!$A$3:$A$207,0)),"unassigned"))</f>
        <v/>
      </c>
      <c r="AM129" t="inlineStr">
        <is>
          <t>Phase 2/Barclays/2025-Q3/BCS-2025-Q3-earnings-call-transcript-fool-com.html</t>
        </is>
      </c>
      <c r="AN129" t="inlineStr">
        <is>
          <t>https://www.fool.com/earnings/call-transcripts/2026/04/28/barclays-bcs-q3-2025-earnings-call-transcript/</t>
        </is>
      </c>
      <c r="AO129" t="inlineStr">
        <is>
          <t>manifest</t>
        </is>
      </c>
      <c r="AP129">
        <f>IF($A129="","",IF(COUNTIFS(LLM_Data_Entry!$A$3:$A$548,$A129)&gt;0,"YES","NO"))</f>
        <v/>
      </c>
      <c r="AQ129">
        <f>IF($A129="","",IF(COUNTIFS($A$3:$A129,$A129,$C$3:$C129,$C129,$D$3:$D129,$D129)=1,"YES","NO"))</f>
        <v/>
      </c>
      <c r="AR129">
        <f>IF($A129="","",IF(AND($C129&amp;"-"&amp;$D129&gt;=Settings!$B$19,$C129&amp;"-"&amp;$D129&lt;=Settings!$B$20),"IN","OUT"))</f>
        <v/>
      </c>
      <c r="AS129">
        <f>IF($A129="","",IF($F129="Financial Results","financials",IF($F129="Outlook/Guidance","guidance",IF($F129="Transcript Q&amp;A","qanda",IF($F129="","unrecorded",IF($E129="All","full",IF($E129="","unrecorded",LOWER($E129)&amp;" only")))))))</f>
        <v/>
      </c>
      <c r="AT129">
        <f>IF(AND(OR($J129="BUY",$J129="SELL"),ISNUMBER($U129)),$U129,"")</f>
        <v/>
      </c>
      <c r="AU129">
        <f>IF(AND(OR($J129="BUY",$J129="SELL"),ISNUMBER($AK129)),$AK129,"")</f>
        <v/>
      </c>
      <c r="AV129">
        <f>IF(ISNUMBER($AT129),ABS(IF(ISNUMBER($I129),$I129,0)-Settings!$B$24),"")</f>
        <v/>
      </c>
      <c r="AW129">
        <f>IF(ISNUMBER($AV129),$AV129*$AT129,"")</f>
        <v/>
      </c>
      <c r="AX129">
        <f>IF(ISNUMBER($AU129),ABS(IF(ISNUMBER($I129),$I129,0)-Settings!$B$24),"")</f>
        <v/>
      </c>
      <c r="AY129">
        <f>IF(ISNUMBER($AX129),$AX129*$AU129,"")</f>
        <v/>
      </c>
      <c r="AZ129">
        <f>IF($A129="","",IFERROR(INDEX(Company_List!$H$3:$H$207,MATCH($A129,Company_List!$A$3:$A$207,0)),"unassigned"))</f>
        <v/>
      </c>
      <c r="BC129">
        <f>IF($A129="","",IF(COUNTIFS($A$3:$A129,$A129,$C$3:$C129,$C129,$D$3:$D129,$D129,$G$3:$G129,$G129)=1,1,0))</f>
        <v/>
      </c>
      <c r="BG129" t="inlineStr">
        <is>
          <t>no</t>
        </is>
      </c>
      <c r="BK129">
        <f>IF(OR($H129&lt;&gt;"Human",$S129="",$J129="",$Y129="",$Z129=""),"",IF(EXACT(UPPER($J129),UPPER($Y129)),1,0))</f>
        <v/>
      </c>
      <c r="BL129" t="inlineStr">
        <is>
          <t>assumed - no rater record</t>
        </is>
      </c>
      <c r="BM129" t="n">
        <v>1</v>
      </c>
      <c r="BN129" t="inlineStr">
        <is>
          <t>The Motley Fool</t>
        </is>
      </c>
      <c r="BO129" t="inlineStr">
        <is>
          <t>free to read, copyright asserted</t>
        </is>
      </c>
      <c r="BP129" t="inlineStr">
        <is>
          <t>no</t>
        </is>
      </c>
      <c r="BQ129" t="inlineStr">
        <is>
          <t>yes</t>
        </is>
      </c>
    </row>
    <row r="130" ht="16.35" customHeight="1">
      <c r="A130" s="95" t="inlineStr">
        <is>
          <t>Barclays</t>
        </is>
      </c>
      <c r="B130" s="96">
        <f>IF(A130="","",_xlfn.XLOOKUP(A130, Company_List!$A:$A, Company_List!$B:$B, ""))</f>
        <v/>
      </c>
      <c r="C130" s="21" t="n">
        <v>2026</v>
      </c>
      <c r="D130" s="20" t="inlineStr">
        <is>
          <t>Q1</t>
        </is>
      </c>
      <c r="E130" s="19" t="inlineStr">
        <is>
          <t>Transcript</t>
        </is>
      </c>
      <c r="F130" s="19" t="inlineStr">
        <is>
          <t>All</t>
        </is>
      </c>
      <c r="G130" s="20" t="inlineStr">
        <is>
          <t>Abdul</t>
        </is>
      </c>
      <c r="H130" s="20" t="inlineStr">
        <is>
          <t>Human</t>
        </is>
      </c>
      <c r="I130" s="127" t="n">
        <v>0.1</v>
      </c>
      <c r="J130" s="145">
        <f>IF(OR(I130="",Settings!$B$6=""),"",IF(I130&gt;Settings!$B$6,"BUY",IF(I130&lt;-Settings!$B$6,"SELL","HOLD")))</f>
        <v/>
      </c>
      <c r="K130" s="139" t="n">
        <v>35</v>
      </c>
      <c r="L130" s="123" t="n">
        <v>46140</v>
      </c>
      <c r="M130" s="123" t="n">
        <v>46140</v>
      </c>
      <c r="N130" s="127" t="n">
        <v>427.4</v>
      </c>
      <c r="O130" s="123" t="n">
        <v>46140</v>
      </c>
      <c r="P130" s="22" t="n">
        <v>418</v>
      </c>
      <c r="Q130" s="148">
        <f>IF(OR(N130="",P130=""),"",ROUND((P130-N130)/N130,4))</f>
        <v/>
      </c>
      <c r="R130" s="20">
        <f>IF(OR(N130="",P130=""),"",IF(Q130&gt;Settings!$B$3/100,"UP",IF(Q130&lt;-Settings!$B$3/100,"DOWN","FLAT")))</f>
        <v/>
      </c>
      <c r="S130" s="20">
        <f>IF(OR(N130="",P130="",J130=""),"",IF(OR(AND(J130="BUY",R130="UP"),AND(J130="SELL",R130="DOWN"),AND(J130="HOLD",R130="FLAT")),"YES","NO"))</f>
        <v/>
      </c>
      <c r="T130" s="21">
        <f>IF(J130="","",IF(J130="BUY",1,IF(J130="SELL",-1,0)))</f>
        <v/>
      </c>
      <c r="U130" s="148">
        <f>IFERROR(IF(OR(J130="",N130="",P130=""),"",IF(T130=0,0,T130*Q130-Settings!$B$4/10000-IF(T130&lt;0,Settings!$B$5/10000,0))),"")</f>
        <v/>
      </c>
      <c r="V130" s="23" t="n"/>
      <c r="W130" s="21">
        <f>IF($K130="","",$K130*60)</f>
        <v/>
      </c>
      <c r="X130" s="91">
        <f>IF($A130="","",$A130&amp;"|"&amp;$C130&amp;"|"&amp;$D130)</f>
        <v/>
      </c>
      <c r="Y130" s="91">
        <f>IFERROR(IF($X130="","",INDEX(LLM_Data_Entry!$H$3:$H$548,MATCH($X130,INDEX(LLM_Data_Entry!$A$3:$A$548&amp;"|"&amp;LLM_Data_Entry!$C$3:$C$548&amp;"|"&amp;LLM_Data_Entry!$D$3:$D$548,0),0))),"")</f>
        <v/>
      </c>
      <c r="Z130" s="91">
        <f>IFERROR(IF($X130="","",INDEX(LLM_Data_Entry!$R$3:$R$548,MATCH($X130,INDEX(LLM_Data_Entry!$A$3:$A$548&amp;"|"&amp;LLM_Data_Entry!$C$3:$C$548&amp;"|"&amp;LLM_Data_Entry!$D$3:$D$548,0),0))),"")</f>
        <v/>
      </c>
      <c r="AB130" t="inlineStr">
        <is>
          <t>repriced on the issuer's primary listing</t>
        </is>
      </c>
      <c r="AC130" t="inlineStr">
        <is>
          <t>BARC.L</t>
        </is>
      </c>
      <c r="AD130" t="inlineStr">
        <is>
          <t>2026-04-27</t>
        </is>
      </c>
      <c r="AE130" t="n">
        <v>427.3522</v>
      </c>
      <c r="AF130" t="inlineStr">
        <is>
          <t>2026-04-28</t>
        </is>
      </c>
      <c r="AG130" t="n">
        <v>417.9532</v>
      </c>
      <c r="AH130" t="n">
        <v>-0.02199344444484191</v>
      </c>
      <c r="AI130" t="inlineStr">
        <is>
          <t>DOWN</t>
        </is>
      </c>
      <c r="AJ130" t="inlineStr">
        <is>
          <t>NO</t>
        </is>
      </c>
      <c r="AK130" t="n">
        <v>0</v>
      </c>
      <c r="AL130">
        <f>IF($A130="","",IFERROR(INDEX(Company_List!$G$3:$G$207,MATCH($A130,Company_List!$A$3:$A$207,0)),"unassigned"))</f>
        <v/>
      </c>
      <c r="AM130" t="inlineStr">
        <is>
          <t>Phase 2/Barclays/2026-Q1/BCS-2026-Q1-earnings-call-transcript-home-barclays.pdf</t>
        </is>
      </c>
      <c r="AN130" t="inlineStr">
        <is>
          <t>https://home.barclays/content/dam/home-barclays/documents/investor-relations/ResultAnnouncements/Q12026Results/Q126%20Results%20QA%20transcript.pdf</t>
        </is>
      </c>
      <c r="AO130" t="inlineStr">
        <is>
          <t>manifest</t>
        </is>
      </c>
      <c r="AP130">
        <f>IF($A130="","",IF(COUNTIFS(LLM_Data_Entry!$A$3:$A$548,$A130)&gt;0,"YES","NO"))</f>
        <v/>
      </c>
      <c r="AQ130">
        <f>IF($A130="","",IF(COUNTIFS($A$3:$A130,$A130,$C$3:$C130,$C130,$D$3:$D130,$D130)=1,"YES","NO"))</f>
        <v/>
      </c>
      <c r="AR130">
        <f>IF($A130="","",IF(AND($C130&amp;"-"&amp;$D130&gt;=Settings!$B$19,$C130&amp;"-"&amp;$D130&lt;=Settings!$B$20),"IN","OUT"))</f>
        <v/>
      </c>
      <c r="AS130">
        <f>IF($A130="","",IF($F130="Financial Results","financials",IF($F130="Outlook/Guidance","guidance",IF($F130="Transcript Q&amp;A","qanda",IF($F130="","unrecorded",IF($E130="All","full",IF($E130="","unrecorded",LOWER($E130)&amp;" only")))))))</f>
        <v/>
      </c>
      <c r="AT130">
        <f>IF(AND(OR($J130="BUY",$J130="SELL"),ISNUMBER($U130)),$U130,"")</f>
        <v/>
      </c>
      <c r="AU130">
        <f>IF(AND(OR($J130="BUY",$J130="SELL"),ISNUMBER($AK130)),$AK130,"")</f>
        <v/>
      </c>
      <c r="AV130">
        <f>IF(ISNUMBER($AT130),ABS(IF(ISNUMBER($I130),$I130,0)-Settings!$B$24),"")</f>
        <v/>
      </c>
      <c r="AW130">
        <f>IF(ISNUMBER($AV130),$AV130*$AT130,"")</f>
        <v/>
      </c>
      <c r="AX130">
        <f>IF(ISNUMBER($AU130),ABS(IF(ISNUMBER($I130),$I130,0)-Settings!$B$24),"")</f>
        <v/>
      </c>
      <c r="AY130">
        <f>IF(ISNUMBER($AX130),$AX130*$AU130,"")</f>
        <v/>
      </c>
      <c r="AZ130">
        <f>IF($A130="","",IFERROR(INDEX(Company_List!$H$3:$H$207,MATCH($A130,Company_List!$A$3:$A$207,0)),"unassigned"))</f>
        <v/>
      </c>
      <c r="BC130">
        <f>IF($A130="","",IF(COUNTIFS($A$3:$A130,$A130,$C$3:$C130,$C130,$D$3:$D130,$D130,$G$3:$G130,$G130)=1,1,0))</f>
        <v/>
      </c>
      <c r="BG130" t="inlineStr">
        <is>
          <t>no</t>
        </is>
      </c>
      <c r="BK130">
        <f>IF(OR($H130&lt;&gt;"Human",$S130="",$J130="",$Y130="",$Z130=""),"",IF(EXACT(UPPER($J130),UPPER($Y130)),1,0))</f>
        <v/>
      </c>
      <c r="BL130" t="inlineStr">
        <is>
          <t>assumed - no rater record</t>
        </is>
      </c>
      <c r="BM130" t="n">
        <v>1</v>
      </c>
      <c r="BN130" t="inlineStr">
        <is>
          <t>not publisher-identified</t>
        </is>
      </c>
      <c r="BO130" t="inlineStr">
        <is>
          <t>not publisher-identified</t>
        </is>
      </c>
      <c r="BP130" t="inlineStr">
        <is>
          <t>no</t>
        </is>
      </c>
      <c r="BQ130" t="inlineStr">
        <is>
          <t>yes</t>
        </is>
      </c>
    </row>
    <row r="131" ht="16.35" customHeight="1">
      <c r="A131" s="95" t="inlineStr">
        <is>
          <t>United Airlines</t>
        </is>
      </c>
      <c r="B131" s="96">
        <f>IF(A131="","",_xlfn.XLOOKUP(A131, Company_List!$A:$A, Company_List!$B:$B, ""))</f>
        <v/>
      </c>
      <c r="C131" s="21" t="n">
        <v>2025</v>
      </c>
      <c r="D131" s="20" t="inlineStr">
        <is>
          <t>Q1</t>
        </is>
      </c>
      <c r="E131" s="19" t="inlineStr">
        <is>
          <t>All</t>
        </is>
      </c>
      <c r="F131" s="19" t="inlineStr">
        <is>
          <t>All</t>
        </is>
      </c>
      <c r="G131" s="20" t="inlineStr">
        <is>
          <t>Nigel</t>
        </is>
      </c>
      <c r="H131" s="20" t="inlineStr">
        <is>
          <t>Human</t>
        </is>
      </c>
      <c r="I131" s="127" t="n">
        <v>0.7</v>
      </c>
      <c r="J131" s="145">
        <f>IF(OR(I131="",Settings!$B$6=""),"",IF(I131&gt;Settings!$B$6,"BUY",IF(I131&lt;-Settings!$B$6,"SELL","HOLD")))</f>
        <v/>
      </c>
      <c r="K131" s="139" t="n">
        <v>18</v>
      </c>
      <c r="L131" s="123" t="n">
        <v>45763</v>
      </c>
      <c r="M131" s="123" t="n">
        <v>45763</v>
      </c>
      <c r="N131" s="127" t="n">
        <v>66.98999999999999</v>
      </c>
      <c r="O131" s="123" t="n">
        <v>45764</v>
      </c>
      <c r="P131" s="22" t="n">
        <v>66.95</v>
      </c>
      <c r="Q131" s="148">
        <f>IF(OR(N131="",P131=""),"",ROUND((P131-N131)/N131,4))</f>
        <v/>
      </c>
      <c r="R131" s="20">
        <f>IF(OR(N131="",P131=""),"",IF(Q131&gt;Settings!$B$3/100,"UP",IF(Q131&lt;-Settings!$B$3/100,"DOWN","FLAT")))</f>
        <v/>
      </c>
      <c r="S131" s="20">
        <f>IF(OR(N131="",P131="",J131=""),"",IF(OR(AND(J131="BUY",R131="UP"),AND(J131="SELL",R131="DOWN"),AND(J131="HOLD",R131="FLAT")),"YES","NO"))</f>
        <v/>
      </c>
      <c r="T131" s="21">
        <f>IF(J131="","",IF(J131="BUY",1,IF(J131="SELL",-1,0)))</f>
        <v/>
      </c>
      <c r="U131" s="148">
        <f>IFERROR(IF(OR(J131="",N131="",P131=""),"",IF(T131=0,0,T131*Q131-Settings!$B$4/10000-IF(T131&lt;0,Settings!$B$5/10000,0))),"")</f>
        <v/>
      </c>
      <c r="V131" s="15" t="inlineStr">
        <is>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is>
      </c>
      <c r="W131" s="21">
        <f>IF($K131="","",$K131*60)</f>
        <v/>
      </c>
      <c r="X131" s="91">
        <f>IF($A131="","",$A131&amp;"|"&amp;$C131&amp;"|"&amp;$D131)</f>
        <v/>
      </c>
      <c r="Y131" s="91">
        <f>IFERROR(IF($X131="","",INDEX(LLM_Data_Entry!$H$3:$H$548,MATCH($X131,INDEX(LLM_Data_Entry!$A$3:$A$548&amp;"|"&amp;LLM_Data_Entry!$C$3:$C$548&amp;"|"&amp;LLM_Data_Entry!$D$3:$D$548,0),0))),"")</f>
        <v/>
      </c>
      <c r="Z131" s="91">
        <f>IFERROR(IF($X131="","",INDEX(LLM_Data_Entry!$R$3:$R$548,MATCH($X131,INDEX(LLM_Data_Entry!$A$3:$A$548&amp;"|"&amp;LLM_Data_Entry!$C$3:$C$548&amp;"|"&amp;LLM_Data_Entry!$D$3:$D$548,0),0))),"")</f>
        <v/>
      </c>
      <c r="AB131" t="inlineStr">
        <is>
          <t>price signal — only this window shows an abnormal move</t>
        </is>
      </c>
      <c r="AC131" t="inlineStr">
        <is>
          <t>UAL</t>
        </is>
      </c>
      <c r="AD131" t="inlineStr">
        <is>
          <t>2025-04-15</t>
        </is>
      </c>
      <c r="AE131" t="n">
        <v>67</v>
      </c>
      <c r="AF131" t="inlineStr">
        <is>
          <t>2025-04-16</t>
        </is>
      </c>
      <c r="AG131" t="n">
        <v>69.64</v>
      </c>
      <c r="AH131" t="n">
        <v>0.03940297014925378</v>
      </c>
      <c r="AI131" t="inlineStr">
        <is>
          <t>UP</t>
        </is>
      </c>
      <c r="AJ131" t="inlineStr">
        <is>
          <t>YES</t>
        </is>
      </c>
      <c r="AK131" t="n">
        <v>0.038403</v>
      </c>
      <c r="AL131">
        <f>IF($A131="","",IFERROR(INDEX(Company_List!$G$3:$G$207,MATCH($A131,Company_List!$A$3:$A$207,0)),"unassigned"))</f>
        <v/>
      </c>
      <c r="AM131" t="inlineStr">
        <is>
          <t>Phase 2/United Airlines/Q1/Q1 2025 United Airlines Holdings Inc Earnings Call Transcript.pdf; Phase 2/United Airlines/Q1/Q1 2025 Financial Results Final.pdf</t>
        </is>
      </c>
      <c r="AO131" t="inlineStr">
        <is>
          <t>whole bundle (Document = All)</t>
        </is>
      </c>
      <c r="AP131">
        <f>IF($A131="","",IF(COUNTIFS(LLM_Data_Entry!$A$3:$A$548,$A131)&gt;0,"YES","NO"))</f>
        <v/>
      </c>
      <c r="AQ131">
        <f>IF($A131="","",IF(COUNTIFS($A$3:$A131,$A131,$C$3:$C131,$C131,$D$3:$D131,$D131)=1,"YES","NO"))</f>
        <v/>
      </c>
      <c r="AR131">
        <f>IF($A131="","",IF(AND($C131&amp;"-"&amp;$D131&gt;=Settings!$B$19,$C131&amp;"-"&amp;$D131&lt;=Settings!$B$20),"IN","OUT"))</f>
        <v/>
      </c>
      <c r="AS131">
        <f>IF($A131="","",IF($F131="Financial Results","financials",IF($F131="Outlook/Guidance","guidance",IF($F131="Transcript Q&amp;A","qanda",IF($F131="","unrecorded",IF($E131="All","full",IF($E131="","unrecorded",LOWER($E131)&amp;" only")))))))</f>
        <v/>
      </c>
      <c r="AT131">
        <f>IF(AND(OR($J131="BUY",$J131="SELL"),ISNUMBER($U131)),$U131,"")</f>
        <v/>
      </c>
      <c r="AU131">
        <f>IF(AND(OR($J131="BUY",$J131="SELL"),ISNUMBER($AK131)),$AK131,"")</f>
        <v/>
      </c>
      <c r="AV131">
        <f>IF(ISNUMBER($AT131),ABS(IF(ISNUMBER($I131),$I131,0)-Settings!$B$24),"")</f>
        <v/>
      </c>
      <c r="AW131">
        <f>IF(ISNUMBER($AV131),$AV131*$AT131,"")</f>
        <v/>
      </c>
      <c r="AX131">
        <f>IF(ISNUMBER($AU131),ABS(IF(ISNUMBER($I131),$I131,0)-Settings!$B$24),"")</f>
        <v/>
      </c>
      <c r="AY131">
        <f>IF(ISNUMBER($AX131),$AX131*$AU131,"")</f>
        <v/>
      </c>
      <c r="AZ131">
        <f>IF($A131="","",IFERROR(INDEX(Company_List!$H$3:$H$207,MATCH($A131,Company_List!$A$3:$A$207,0)),"unassigned"))</f>
        <v/>
      </c>
      <c r="BC131">
        <f>IF($A131="","",IF(COUNTIFS($A$3:$A131,$A131,$C$3:$C131,$C131,$D$3:$D131,$D131,$G$3:$G131,$G131)=1,1,0))</f>
        <v/>
      </c>
      <c r="BG131" t="inlineStr">
        <is>
          <t>no</t>
        </is>
      </c>
      <c r="BK131">
        <f>IF(OR($H131&lt;&gt;"Human",$S131="",$J131="",$Y131="",$Z131=""),"",IF(EXACT(UPPER($J131),UPPER($Y131)),1,0))</f>
        <v/>
      </c>
      <c r="BL131" t="inlineStr">
        <is>
          <t>assumed - no rater record</t>
        </is>
      </c>
      <c r="BM131" t="n">
        <v>2</v>
      </c>
      <c r="BN131" t="inlineStr">
        <is>
          <t>not publisher-identified</t>
        </is>
      </c>
      <c r="BO131" t="inlineStr">
        <is>
          <t>not publisher-identified</t>
        </is>
      </c>
      <c r="BP131" t="inlineStr">
        <is>
          <t>no</t>
        </is>
      </c>
      <c r="BQ131" t="inlineStr">
        <is>
          <t>no</t>
        </is>
      </c>
    </row>
    <row r="132" ht="16.35" customHeight="1">
      <c r="A132" s="95" t="inlineStr">
        <is>
          <t>United Airlines</t>
        </is>
      </c>
      <c r="B132" s="96">
        <f>IF(A132="","",_xlfn.XLOOKUP(A132, Company_List!$A:$A, Company_List!$B:$B, ""))</f>
        <v/>
      </c>
      <c r="C132" s="21" t="n">
        <v>2025</v>
      </c>
      <c r="D132" s="20" t="inlineStr">
        <is>
          <t>Q2</t>
        </is>
      </c>
      <c r="E132" s="19" t="inlineStr">
        <is>
          <t>All</t>
        </is>
      </c>
      <c r="F132" s="19" t="inlineStr">
        <is>
          <t>All</t>
        </is>
      </c>
      <c r="G132" s="20" t="inlineStr">
        <is>
          <t>Nigel</t>
        </is>
      </c>
      <c r="H132" s="20" t="inlineStr">
        <is>
          <t>Human</t>
        </is>
      </c>
      <c r="I132" s="127" t="n">
        <v>0.4</v>
      </c>
      <c r="J132" s="145">
        <f>IF(OR(I132="",Settings!$B$6=""),"",IF(I132&gt;Settings!$B$6,"BUY",IF(I132&lt;-Settings!$B$6,"SELL","HOLD")))</f>
        <v/>
      </c>
      <c r="K132" s="139" t="n">
        <v>15</v>
      </c>
      <c r="L132" s="123" t="n">
        <v>45855</v>
      </c>
      <c r="M132" s="123" t="n">
        <v>45855</v>
      </c>
      <c r="N132" s="127" t="n">
        <v>91.22</v>
      </c>
      <c r="O132" s="123" t="n">
        <v>45856</v>
      </c>
      <c r="P132" s="22" t="n">
        <v>91.61</v>
      </c>
      <c r="Q132" s="148">
        <f>IF(OR(N132="",P132=""),"",ROUND((P132-N132)/N132,4))</f>
        <v/>
      </c>
      <c r="R132" s="20">
        <f>IF(OR(N132="",P132=""),"",IF(Q132&gt;Settings!$B$3/100,"UP",IF(Q132&lt;-Settings!$B$3/100,"DOWN","FLAT")))</f>
        <v/>
      </c>
      <c r="S132" s="20">
        <f>IF(OR(N132="",P132="",J132=""),"",IF(OR(AND(J132="BUY",R132="UP"),AND(J132="SELL",R132="DOWN"),AND(J132="HOLD",R132="FLAT")),"YES","NO"))</f>
        <v/>
      </c>
      <c r="T132" s="21">
        <f>IF(J132="","",IF(J132="BUY",1,IF(J132="SELL",-1,0)))</f>
        <v/>
      </c>
      <c r="U132" s="148">
        <f>IFERROR(IF(OR(J132="",N132="",P132=""),"",IF(T132=0,0,T132*Q132-Settings!$B$4/10000-IF(T132&lt;0,Settings!$B$5/10000,0))),"")</f>
        <v/>
      </c>
      <c r="V132" s="15" t="inlineStr">
        <is>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is>
      </c>
      <c r="W132" s="21">
        <f>IF($K132="","",$K132*60)</f>
        <v/>
      </c>
      <c r="X132" s="91">
        <f>IF($A132="","",$A132&amp;"|"&amp;$C132&amp;"|"&amp;$D132)</f>
        <v/>
      </c>
      <c r="Y132" s="91">
        <f>IFERROR(IF($X132="","",INDEX(LLM_Data_Entry!$H$3:$H$548,MATCH($X132,INDEX(LLM_Data_Entry!$A$3:$A$548&amp;"|"&amp;LLM_Data_Entry!$C$3:$C$548&amp;"|"&amp;LLM_Data_Entry!$D$3:$D$548,0),0))),"")</f>
        <v/>
      </c>
      <c r="Z132" s="91">
        <f>IFERROR(IF($X132="","",INDEX(LLM_Data_Entry!$R$3:$R$548,MATCH($X132,INDEX(LLM_Data_Entry!$A$3:$A$548&amp;"|"&amp;LLM_Data_Entry!$C$3:$C$548&amp;"|"&amp;LLM_Data_Entry!$D$3:$D$548,0),0))),"")</f>
        <v/>
      </c>
      <c r="AB132" t="inlineStr">
        <is>
          <t>recorded price identified against every pulled series</t>
        </is>
      </c>
      <c r="AC132" t="inlineStr">
        <is>
          <t>UAL</t>
        </is>
      </c>
      <c r="AD132" t="inlineStr">
        <is>
          <t>2025-07-16</t>
        </is>
      </c>
      <c r="AE132" t="n">
        <v>88.47</v>
      </c>
      <c r="AF132" t="inlineStr">
        <is>
          <t>2025-07-17</t>
        </is>
      </c>
      <c r="AG132" t="n">
        <v>91.89</v>
      </c>
      <c r="AH132" t="n">
        <v>0.03865714887920038</v>
      </c>
      <c r="AI132" t="inlineStr">
        <is>
          <t>UP</t>
        </is>
      </c>
      <c r="AJ132" t="inlineStr">
        <is>
          <t>YES</t>
        </is>
      </c>
      <c r="AK132" t="n">
        <v>0.037657</v>
      </c>
      <c r="AL132">
        <f>IF($A132="","",IFERROR(INDEX(Company_List!$G$3:$G$207,MATCH($A132,Company_List!$A$3:$A$207,0)),"unassigned"))</f>
        <v/>
      </c>
      <c r="AM132" t="inlineStr">
        <is>
          <t>Phase 2/United Airlines/Q2/Q2 2025 United Airlines Holdings Inc Earnings Call Transcript.pdf; Phase 2/United Airlines/Q2/Q2 2025 Investor Update Final.pdf; Phase 2/United Airlines/Q2/Q2 2025 Earnings Release Final.pdf</t>
        </is>
      </c>
      <c r="AO132" t="inlineStr">
        <is>
          <t>whole bundle (Document = All)</t>
        </is>
      </c>
      <c r="AP132">
        <f>IF($A132="","",IF(COUNTIFS(LLM_Data_Entry!$A$3:$A$548,$A132)&gt;0,"YES","NO"))</f>
        <v/>
      </c>
      <c r="AQ132">
        <f>IF($A132="","",IF(COUNTIFS($A$3:$A132,$A132,$C$3:$C132,$C132,$D$3:$D132,$D132)=1,"YES","NO"))</f>
        <v/>
      </c>
      <c r="AR132">
        <f>IF($A132="","",IF(AND($C132&amp;"-"&amp;$D132&gt;=Settings!$B$19,$C132&amp;"-"&amp;$D132&lt;=Settings!$B$20),"IN","OUT"))</f>
        <v/>
      </c>
      <c r="AS132">
        <f>IF($A132="","",IF($F132="Financial Results","financials",IF($F132="Outlook/Guidance","guidance",IF($F132="Transcript Q&amp;A","qanda",IF($F132="","unrecorded",IF($E132="All","full",IF($E132="","unrecorded",LOWER($E132)&amp;" only")))))))</f>
        <v/>
      </c>
      <c r="AT132">
        <f>IF(AND(OR($J132="BUY",$J132="SELL"),ISNUMBER($U132)),$U132,"")</f>
        <v/>
      </c>
      <c r="AU132">
        <f>IF(AND(OR($J132="BUY",$J132="SELL"),ISNUMBER($AK132)),$AK132,"")</f>
        <v/>
      </c>
      <c r="AV132">
        <f>IF(ISNUMBER($AT132),ABS(IF(ISNUMBER($I132),$I132,0)-Settings!$B$24),"")</f>
        <v/>
      </c>
      <c r="AW132">
        <f>IF(ISNUMBER($AV132),$AV132*$AT132,"")</f>
        <v/>
      </c>
      <c r="AX132">
        <f>IF(ISNUMBER($AU132),ABS(IF(ISNUMBER($I132),$I132,0)-Settings!$B$24),"")</f>
        <v/>
      </c>
      <c r="AY132">
        <f>IF(ISNUMBER($AX132),$AX132*$AU132,"")</f>
        <v/>
      </c>
      <c r="AZ132">
        <f>IF($A132="","",IFERROR(INDEX(Company_List!$H$3:$H$207,MATCH($A132,Company_List!$A$3:$A$207,0)),"unassigned"))</f>
        <v/>
      </c>
      <c r="BC132">
        <f>IF($A132="","",IF(COUNTIFS($A$3:$A132,$A132,$C$3:$C132,$C132,$D$3:$D132,$D132,$G$3:$G132,$G132)=1,1,0))</f>
        <v/>
      </c>
      <c r="BG132" t="inlineStr">
        <is>
          <t>no</t>
        </is>
      </c>
      <c r="BK132">
        <f>IF(OR($H132&lt;&gt;"Human",$S132="",$J132="",$Y132="",$Z132=""),"",IF(EXACT(UPPER($J132),UPPER($Y132)),1,0))</f>
        <v/>
      </c>
      <c r="BL132" t="inlineStr">
        <is>
          <t>assumed - no rater record</t>
        </is>
      </c>
      <c r="BM132" t="n">
        <v>3</v>
      </c>
      <c r="BN132" t="inlineStr">
        <is>
          <t>not publisher-identified</t>
        </is>
      </c>
      <c r="BO132" t="inlineStr">
        <is>
          <t>not publisher-identified</t>
        </is>
      </c>
      <c r="BP132" t="inlineStr">
        <is>
          <t>no</t>
        </is>
      </c>
      <c r="BQ132" t="inlineStr">
        <is>
          <t>no</t>
        </is>
      </c>
    </row>
    <row r="133" ht="16.35" customHeight="1">
      <c r="A133" s="95" t="inlineStr">
        <is>
          <t>United Airlines</t>
        </is>
      </c>
      <c r="B133" s="96">
        <f>IF(A133="","",_xlfn.XLOOKUP(A133, Company_List!$A:$A, Company_List!$B:$B, ""))</f>
        <v/>
      </c>
      <c r="C133" s="21" t="n">
        <v>2025</v>
      </c>
      <c r="D133" s="20" t="inlineStr">
        <is>
          <t>Q3</t>
        </is>
      </c>
      <c r="E133" s="19" t="inlineStr">
        <is>
          <t>All</t>
        </is>
      </c>
      <c r="F133" s="19" t="inlineStr">
        <is>
          <t>All</t>
        </is>
      </c>
      <c r="G133" s="20" t="inlineStr">
        <is>
          <t>Nigel</t>
        </is>
      </c>
      <c r="H133" s="20" t="inlineStr">
        <is>
          <t>Human</t>
        </is>
      </c>
      <c r="I133" s="127" t="n">
        <v>0.6</v>
      </c>
      <c r="J133" s="145">
        <f>IF(OR(I133="",Settings!$B$6=""),"",IF(I133&gt;Settings!$B$6,"BUY",IF(I133&lt;-Settings!$B$6,"SELL","HOLD")))</f>
        <v/>
      </c>
      <c r="K133" s="139" t="n">
        <v>14</v>
      </c>
      <c r="L133" s="123" t="n">
        <v>45946</v>
      </c>
      <c r="M133" s="123" t="n">
        <v>45946</v>
      </c>
      <c r="N133" s="127" t="n">
        <v>98.19</v>
      </c>
      <c r="O133" s="123" t="n">
        <v>45947</v>
      </c>
      <c r="P133" s="22" t="n">
        <v>98.38</v>
      </c>
      <c r="Q133" s="148">
        <f>IF(OR(N133="",P133=""),"",ROUND((P133-N133)/N133,4))</f>
        <v/>
      </c>
      <c r="R133" s="20">
        <f>IF(OR(N133="",P133=""),"",IF(Q133&gt;Settings!$B$3/100,"UP",IF(Q133&lt;-Settings!$B$3/100,"DOWN","FLAT")))</f>
        <v/>
      </c>
      <c r="S133" s="20">
        <f>IF(OR(N133="",P133="",J133=""),"",IF(OR(AND(J133="BUY",R133="UP"),AND(J133="SELL",R133="DOWN"),AND(J133="HOLD",R133="FLAT")),"YES","NO"))</f>
        <v/>
      </c>
      <c r="T133" s="21">
        <f>IF(J133="","",IF(J133="BUY",1,IF(J133="SELL",-1,0)))</f>
        <v/>
      </c>
      <c r="U133" s="148">
        <f>IFERROR(IF(OR(J133="",N133="",P133=""),"",IF(T133=0,0,T133*Q133-Settings!$B$4/10000-IF(T133&lt;0,Settings!$B$5/10000,0))),"")</f>
        <v/>
      </c>
      <c r="V133" s="15" t="inlineStr">
        <is>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is>
      </c>
      <c r="W133" s="21">
        <f>IF($K133="","",$K133*60)</f>
        <v/>
      </c>
      <c r="X133" s="91">
        <f>IF($A133="","",$A133&amp;"|"&amp;$C133&amp;"|"&amp;$D133)</f>
        <v/>
      </c>
      <c r="Y133" s="91">
        <f>IFERROR(IF($X133="","",INDEX(LLM_Data_Entry!$H$3:$H$548,MATCH($X133,INDEX(LLM_Data_Entry!$A$3:$A$548&amp;"|"&amp;LLM_Data_Entry!$C$3:$C$548&amp;"|"&amp;LLM_Data_Entry!$D$3:$D$548,0),0))),"")</f>
        <v/>
      </c>
      <c r="Z133" s="91">
        <f>IFERROR(IF($X133="","",INDEX(LLM_Data_Entry!$R$3:$R$548,MATCH($X133,INDEX(LLM_Data_Entry!$A$3:$A$548&amp;"|"&amp;LLM_Data_Entry!$C$3:$C$548&amp;"|"&amp;LLM_Data_Entry!$D$3:$D$548,0),0))),"")</f>
        <v/>
      </c>
      <c r="AB133" t="inlineStr">
        <is>
          <t>recorded price identified against every pulled series</t>
        </is>
      </c>
      <c r="AC133" t="inlineStr">
        <is>
          <t>UAL</t>
        </is>
      </c>
      <c r="AD133" t="inlineStr">
        <is>
          <t>2025-10-15</t>
        </is>
      </c>
      <c r="AE133" t="n">
        <v>104.05</v>
      </c>
      <c r="AF133" t="inlineStr">
        <is>
          <t>2025-10-16</t>
        </is>
      </c>
      <c r="AG133" t="n">
        <v>102.94</v>
      </c>
      <c r="AH133" t="n">
        <v>-0.01066795740505646</v>
      </c>
      <c r="AI133" t="inlineStr">
        <is>
          <t>FLAT</t>
        </is>
      </c>
      <c r="AJ133" t="inlineStr">
        <is>
          <t>NO</t>
        </is>
      </c>
      <c r="AK133" t="n">
        <v>-0.011668</v>
      </c>
      <c r="AL133">
        <f>IF($A133="","",IFERROR(INDEX(Company_List!$G$3:$G$207,MATCH($A133,Company_List!$A$3:$A$207,0)),"unassigned"))</f>
        <v/>
      </c>
      <c r="AM133" t="inlineStr">
        <is>
          <t>Phase 2/United Airlines/Q3/Q3 2025 United Airlines Holdings Inc Earnings Call Transcript.pdf</t>
        </is>
      </c>
      <c r="AO133" t="inlineStr">
        <is>
          <t>unique filename match</t>
        </is>
      </c>
      <c r="AP133">
        <f>IF($A133="","",IF(COUNTIFS(LLM_Data_Entry!$A$3:$A$548,$A133)&gt;0,"YES","NO"))</f>
        <v/>
      </c>
      <c r="AQ133">
        <f>IF($A133="","",IF(COUNTIFS($A$3:$A133,$A133,$C$3:$C133,$C133,$D$3:$D133,$D133)=1,"YES","NO"))</f>
        <v/>
      </c>
      <c r="AR133">
        <f>IF($A133="","",IF(AND($C133&amp;"-"&amp;$D133&gt;=Settings!$B$19,$C133&amp;"-"&amp;$D133&lt;=Settings!$B$20),"IN","OUT"))</f>
        <v/>
      </c>
      <c r="AS133">
        <f>IF($A133="","",IF($F133="Financial Results","financials",IF($F133="Outlook/Guidance","guidance",IF($F133="Transcript Q&amp;A","qanda",IF($F133="","unrecorded",IF($E133="All","full",IF($E133="","unrecorded",LOWER($E133)&amp;" only")))))))</f>
        <v/>
      </c>
      <c r="AT133">
        <f>IF(AND(OR($J133="BUY",$J133="SELL"),ISNUMBER($U133)),$U133,"")</f>
        <v/>
      </c>
      <c r="AU133">
        <f>IF(AND(OR($J133="BUY",$J133="SELL"),ISNUMBER($AK133)),$AK133,"")</f>
        <v/>
      </c>
      <c r="AV133">
        <f>IF(ISNUMBER($AT133),ABS(IF(ISNUMBER($I133),$I133,0)-Settings!$B$24),"")</f>
        <v/>
      </c>
      <c r="AW133">
        <f>IF(ISNUMBER($AV133),$AV133*$AT133,"")</f>
        <v/>
      </c>
      <c r="AX133">
        <f>IF(ISNUMBER($AU133),ABS(IF(ISNUMBER($I133),$I133,0)-Settings!$B$24),"")</f>
        <v/>
      </c>
      <c r="AY133">
        <f>IF(ISNUMBER($AX133),$AX133*$AU133,"")</f>
        <v/>
      </c>
      <c r="AZ133">
        <f>IF($A133="","",IFERROR(INDEX(Company_List!$H$3:$H$207,MATCH($A133,Company_List!$A$3:$A$207,0)),"unassigned"))</f>
        <v/>
      </c>
      <c r="BC133">
        <f>IF($A133="","",IF(COUNTIFS($A$3:$A133,$A133,$C$3:$C133,$C133,$D$3:$D133,$D133,$G$3:$G133,$G133)=1,1,0))</f>
        <v/>
      </c>
      <c r="BG133" t="inlineStr">
        <is>
          <t>no</t>
        </is>
      </c>
      <c r="BK133">
        <f>IF(OR($H133&lt;&gt;"Human",$S133="",$J133="",$Y133="",$Z133=""),"",IF(EXACT(UPPER($J133),UPPER($Y133)),1,0))</f>
        <v/>
      </c>
      <c r="BL133" t="inlineStr">
        <is>
          <t>assumed - no rater record</t>
        </is>
      </c>
      <c r="BM133" t="n">
        <v>1</v>
      </c>
      <c r="BN133" t="inlineStr">
        <is>
          <t>not publisher-identified</t>
        </is>
      </c>
      <c r="BO133" t="inlineStr">
        <is>
          <t>not publisher-identified</t>
        </is>
      </c>
      <c r="BP133" t="inlineStr">
        <is>
          <t>no</t>
        </is>
      </c>
      <c r="BQ133" t="inlineStr">
        <is>
          <t>no</t>
        </is>
      </c>
    </row>
    <row r="134" ht="16.35" customHeight="1">
      <c r="A134" s="95" t="inlineStr">
        <is>
          <t>United Airlines</t>
        </is>
      </c>
      <c r="B134" s="96">
        <f>IF(A134="","",_xlfn.XLOOKUP(A134, Company_List!$A:$A, Company_List!$B:$B, ""))</f>
        <v/>
      </c>
      <c r="C134" s="21" t="n">
        <v>2025</v>
      </c>
      <c r="D134" s="20" t="inlineStr">
        <is>
          <t>Q4</t>
        </is>
      </c>
      <c r="E134" s="19" t="inlineStr">
        <is>
          <t>All</t>
        </is>
      </c>
      <c r="F134" s="19" t="inlineStr">
        <is>
          <t>All</t>
        </is>
      </c>
      <c r="G134" s="20" t="inlineStr">
        <is>
          <t>Nigel</t>
        </is>
      </c>
      <c r="H134" s="20" t="inlineStr">
        <is>
          <t>Human</t>
        </is>
      </c>
      <c r="I134" s="127" t="n">
        <v>0.7</v>
      </c>
      <c r="J134" s="145">
        <f>IF(OR(I134="",Settings!$B$6=""),"",IF(I134&gt;Settings!$B$6,"BUY",IF(I134&lt;-Settings!$B$6,"SELL","HOLD")))</f>
        <v/>
      </c>
      <c r="K134" s="139" t="n">
        <v>15</v>
      </c>
      <c r="L134" s="123" t="n">
        <v>46043</v>
      </c>
      <c r="M134" s="123" t="n">
        <v>46043</v>
      </c>
      <c r="N134" s="127" t="n">
        <v>110.96</v>
      </c>
      <c r="O134" s="123" t="n">
        <v>46044</v>
      </c>
      <c r="P134" s="22" t="n">
        <v>113</v>
      </c>
      <c r="Q134" s="148">
        <f>IF(OR(N134="",P134=""),"",ROUND((P134-N134)/N134,4))</f>
        <v/>
      </c>
      <c r="R134" s="20">
        <f>IF(OR(N134="",P134=""),"",IF(Q134&gt;Settings!$B$3/100,"UP",IF(Q134&lt;-Settings!$B$3/100,"DOWN","FLAT")))</f>
        <v/>
      </c>
      <c r="S134" s="20">
        <f>IF(OR(N134="",P134="",J134=""),"",IF(OR(AND(J134="BUY",R134="UP"),AND(J134="SELL",R134="DOWN"),AND(J134="HOLD",R134="FLAT")),"YES","NO"))</f>
        <v/>
      </c>
      <c r="T134" s="21">
        <f>IF(J134="","",IF(J134="BUY",1,IF(J134="SELL",-1,0)))</f>
        <v/>
      </c>
      <c r="U134" s="148">
        <f>IFERROR(IF(OR(J134="",N134="",P134=""),"",IF(T134=0,0,T134*Q134-Settings!$B$4/10000-IF(T134&lt;0,Settings!$B$5/10000,0))),"")</f>
        <v/>
      </c>
      <c r="V134" s="24" t="inlineStr">
        <is>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is>
      </c>
      <c r="W134" s="21">
        <f>IF($K134="","",$K134*60)</f>
        <v/>
      </c>
      <c r="X134" s="91">
        <f>IF($A134="","",$A134&amp;"|"&amp;$C134&amp;"|"&amp;$D134)</f>
        <v/>
      </c>
      <c r="Y134" s="91">
        <f>IFERROR(IF($X134="","",INDEX(LLM_Data_Entry!$H$3:$H$548,MATCH($X134,INDEX(LLM_Data_Entry!$A$3:$A$548&amp;"|"&amp;LLM_Data_Entry!$C$3:$C$548&amp;"|"&amp;LLM_Data_Entry!$D$3:$D$548,0),0))),"")</f>
        <v/>
      </c>
      <c r="Z134" s="91">
        <f>IFERROR(IF($X134="","",INDEX(LLM_Data_Entry!$R$3:$R$548,MATCH($X134,INDEX(LLM_Data_Entry!$A$3:$A$548&amp;"|"&amp;LLM_Data_Entry!$C$3:$C$548&amp;"|"&amp;LLM_Data_Entry!$D$3:$D$548,0),0))),"")</f>
        <v/>
      </c>
      <c r="AB134" t="inlineStr">
        <is>
          <t>recorded price identified against every pulled series</t>
        </is>
      </c>
      <c r="AC134" t="inlineStr">
        <is>
          <t>UAL</t>
        </is>
      </c>
      <c r="AD134" t="inlineStr">
        <is>
          <t>2026-01-20</t>
        </is>
      </c>
      <c r="AE134" t="n">
        <v>108.57</v>
      </c>
      <c r="AF134" t="inlineStr">
        <is>
          <t>2026-01-21</t>
        </is>
      </c>
      <c r="AG134" t="n">
        <v>111.95</v>
      </c>
      <c r="AH134" t="n">
        <v>0.03113196094685459</v>
      </c>
      <c r="AI134" t="inlineStr">
        <is>
          <t>UP</t>
        </is>
      </c>
      <c r="AJ134" t="inlineStr">
        <is>
          <t>YES</t>
        </is>
      </c>
      <c r="AK134" t="n">
        <v>0.030132</v>
      </c>
      <c r="AL134">
        <f>IF($A134="","",IFERROR(INDEX(Company_List!$G$3:$G$207,MATCH($A134,Company_List!$A$3:$A$207,0)),"unassigned"))</f>
        <v/>
      </c>
      <c r="AM134" t="inlineStr">
        <is>
          <t>Phase 2/United Airlines/Q4/UAL 2025 10K.pdf; Phase 2/United Airlines/Q4/Q4 2025 United Airlines Holdings Inc Earnings Call Transcript.pdf; Phase 2/United Airlines/Q4/4Q_FY25 Earnings Release Final.pdf</t>
        </is>
      </c>
      <c r="AO134" t="inlineStr">
        <is>
          <t>whole bundle (Document = All)</t>
        </is>
      </c>
      <c r="AP134">
        <f>IF($A134="","",IF(COUNTIFS(LLM_Data_Entry!$A$3:$A$548,$A134)&gt;0,"YES","NO"))</f>
        <v/>
      </c>
      <c r="AQ134">
        <f>IF($A134="","",IF(COUNTIFS($A$3:$A134,$A134,$C$3:$C134,$C134,$D$3:$D134,$D134)=1,"YES","NO"))</f>
        <v/>
      </c>
      <c r="AR134">
        <f>IF($A134="","",IF(AND($C134&amp;"-"&amp;$D134&gt;=Settings!$B$19,$C134&amp;"-"&amp;$D134&lt;=Settings!$B$20),"IN","OUT"))</f>
        <v/>
      </c>
      <c r="AS134">
        <f>IF($A134="","",IF($F134="Financial Results","financials",IF($F134="Outlook/Guidance","guidance",IF($F134="Transcript Q&amp;A","qanda",IF($F134="","unrecorded",IF($E134="All","full",IF($E134="","unrecorded",LOWER($E134)&amp;" only")))))))</f>
        <v/>
      </c>
      <c r="AT134">
        <f>IF(AND(OR($J134="BUY",$J134="SELL"),ISNUMBER($U134)),$U134,"")</f>
        <v/>
      </c>
      <c r="AU134">
        <f>IF(AND(OR($J134="BUY",$J134="SELL"),ISNUMBER($AK134)),$AK134,"")</f>
        <v/>
      </c>
      <c r="AV134">
        <f>IF(ISNUMBER($AT134),ABS(IF(ISNUMBER($I134),$I134,0)-Settings!$B$24),"")</f>
        <v/>
      </c>
      <c r="AW134">
        <f>IF(ISNUMBER($AV134),$AV134*$AT134,"")</f>
        <v/>
      </c>
      <c r="AX134">
        <f>IF(ISNUMBER($AU134),ABS(IF(ISNUMBER($I134),$I134,0)-Settings!$B$24),"")</f>
        <v/>
      </c>
      <c r="AY134">
        <f>IF(ISNUMBER($AX134),$AX134*$AU134,"")</f>
        <v/>
      </c>
      <c r="AZ134">
        <f>IF($A134="","",IFERROR(INDEX(Company_List!$H$3:$H$207,MATCH($A134,Company_List!$A$3:$A$207,0)),"unassigned"))</f>
        <v/>
      </c>
      <c r="BC134">
        <f>IF($A134="","",IF(COUNTIFS($A$3:$A134,$A134,$C$3:$C134,$C134,$D$3:$D134,$D134,$G$3:$G134,$G134)=1,1,0))</f>
        <v/>
      </c>
      <c r="BG134" t="inlineStr">
        <is>
          <t>no</t>
        </is>
      </c>
      <c r="BK134">
        <f>IF(OR($H134&lt;&gt;"Human",$S134="",$J134="",$Y134="",$Z134=""),"",IF(EXACT(UPPER($J134),UPPER($Y134)),1,0))</f>
        <v/>
      </c>
      <c r="BL134" t="inlineStr">
        <is>
          <t>assumed - no rater record</t>
        </is>
      </c>
      <c r="BM134" t="n">
        <v>3</v>
      </c>
      <c r="BN134" t="inlineStr">
        <is>
          <t>not publisher-identified</t>
        </is>
      </c>
      <c r="BO134" t="inlineStr">
        <is>
          <t>not publisher-identified</t>
        </is>
      </c>
      <c r="BP134" t="inlineStr">
        <is>
          <t>one of several</t>
        </is>
      </c>
      <c r="BQ134" t="inlineStr">
        <is>
          <t>no</t>
        </is>
      </c>
    </row>
    <row r="135" ht="16.35" customHeight="1">
      <c r="A135" s="95" t="inlineStr">
        <is>
          <t>Novo Nordisk</t>
        </is>
      </c>
      <c r="B135" s="96">
        <f>IF(A135="","",_xlfn.XLOOKUP(A135, Company_List!$A:$A, Company_List!$B:$B, ""))</f>
        <v/>
      </c>
      <c r="C135" s="21" t="n">
        <v>2025</v>
      </c>
      <c r="D135" s="20" t="inlineStr">
        <is>
          <t>Q1</t>
        </is>
      </c>
      <c r="E135" s="19" t="inlineStr">
        <is>
          <t>All</t>
        </is>
      </c>
      <c r="F135" s="19" t="inlineStr">
        <is>
          <t>All</t>
        </is>
      </c>
      <c r="G135" s="20" t="inlineStr">
        <is>
          <t>Nigel</t>
        </is>
      </c>
      <c r="H135" s="20" t="inlineStr">
        <is>
          <t>Human</t>
        </is>
      </c>
      <c r="I135" s="127" t="n">
        <v>0.4</v>
      </c>
      <c r="J135" s="145">
        <f>IF(OR(I135="",Settings!$B$6=""),"",IF(I135&gt;Settings!$B$6,"BUY",IF(I135&lt;-Settings!$B$6,"SELL","HOLD")))</f>
        <v/>
      </c>
      <c r="K135" s="139" t="n">
        <v>21</v>
      </c>
      <c r="L135" s="123" t="n">
        <v>45784</v>
      </c>
      <c r="M135" s="123" t="n">
        <v>45784</v>
      </c>
      <c r="N135" s="127" t="n">
        <v>67.55</v>
      </c>
      <c r="O135" s="123" t="n">
        <v>45785</v>
      </c>
      <c r="P135" s="22" t="n">
        <v>65.91</v>
      </c>
      <c r="Q135" s="148">
        <f>IF(OR(N135="",P135=""),"",ROUND((P135-N135)/N135,4))</f>
        <v/>
      </c>
      <c r="R135" s="20">
        <f>IF(OR(N135="",P135=""),"",IF(Q135&gt;Settings!$B$3/100,"UP",IF(Q135&lt;-Settings!$B$3/100,"DOWN","FLAT")))</f>
        <v/>
      </c>
      <c r="S135" s="20">
        <f>IF(OR(N135="",P135="",J135=""),"",IF(OR(AND(J135="BUY",R135="UP"),AND(J135="SELL",R135="DOWN"),AND(J135="HOLD",R135="FLAT")),"YES","NO"))</f>
        <v/>
      </c>
      <c r="T135" s="21">
        <f>IF(J135="","",IF(J135="BUY",1,IF(J135="SELL",-1,0)))</f>
        <v/>
      </c>
      <c r="U135" s="148">
        <f>IFERROR(IF(OR(J135="",N135="",P135=""),"",IF(T135=0,0,T135*Q135-Settings!$B$4/10000-IF(T135&lt;0,Settings!$B$5/10000,0))),"")</f>
        <v/>
      </c>
      <c r="V135" s="15" t="inlineStr">
        <is>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is>
      </c>
      <c r="W135" s="21">
        <f>IF($K135="","",$K135*60)</f>
        <v/>
      </c>
      <c r="X135" s="91">
        <f>IF($A135="","",$A135&amp;"|"&amp;$C135&amp;"|"&amp;$D135)</f>
        <v/>
      </c>
      <c r="Y135" s="91">
        <f>IFERROR(IF($X135="","",INDEX(LLM_Data_Entry!$H$3:$H$548,MATCH($X135,INDEX(LLM_Data_Entry!$A$3:$A$548&amp;"|"&amp;LLM_Data_Entry!$C$3:$C$548&amp;"|"&amp;LLM_Data_Entry!$D$3:$D$548,0),0))),"")</f>
        <v/>
      </c>
      <c r="Z135" s="91">
        <f>IFERROR(IF($X135="","",INDEX(LLM_Data_Entry!$R$3:$R$548,MATCH($X135,INDEX(LLM_Data_Entry!$A$3:$A$548&amp;"|"&amp;LLM_Data_Entry!$C$3:$C$548&amp;"|"&amp;LLM_Data_Entry!$D$3:$D$548,0),0))),"")</f>
        <v/>
      </c>
      <c r="AB135" t="inlineStr">
        <is>
          <t>repriced on the issuer's primary listing</t>
        </is>
      </c>
      <c r="AC135" t="inlineStr">
        <is>
          <t>NOVO-B.CO</t>
        </is>
      </c>
      <c r="AD135" t="inlineStr">
        <is>
          <t>2025-05-06</t>
        </is>
      </c>
      <c r="AE135" t="n">
        <v>421.4183</v>
      </c>
      <c r="AF135" t="inlineStr">
        <is>
          <t>2025-05-07</t>
        </is>
      </c>
      <c r="AG135" t="n">
        <v>421.3705</v>
      </c>
      <c r="AH135" t="n">
        <v>-0.0001132916695550904</v>
      </c>
      <c r="AI135" t="inlineStr">
        <is>
          <t>FLAT</t>
        </is>
      </c>
      <c r="AJ135" t="inlineStr">
        <is>
          <t>NO</t>
        </is>
      </c>
      <c r="AK135" t="n">
        <v>-0.001113</v>
      </c>
      <c r="AL135">
        <f>IF($A135="","",IFERROR(INDEX(Company_List!$G$3:$G$207,MATCH($A135,Company_List!$A$3:$A$207,0)),"unassigned"))</f>
        <v/>
      </c>
      <c r="AM135" t="inlineStr">
        <is>
          <t>Phase 2/Novo Nordisk/Q1/ca250507-q1-2025-updated.pdf; Phase 2/Novo Nordisk/Q1/Q1-2025-investor-presentation.pdf; Phase 2/Novo Nordisk/Q1/Q1-2025-financial-workbook.xlsx; Phase 2/Novo Nordisk/Q1/Q1 2025 Novo Nordisk A:S Earnings Call Transcript.pdf</t>
        </is>
      </c>
      <c r="AO135" t="inlineStr">
        <is>
          <t>whole bundle (Document = All)</t>
        </is>
      </c>
      <c r="AP135">
        <f>IF($A135="","",IF(COUNTIFS(LLM_Data_Entry!$A$3:$A$548,$A135)&gt;0,"YES","NO"))</f>
        <v/>
      </c>
      <c r="AQ135">
        <f>IF($A135="","",IF(COUNTIFS($A$3:$A135,$A135,$C$3:$C135,$C135,$D$3:$D135,$D135)=1,"YES","NO"))</f>
        <v/>
      </c>
      <c r="AR135">
        <f>IF($A135="","",IF(AND($C135&amp;"-"&amp;$D135&gt;=Settings!$B$19,$C135&amp;"-"&amp;$D135&lt;=Settings!$B$20),"IN","OUT"))</f>
        <v/>
      </c>
      <c r="AS135">
        <f>IF($A135="","",IF($F135="Financial Results","financials",IF($F135="Outlook/Guidance","guidance",IF($F135="Transcript Q&amp;A","qanda",IF($F135="","unrecorded",IF($E135="All","full",IF($E135="","unrecorded",LOWER($E135)&amp;" only")))))))</f>
        <v/>
      </c>
      <c r="AT135">
        <f>IF(AND(OR($J135="BUY",$J135="SELL"),ISNUMBER($U135)),$U135,"")</f>
        <v/>
      </c>
      <c r="AU135">
        <f>IF(AND(OR($J135="BUY",$J135="SELL"),ISNUMBER($AK135)),$AK135,"")</f>
        <v/>
      </c>
      <c r="AV135">
        <f>IF(ISNUMBER($AT135),ABS(IF(ISNUMBER($I135),$I135,0)-Settings!$B$24),"")</f>
        <v/>
      </c>
      <c r="AW135">
        <f>IF(ISNUMBER($AV135),$AV135*$AT135,"")</f>
        <v/>
      </c>
      <c r="AX135">
        <f>IF(ISNUMBER($AU135),ABS(IF(ISNUMBER($I135),$I135,0)-Settings!$B$24),"")</f>
        <v/>
      </c>
      <c r="AY135">
        <f>IF(ISNUMBER($AX135),$AX135*$AU135,"")</f>
        <v/>
      </c>
      <c r="AZ135">
        <f>IF($A135="","",IFERROR(INDEX(Company_List!$H$3:$H$207,MATCH($A135,Company_List!$A$3:$A$207,0)),"unassigned"))</f>
        <v/>
      </c>
      <c r="BC135">
        <f>IF($A135="","",IF(COUNTIFS($A$3:$A135,$A135,$C$3:$C135,$C135,$D$3:$D135,$D135,$G$3:$G135,$G135)=1,1,0))</f>
        <v/>
      </c>
      <c r="BG135" t="inlineStr">
        <is>
          <t>no</t>
        </is>
      </c>
      <c r="BK135">
        <f>IF(OR($H135&lt;&gt;"Human",$S135="",$J135="",$Y135="",$Z135=""),"",IF(EXACT(UPPER($J135),UPPER($Y135)),1,0))</f>
        <v/>
      </c>
      <c r="BL135" t="inlineStr">
        <is>
          <t>assumed - no rater record</t>
        </is>
      </c>
      <c r="BM135" t="n">
        <v>4</v>
      </c>
      <c r="BN135" t="inlineStr">
        <is>
          <t>not publisher-identified</t>
        </is>
      </c>
      <c r="BO135" t="inlineStr">
        <is>
          <t>not publisher-identified</t>
        </is>
      </c>
      <c r="BP135" t="inlineStr">
        <is>
          <t>no</t>
        </is>
      </c>
      <c r="BQ135" t="inlineStr">
        <is>
          <t>no</t>
        </is>
      </c>
    </row>
    <row r="136" ht="16.35" customHeight="1">
      <c r="A136" s="95" t="inlineStr">
        <is>
          <t>Novo Nordisk</t>
        </is>
      </c>
      <c r="B136" s="96">
        <f>IF(A136="","",_xlfn.XLOOKUP(A136, Company_List!$A:$A, Company_List!$B:$B, ""))</f>
        <v/>
      </c>
      <c r="C136" s="21" t="n">
        <v>2025</v>
      </c>
      <c r="D136" s="20" t="inlineStr">
        <is>
          <t>Q2</t>
        </is>
      </c>
      <c r="E136" s="19" t="inlineStr">
        <is>
          <t>All</t>
        </is>
      </c>
      <c r="F136" s="19" t="inlineStr">
        <is>
          <t>All</t>
        </is>
      </c>
      <c r="G136" s="20" t="inlineStr">
        <is>
          <t>Nigel</t>
        </is>
      </c>
      <c r="H136" s="20" t="inlineStr">
        <is>
          <t>Human</t>
        </is>
      </c>
      <c r="I136" s="127" t="n">
        <v>0.3</v>
      </c>
      <c r="J136" s="145">
        <f>IF(OR(I136="",Settings!$B$6=""),"",IF(I136&gt;Settings!$B$6,"BUY",IF(I136&lt;-Settings!$B$6,"SELL","HOLD")))</f>
        <v/>
      </c>
      <c r="K136" s="139" t="n">
        <v>25</v>
      </c>
      <c r="L136" s="123" t="n">
        <v>45875</v>
      </c>
      <c r="M136" s="123" t="n">
        <v>45875</v>
      </c>
      <c r="N136" s="127" t="n">
        <v>45.38</v>
      </c>
      <c r="O136" s="123" t="n">
        <v>45876</v>
      </c>
      <c r="P136" s="22" t="n">
        <v>48.47</v>
      </c>
      <c r="Q136" s="148">
        <f>IF(OR(N136="",P136=""),"",ROUND((P136-N136)/N136,4))</f>
        <v/>
      </c>
      <c r="R136" s="20">
        <f>IF(OR(N136="",P136=""),"",IF(Q136&gt;Settings!$B$3/100,"UP",IF(Q136&lt;-Settings!$B$3/100,"DOWN","FLAT")))</f>
        <v/>
      </c>
      <c r="S136" s="20">
        <f>IF(OR(N136="",P136="",J136=""),"",IF(OR(AND(J136="BUY",R136="UP"),AND(J136="SELL",R136="DOWN"),AND(J136="HOLD",R136="FLAT")),"YES","NO"))</f>
        <v/>
      </c>
      <c r="T136" s="21">
        <f>IF(J136="","",IF(J136="BUY",1,IF(J136="SELL",-1,0)))</f>
        <v/>
      </c>
      <c r="U136" s="148">
        <f>IFERROR(IF(OR(J136="",N136="",P136=""),"",IF(T136=0,0,T136*Q136-Settings!$B$4/10000-IF(T136&lt;0,Settings!$B$5/10000,0))),"")</f>
        <v/>
      </c>
      <c r="V136" s="15" t="inlineStr">
        <is>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is>
      </c>
      <c r="W136" s="21">
        <f>IF($K136="","",$K136*60)</f>
        <v/>
      </c>
      <c r="X136" s="91">
        <f>IF($A136="","",$A136&amp;"|"&amp;$C136&amp;"|"&amp;$D136)</f>
        <v/>
      </c>
      <c r="Y136" s="91">
        <f>IFERROR(IF($X136="","",INDEX(LLM_Data_Entry!$H$3:$H$548,MATCH($X136,INDEX(LLM_Data_Entry!$A$3:$A$548&amp;"|"&amp;LLM_Data_Entry!$C$3:$C$548&amp;"|"&amp;LLM_Data_Entry!$D$3:$D$548,0),0))),"")</f>
        <v/>
      </c>
      <c r="Z136" s="91">
        <f>IFERROR(IF($X136="","",INDEX(LLM_Data_Entry!$R$3:$R$548,MATCH($X136,INDEX(LLM_Data_Entry!$A$3:$A$548&amp;"|"&amp;LLM_Data_Entry!$C$3:$C$548&amp;"|"&amp;LLM_Data_Entry!$D$3:$D$548,0),0))),"")</f>
        <v/>
      </c>
      <c r="AB136" t="inlineStr">
        <is>
          <t>repriced on the issuer's primary listing</t>
        </is>
      </c>
      <c r="AC136" t="inlineStr">
        <is>
          <t>NOVO-B.CO</t>
        </is>
      </c>
      <c r="AD136" t="inlineStr">
        <is>
          <t>2025-08-05</t>
        </is>
      </c>
      <c r="AE136" t="n">
        <v>292.284</v>
      </c>
      <c r="AF136" t="inlineStr">
        <is>
          <t>2025-08-06</t>
        </is>
      </c>
      <c r="AG136" t="n">
        <v>296.2015</v>
      </c>
      <c r="AH136" t="n">
        <v>0.01340307368649402</v>
      </c>
      <c r="AI136" t="inlineStr">
        <is>
          <t>FLAT</t>
        </is>
      </c>
      <c r="AJ136" t="inlineStr">
        <is>
          <t>NO</t>
        </is>
      </c>
      <c r="AK136" t="n">
        <v>0.012403</v>
      </c>
      <c r="AL136">
        <f>IF($A136="","",IFERROR(INDEX(Company_List!$G$3:$G$207,MATCH($A136,Company_List!$A$3:$A$207,0)),"unassigned"))</f>
        <v/>
      </c>
      <c r="AM136" t="inlineStr">
        <is>
          <t>Phase 2/Novo Nordisk/Q2/Q2-2025-investor-presentation-updated.pdf; Phase 2/Novo Nordisk/Q2/Q2-2025-financial-workbook.xlsx; Phase 2/Novo Nordisk/Q2/Q2 2025 Novo Nordisk A:S Earnings Call Transcript.pdf</t>
        </is>
      </c>
      <c r="AO136" t="inlineStr">
        <is>
          <t>whole bundle (Document = All)</t>
        </is>
      </c>
      <c r="AP136">
        <f>IF($A136="","",IF(COUNTIFS(LLM_Data_Entry!$A$3:$A$548,$A136)&gt;0,"YES","NO"))</f>
        <v/>
      </c>
      <c r="AQ136">
        <f>IF($A136="","",IF(COUNTIFS($A$3:$A136,$A136,$C$3:$C136,$C136,$D$3:$D136,$D136)=1,"YES","NO"))</f>
        <v/>
      </c>
      <c r="AR136">
        <f>IF($A136="","",IF(AND($C136&amp;"-"&amp;$D136&gt;=Settings!$B$19,$C136&amp;"-"&amp;$D136&lt;=Settings!$B$20),"IN","OUT"))</f>
        <v/>
      </c>
      <c r="AS136">
        <f>IF($A136="","",IF($F136="Financial Results","financials",IF($F136="Outlook/Guidance","guidance",IF($F136="Transcript Q&amp;A","qanda",IF($F136="","unrecorded",IF($E136="All","full",IF($E136="","unrecorded",LOWER($E136)&amp;" only")))))))</f>
        <v/>
      </c>
      <c r="AT136">
        <f>IF(AND(OR($J136="BUY",$J136="SELL"),ISNUMBER($U136)),$U136,"")</f>
        <v/>
      </c>
      <c r="AU136">
        <f>IF(AND(OR($J136="BUY",$J136="SELL"),ISNUMBER($AK136)),$AK136,"")</f>
        <v/>
      </c>
      <c r="AV136">
        <f>IF(ISNUMBER($AT136),ABS(IF(ISNUMBER($I136),$I136,0)-Settings!$B$24),"")</f>
        <v/>
      </c>
      <c r="AW136">
        <f>IF(ISNUMBER($AV136),$AV136*$AT136,"")</f>
        <v/>
      </c>
      <c r="AX136">
        <f>IF(ISNUMBER($AU136),ABS(IF(ISNUMBER($I136),$I136,0)-Settings!$B$24),"")</f>
        <v/>
      </c>
      <c r="AY136">
        <f>IF(ISNUMBER($AX136),$AX136*$AU136,"")</f>
        <v/>
      </c>
      <c r="AZ136">
        <f>IF($A136="","",IFERROR(INDEX(Company_List!$H$3:$H$207,MATCH($A136,Company_List!$A$3:$A$207,0)),"unassigned"))</f>
        <v/>
      </c>
      <c r="BC136">
        <f>IF($A136="","",IF(COUNTIFS($A$3:$A136,$A136,$C$3:$C136,$C136,$D$3:$D136,$D136,$G$3:$G136,$G136)=1,1,0))</f>
        <v/>
      </c>
      <c r="BG136" t="inlineStr">
        <is>
          <t>no</t>
        </is>
      </c>
      <c r="BK136">
        <f>IF(OR($H136&lt;&gt;"Human",$S136="",$J136="",$Y136="",$Z136=""),"",IF(EXACT(UPPER($J136),UPPER($Y136)),1,0))</f>
        <v/>
      </c>
      <c r="BL136" t="inlineStr">
        <is>
          <t>assumed - no rater record</t>
        </is>
      </c>
      <c r="BM136" t="n">
        <v>3</v>
      </c>
      <c r="BN136" t="inlineStr">
        <is>
          <t>not publisher-identified</t>
        </is>
      </c>
      <c r="BO136" t="inlineStr">
        <is>
          <t>not publisher-identified</t>
        </is>
      </c>
      <c r="BP136" t="inlineStr">
        <is>
          <t>no</t>
        </is>
      </c>
      <c r="BQ136" t="inlineStr">
        <is>
          <t>no</t>
        </is>
      </c>
    </row>
    <row r="137" ht="16.35" customHeight="1">
      <c r="A137" s="95" t="inlineStr">
        <is>
          <t>Novo Nordisk</t>
        </is>
      </c>
      <c r="B137" s="96">
        <f>IF(A137="","",_xlfn.XLOOKUP(A137, Company_List!$A:$A, Company_List!$B:$B, ""))</f>
        <v/>
      </c>
      <c r="C137" s="21" t="n">
        <v>2025</v>
      </c>
      <c r="D137" s="20" t="inlineStr">
        <is>
          <t>Q3</t>
        </is>
      </c>
      <c r="E137" s="19" t="inlineStr">
        <is>
          <t>All</t>
        </is>
      </c>
      <c r="F137" s="19" t="inlineStr">
        <is>
          <t>All</t>
        </is>
      </c>
      <c r="G137" s="20" t="inlineStr">
        <is>
          <t>Nigel</t>
        </is>
      </c>
      <c r="H137" s="20" t="inlineStr">
        <is>
          <t>Human</t>
        </is>
      </c>
      <c r="I137" s="127" t="n">
        <v>0.1</v>
      </c>
      <c r="J137" s="145">
        <f>IF(OR(I137="",Settings!$B$6=""),"",IF(I137&gt;Settings!$B$6,"BUY",IF(I137&lt;-Settings!$B$6,"SELL","HOLD")))</f>
        <v/>
      </c>
      <c r="K137" s="139" t="n">
        <v>22</v>
      </c>
      <c r="L137" s="123" t="n">
        <v>45966</v>
      </c>
      <c r="M137" s="123" t="n">
        <v>45966</v>
      </c>
      <c r="N137" s="127" t="n">
        <v>48.46</v>
      </c>
      <c r="O137" s="123" t="n">
        <v>45967</v>
      </c>
      <c r="P137" s="22" t="n">
        <v>47.75</v>
      </c>
      <c r="Q137" s="148">
        <f>IF(OR(N137="",P137=""),"",ROUND((P137-N137)/N137,4))</f>
        <v/>
      </c>
      <c r="R137" s="20">
        <f>IF(OR(N137="",P137=""),"",IF(Q137&gt;Settings!$B$3/100,"UP",IF(Q137&lt;-Settings!$B$3/100,"DOWN","FLAT")))</f>
        <v/>
      </c>
      <c r="S137" s="20">
        <f>IF(OR(N137="",P137="",J137=""),"",IF(OR(AND(J137="BUY",R137="UP"),AND(J137="SELL",R137="DOWN"),AND(J137="HOLD",R137="FLAT")),"YES","NO"))</f>
        <v/>
      </c>
      <c r="T137" s="21">
        <f>IF(J137="","",IF(J137="BUY",1,IF(J137="SELL",-1,0)))</f>
        <v/>
      </c>
      <c r="U137" s="148">
        <f>IFERROR(IF(OR(J137="",N137="",P137=""),"",IF(T137=0,0,T137*Q137-Settings!$B$4/10000-IF(T137&lt;0,Settings!$B$5/10000,0))),"")</f>
        <v/>
      </c>
      <c r="V137" s="15" t="inlineStr">
        <is>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is>
      </c>
      <c r="W137" s="21">
        <f>IF($K137="","",$K137*60)</f>
        <v/>
      </c>
      <c r="X137" s="91">
        <f>IF($A137="","",$A137&amp;"|"&amp;$C137&amp;"|"&amp;$D137)</f>
        <v/>
      </c>
      <c r="Y137" s="91">
        <f>IFERROR(IF($X137="","",INDEX(LLM_Data_Entry!$H$3:$H$548,MATCH($X137,INDEX(LLM_Data_Entry!$A$3:$A$548&amp;"|"&amp;LLM_Data_Entry!$C$3:$C$548&amp;"|"&amp;LLM_Data_Entry!$D$3:$D$548,0),0))),"")</f>
        <v/>
      </c>
      <c r="Z137" s="91">
        <f>IFERROR(IF($X137="","",INDEX(LLM_Data_Entry!$R$3:$R$548,MATCH($X137,INDEX(LLM_Data_Entry!$A$3:$A$548&amp;"|"&amp;LLM_Data_Entry!$C$3:$C$548&amp;"|"&amp;LLM_Data_Entry!$D$3:$D$548,0),0))),"")</f>
        <v/>
      </c>
      <c r="AB137" t="inlineStr">
        <is>
          <t>repriced on the issuer's primary listing</t>
        </is>
      </c>
      <c r="AC137" t="inlineStr">
        <is>
          <t>NOVO-B.CO</t>
        </is>
      </c>
      <c r="AD137" t="inlineStr">
        <is>
          <t>2025-11-04</t>
        </is>
      </c>
      <c r="AE137" t="n">
        <v>304.6911</v>
      </c>
      <c r="AF137" t="inlineStr">
        <is>
          <t>2025-11-05</t>
        </is>
      </c>
      <c r="AG137" t="n">
        <v>293.1879</v>
      </c>
      <c r="AH137" t="n">
        <v>-0.03775387126395204</v>
      </c>
      <c r="AI137" t="inlineStr">
        <is>
          <t>DOWN</t>
        </is>
      </c>
      <c r="AJ137" t="inlineStr">
        <is>
          <t>NO</t>
        </is>
      </c>
      <c r="AK137" t="n">
        <v>0</v>
      </c>
      <c r="AL137">
        <f>IF($A137="","",IFERROR(INDEX(Company_List!$G$3:$G$207,MATCH($A137,Company_List!$A$3:$A$207,0)),"unassigned"))</f>
        <v/>
      </c>
      <c r="AM137" t="inlineStr">
        <is>
          <t>Phase 2/Novo Nordisk/Q3/ca251105-q3-2025.pdf; Phase 2/Novo Nordisk/Q3/Q3-investor-presentation-2025.pdf; Phase 2/Novo Nordisk/Q3/Q3-2025-financial-workbook.xlsx; Phase 2/Novo Nordisk/Q3/Novo Nordisk (NVO) Q3 2025 Earnings Transcript | The Motley Fool.pdf</t>
        </is>
      </c>
      <c r="AO137" t="inlineStr">
        <is>
          <t>whole bundle (Document = All)</t>
        </is>
      </c>
      <c r="AP137">
        <f>IF($A137="","",IF(COUNTIFS(LLM_Data_Entry!$A$3:$A$548,$A137)&gt;0,"YES","NO"))</f>
        <v/>
      </c>
      <c r="AQ137">
        <f>IF($A137="","",IF(COUNTIFS($A$3:$A137,$A137,$C$3:$C137,$C137,$D$3:$D137,$D137)=1,"YES","NO"))</f>
        <v/>
      </c>
      <c r="AR137">
        <f>IF($A137="","",IF(AND($C137&amp;"-"&amp;$D137&gt;=Settings!$B$19,$C137&amp;"-"&amp;$D137&lt;=Settings!$B$20),"IN","OUT"))</f>
        <v/>
      </c>
      <c r="AS137">
        <f>IF($A137="","",IF($F137="Financial Results","financials",IF($F137="Outlook/Guidance","guidance",IF($F137="Transcript Q&amp;A","qanda",IF($F137="","unrecorded",IF($E137="All","full",IF($E137="","unrecorded",LOWER($E137)&amp;" only")))))))</f>
        <v/>
      </c>
      <c r="AT137">
        <f>IF(AND(OR($J137="BUY",$J137="SELL"),ISNUMBER($U137)),$U137,"")</f>
        <v/>
      </c>
      <c r="AU137">
        <f>IF(AND(OR($J137="BUY",$J137="SELL"),ISNUMBER($AK137)),$AK137,"")</f>
        <v/>
      </c>
      <c r="AV137">
        <f>IF(ISNUMBER($AT137),ABS(IF(ISNUMBER($I137),$I137,0)-Settings!$B$24),"")</f>
        <v/>
      </c>
      <c r="AW137">
        <f>IF(ISNUMBER($AV137),$AV137*$AT137,"")</f>
        <v/>
      </c>
      <c r="AX137">
        <f>IF(ISNUMBER($AU137),ABS(IF(ISNUMBER($I137),$I137,0)-Settings!$B$24),"")</f>
        <v/>
      </c>
      <c r="AY137">
        <f>IF(ISNUMBER($AX137),$AX137*$AU137,"")</f>
        <v/>
      </c>
      <c r="AZ137">
        <f>IF($A137="","",IFERROR(INDEX(Company_List!$H$3:$H$207,MATCH($A137,Company_List!$A$3:$A$207,0)),"unassigned"))</f>
        <v/>
      </c>
      <c r="BC137">
        <f>IF($A137="","",IF(COUNTIFS($A$3:$A137,$A137,$C$3:$C137,$C137,$D$3:$D137,$D137,$G$3:$G137,$G137)=1,1,0))</f>
        <v/>
      </c>
      <c r="BG137" t="inlineStr">
        <is>
          <t>no</t>
        </is>
      </c>
      <c r="BK137">
        <f>IF(OR($H137&lt;&gt;"Human",$S137="",$J137="",$Y137="",$Z137=""),"",IF(EXACT(UPPER($J137),UPPER($Y137)),1,0))</f>
        <v/>
      </c>
      <c r="BL137" t="inlineStr">
        <is>
          <t>assumed - no rater record</t>
        </is>
      </c>
      <c r="BM137" t="n">
        <v>4</v>
      </c>
      <c r="BN137" t="inlineStr">
        <is>
          <t>The Motley Fool</t>
        </is>
      </c>
      <c r="BO137" t="inlineStr">
        <is>
          <t>free to read, copyright asserted</t>
        </is>
      </c>
      <c r="BP137" t="inlineStr">
        <is>
          <t>no</t>
        </is>
      </c>
      <c r="BQ137" t="inlineStr">
        <is>
          <t>no</t>
        </is>
      </c>
    </row>
    <row r="138" ht="16.35" customHeight="1">
      <c r="A138" s="95" t="inlineStr">
        <is>
          <t>Novo Nordisk</t>
        </is>
      </c>
      <c r="B138" s="96">
        <f>IF(A138="","",_xlfn.XLOOKUP(A138, Company_List!$A:$A, Company_List!$B:$B, ""))</f>
        <v/>
      </c>
      <c r="C138" s="21" t="n">
        <v>2025</v>
      </c>
      <c r="D138" s="20" t="inlineStr">
        <is>
          <t>Q4</t>
        </is>
      </c>
      <c r="E138" s="19" t="inlineStr">
        <is>
          <t>All</t>
        </is>
      </c>
      <c r="F138" s="19" t="inlineStr">
        <is>
          <t>All</t>
        </is>
      </c>
      <c r="G138" s="20" t="inlineStr">
        <is>
          <t>Nigel</t>
        </is>
      </c>
      <c r="H138" s="20" t="inlineStr">
        <is>
          <t>Human</t>
        </is>
      </c>
      <c r="I138" s="127" t="n">
        <v>-0.4</v>
      </c>
      <c r="J138" s="145">
        <f>IF(OR(I138="",Settings!$B$6=""),"",IF(I138&gt;Settings!$B$6,"BUY",IF(I138&lt;-Settings!$B$6,"SELL","HOLD")))</f>
        <v/>
      </c>
      <c r="K138" s="139" t="n">
        <v>26</v>
      </c>
      <c r="L138" s="123" t="n">
        <v>46057</v>
      </c>
      <c r="M138" s="123" t="n">
        <v>46057</v>
      </c>
      <c r="N138" s="127" t="n">
        <v>47.19</v>
      </c>
      <c r="O138" s="123" t="n">
        <v>46058</v>
      </c>
      <c r="P138" s="22" t="n">
        <v>45.05</v>
      </c>
      <c r="Q138" s="148">
        <f>IF(OR(N138="",P138=""),"",ROUND((P138-N138)/N138,4))</f>
        <v/>
      </c>
      <c r="R138" s="20">
        <f>IF(OR(N138="",P138=""),"",IF(Q138&gt;Settings!$B$3/100,"UP",IF(Q138&lt;-Settings!$B$3/100,"DOWN","FLAT")))</f>
        <v/>
      </c>
      <c r="S138" s="20">
        <f>IF(OR(N138="",P138="",J138=""),"",IF(OR(AND(J138="BUY",R138="UP"),AND(J138="SELL",R138="DOWN"),AND(J138="HOLD",R138="FLAT")),"YES","NO"))</f>
        <v/>
      </c>
      <c r="T138" s="21">
        <f>IF(J138="","",IF(J138="BUY",1,IF(J138="SELL",-1,0)))</f>
        <v/>
      </c>
      <c r="U138" s="148">
        <f>IFERROR(IF(OR(J138="",N138="",P138=""),"",IF(T138=0,0,T138*Q138-Settings!$B$4/10000-IF(T138&lt;0,Settings!$B$5/10000,0))),"")</f>
        <v/>
      </c>
      <c r="V138" s="15" t="inlineStr">
        <is>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is>
      </c>
      <c r="W138" s="21">
        <f>IF($K138="","",$K138*60)</f>
        <v/>
      </c>
      <c r="X138" s="91">
        <f>IF($A138="","",$A138&amp;"|"&amp;$C138&amp;"|"&amp;$D138)</f>
        <v/>
      </c>
      <c r="Y138" s="91">
        <f>IFERROR(IF($X138="","",INDEX(LLM_Data_Entry!$H$3:$H$548,MATCH($X138,INDEX(LLM_Data_Entry!$A$3:$A$548&amp;"|"&amp;LLM_Data_Entry!$C$3:$C$548&amp;"|"&amp;LLM_Data_Entry!$D$3:$D$548,0),0))),"")</f>
        <v/>
      </c>
      <c r="Z138" s="91">
        <f>IFERROR(IF($X138="","",INDEX(LLM_Data_Entry!$R$3:$R$548,MATCH($X138,INDEX(LLM_Data_Entry!$A$3:$A$548&amp;"|"&amp;LLM_Data_Entry!$C$3:$C$548&amp;"|"&amp;LLM_Data_Entry!$D$3:$D$548,0),0))),"")</f>
        <v/>
      </c>
      <c r="AB138" t="inlineStr">
        <is>
          <t>repriced on the issuer's primary listing</t>
        </is>
      </c>
      <c r="AC138" t="inlineStr">
        <is>
          <t>NOVO-B.CO</t>
        </is>
      </c>
      <c r="AD138" t="inlineStr">
        <is>
          <t>2026-02-03</t>
        </is>
      </c>
      <c r="AE138" t="n">
        <v>355.5374</v>
      </c>
      <c r="AF138" t="inlineStr">
        <is>
          <t>2026-02-04</t>
        </is>
      </c>
      <c r="AG138" t="n">
        <v>291.9312</v>
      </c>
      <c r="AH138" t="n">
        <v>-0.1789015603144252</v>
      </c>
      <c r="AI138" t="inlineStr">
        <is>
          <t>DOWN</t>
        </is>
      </c>
      <c r="AJ138" t="inlineStr">
        <is>
          <t>YES</t>
        </is>
      </c>
      <c r="AK138" t="n">
        <v>0.177902</v>
      </c>
      <c r="AL138">
        <f>IF($A138="","",IFERROR(INDEX(Company_List!$G$3:$G$207,MATCH($A138,Company_List!$A$3:$A$207,0)),"unassigned"))</f>
        <v/>
      </c>
      <c r="AM138"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O138" t="inlineStr">
        <is>
          <t>whole bundle (Document = All)</t>
        </is>
      </c>
      <c r="AP138">
        <f>IF($A138="","",IF(COUNTIFS(LLM_Data_Entry!$A$3:$A$548,$A138)&gt;0,"YES","NO"))</f>
        <v/>
      </c>
      <c r="AQ138">
        <f>IF($A138="","",IF(COUNTIFS($A$3:$A138,$A138,$C$3:$C138,$C138,$D$3:$D138,$D138)=1,"YES","NO"))</f>
        <v/>
      </c>
      <c r="AR138">
        <f>IF($A138="","",IF(AND($C138&amp;"-"&amp;$D138&gt;=Settings!$B$19,$C138&amp;"-"&amp;$D138&lt;=Settings!$B$20),"IN","OUT"))</f>
        <v/>
      </c>
      <c r="AS138">
        <f>IF($A138="","",IF($F138="Financial Results","financials",IF($F138="Outlook/Guidance","guidance",IF($F138="Transcript Q&amp;A","qanda",IF($F138="","unrecorded",IF($E138="All","full",IF($E138="","unrecorded",LOWER($E138)&amp;" only")))))))</f>
        <v/>
      </c>
      <c r="AT138">
        <f>IF(AND(OR($J138="BUY",$J138="SELL"),ISNUMBER($U138)),$U138,"")</f>
        <v/>
      </c>
      <c r="AU138">
        <f>IF(AND(OR($J138="BUY",$J138="SELL"),ISNUMBER($AK138)),$AK138,"")</f>
        <v/>
      </c>
      <c r="AV138">
        <f>IF(ISNUMBER($AT138),ABS(IF(ISNUMBER($I138),$I138,0)-Settings!$B$24),"")</f>
        <v/>
      </c>
      <c r="AW138">
        <f>IF(ISNUMBER($AV138),$AV138*$AT138,"")</f>
        <v/>
      </c>
      <c r="AX138">
        <f>IF(ISNUMBER($AU138),ABS(IF(ISNUMBER($I138),$I138,0)-Settings!$B$24),"")</f>
        <v/>
      </c>
      <c r="AY138">
        <f>IF(ISNUMBER($AX138),$AX138*$AU138,"")</f>
        <v/>
      </c>
      <c r="AZ138">
        <f>IF($A138="","",IFERROR(INDEX(Company_List!$H$3:$H$207,MATCH($A138,Company_List!$A$3:$A$207,0)),"unassigned"))</f>
        <v/>
      </c>
      <c r="BC138">
        <f>IF($A138="","",IF(COUNTIFS($A$3:$A138,$A138,$C$3:$C138,$C138,$D$3:$D138,$D138,$G$3:$G138,$G138)=1,1,0))</f>
        <v/>
      </c>
      <c r="BG138" t="inlineStr">
        <is>
          <t>no</t>
        </is>
      </c>
      <c r="BK138">
        <f>IF(OR($H138&lt;&gt;"Human",$S138="",$J138="",$Y138="",$Z138=""),"",IF(EXACT(UPPER($J138),UPPER($Y138)),1,0))</f>
        <v/>
      </c>
      <c r="BL138" t="inlineStr">
        <is>
          <t>assumed - no rater record</t>
        </is>
      </c>
      <c r="BM138" t="n">
        <v>5</v>
      </c>
      <c r="BN138" t="inlineStr">
        <is>
          <t>not publisher-identified</t>
        </is>
      </c>
      <c r="BO138" t="inlineStr">
        <is>
          <t>not publisher-identified</t>
        </is>
      </c>
      <c r="BP138" t="inlineStr">
        <is>
          <t>no</t>
        </is>
      </c>
      <c r="BQ138" t="inlineStr">
        <is>
          <t>no</t>
        </is>
      </c>
    </row>
    <row r="139" ht="16.35" customHeight="1">
      <c r="A139" s="95" t="inlineStr">
        <is>
          <t>Lockheed Martin</t>
        </is>
      </c>
      <c r="B139" s="96">
        <f>IF(A139="","",_xlfn.XLOOKUP(A139, Company_List!$A:$A, Company_List!$B:$B, ""))</f>
        <v/>
      </c>
      <c r="C139" s="21" t="n">
        <v>2025</v>
      </c>
      <c r="D139" s="20" t="inlineStr">
        <is>
          <t>Q1</t>
        </is>
      </c>
      <c r="E139" s="19" t="inlineStr">
        <is>
          <t>All</t>
        </is>
      </c>
      <c r="F139" s="19" t="inlineStr">
        <is>
          <t>All</t>
        </is>
      </c>
      <c r="G139" s="20" t="inlineStr">
        <is>
          <t>Nigel</t>
        </is>
      </c>
      <c r="H139" s="20" t="inlineStr">
        <is>
          <t>Human</t>
        </is>
      </c>
      <c r="I139" s="127" t="n">
        <v>0.3</v>
      </c>
      <c r="J139" s="145">
        <f>IF(OR(I139="",Settings!$B$6=""),"",IF(I139&gt;Settings!$B$6,"BUY",IF(I139&lt;-Settings!$B$6,"SELL","HOLD")))</f>
        <v/>
      </c>
      <c r="K139" s="139" t="n">
        <v>18</v>
      </c>
      <c r="L139" s="123" t="n">
        <v>45769</v>
      </c>
      <c r="M139" s="123" t="n">
        <v>45769</v>
      </c>
      <c r="N139" s="127" t="n">
        <v>462.08</v>
      </c>
      <c r="O139" s="123" t="n">
        <v>45770</v>
      </c>
      <c r="P139" s="22" t="n">
        <v>467</v>
      </c>
      <c r="Q139" s="148">
        <f>IF(OR(N139="",P139=""),"",ROUND((P139-N139)/N139,4))</f>
        <v/>
      </c>
      <c r="R139" s="20">
        <f>IF(OR(N139="",P139=""),"",IF(Q139&gt;Settings!$B$3/100,"UP",IF(Q139&lt;-Settings!$B$3/100,"DOWN","FLAT")))</f>
        <v/>
      </c>
      <c r="S139" s="20">
        <f>IF(OR(N139="",P139="",J139=""),"",IF(OR(AND(J139="BUY",R139="UP"),AND(J139="SELL",R139="DOWN"),AND(J139="HOLD",R139="FLAT")),"YES","NO"))</f>
        <v/>
      </c>
      <c r="T139" s="21">
        <f>IF(J139="","",IF(J139="BUY",1,IF(J139="SELL",-1,0)))</f>
        <v/>
      </c>
      <c r="U139" s="148">
        <f>IFERROR(IF(OR(J139="",N139="",P139=""),"",IF(T139=0,0,T139*Q139-Settings!$B$4/10000-IF(T139&lt;0,Settings!$B$5/10000,0))),"")</f>
        <v/>
      </c>
      <c r="V139" s="15" t="inlineStr">
        <is>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is>
      </c>
      <c r="W139" s="21">
        <f>IF($K139="","",$K139*60)</f>
        <v/>
      </c>
      <c r="X139" s="91">
        <f>IF($A139="","",$A139&amp;"|"&amp;$C139&amp;"|"&amp;$D139)</f>
        <v/>
      </c>
      <c r="Y139" s="91">
        <f>IFERROR(IF($X139="","",INDEX(LLM_Data_Entry!$H$3:$H$548,MATCH($X139,INDEX(LLM_Data_Entry!$A$3:$A$548&amp;"|"&amp;LLM_Data_Entry!$C$3:$C$548&amp;"|"&amp;LLM_Data_Entry!$D$3:$D$548,0),0))),"")</f>
        <v/>
      </c>
      <c r="Z139" s="91">
        <f>IFERROR(IF($X139="","",INDEX(LLM_Data_Entry!$R$3:$R$548,MATCH($X139,INDEX(LLM_Data_Entry!$A$3:$A$548&amp;"|"&amp;LLM_Data_Entry!$C$3:$C$548&amp;"|"&amp;LLM_Data_Entry!$D$3:$D$548,0),0))),"")</f>
        <v/>
      </c>
      <c r="AB139" t="inlineStr">
        <is>
          <t>earnings calendar, seconded by the issuer's habit</t>
        </is>
      </c>
      <c r="AC139" t="inlineStr">
        <is>
          <t>LMT</t>
        </is>
      </c>
      <c r="AD139" t="inlineStr">
        <is>
          <t>2025-04-21</t>
        </is>
      </c>
      <c r="AE139" t="n">
        <v>443.2397</v>
      </c>
      <c r="AF139" t="inlineStr">
        <is>
          <t>2025-04-22</t>
        </is>
      </c>
      <c r="AG139" t="n">
        <v>442.969</v>
      </c>
      <c r="AH139" t="n">
        <v>-0.0006108604790666978</v>
      </c>
      <c r="AI139" t="inlineStr">
        <is>
          <t>FLAT</t>
        </is>
      </c>
      <c r="AJ139" t="inlineStr">
        <is>
          <t>NO</t>
        </is>
      </c>
      <c r="AK139" t="n">
        <v>-0.001611</v>
      </c>
      <c r="AL139">
        <f>IF($A139="","",IFERROR(INDEX(Company_List!$G$3:$G$207,MATCH($A139,Company_List!$A$3:$A$207,0)),"unassigned"))</f>
        <v/>
      </c>
      <c r="AM139"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O139" t="inlineStr">
        <is>
          <t>whole bundle (Document = All)</t>
        </is>
      </c>
      <c r="AP139">
        <f>IF($A139="","",IF(COUNTIFS(LLM_Data_Entry!$A$3:$A$548,$A139)&gt;0,"YES","NO"))</f>
        <v/>
      </c>
      <c r="AQ139">
        <f>IF($A139="","",IF(COUNTIFS($A$3:$A139,$A139,$C$3:$C139,$C139,$D$3:$D139,$D139)=1,"YES","NO"))</f>
        <v/>
      </c>
      <c r="AR139">
        <f>IF($A139="","",IF(AND($C139&amp;"-"&amp;$D139&gt;=Settings!$B$19,$C139&amp;"-"&amp;$D139&lt;=Settings!$B$20),"IN","OUT"))</f>
        <v/>
      </c>
      <c r="AS139">
        <f>IF($A139="","",IF($F139="Financial Results","financials",IF($F139="Outlook/Guidance","guidance",IF($F139="Transcript Q&amp;A","qanda",IF($F139="","unrecorded",IF($E139="All","full",IF($E139="","unrecorded",LOWER($E139)&amp;" only")))))))</f>
        <v/>
      </c>
      <c r="AT139">
        <f>IF(AND(OR($J139="BUY",$J139="SELL"),ISNUMBER($U139)),$U139,"")</f>
        <v/>
      </c>
      <c r="AU139">
        <f>IF(AND(OR($J139="BUY",$J139="SELL"),ISNUMBER($AK139)),$AK139,"")</f>
        <v/>
      </c>
      <c r="AV139">
        <f>IF(ISNUMBER($AT139),ABS(IF(ISNUMBER($I139),$I139,0)-Settings!$B$24),"")</f>
        <v/>
      </c>
      <c r="AW139">
        <f>IF(ISNUMBER($AV139),$AV139*$AT139,"")</f>
        <v/>
      </c>
      <c r="AX139">
        <f>IF(ISNUMBER($AU139),ABS(IF(ISNUMBER($I139),$I139,0)-Settings!$B$24),"")</f>
        <v/>
      </c>
      <c r="AY139">
        <f>IF(ISNUMBER($AX139),$AX139*$AU139,"")</f>
        <v/>
      </c>
      <c r="AZ139">
        <f>IF($A139="","",IFERROR(INDEX(Company_List!$H$3:$H$207,MATCH($A139,Company_List!$A$3:$A$207,0)),"unassigned"))</f>
        <v/>
      </c>
      <c r="BC139">
        <f>IF($A139="","",IF(COUNTIFS($A$3:$A139,$A139,$C$3:$C139,$C139,$D$3:$D139,$D139,$G$3:$G139,$G139)=1,1,0))</f>
        <v/>
      </c>
      <c r="BG139" t="inlineStr">
        <is>
          <t>no</t>
        </is>
      </c>
      <c r="BK139">
        <f>IF(OR($H139&lt;&gt;"Human",$S139="",$J139="",$Y139="",$Z139=""),"",IF(EXACT(UPPER($J139),UPPER($Y139)),1,0))</f>
        <v/>
      </c>
      <c r="BL139" t="inlineStr">
        <is>
          <t>assumed - no rater record</t>
        </is>
      </c>
      <c r="BM139" t="n">
        <v>4</v>
      </c>
      <c r="BN139" t="inlineStr">
        <is>
          <t>not publisher-identified</t>
        </is>
      </c>
      <c r="BO139" t="inlineStr">
        <is>
          <t>not publisher-identified</t>
        </is>
      </c>
      <c r="BP139" t="inlineStr">
        <is>
          <t>no</t>
        </is>
      </c>
      <c r="BQ139" t="inlineStr">
        <is>
          <t>no</t>
        </is>
      </c>
    </row>
    <row r="140" ht="16.35" customHeight="1">
      <c r="A140" s="95" t="inlineStr">
        <is>
          <t>Lockheed Martin</t>
        </is>
      </c>
      <c r="B140" s="96">
        <f>IF(A140="","",_xlfn.XLOOKUP(A140, Company_List!$A:$A, Company_List!$B:$B, ""))</f>
        <v/>
      </c>
      <c r="C140" s="21" t="n">
        <v>2025</v>
      </c>
      <c r="D140" s="20" t="inlineStr">
        <is>
          <t>Q2</t>
        </is>
      </c>
      <c r="E140" s="19" t="inlineStr">
        <is>
          <t>All</t>
        </is>
      </c>
      <c r="F140" s="19" t="inlineStr">
        <is>
          <t>All</t>
        </is>
      </c>
      <c r="G140" s="20" t="inlineStr">
        <is>
          <t>Nigel</t>
        </is>
      </c>
      <c r="H140" s="20" t="inlineStr">
        <is>
          <t>Human</t>
        </is>
      </c>
      <c r="I140" s="127" t="n">
        <v>-0.2</v>
      </c>
      <c r="J140" s="145">
        <f>IF(OR(I140="",Settings!$B$6=""),"",IF(I140&gt;Settings!$B$6,"BUY",IF(I140&lt;-Settings!$B$6,"SELL","HOLD")))</f>
        <v/>
      </c>
      <c r="K140" s="139" t="n">
        <v>15</v>
      </c>
      <c r="L140" s="123" t="n">
        <v>45860</v>
      </c>
      <c r="M140" s="123" t="n">
        <v>45860</v>
      </c>
      <c r="N140" s="127" t="n">
        <v>410.74</v>
      </c>
      <c r="O140" s="123" t="n">
        <v>45861</v>
      </c>
      <c r="P140" s="22" t="n">
        <v>413.76</v>
      </c>
      <c r="Q140" s="148">
        <f>IF(OR(N140="",P140=""),"",ROUND((P140-N140)/N140,4))</f>
        <v/>
      </c>
      <c r="R140" s="20">
        <f>IF(OR(N140="",P140=""),"",IF(Q140&gt;Settings!$B$3/100,"UP",IF(Q140&lt;-Settings!$B$3/100,"DOWN","FLAT")))</f>
        <v/>
      </c>
      <c r="S140" s="20">
        <f>IF(OR(N140="",P140="",J140=""),"",IF(OR(AND(J140="BUY",R140="UP"),AND(J140="SELL",R140="DOWN"),AND(J140="HOLD",R140="FLAT")),"YES","NO"))</f>
        <v/>
      </c>
      <c r="T140" s="21">
        <f>IF(J140="","",IF(J140="BUY",1,IF(J140="SELL",-1,0)))</f>
        <v/>
      </c>
      <c r="U140" s="148">
        <f>IFERROR(IF(OR(J140="",N140="",P140=""),"",IF(T140=0,0,T140*Q140-Settings!$B$4/10000-IF(T140&lt;0,Settings!$B$5/10000,0))),"")</f>
        <v/>
      </c>
      <c r="V140" s="15" t="inlineStr">
        <is>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is>
      </c>
      <c r="W140" s="21">
        <f>IF($K140="","",$K140*60)</f>
        <v/>
      </c>
      <c r="X140" s="91">
        <f>IF($A140="","",$A140&amp;"|"&amp;$C140&amp;"|"&amp;$D140)</f>
        <v/>
      </c>
      <c r="Y140" s="91">
        <f>IFERROR(IF($X140="","",INDEX(LLM_Data_Entry!$H$3:$H$548,MATCH($X140,INDEX(LLM_Data_Entry!$A$3:$A$548&amp;"|"&amp;LLM_Data_Entry!$C$3:$C$548&amp;"|"&amp;LLM_Data_Entry!$D$3:$D$548,0),0))),"")</f>
        <v/>
      </c>
      <c r="Z140" s="91">
        <f>IFERROR(IF($X140="","",INDEX(LLM_Data_Entry!$R$3:$R$548,MATCH($X140,INDEX(LLM_Data_Entry!$A$3:$A$548&amp;"|"&amp;LLM_Data_Entry!$C$3:$C$548&amp;"|"&amp;LLM_Data_Entry!$D$3:$D$548,0),0))),"")</f>
        <v/>
      </c>
      <c r="AB140" t="inlineStr">
        <is>
          <t>price signal</t>
        </is>
      </c>
      <c r="AC140" t="inlineStr">
        <is>
          <t>LMT</t>
        </is>
      </c>
      <c r="AD140" t="inlineStr">
        <is>
          <t>2025-07-21</t>
        </is>
      </c>
      <c r="AE140" t="n">
        <v>448.435</v>
      </c>
      <c r="AF140" t="inlineStr">
        <is>
          <t>2025-07-22</t>
        </is>
      </c>
      <c r="AG140" t="n">
        <v>411.6473</v>
      </c>
      <c r="AH140" t="n">
        <v>-0.08203590110123288</v>
      </c>
      <c r="AI140" t="inlineStr">
        <is>
          <t>DOWN</t>
        </is>
      </c>
      <c r="AJ140" t="inlineStr">
        <is>
          <t>NO</t>
        </is>
      </c>
      <c r="AK140" t="n">
        <v>0</v>
      </c>
      <c r="AL140">
        <f>IF($A140="","",IFERROR(INDEX(Company_List!$G$3:$G$207,MATCH($A140,Company_List!$A$3:$A$207,0)),"unassigned"))</f>
        <v/>
      </c>
      <c r="AM140"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O140" t="inlineStr">
        <is>
          <t>whole bundle (Document = All)</t>
        </is>
      </c>
      <c r="AP140">
        <f>IF($A140="","",IF(COUNTIFS(LLM_Data_Entry!$A$3:$A$548,$A140)&gt;0,"YES","NO"))</f>
        <v/>
      </c>
      <c r="AQ140">
        <f>IF($A140="","",IF(COUNTIFS($A$3:$A140,$A140,$C$3:$C140,$C140,$D$3:$D140,$D140)=1,"YES","NO"))</f>
        <v/>
      </c>
      <c r="AR140">
        <f>IF($A140="","",IF(AND($C140&amp;"-"&amp;$D140&gt;=Settings!$B$19,$C140&amp;"-"&amp;$D140&lt;=Settings!$B$20),"IN","OUT"))</f>
        <v/>
      </c>
      <c r="AS140">
        <f>IF($A140="","",IF($F140="Financial Results","financials",IF($F140="Outlook/Guidance","guidance",IF($F140="Transcript Q&amp;A","qanda",IF($F140="","unrecorded",IF($E140="All","full",IF($E140="","unrecorded",LOWER($E140)&amp;" only")))))))</f>
        <v/>
      </c>
      <c r="AT140">
        <f>IF(AND(OR($J140="BUY",$J140="SELL"),ISNUMBER($U140)),$U140,"")</f>
        <v/>
      </c>
      <c r="AU140">
        <f>IF(AND(OR($J140="BUY",$J140="SELL"),ISNUMBER($AK140)),$AK140,"")</f>
        <v/>
      </c>
      <c r="AV140">
        <f>IF(ISNUMBER($AT140),ABS(IF(ISNUMBER($I140),$I140,0)-Settings!$B$24),"")</f>
        <v/>
      </c>
      <c r="AW140">
        <f>IF(ISNUMBER($AV140),$AV140*$AT140,"")</f>
        <v/>
      </c>
      <c r="AX140">
        <f>IF(ISNUMBER($AU140),ABS(IF(ISNUMBER($I140),$I140,0)-Settings!$B$24),"")</f>
        <v/>
      </c>
      <c r="AY140">
        <f>IF(ISNUMBER($AX140),$AX140*$AU140,"")</f>
        <v/>
      </c>
      <c r="AZ140">
        <f>IF($A140="","",IFERROR(INDEX(Company_List!$H$3:$H$207,MATCH($A140,Company_List!$A$3:$A$207,0)),"unassigned"))</f>
        <v/>
      </c>
      <c r="BC140">
        <f>IF($A140="","",IF(COUNTIFS($A$3:$A140,$A140,$C$3:$C140,$C140,$D$3:$D140,$D140,$G$3:$G140,$G140)=1,1,0))</f>
        <v/>
      </c>
      <c r="BG140" t="inlineStr">
        <is>
          <t>no</t>
        </is>
      </c>
      <c r="BK140">
        <f>IF(OR($H140&lt;&gt;"Human",$S140="",$J140="",$Y140="",$Z140=""),"",IF(EXACT(UPPER($J140),UPPER($Y140)),1,0))</f>
        <v/>
      </c>
      <c r="BL140" t="inlineStr">
        <is>
          <t>assumed - no rater record</t>
        </is>
      </c>
      <c r="BM140" t="n">
        <v>4</v>
      </c>
      <c r="BN140" t="inlineStr">
        <is>
          <t>not publisher-identified</t>
        </is>
      </c>
      <c r="BO140" t="inlineStr">
        <is>
          <t>not publisher-identified</t>
        </is>
      </c>
      <c r="BP140" t="inlineStr">
        <is>
          <t>no</t>
        </is>
      </c>
      <c r="BQ140" t="inlineStr">
        <is>
          <t>no</t>
        </is>
      </c>
    </row>
    <row r="141" ht="16.35" customHeight="1">
      <c r="A141" s="95" t="inlineStr">
        <is>
          <t>Lockheed Martin</t>
        </is>
      </c>
      <c r="B141" s="96">
        <f>IF(A141="","",_xlfn.XLOOKUP(A141, Company_List!$A:$A, Company_List!$B:$B, ""))</f>
        <v/>
      </c>
      <c r="C141" s="21" t="n">
        <v>2025</v>
      </c>
      <c r="D141" s="20" t="inlineStr">
        <is>
          <t>Q3</t>
        </is>
      </c>
      <c r="E141" s="19" t="inlineStr">
        <is>
          <t>All</t>
        </is>
      </c>
      <c r="F141" s="19" t="inlineStr">
        <is>
          <t>All</t>
        </is>
      </c>
      <c r="G141" s="20" t="inlineStr">
        <is>
          <t>Nigel</t>
        </is>
      </c>
      <c r="H141" s="20" t="inlineStr">
        <is>
          <t>Human</t>
        </is>
      </c>
      <c r="I141" s="127" t="n">
        <v>0.7</v>
      </c>
      <c r="J141" s="145">
        <f>IF(OR(I141="",Settings!$B$6=""),"",IF(I141&gt;Settings!$B$6,"BUY",IF(I141&lt;-Settings!$B$6,"SELL","HOLD")))</f>
        <v/>
      </c>
      <c r="K141" s="139" t="n">
        <v>15</v>
      </c>
      <c r="L141" s="123" t="n">
        <v>45951</v>
      </c>
      <c r="M141" s="123" t="n">
        <v>45951</v>
      </c>
      <c r="N141" s="127" t="n">
        <v>489.5</v>
      </c>
      <c r="O141" s="123" t="n">
        <v>45952</v>
      </c>
      <c r="P141" s="22" t="n">
        <v>491.47</v>
      </c>
      <c r="Q141" s="148">
        <f>IF(OR(N141="",P141=""),"",ROUND((P141-N141)/N141,4))</f>
        <v/>
      </c>
      <c r="R141" s="20">
        <f>IF(OR(N141="",P141=""),"",IF(Q141&gt;Settings!$B$3/100,"UP",IF(Q141&lt;-Settings!$B$3/100,"DOWN","FLAT")))</f>
        <v/>
      </c>
      <c r="S141" s="20">
        <f>IF(OR(N141="",P141="",J141=""),"",IF(OR(AND(J141="BUY",R141="UP"),AND(J141="SELL",R141="DOWN"),AND(J141="HOLD",R141="FLAT")),"YES","NO"))</f>
        <v/>
      </c>
      <c r="T141" s="21">
        <f>IF(J141="","",IF(J141="BUY",1,IF(J141="SELL",-1,0)))</f>
        <v/>
      </c>
      <c r="U141" s="148">
        <f>IFERROR(IF(OR(J141="",N141="",P141=""),"",IF(T141=0,0,T141*Q141-Settings!$B$4/10000-IF(T141&lt;0,Settings!$B$5/10000,0))),"")</f>
        <v/>
      </c>
      <c r="V141" s="15" t="inlineStr">
        <is>
          <t>Sales, EPS and FCF all up; record backlog on major contract wins; all four segments improved; unprecedented demand from US and allies driving capacity expansion; confidence in supply chain. 2025 outlook raised, confident tone.</t>
        </is>
      </c>
      <c r="W141" s="21">
        <f>IF($K141="","",$K141*60)</f>
        <v/>
      </c>
      <c r="X141" s="91">
        <f>IF($A141="","",$A141&amp;"|"&amp;$C141&amp;"|"&amp;$D141)</f>
        <v/>
      </c>
      <c r="Y141" s="91">
        <f>IFERROR(IF($X141="","",INDEX(LLM_Data_Entry!$H$3:$H$548,MATCH($X141,INDEX(LLM_Data_Entry!$A$3:$A$548&amp;"|"&amp;LLM_Data_Entry!$C$3:$C$548&amp;"|"&amp;LLM_Data_Entry!$D$3:$D$548,0),0))),"")</f>
        <v/>
      </c>
      <c r="Z141" s="91">
        <f>IFERROR(IF($X141="","",INDEX(LLM_Data_Entry!$R$3:$R$548,MATCH($X141,INDEX(LLM_Data_Entry!$A$3:$A$548&amp;"|"&amp;LLM_Data_Entry!$C$3:$C$548&amp;"|"&amp;LLM_Data_Entry!$D$3:$D$548,0),0))),"")</f>
        <v/>
      </c>
      <c r="AB141" t="inlineStr">
        <is>
          <t>price signal</t>
        </is>
      </c>
      <c r="AC141" t="inlineStr">
        <is>
          <t>LMT</t>
        </is>
      </c>
      <c r="AD141" t="inlineStr">
        <is>
          <t>2025-10-20</t>
        </is>
      </c>
      <c r="AE141" t="n">
        <v>496.2074</v>
      </c>
      <c r="AF141" t="inlineStr">
        <is>
          <t>2025-10-21</t>
        </is>
      </c>
      <c r="AG141" t="n">
        <v>473.4617</v>
      </c>
      <c r="AH141" t="n">
        <v>-0.0458391078337796</v>
      </c>
      <c r="AI141" t="inlineStr">
        <is>
          <t>DOWN</t>
        </is>
      </c>
      <c r="AJ141" t="inlineStr">
        <is>
          <t>NO</t>
        </is>
      </c>
      <c r="AK141" t="n">
        <v>-0.046839</v>
      </c>
      <c r="AL141">
        <f>IF($A141="","",IFERROR(INDEX(Company_List!$G$3:$G$207,MATCH($A141,Company_List!$A$3:$A$207,0)),"unassigned"))</f>
        <v/>
      </c>
      <c r="AM141"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O141" t="inlineStr">
        <is>
          <t>whole bundle (Document = All)</t>
        </is>
      </c>
      <c r="AP141">
        <f>IF($A141="","",IF(COUNTIFS(LLM_Data_Entry!$A$3:$A$548,$A141)&gt;0,"YES","NO"))</f>
        <v/>
      </c>
      <c r="AQ141">
        <f>IF($A141="","",IF(COUNTIFS($A$3:$A141,$A141,$C$3:$C141,$C141,$D$3:$D141,$D141)=1,"YES","NO"))</f>
        <v/>
      </c>
      <c r="AR141">
        <f>IF($A141="","",IF(AND($C141&amp;"-"&amp;$D141&gt;=Settings!$B$19,$C141&amp;"-"&amp;$D141&lt;=Settings!$B$20),"IN","OUT"))</f>
        <v/>
      </c>
      <c r="AS141">
        <f>IF($A141="","",IF($F141="Financial Results","financials",IF($F141="Outlook/Guidance","guidance",IF($F141="Transcript Q&amp;A","qanda",IF($F141="","unrecorded",IF($E141="All","full",IF($E141="","unrecorded",LOWER($E141)&amp;" only")))))))</f>
        <v/>
      </c>
      <c r="AT141">
        <f>IF(AND(OR($J141="BUY",$J141="SELL"),ISNUMBER($U141)),$U141,"")</f>
        <v/>
      </c>
      <c r="AU141">
        <f>IF(AND(OR($J141="BUY",$J141="SELL"),ISNUMBER($AK141)),$AK141,"")</f>
        <v/>
      </c>
      <c r="AV141">
        <f>IF(ISNUMBER($AT141),ABS(IF(ISNUMBER($I141),$I141,0)-Settings!$B$24),"")</f>
        <v/>
      </c>
      <c r="AW141">
        <f>IF(ISNUMBER($AV141),$AV141*$AT141,"")</f>
        <v/>
      </c>
      <c r="AX141">
        <f>IF(ISNUMBER($AU141),ABS(IF(ISNUMBER($I141),$I141,0)-Settings!$B$24),"")</f>
        <v/>
      </c>
      <c r="AY141">
        <f>IF(ISNUMBER($AX141),$AX141*$AU141,"")</f>
        <v/>
      </c>
      <c r="AZ141">
        <f>IF($A141="","",IFERROR(INDEX(Company_List!$H$3:$H$207,MATCH($A141,Company_List!$A$3:$A$207,0)),"unassigned"))</f>
        <v/>
      </c>
      <c r="BC141">
        <f>IF($A141="","",IF(COUNTIFS($A$3:$A141,$A141,$C$3:$C141,$C141,$D$3:$D141,$D141,$G$3:$G141,$G141)=1,1,0))</f>
        <v/>
      </c>
      <c r="BG141" t="inlineStr">
        <is>
          <t>no</t>
        </is>
      </c>
      <c r="BK141">
        <f>IF(OR($H141&lt;&gt;"Human",$S141="",$J141="",$Y141="",$Z141=""),"",IF(EXACT(UPPER($J141),UPPER($Y141)),1,0))</f>
        <v/>
      </c>
      <c r="BL141" t="inlineStr">
        <is>
          <t>assumed - no rater record</t>
        </is>
      </c>
      <c r="BM141" t="n">
        <v>5</v>
      </c>
      <c r="BN141" t="inlineStr">
        <is>
          <t>not publisher-identified</t>
        </is>
      </c>
      <c r="BO141" t="inlineStr">
        <is>
          <t>not publisher-identified</t>
        </is>
      </c>
      <c r="BP141" t="inlineStr">
        <is>
          <t>no</t>
        </is>
      </c>
      <c r="BQ141" t="inlineStr">
        <is>
          <t>no</t>
        </is>
      </c>
    </row>
    <row r="142" ht="16.35" customHeight="1">
      <c r="A142" s="95" t="inlineStr">
        <is>
          <t>Lockheed Martin</t>
        </is>
      </c>
      <c r="B142" s="96">
        <f>IF(A142="","",_xlfn.XLOOKUP(A142, Company_List!$A:$A, Company_List!$B:$B, ""))</f>
        <v/>
      </c>
      <c r="C142" s="21" t="n">
        <v>2025</v>
      </c>
      <c r="D142" s="20" t="inlineStr">
        <is>
          <t>Q4</t>
        </is>
      </c>
      <c r="E142" s="19" t="inlineStr">
        <is>
          <t>All</t>
        </is>
      </c>
      <c r="F142" s="19" t="inlineStr">
        <is>
          <t>All</t>
        </is>
      </c>
      <c r="G142" s="20" t="inlineStr">
        <is>
          <t>Nigel</t>
        </is>
      </c>
      <c r="H142" s="20" t="inlineStr">
        <is>
          <t>Human</t>
        </is>
      </c>
      <c r="I142" s="127" t="n">
        <v>0.6</v>
      </c>
      <c r="J142" s="145">
        <f>IF(OR(I142="",Settings!$B$6=""),"",IF(I142&gt;Settings!$B$6,"BUY",IF(I142&lt;-Settings!$B$6,"SELL","HOLD")))</f>
        <v/>
      </c>
      <c r="K142" s="139" t="n">
        <v>18</v>
      </c>
      <c r="L142" s="123" t="n">
        <v>46051</v>
      </c>
      <c r="M142" s="123" t="n">
        <v>46051</v>
      </c>
      <c r="N142" s="127" t="n">
        <v>622.51</v>
      </c>
      <c r="O142" s="123" t="n">
        <v>46052</v>
      </c>
      <c r="P142" s="22" t="n">
        <v>621</v>
      </c>
      <c r="Q142" s="148">
        <f>IF(OR(N142="",P142=""),"",ROUND((P142-N142)/N142,4))</f>
        <v/>
      </c>
      <c r="R142" s="20">
        <f>IF(OR(N142="",P142=""),"",IF(Q142&gt;Settings!$B$3/100,"UP",IF(Q142&lt;-Settings!$B$3/100,"DOWN","FLAT")))</f>
        <v/>
      </c>
      <c r="S142" s="20">
        <f>IF(OR(N142="",P142="",J142=""),"",IF(OR(AND(J142="BUY",R142="UP"),AND(J142="SELL",R142="DOWN"),AND(J142="HOLD",R142="FLAT")),"YES","NO"))</f>
        <v/>
      </c>
      <c r="T142" s="21">
        <f>IF(J142="","",IF(J142="BUY",1,IF(J142="SELL",-1,0)))</f>
        <v/>
      </c>
      <c r="U142" s="148">
        <f>IFERROR(IF(OR(J142="",N142="",P142=""),"",IF(T142=0,0,T142*Q142-Settings!$B$4/10000-IF(T142&lt;0,Settings!$B$5/10000,0))),"")</f>
        <v/>
      </c>
      <c r="V142" s="15" t="inlineStr">
        <is>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is>
      </c>
      <c r="W142" s="21">
        <f>IF($K142="","",$K142*60)</f>
        <v/>
      </c>
      <c r="X142" s="91">
        <f>IF($A142="","",$A142&amp;"|"&amp;$C142&amp;"|"&amp;$D142)</f>
        <v/>
      </c>
      <c r="Y142" s="91">
        <f>IFERROR(IF($X142="","",INDEX(LLM_Data_Entry!$H$3:$H$548,MATCH($X142,INDEX(LLM_Data_Entry!$A$3:$A$548&amp;"|"&amp;LLM_Data_Entry!$C$3:$C$548&amp;"|"&amp;LLM_Data_Entry!$D$3:$D$548,0),0))),"")</f>
        <v/>
      </c>
      <c r="Z142" s="91">
        <f>IFERROR(IF($X142="","",INDEX(LLM_Data_Entry!$R$3:$R$548,MATCH($X142,INDEX(LLM_Data_Entry!$A$3:$A$548&amp;"|"&amp;LLM_Data_Entry!$C$3:$C$548&amp;"|"&amp;LLM_Data_Entry!$D$3:$D$548,0),0))),"")</f>
        <v/>
      </c>
      <c r="AB142" t="inlineStr">
        <is>
          <t>release date + stated time</t>
        </is>
      </c>
      <c r="AC142" t="inlineStr">
        <is>
          <t>LMT</t>
        </is>
      </c>
      <c r="AD142" t="inlineStr">
        <is>
          <t>2026-01-28</t>
        </is>
      </c>
      <c r="AE142" t="n">
        <v>590.2745</v>
      </c>
      <c r="AF142" t="inlineStr">
        <is>
          <t>2026-01-29</t>
        </is>
      </c>
      <c r="AG142" t="n">
        <v>602.1043</v>
      </c>
      <c r="AH142" t="n">
        <v>0.02004118399790735</v>
      </c>
      <c r="AI142" t="inlineStr">
        <is>
          <t>UP</t>
        </is>
      </c>
      <c r="AJ142" t="inlineStr">
        <is>
          <t>YES</t>
        </is>
      </c>
      <c r="AK142" t="n">
        <v>0.019041</v>
      </c>
      <c r="AL142">
        <f>IF($A142="","",IFERROR(INDEX(Company_List!$G$3:$G$207,MATCH($A142,Company_List!$A$3:$A$207,0)),"unassigned"))</f>
        <v/>
      </c>
      <c r="AM142"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O142" t="inlineStr">
        <is>
          <t>whole bundle (Document = All)</t>
        </is>
      </c>
      <c r="AP142">
        <f>IF($A142="","",IF(COUNTIFS(LLM_Data_Entry!$A$3:$A$548,$A142)&gt;0,"YES","NO"))</f>
        <v/>
      </c>
      <c r="AQ142">
        <f>IF($A142="","",IF(COUNTIFS($A$3:$A142,$A142,$C$3:$C142,$C142,$D$3:$D142,$D142)=1,"YES","NO"))</f>
        <v/>
      </c>
      <c r="AR142">
        <f>IF($A142="","",IF(AND($C142&amp;"-"&amp;$D142&gt;=Settings!$B$19,$C142&amp;"-"&amp;$D142&lt;=Settings!$B$20),"IN","OUT"))</f>
        <v/>
      </c>
      <c r="AS142">
        <f>IF($A142="","",IF($F142="Financial Results","financials",IF($F142="Outlook/Guidance","guidance",IF($F142="Transcript Q&amp;A","qanda",IF($F142="","unrecorded",IF($E142="All","full",IF($E142="","unrecorded",LOWER($E142)&amp;" only")))))))</f>
        <v/>
      </c>
      <c r="AT142">
        <f>IF(AND(OR($J142="BUY",$J142="SELL"),ISNUMBER($U142)),$U142,"")</f>
        <v/>
      </c>
      <c r="AU142">
        <f>IF(AND(OR($J142="BUY",$J142="SELL"),ISNUMBER($AK142)),$AK142,"")</f>
        <v/>
      </c>
      <c r="AV142">
        <f>IF(ISNUMBER($AT142),ABS(IF(ISNUMBER($I142),$I142,0)-Settings!$B$24),"")</f>
        <v/>
      </c>
      <c r="AW142">
        <f>IF(ISNUMBER($AV142),$AV142*$AT142,"")</f>
        <v/>
      </c>
      <c r="AX142">
        <f>IF(ISNUMBER($AU142),ABS(IF(ISNUMBER($I142),$I142,0)-Settings!$B$24),"")</f>
        <v/>
      </c>
      <c r="AY142">
        <f>IF(ISNUMBER($AX142),$AX142*$AU142,"")</f>
        <v/>
      </c>
      <c r="AZ142">
        <f>IF($A142="","",IFERROR(INDEX(Company_List!$H$3:$H$207,MATCH($A142,Company_List!$A$3:$A$207,0)),"unassigned"))</f>
        <v/>
      </c>
      <c r="BC142">
        <f>IF($A142="","",IF(COUNTIFS($A$3:$A142,$A142,$C$3:$C142,$C142,$D$3:$D142,$D142,$G$3:$G142,$G142)=1,1,0))</f>
        <v/>
      </c>
      <c r="BG142" t="inlineStr">
        <is>
          <t>no</t>
        </is>
      </c>
      <c r="BK142">
        <f>IF(OR($H142&lt;&gt;"Human",$S142="",$J142="",$Y142="",$Z142=""),"",IF(EXACT(UPPER($J142),UPPER($Y142)),1,0))</f>
        <v/>
      </c>
      <c r="BL142" t="inlineStr">
        <is>
          <t>assumed - no rater record</t>
        </is>
      </c>
      <c r="BM142" t="n">
        <v>5</v>
      </c>
      <c r="BN142" t="inlineStr">
        <is>
          <t>not publisher-identified</t>
        </is>
      </c>
      <c r="BO142" t="inlineStr">
        <is>
          <t>not publisher-identified</t>
        </is>
      </c>
      <c r="BP142" t="inlineStr">
        <is>
          <t>no</t>
        </is>
      </c>
      <c r="BQ142" t="inlineStr">
        <is>
          <t>no</t>
        </is>
      </c>
    </row>
    <row r="143" ht="16.35" customHeight="1">
      <c r="A143" s="95" t="inlineStr">
        <is>
          <t>LVMH</t>
        </is>
      </c>
      <c r="B143" s="96">
        <f>IF(A143="","",_xlfn.XLOOKUP(A143, Company_List!$A:$A, Company_List!$B:$B, ""))</f>
        <v/>
      </c>
      <c r="C143" s="21" t="n">
        <v>2025</v>
      </c>
      <c r="D143" s="20" t="inlineStr">
        <is>
          <t>Q2</t>
        </is>
      </c>
      <c r="E143" s="19" t="inlineStr">
        <is>
          <t>All</t>
        </is>
      </c>
      <c r="F143" s="19" t="inlineStr">
        <is>
          <t>All</t>
        </is>
      </c>
      <c r="G143" s="20" t="inlineStr">
        <is>
          <t>Nigel</t>
        </is>
      </c>
      <c r="H143" s="20" t="inlineStr">
        <is>
          <t>Human</t>
        </is>
      </c>
      <c r="I143" s="127" t="n">
        <v>-0.4</v>
      </c>
      <c r="J143" s="145">
        <f>IF(OR(I143="",Settings!$B$6=""),"",IF(I143&gt;Settings!$B$6,"BUY",IF(I143&lt;-Settings!$B$6,"SELL","HOLD")))</f>
        <v/>
      </c>
      <c r="K143" s="139" t="n">
        <v>20</v>
      </c>
      <c r="L143" s="123" t="n">
        <v>45862</v>
      </c>
      <c r="M143" s="123" t="n">
        <v>45862</v>
      </c>
      <c r="N143" s="127" t="n">
        <v>470.25</v>
      </c>
      <c r="O143" s="123" t="n">
        <v>45863</v>
      </c>
      <c r="P143" s="22" t="n">
        <v>464.95</v>
      </c>
      <c r="Q143" s="148">
        <f>IF(OR(N143="",P143=""),"",ROUND((P143-N143)/N143,4))</f>
        <v/>
      </c>
      <c r="R143" s="20">
        <f>IF(OR(N143="",P143=""),"",IF(Q143&gt;Settings!$B$3/100,"UP",IF(Q143&lt;-Settings!$B$3/100,"DOWN","FLAT")))</f>
        <v/>
      </c>
      <c r="S143" s="20">
        <f>IF(OR(N143="",P143="",J143=""),"",IF(OR(AND(J143="BUY",R143="UP"),AND(J143="SELL",R143="DOWN"),AND(J143="HOLD",R143="FLAT")),"YES","NO"))</f>
        <v/>
      </c>
      <c r="T143" s="21">
        <f>IF(J143="","",IF(J143="BUY",1,IF(J143="SELL",-1,0)))</f>
        <v/>
      </c>
      <c r="U143" s="148">
        <f>IFERROR(IF(OR(J143="",N143="",P143=""),"",IF(T143=0,0,T143*Q143-Settings!$B$4/10000-IF(T143&lt;0,Settings!$B$5/10000,0))),"")</f>
        <v/>
      </c>
      <c r="V143" t="inlineStr">
        <is>
          <t>Revenue, profit and EPS down across all business groups; net debt up; FCF up; FX drag; Wines &amp; Spirits hit by US-China trade tensions; F&amp;LG margins above average; Sephora slowing in North America and China. No guidance, confident tone.</t>
        </is>
      </c>
      <c r="W143" s="21">
        <f>IF($K143="","",$K143*60)</f>
        <v/>
      </c>
      <c r="X143" s="91">
        <f>IF($A143="","",$A143&amp;"|"&amp;$C143&amp;"|"&amp;$D143)</f>
        <v/>
      </c>
      <c r="Y143" s="91">
        <f>IFERROR(IF($X143="","",INDEX(LLM_Data_Entry!$H$3:$H$548,MATCH($X143,INDEX(LLM_Data_Entry!$A$3:$A$548&amp;"|"&amp;LLM_Data_Entry!$C$3:$C$548&amp;"|"&amp;LLM_Data_Entry!$D$3:$D$548,0),0))),"")</f>
        <v/>
      </c>
      <c r="Z143" s="91">
        <f>IFERROR(IF($X143="","",INDEX(LLM_Data_Entry!$R$3:$R$548,MATCH($X143,INDEX(LLM_Data_Entry!$A$3:$A$548&amp;"|"&amp;LLM_Data_Entry!$C$3:$C$548&amp;"|"&amp;LLM_Data_Entry!$D$3:$D$548,0),0))),"")</f>
        <v/>
      </c>
      <c r="AB143" t="inlineStr">
        <is>
          <t>release time published by the issuer</t>
        </is>
      </c>
      <c r="AC143" t="inlineStr">
        <is>
          <t>MC.PA</t>
        </is>
      </c>
      <c r="AD143" t="inlineStr">
        <is>
          <t>2025-07-24</t>
        </is>
      </c>
      <c r="AE143" t="n">
        <v>458.7454</v>
      </c>
      <c r="AF143" t="inlineStr">
        <is>
          <t>2025-07-25</t>
        </is>
      </c>
      <c r="AG143" t="n">
        <v>453.5751</v>
      </c>
      <c r="AH143" t="n">
        <v>-0.01127059128188342</v>
      </c>
      <c r="AI143" t="inlineStr">
        <is>
          <t>FLAT</t>
        </is>
      </c>
      <c r="AJ143" t="inlineStr">
        <is>
          <t>NO</t>
        </is>
      </c>
      <c r="AK143" t="n">
        <v>0.010271</v>
      </c>
      <c r="AL143">
        <f>IF($A143="","",IFERROR(INDEX(Company_List!$G$3:$G$207,MATCH($A143,Company_List!$A$3:$A$207,0)),"unassigned"))</f>
        <v/>
      </c>
      <c r="AM143" t="inlineStr">
        <is>
          <t>Phase 2/LVMH/2025-Q2/MC.PA-2025-Q2-results-LVMH-IR.pdf</t>
        </is>
      </c>
      <c r="AO143" t="inlineStr">
        <is>
          <t>manifest</t>
        </is>
      </c>
      <c r="AP143">
        <f>IF($A143="","",IF(COUNTIFS(LLM_Data_Entry!$A$3:$A$548,$A143)&gt;0,"YES","NO"))</f>
        <v/>
      </c>
      <c r="AQ143">
        <f>IF($A143="","",IF(COUNTIFS($A$3:$A143,$A143,$C$3:$C143,$C143,$D$3:$D143,$D143)=1,"YES","NO"))</f>
        <v/>
      </c>
      <c r="AR143">
        <f>IF($A143="","",IF(AND($C143&amp;"-"&amp;$D143&gt;=Settings!$B$19,$C143&amp;"-"&amp;$D143&lt;=Settings!$B$20),"IN","OUT"))</f>
        <v/>
      </c>
      <c r="AS143">
        <f>IF($A143="","",IF($F143="Financial Results","financials",IF($F143="Outlook/Guidance","guidance",IF($F143="Transcript Q&amp;A","qanda",IF($F143="","unrecorded",IF($E143="All","full",IF($E143="","unrecorded",LOWER($E143)&amp;" only")))))))</f>
        <v/>
      </c>
      <c r="AT143">
        <f>IF(AND(OR($J143="BUY",$J143="SELL"),ISNUMBER($U143)),$U143,"")</f>
        <v/>
      </c>
      <c r="AU143">
        <f>IF(AND(OR($J143="BUY",$J143="SELL"),ISNUMBER($AK143)),$AK143,"")</f>
        <v/>
      </c>
      <c r="AV143">
        <f>IF(ISNUMBER($AT143),ABS(IF(ISNUMBER($I143),$I143,0)-Settings!$B$24),"")</f>
        <v/>
      </c>
      <c r="AW143">
        <f>IF(ISNUMBER($AV143),$AV143*$AT143,"")</f>
        <v/>
      </c>
      <c r="AX143">
        <f>IF(ISNUMBER($AU143),ABS(IF(ISNUMBER($I143),$I143,0)-Settings!$B$24),"")</f>
        <v/>
      </c>
      <c r="AY143">
        <f>IF(ISNUMBER($AX143),$AX143*$AU143,"")</f>
        <v/>
      </c>
      <c r="AZ143">
        <f>IF($A143="","",IFERROR(INDEX(Company_List!$H$3:$H$207,MATCH($A143,Company_List!$A$3:$A$207,0)),"unassigned"))</f>
        <v/>
      </c>
      <c r="BC143">
        <f>IF($A143="","",IF(COUNTIFS($A$3:$A143,$A143,$C$3:$C143,$C143,$D$3:$D143,$D143,$G$3:$G143,$G143)=1,1,0))</f>
        <v/>
      </c>
      <c r="BG143" t="inlineStr">
        <is>
          <t>no</t>
        </is>
      </c>
      <c r="BK143">
        <f>IF(OR($H143&lt;&gt;"Human",$S143="",$J143="",$Y143="",$Z143=""),"",IF(EXACT(UPPER($J143),UPPER($Y143)),1,0))</f>
        <v/>
      </c>
      <c r="BL143" t="inlineStr">
        <is>
          <t>assumed - no rater record</t>
        </is>
      </c>
      <c r="BM143" t="n">
        <v>1</v>
      </c>
      <c r="BN143" t="inlineStr">
        <is>
          <t>not publisher-identified</t>
        </is>
      </c>
      <c r="BO143" t="inlineStr">
        <is>
          <t>not publisher-identified</t>
        </is>
      </c>
      <c r="BP143" t="inlineStr">
        <is>
          <t>no</t>
        </is>
      </c>
      <c r="BQ143" t="inlineStr">
        <is>
          <t>yes</t>
        </is>
      </c>
    </row>
    <row r="144" ht="16.35" customHeight="1">
      <c r="A144" s="95" t="inlineStr">
        <is>
          <t>LVMH</t>
        </is>
      </c>
      <c r="B144" s="96">
        <f>IF(A144="","",_xlfn.XLOOKUP(A144, Company_List!$A:$A, Company_List!$B:$B, ""))</f>
        <v/>
      </c>
      <c r="C144" s="21" t="n">
        <v>2025</v>
      </c>
      <c r="D144" s="20" t="inlineStr">
        <is>
          <t>Q4</t>
        </is>
      </c>
      <c r="E144" s="19" t="inlineStr">
        <is>
          <t>All</t>
        </is>
      </c>
      <c r="F144" s="19" t="inlineStr">
        <is>
          <t>All</t>
        </is>
      </c>
      <c r="G144" s="20" t="inlineStr">
        <is>
          <t>Nigel</t>
        </is>
      </c>
      <c r="H144" s="20" t="inlineStr">
        <is>
          <t>Human</t>
        </is>
      </c>
      <c r="I144" s="127" t="n">
        <v>-0.4</v>
      </c>
      <c r="J144" s="145">
        <f>IF(OR(I144="",Settings!$B$6=""),"",IF(I144&gt;Settings!$B$6,"BUY",IF(I144&lt;-Settings!$B$6,"SELL","HOLD")))</f>
        <v/>
      </c>
      <c r="K144" s="139" t="n">
        <v>15</v>
      </c>
      <c r="L144" s="123" t="n">
        <v>46049</v>
      </c>
      <c r="M144" s="123" t="n">
        <v>46049</v>
      </c>
      <c r="N144" s="127" t="n">
        <v>589.3</v>
      </c>
      <c r="O144" s="123" t="n">
        <v>46050</v>
      </c>
      <c r="P144" s="22" t="n">
        <v>556</v>
      </c>
      <c r="Q144" s="148">
        <f>IF(OR(N144="",P144=""),"",ROUND((P144-N144)/N144,4))</f>
        <v/>
      </c>
      <c r="R144" s="20">
        <f>IF(OR(N144="",P144=""),"",IF(Q144&gt;Settings!$B$3/100,"UP",IF(Q144&lt;-Settings!$B$3/100,"DOWN","FLAT")))</f>
        <v/>
      </c>
      <c r="S144" s="20">
        <f>IF(OR(N144="",P144="",J144=""),"",IF(OR(AND(J144="BUY",R144="UP"),AND(J144="SELL",R144="DOWN"),AND(J144="HOLD",R144="FLAT")),"YES","NO"))</f>
        <v/>
      </c>
      <c r="T144" s="21">
        <f>IF(J144="","",IF(J144="BUY",1,IF(J144="SELL",-1,0)))</f>
        <v/>
      </c>
      <c r="U144" s="148">
        <f>IFERROR(IF(OR(J144="",N144="",P144=""),"",IF(T144=0,0,T144*Q144-Settings!$B$4/10000-IF(T144&lt;0,Settings!$B$5/10000,0))),"")</f>
        <v/>
      </c>
      <c r="V144" s="15" t="inlineStr">
        <is>
          <t>Revenue, profit and EPS down on FX; FCF up; debt down; trends improved across all groups; F&amp;LG resilient on Japan tourism; Wines &amp; Spirits slowing; Asia down 2 points; margin above average. No guidance.</t>
        </is>
      </c>
      <c r="W144" s="21">
        <f>IF($K144="","",$K144*60)</f>
        <v/>
      </c>
      <c r="X144" s="91">
        <f>IF($A144="","",$A144&amp;"|"&amp;$C144&amp;"|"&amp;$D144)</f>
        <v/>
      </c>
      <c r="Y144" s="91">
        <f>IFERROR(IF($X144="","",INDEX(LLM_Data_Entry!$H$3:$H$548,MATCH($X144,INDEX(LLM_Data_Entry!$A$3:$A$548&amp;"|"&amp;LLM_Data_Entry!$C$3:$C$548&amp;"|"&amp;LLM_Data_Entry!$D$3:$D$548,0),0))),"")</f>
        <v/>
      </c>
      <c r="Z144" s="91">
        <f>IFERROR(IF($X144="","",INDEX(LLM_Data_Entry!$R$3:$R$548,MATCH($X144,INDEX(LLM_Data_Entry!$A$3:$A$548&amp;"|"&amp;LLM_Data_Entry!$C$3:$C$548&amp;"|"&amp;LLM_Data_Entry!$D$3:$D$548,0),0))),"")</f>
        <v/>
      </c>
      <c r="AB144" t="inlineStr">
        <is>
          <t>price signal — only this window shows an abnormal move</t>
        </is>
      </c>
      <c r="AC144" t="inlineStr">
        <is>
          <t>MC.PA</t>
        </is>
      </c>
      <c r="AD144" t="inlineStr">
        <is>
          <t>2026-01-27</t>
        </is>
      </c>
      <c r="AE144" t="n">
        <v>579.845</v>
      </c>
      <c r="AF144" t="inlineStr">
        <is>
          <t>2026-01-28</t>
        </is>
      </c>
      <c r="AG144" t="n">
        <v>547.0793</v>
      </c>
      <c r="AH144" t="n">
        <v>-0.05650765892918979</v>
      </c>
      <c r="AI144" t="inlineStr">
        <is>
          <t>DOWN</t>
        </is>
      </c>
      <c r="AJ144" t="inlineStr">
        <is>
          <t>YES</t>
        </is>
      </c>
      <c r="AK144" t="n">
        <v>0.055508</v>
      </c>
      <c r="AL144">
        <f>IF($A144="","",IFERROR(INDEX(Company_List!$G$3:$G$207,MATCH($A144,Company_List!$A$3:$A$207,0)),"unassigned"))</f>
        <v/>
      </c>
      <c r="AM144" t="inlineStr">
        <is>
          <t>Phase 2/LVMH/2025-Q4/MC.PA-2025-Q4-results-LVMH-IR.pdf</t>
        </is>
      </c>
      <c r="AO144" t="inlineStr">
        <is>
          <t>manifest</t>
        </is>
      </c>
      <c r="AP144">
        <f>IF($A144="","",IF(COUNTIFS(LLM_Data_Entry!$A$3:$A$548,$A144)&gt;0,"YES","NO"))</f>
        <v/>
      </c>
      <c r="AQ144">
        <f>IF($A144="","",IF(COUNTIFS($A$3:$A144,$A144,$C$3:$C144,$C144,$D$3:$D144,$D144)=1,"YES","NO"))</f>
        <v/>
      </c>
      <c r="AR144">
        <f>IF($A144="","",IF(AND($C144&amp;"-"&amp;$D144&gt;=Settings!$B$19,$C144&amp;"-"&amp;$D144&lt;=Settings!$B$20),"IN","OUT"))</f>
        <v/>
      </c>
      <c r="AS144">
        <f>IF($A144="","",IF($F144="Financial Results","financials",IF($F144="Outlook/Guidance","guidance",IF($F144="Transcript Q&amp;A","qanda",IF($F144="","unrecorded",IF($E144="All","full",IF($E144="","unrecorded",LOWER($E144)&amp;" only")))))))</f>
        <v/>
      </c>
      <c r="AT144">
        <f>IF(AND(OR($J144="BUY",$J144="SELL"),ISNUMBER($U144)),$U144,"")</f>
        <v/>
      </c>
      <c r="AU144">
        <f>IF(AND(OR($J144="BUY",$J144="SELL"),ISNUMBER($AK144)),$AK144,"")</f>
        <v/>
      </c>
      <c r="AV144">
        <f>IF(ISNUMBER($AT144),ABS(IF(ISNUMBER($I144),$I144,0)-Settings!$B$24),"")</f>
        <v/>
      </c>
      <c r="AW144">
        <f>IF(ISNUMBER($AV144),$AV144*$AT144,"")</f>
        <v/>
      </c>
      <c r="AX144">
        <f>IF(ISNUMBER($AU144),ABS(IF(ISNUMBER($I144),$I144,0)-Settings!$B$24),"")</f>
        <v/>
      </c>
      <c r="AY144">
        <f>IF(ISNUMBER($AX144),$AX144*$AU144,"")</f>
        <v/>
      </c>
      <c r="AZ144">
        <f>IF($A144="","",IFERROR(INDEX(Company_List!$H$3:$H$207,MATCH($A144,Company_List!$A$3:$A$207,0)),"unassigned"))</f>
        <v/>
      </c>
      <c r="BC144">
        <f>IF($A144="","",IF(COUNTIFS($A$3:$A144,$A144,$C$3:$C144,$C144,$D$3:$D144,$D144,$G$3:$G144,$G144)=1,1,0))</f>
        <v/>
      </c>
      <c r="BG144" t="inlineStr">
        <is>
          <t>no</t>
        </is>
      </c>
      <c r="BK144">
        <f>IF(OR($H144&lt;&gt;"Human",$S144="",$J144="",$Y144="",$Z144=""),"",IF(EXACT(UPPER($J144),UPPER($Y144)),1,0))</f>
        <v/>
      </c>
      <c r="BL144" t="inlineStr">
        <is>
          <t>assumed - no rater record</t>
        </is>
      </c>
      <c r="BM144" t="n">
        <v>1</v>
      </c>
      <c r="BN144" t="inlineStr">
        <is>
          <t>not publisher-identified</t>
        </is>
      </c>
      <c r="BO144" t="inlineStr">
        <is>
          <t>not publisher-identified</t>
        </is>
      </c>
      <c r="BP144" t="inlineStr">
        <is>
          <t>no</t>
        </is>
      </c>
      <c r="BQ144" t="inlineStr">
        <is>
          <t>yes</t>
        </is>
      </c>
    </row>
    <row r="145" ht="16.35" customHeight="1">
      <c r="A145" s="95" t="inlineStr">
        <is>
          <t>CVS Health</t>
        </is>
      </c>
      <c r="B145" s="96">
        <f>IF(A145="","",_xlfn.XLOOKUP(A145, Company_List!$A:$A, Company_List!$B:$B, ""))</f>
        <v/>
      </c>
      <c r="C145" s="21" t="n">
        <v>2025</v>
      </c>
      <c r="D145" s="20" t="inlineStr">
        <is>
          <t>Q2</t>
        </is>
      </c>
      <c r="E145" s="19" t="inlineStr">
        <is>
          <t>Transcript</t>
        </is>
      </c>
      <c r="F145" s="19" t="inlineStr">
        <is>
          <t>All</t>
        </is>
      </c>
      <c r="G145" s="20" t="inlineStr">
        <is>
          <t>Anna</t>
        </is>
      </c>
      <c r="H145" s="20" t="inlineStr">
        <is>
          <t>Human</t>
        </is>
      </c>
      <c r="I145" s="127" t="n">
        <v>0.3</v>
      </c>
      <c r="J145" s="145">
        <f>IF(OR(I145="",Settings!$B$6=""),"",IF(I145&gt;Settings!$B$6,"BUY",IF(I145&lt;-Settings!$B$6,"SELL","HOLD")))</f>
        <v/>
      </c>
      <c r="K145" s="139" t="n">
        <v>20</v>
      </c>
      <c r="L145" s="123" t="n">
        <v>45869</v>
      </c>
      <c r="M145" s="123" t="n">
        <v>45869</v>
      </c>
      <c r="N145" s="127" t="n">
        <v>62.1</v>
      </c>
      <c r="O145" s="123" t="n">
        <v>45870</v>
      </c>
      <c r="P145" s="22" t="n">
        <v>62.32</v>
      </c>
      <c r="Q145" s="148">
        <f>IF(OR(N145="",P145=""),"",ROUND((P145-N145)/N145,4))</f>
        <v/>
      </c>
      <c r="R145" s="20">
        <f>IF(OR(N145="",P145=""),"",IF(Q145&gt;Settings!$B$3/100,"UP",IF(Q145&lt;-Settings!$B$3/100,"DOWN","FLAT")))</f>
        <v/>
      </c>
      <c r="S145" s="20">
        <f>IF(OR(N145="",P145="",J145=""),"",IF(OR(AND(J145="BUY",R145="UP"),AND(J145="SELL",R145="DOWN"),AND(J145="HOLD",R145="FLAT")),"YES","NO"))</f>
        <v/>
      </c>
      <c r="T145" s="21">
        <f>IF(J145="","",IF(J145="BUY",1,IF(J145="SELL",-1,0)))</f>
        <v/>
      </c>
      <c r="U145" s="148">
        <f>IFERROR(IF(OR(J145="",N145="",P145=""),"",IF(T145=0,0,T145*Q145-Settings!$B$4/10000-IF(T145&lt;0,Settings!$B$5/10000,0))),"")</f>
        <v/>
      </c>
      <c r="W145" s="21">
        <f>IF($K145="","",$K145*60)</f>
        <v/>
      </c>
      <c r="X145" s="91">
        <f>IF($A145="","",$A145&amp;"|"&amp;$C145&amp;"|"&amp;$D145)</f>
        <v/>
      </c>
      <c r="Y145" s="91">
        <f>IFERROR(IF($X145="","",INDEX(LLM_Data_Entry!$H$3:$H$548,MATCH($X145,INDEX(LLM_Data_Entry!$A$3:$A$548&amp;"|"&amp;LLM_Data_Entry!$C$3:$C$548&amp;"|"&amp;LLM_Data_Entry!$D$3:$D$548,0),0))),"")</f>
        <v/>
      </c>
      <c r="Z145" s="91">
        <f>IFERROR(IF($X145="","",INDEX(LLM_Data_Entry!$R$3:$R$548,MATCH($X145,INDEX(LLM_Data_Entry!$A$3:$A$548&amp;"|"&amp;LLM_Data_Entry!$C$3:$C$548&amp;"|"&amp;LLM_Data_Entry!$D$3:$D$548,0),0))),"")</f>
        <v/>
      </c>
      <c r="AB145" t="inlineStr">
        <is>
          <t>price signal</t>
        </is>
      </c>
      <c r="AC145" t="inlineStr">
        <is>
          <t>CVS</t>
        </is>
      </c>
      <c r="AD145" t="inlineStr">
        <is>
          <t>2025-07-30</t>
        </is>
      </c>
      <c r="AE145" t="n">
        <v>60.3834</v>
      </c>
      <c r="AF145" t="inlineStr">
        <is>
          <t>2025-07-31</t>
        </is>
      </c>
      <c r="AG145" t="n">
        <v>63.4947</v>
      </c>
      <c r="AH145" t="n">
        <v>0.05152500323754339</v>
      </c>
      <c r="AI145" t="inlineStr">
        <is>
          <t>UP</t>
        </is>
      </c>
      <c r="AJ145" t="inlineStr">
        <is>
          <t>YES</t>
        </is>
      </c>
      <c r="AK145" t="n">
        <v>0.050525</v>
      </c>
      <c r="AL145">
        <f>IF($A145="","",IFERROR(INDEX(Company_List!$G$3:$G$207,MATCH($A145,Company_List!$A$3:$A$207,0)),"unassigned"))</f>
        <v/>
      </c>
      <c r="AM145" t="inlineStr">
        <is>
          <t>Phase 2/CVS Health/CVS-Health-Q2-2025-Earnings-Transcript.pdf</t>
        </is>
      </c>
      <c r="AO145" t="inlineStr">
        <is>
          <t>unique filename match</t>
        </is>
      </c>
      <c r="AP145">
        <f>IF($A145="","",IF(COUNTIFS(LLM_Data_Entry!$A$3:$A$548,$A145)&gt;0,"YES","NO"))</f>
        <v/>
      </c>
      <c r="AQ145">
        <f>IF($A145="","",IF(COUNTIFS($A$3:$A145,$A145,$C$3:$C145,$C145,$D$3:$D145,$D145)=1,"YES","NO"))</f>
        <v/>
      </c>
      <c r="AR145">
        <f>IF($A145="","",IF(AND($C145&amp;"-"&amp;$D145&gt;=Settings!$B$19,$C145&amp;"-"&amp;$D145&lt;=Settings!$B$20),"IN","OUT"))</f>
        <v/>
      </c>
      <c r="AS145">
        <f>IF($A145="","",IF($F145="Financial Results","financials",IF($F145="Outlook/Guidance","guidance",IF($F145="Transcript Q&amp;A","qanda",IF($F145="","unrecorded",IF($E145="All","full",IF($E145="","unrecorded",LOWER($E145)&amp;" only")))))))</f>
        <v/>
      </c>
      <c r="AT145">
        <f>IF(AND(OR($J145="BUY",$J145="SELL"),ISNUMBER($U145)),$U145,"")</f>
        <v/>
      </c>
      <c r="AU145">
        <f>IF(AND(OR($J145="BUY",$J145="SELL"),ISNUMBER($AK145)),$AK145,"")</f>
        <v/>
      </c>
      <c r="AV145">
        <f>IF(ISNUMBER($AT145),ABS(IF(ISNUMBER($I145),$I145,0)-Settings!$B$24),"")</f>
        <v/>
      </c>
      <c r="AW145">
        <f>IF(ISNUMBER($AV145),$AV145*$AT145,"")</f>
        <v/>
      </c>
      <c r="AX145">
        <f>IF(ISNUMBER($AU145),ABS(IF(ISNUMBER($I145),$I145,0)-Settings!$B$24),"")</f>
        <v/>
      </c>
      <c r="AY145">
        <f>IF(ISNUMBER($AX145),$AX145*$AU145,"")</f>
        <v/>
      </c>
      <c r="AZ145">
        <f>IF($A145="","",IFERROR(INDEX(Company_List!$H$3:$H$207,MATCH($A145,Company_List!$A$3:$A$207,0)),"unassigned"))</f>
        <v/>
      </c>
      <c r="BC145">
        <f>IF($A145="","",IF(COUNTIFS($A$3:$A145,$A145,$C$3:$C145,$C145,$D$3:$D145,$D145,$G$3:$G145,$G145)=1,1,0))</f>
        <v/>
      </c>
      <c r="BG145" t="inlineStr">
        <is>
          <t>no</t>
        </is>
      </c>
      <c r="BK145">
        <f>IF(OR($H145&lt;&gt;"Human",$S145="",$J145="",$Y145="",$Z145=""),"",IF(EXACT(UPPER($J145),UPPER($Y145)),1,0))</f>
        <v/>
      </c>
      <c r="BL145" t="inlineStr">
        <is>
          <t>assumed - no rater record</t>
        </is>
      </c>
      <c r="BM145" t="n">
        <v>1</v>
      </c>
      <c r="BN145" t="inlineStr">
        <is>
          <t>FactSet CallStreet</t>
        </is>
      </c>
      <c r="BO145" t="inlineStr">
        <is>
          <t>licensed vendor</t>
        </is>
      </c>
      <c r="BP145" t="inlineStr">
        <is>
          <t>no</t>
        </is>
      </c>
      <c r="BQ145" t="inlineStr">
        <is>
          <t>no</t>
        </is>
      </c>
    </row>
    <row r="146" ht="16.35" customHeight="1">
      <c r="A146" s="95" t="inlineStr">
        <is>
          <t>CVS Health</t>
        </is>
      </c>
      <c r="B146" s="96">
        <f>IF(A146="","",_xlfn.XLOOKUP(A146, Company_List!$A:$A, Company_List!$B:$B, ""))</f>
        <v/>
      </c>
      <c r="C146" s="21" t="n">
        <v>2025</v>
      </c>
      <c r="D146" s="20" t="inlineStr">
        <is>
          <t>Q4</t>
        </is>
      </c>
      <c r="E146" s="19" t="inlineStr">
        <is>
          <t>Transcript</t>
        </is>
      </c>
      <c r="F146" s="19" t="inlineStr">
        <is>
          <t>All</t>
        </is>
      </c>
      <c r="G146" s="20" t="inlineStr">
        <is>
          <t>Anna</t>
        </is>
      </c>
      <c r="H146" s="20" t="inlineStr">
        <is>
          <t>Human</t>
        </is>
      </c>
      <c r="I146" s="127" t="n">
        <v>0.5</v>
      </c>
      <c r="J146" s="145">
        <f>IF(OR(I146="",Settings!$B$6=""),"",IF(I146&gt;Settings!$B$6,"BUY",IF(I146&lt;-Settings!$B$6,"SELL","HOLD")))</f>
        <v/>
      </c>
      <c r="K146" s="139" t="n">
        <v>25</v>
      </c>
      <c r="L146" s="123" t="n">
        <v>46063</v>
      </c>
      <c r="M146" s="123" t="n">
        <v>46063</v>
      </c>
      <c r="N146" s="127" t="n">
        <v>75.7</v>
      </c>
      <c r="O146" s="123" t="n">
        <v>46064</v>
      </c>
      <c r="P146" s="22" t="n">
        <v>75.7</v>
      </c>
      <c r="Q146" s="148">
        <f>IF(OR(N146="",P146=""),"",ROUND((P146-N146)/N146,4))</f>
        <v/>
      </c>
      <c r="R146" s="20">
        <f>IF(OR(N146="",P146=""),"",IF(Q146&gt;Settings!$B$3/100,"UP",IF(Q146&lt;-Settings!$B$3/100,"DOWN","FLAT")))</f>
        <v/>
      </c>
      <c r="S146" s="20">
        <f>IF(OR(N146="",P146="",J146=""),"",IF(OR(AND(J146="BUY",R146="UP"),AND(J146="SELL",R146="DOWN"),AND(J146="HOLD",R146="FLAT")),"YES","NO"))</f>
        <v/>
      </c>
      <c r="T146" s="21">
        <f>IF(J146="","",IF(J146="BUY",1,IF(J146="SELL",-1,0)))</f>
        <v/>
      </c>
      <c r="U146" s="148">
        <f>IFERROR(IF(OR(J146="",N146="",P146=""),"",IF(T146=0,0,T146*Q146-Settings!$B$4/10000-IF(T146&lt;0,Settings!$B$5/10000,0))),"")</f>
        <v/>
      </c>
      <c r="V146" s="23" t="n"/>
      <c r="W146" s="21">
        <f>IF($K146="","",$K146*60)</f>
        <v/>
      </c>
      <c r="X146" s="91">
        <f>IF($A146="","",$A146&amp;"|"&amp;$C146&amp;"|"&amp;$D146)</f>
        <v/>
      </c>
      <c r="Y146" s="91">
        <f>IFERROR(IF($X146="","",INDEX(LLM_Data_Entry!$H$3:$H$548,MATCH($X146,INDEX(LLM_Data_Entry!$A$3:$A$548&amp;"|"&amp;LLM_Data_Entry!$C$3:$C$548&amp;"|"&amp;LLM_Data_Entry!$D$3:$D$548,0),0))),"")</f>
        <v/>
      </c>
      <c r="Z146" s="91">
        <f>IFERROR(IF($X146="","",INDEX(LLM_Data_Entry!$R$3:$R$548,MATCH($X146,INDEX(LLM_Data_Entry!$A$3:$A$548&amp;"|"&amp;LLM_Data_Entry!$C$3:$C$548&amp;"|"&amp;LLM_Data_Entry!$D$3:$D$548,0),0))),"")</f>
        <v/>
      </c>
      <c r="AB146" t="inlineStr">
        <is>
          <t>price signal</t>
        </is>
      </c>
      <c r="AC146" t="inlineStr">
        <is>
          <t>CVS</t>
        </is>
      </c>
      <c r="AD146" t="inlineStr">
        <is>
          <t>2026-02-09</t>
        </is>
      </c>
      <c r="AE146" t="n">
        <v>74.6486</v>
      </c>
      <c r="AF146" t="inlineStr">
        <is>
          <t>2026-02-10</t>
        </is>
      </c>
      <c r="AG146" t="n">
        <v>72.6782</v>
      </c>
      <c r="AH146" t="n">
        <v>-0.02639575051911369</v>
      </c>
      <c r="AI146" t="inlineStr">
        <is>
          <t>DOWN</t>
        </is>
      </c>
      <c r="AJ146" t="inlineStr">
        <is>
          <t>NO</t>
        </is>
      </c>
      <c r="AK146" t="n">
        <v>-0.027396</v>
      </c>
      <c r="AL146">
        <f>IF($A146="","",IFERROR(INDEX(Company_List!$G$3:$G$207,MATCH($A146,Company_List!$A$3:$A$207,0)),"unassigned"))</f>
        <v/>
      </c>
      <c r="AM146" t="inlineStr">
        <is>
          <t>Phase 2/CVS Health/CVS-Health-Q4-2025-Transcript.pdf</t>
        </is>
      </c>
      <c r="AO146" t="inlineStr">
        <is>
          <t>unique filename match</t>
        </is>
      </c>
      <c r="AP146">
        <f>IF($A146="","",IF(COUNTIFS(LLM_Data_Entry!$A$3:$A$548,$A146)&gt;0,"YES","NO"))</f>
        <v/>
      </c>
      <c r="AQ146">
        <f>IF($A146="","",IF(COUNTIFS($A$3:$A146,$A146,$C$3:$C146,$C146,$D$3:$D146,$D146)=1,"YES","NO"))</f>
        <v/>
      </c>
      <c r="AR146">
        <f>IF($A146="","",IF(AND($C146&amp;"-"&amp;$D146&gt;=Settings!$B$19,$C146&amp;"-"&amp;$D146&lt;=Settings!$B$20),"IN","OUT"))</f>
        <v/>
      </c>
      <c r="AS146">
        <f>IF($A146="","",IF($F146="Financial Results","financials",IF($F146="Outlook/Guidance","guidance",IF($F146="Transcript Q&amp;A","qanda",IF($F146="","unrecorded",IF($E146="All","full",IF($E146="","unrecorded",LOWER($E146)&amp;" only")))))))</f>
        <v/>
      </c>
      <c r="AT146">
        <f>IF(AND(OR($J146="BUY",$J146="SELL"),ISNUMBER($U146)),$U146,"")</f>
        <v/>
      </c>
      <c r="AU146">
        <f>IF(AND(OR($J146="BUY",$J146="SELL"),ISNUMBER($AK146)),$AK146,"")</f>
        <v/>
      </c>
      <c r="AV146">
        <f>IF(ISNUMBER($AT146),ABS(IF(ISNUMBER($I146),$I146,0)-Settings!$B$24),"")</f>
        <v/>
      </c>
      <c r="AW146">
        <f>IF(ISNUMBER($AV146),$AV146*$AT146,"")</f>
        <v/>
      </c>
      <c r="AX146">
        <f>IF(ISNUMBER($AU146),ABS(IF(ISNUMBER($I146),$I146,0)-Settings!$B$24),"")</f>
        <v/>
      </c>
      <c r="AY146">
        <f>IF(ISNUMBER($AX146),$AX146*$AU146,"")</f>
        <v/>
      </c>
      <c r="AZ146">
        <f>IF($A146="","",IFERROR(INDEX(Company_List!$H$3:$H$207,MATCH($A146,Company_List!$A$3:$A$207,0)),"unassigned"))</f>
        <v/>
      </c>
      <c r="BC146">
        <f>IF($A146="","",IF(COUNTIFS($A$3:$A146,$A146,$C$3:$C146,$C146,$D$3:$D146,$D146,$G$3:$G146,$G146)=1,1,0))</f>
        <v/>
      </c>
      <c r="BG146" t="inlineStr">
        <is>
          <t>no</t>
        </is>
      </c>
      <c r="BK146">
        <f>IF(OR($H146&lt;&gt;"Human",$S146="",$J146="",$Y146="",$Z146=""),"",IF(EXACT(UPPER($J146),UPPER($Y146)),1,0))</f>
        <v/>
      </c>
      <c r="BL146" t="inlineStr">
        <is>
          <t>assumed - no rater record</t>
        </is>
      </c>
      <c r="BM146" t="n">
        <v>1</v>
      </c>
      <c r="BN146" t="inlineStr">
        <is>
          <t>FactSet CallStreet</t>
        </is>
      </c>
      <c r="BO146" t="inlineStr">
        <is>
          <t>licensed vendor</t>
        </is>
      </c>
      <c r="BP146" t="inlineStr">
        <is>
          <t>no</t>
        </is>
      </c>
      <c r="BQ146" t="inlineStr">
        <is>
          <t>no</t>
        </is>
      </c>
    </row>
    <row r="147" ht="16.35" customHeight="1">
      <c r="A147" s="95" t="inlineStr">
        <is>
          <t>CVS Health</t>
        </is>
      </c>
      <c r="B147" s="96">
        <f>IF(A147="","",_xlfn.XLOOKUP(A147, Company_List!$A:$A, Company_List!$B:$B, ""))</f>
        <v/>
      </c>
      <c r="C147" s="21" t="n">
        <v>2025</v>
      </c>
      <c r="D147" s="20" t="inlineStr">
        <is>
          <t>Q3</t>
        </is>
      </c>
      <c r="E147" s="19" t="inlineStr">
        <is>
          <t>Transcript</t>
        </is>
      </c>
      <c r="F147" s="19" t="inlineStr">
        <is>
          <t>All</t>
        </is>
      </c>
      <c r="G147" s="20" t="inlineStr">
        <is>
          <t>Anna</t>
        </is>
      </c>
      <c r="H147" s="20" t="inlineStr">
        <is>
          <t>Human</t>
        </is>
      </c>
      <c r="I147" s="127" t="n">
        <v>0.3</v>
      </c>
      <c r="J147" s="145">
        <f>IF(OR(I147="",Settings!$B$6=""),"",IF(I147&gt;Settings!$B$6,"BUY",IF(I147&lt;-Settings!$B$6,"SELL","HOLD")))</f>
        <v/>
      </c>
      <c r="K147" s="139" t="n">
        <v>22</v>
      </c>
      <c r="L147" s="123" t="n">
        <v>45959</v>
      </c>
      <c r="M147" s="123" t="n">
        <v>45959</v>
      </c>
      <c r="N147" s="127" t="n">
        <v>80.59999999999999</v>
      </c>
      <c r="O147" s="123" t="n">
        <v>45960</v>
      </c>
      <c r="P147" s="22" t="n">
        <v>76.08</v>
      </c>
      <c r="Q147" s="148">
        <f>IF(OR(N147="",P147=""),"",ROUND((P147-N147)/N147,4))</f>
        <v/>
      </c>
      <c r="R147" s="20">
        <f>IF(OR(N147="",P147=""),"",IF(Q147&gt;Settings!$B$3/100,"UP",IF(Q147&lt;-Settings!$B$3/100,"DOWN","FLAT")))</f>
        <v/>
      </c>
      <c r="S147" s="20">
        <f>IF(OR(N147="",P147="",J147=""),"",IF(OR(AND(J147="BUY",R147="UP"),AND(J147="SELL",R147="DOWN"),AND(J147="HOLD",R147="FLAT")),"YES","NO"))</f>
        <v/>
      </c>
      <c r="T147" s="21">
        <f>IF(J147="","",IF(J147="BUY",1,IF(J147="SELL",-1,0)))</f>
        <v/>
      </c>
      <c r="U147" s="148">
        <f>IFERROR(IF(OR(J147="",N147="",P147=""),"",IF(T147=0,0,T147*Q147-Settings!$B$4/10000-IF(T147&lt;0,Settings!$B$5/10000,0))),"")</f>
        <v/>
      </c>
      <c r="V147" s="23" t="n"/>
      <c r="W147" s="21">
        <f>IF($K147="","",$K147*60)</f>
        <v/>
      </c>
      <c r="X147" s="91">
        <f>IF($A147="","",$A147&amp;"|"&amp;$C147&amp;"|"&amp;$D147)</f>
        <v/>
      </c>
      <c r="Y147" s="91">
        <f>IFERROR(IF($X147="","",INDEX(LLM_Data_Entry!$H$3:$H$548,MATCH($X147,INDEX(LLM_Data_Entry!$A$3:$A$548&amp;"|"&amp;LLM_Data_Entry!$C$3:$C$548&amp;"|"&amp;LLM_Data_Entry!$D$3:$D$548,0),0))),"")</f>
        <v/>
      </c>
      <c r="Z147" s="91">
        <f>IFERROR(IF($X147="","",INDEX(LLM_Data_Entry!$R$3:$R$548,MATCH($X147,INDEX(LLM_Data_Entry!$A$3:$A$548&amp;"|"&amp;LLM_Data_Entry!$C$3:$C$548&amp;"|"&amp;LLM_Data_Entry!$D$3:$D$548,0),0))),"")</f>
        <v/>
      </c>
      <c r="AB147" t="inlineStr">
        <is>
          <t>price signal — only this window shows an abnormal move</t>
        </is>
      </c>
      <c r="AC147" t="inlineStr">
        <is>
          <t>CVS</t>
        </is>
      </c>
      <c r="AD147" t="inlineStr">
        <is>
          <t>2025-10-29</t>
        </is>
      </c>
      <c r="AE147" t="n">
        <v>78.7591</v>
      </c>
      <c r="AF147" t="inlineStr">
        <is>
          <t>2025-10-30</t>
        </is>
      </c>
      <c r="AG147" t="n">
        <v>74.34229999999999</v>
      </c>
      <c r="AH147" t="n">
        <v>-0.05607938044933943</v>
      </c>
      <c r="AI147" t="inlineStr">
        <is>
          <t>DOWN</t>
        </is>
      </c>
      <c r="AJ147" t="inlineStr">
        <is>
          <t>NO</t>
        </is>
      </c>
      <c r="AK147" t="n">
        <v>-0.057079</v>
      </c>
      <c r="AL147">
        <f>IF($A147="","",IFERROR(INDEX(Company_List!$G$3:$G$207,MATCH($A147,Company_List!$A$3:$A$207,0)),"unassigned"))</f>
        <v/>
      </c>
      <c r="AM147" t="inlineStr">
        <is>
          <t>Phase 2/CVS Health/CVS-Q3-2025-Earnings-Transcript.pdf</t>
        </is>
      </c>
      <c r="AO147" t="inlineStr">
        <is>
          <t>unique filename match</t>
        </is>
      </c>
      <c r="AP147">
        <f>IF($A147="","",IF(COUNTIFS(LLM_Data_Entry!$A$3:$A$548,$A147)&gt;0,"YES","NO"))</f>
        <v/>
      </c>
      <c r="AQ147">
        <f>IF($A147="","",IF(COUNTIFS($A$3:$A147,$A147,$C$3:$C147,$C147,$D$3:$D147,$D147)=1,"YES","NO"))</f>
        <v/>
      </c>
      <c r="AR147">
        <f>IF($A147="","",IF(AND($C147&amp;"-"&amp;$D147&gt;=Settings!$B$19,$C147&amp;"-"&amp;$D147&lt;=Settings!$B$20),"IN","OUT"))</f>
        <v/>
      </c>
      <c r="AS147">
        <f>IF($A147="","",IF($F147="Financial Results","financials",IF($F147="Outlook/Guidance","guidance",IF($F147="Transcript Q&amp;A","qanda",IF($F147="","unrecorded",IF($E147="All","full",IF($E147="","unrecorded",LOWER($E147)&amp;" only")))))))</f>
        <v/>
      </c>
      <c r="AT147">
        <f>IF(AND(OR($J147="BUY",$J147="SELL"),ISNUMBER($U147)),$U147,"")</f>
        <v/>
      </c>
      <c r="AU147">
        <f>IF(AND(OR($J147="BUY",$J147="SELL"),ISNUMBER($AK147)),$AK147,"")</f>
        <v/>
      </c>
      <c r="AV147">
        <f>IF(ISNUMBER($AT147),ABS(IF(ISNUMBER($I147),$I147,0)-Settings!$B$24),"")</f>
        <v/>
      </c>
      <c r="AW147">
        <f>IF(ISNUMBER($AV147),$AV147*$AT147,"")</f>
        <v/>
      </c>
      <c r="AX147">
        <f>IF(ISNUMBER($AU147),ABS(IF(ISNUMBER($I147),$I147,0)-Settings!$B$24),"")</f>
        <v/>
      </c>
      <c r="AY147">
        <f>IF(ISNUMBER($AX147),$AX147*$AU147,"")</f>
        <v/>
      </c>
      <c r="AZ147">
        <f>IF($A147="","",IFERROR(INDEX(Company_List!$H$3:$H$207,MATCH($A147,Company_List!$A$3:$A$207,0)),"unassigned"))</f>
        <v/>
      </c>
      <c r="BC147">
        <f>IF($A147="","",IF(COUNTIFS($A$3:$A147,$A147,$C$3:$C147,$C147,$D$3:$D147,$D147,$G$3:$G147,$G147)=1,1,0))</f>
        <v/>
      </c>
      <c r="BG147" t="inlineStr">
        <is>
          <t>no</t>
        </is>
      </c>
      <c r="BK147">
        <f>IF(OR($H147&lt;&gt;"Human",$S147="",$J147="",$Y147="",$Z147=""),"",IF(EXACT(UPPER($J147),UPPER($Y147)),1,0))</f>
        <v/>
      </c>
      <c r="BL147" t="inlineStr">
        <is>
          <t>assumed - no rater record</t>
        </is>
      </c>
      <c r="BM147" t="n">
        <v>1</v>
      </c>
      <c r="BN147" t="inlineStr">
        <is>
          <t>FactSet CallStreet</t>
        </is>
      </c>
      <c r="BO147" t="inlineStr">
        <is>
          <t>licensed vendor</t>
        </is>
      </c>
      <c r="BP147" t="inlineStr">
        <is>
          <t>no</t>
        </is>
      </c>
      <c r="BQ147" t="inlineStr">
        <is>
          <t>no</t>
        </is>
      </c>
    </row>
    <row r="148" ht="16.35" customHeight="1">
      <c r="A148" s="95" t="inlineStr">
        <is>
          <t>FedEx</t>
        </is>
      </c>
      <c r="B148" s="96">
        <f>IF(A148="","",_xlfn.XLOOKUP(A148, Company_List!$A:$A, Company_List!$B:$B, ""))</f>
        <v/>
      </c>
      <c r="C148" s="21" t="n">
        <v>2026</v>
      </c>
      <c r="D148" s="20" t="inlineStr">
        <is>
          <t>Q2</t>
        </is>
      </c>
      <c r="E148" s="19" t="inlineStr">
        <is>
          <t>Transcript</t>
        </is>
      </c>
      <c r="F148" s="19" t="inlineStr">
        <is>
          <t>All</t>
        </is>
      </c>
      <c r="G148" s="20" t="inlineStr">
        <is>
          <t>Anna</t>
        </is>
      </c>
      <c r="H148" s="20" t="inlineStr">
        <is>
          <t>Human</t>
        </is>
      </c>
      <c r="I148" s="127" t="n">
        <v>0.2</v>
      </c>
      <c r="J148" s="145">
        <f>IF(OR(I148="",Settings!$B$6=""),"",IF(I148&gt;Settings!$B$6,"BUY",IF(I148&lt;-Settings!$B$6,"SELL","HOLD")))</f>
        <v/>
      </c>
      <c r="K148" s="139" t="n">
        <v>20</v>
      </c>
      <c r="L148" s="123" t="n">
        <v>46009</v>
      </c>
      <c r="M148" s="123" t="n">
        <v>46009</v>
      </c>
      <c r="N148" s="147" t="n">
        <v>227.21</v>
      </c>
      <c r="O148" s="123" t="n">
        <v>46010</v>
      </c>
      <c r="P148" s="145" t="n">
        <v>228.6</v>
      </c>
      <c r="Q148" s="148">
        <f>IF(OR(N148="",P148=""),"",ROUND((P148-N148)/N148,4))</f>
        <v/>
      </c>
      <c r="R148" s="20">
        <f>IF(OR(N148="",P148=""),"",IF(Q148&gt;Settings!$B$3/100,"UP",IF(Q148&lt;-Settings!$B$3/100,"DOWN","FLAT")))</f>
        <v/>
      </c>
      <c r="S148" s="20">
        <f>IF(OR(N148="",P148="",J148=""),"",IF(OR(AND(J148="BUY",R148="UP"),AND(J148="SELL",R148="DOWN"),AND(J148="HOLD",R148="FLAT")),"YES","NO"))</f>
        <v/>
      </c>
      <c r="T148" s="21">
        <f>IF(J148="","",IF(J148="BUY",1,IF(J148="SELL",-1,0)))</f>
        <v/>
      </c>
      <c r="U148" s="148">
        <f>IFERROR(IF(OR(J148="",N148="",P148=""),"",IF(T148=0,0,T148*Q148-Settings!$B$4/10000-IF(T148&lt;0,Settings!$B$5/10000,0))),"")</f>
        <v/>
      </c>
      <c r="V148" s="23" t="n"/>
      <c r="W148" s="21">
        <f>IF($K148="","",$K148*60)</f>
        <v/>
      </c>
      <c r="X148" s="91">
        <f>IF($A148="","",$A148&amp;"|"&amp;$C148&amp;"|"&amp;$D148)</f>
        <v/>
      </c>
      <c r="Y148" s="91">
        <f>IFERROR(IF($X148="","",INDEX(LLM_Data_Entry!$H$3:$H$548,MATCH($X148,INDEX(LLM_Data_Entry!$A$3:$A$548&amp;"|"&amp;LLM_Data_Entry!$C$3:$C$548&amp;"|"&amp;LLM_Data_Entry!$D$3:$D$548,0),0))),"")</f>
        <v/>
      </c>
      <c r="Z148" s="91">
        <f>IFERROR(IF($X148="","",INDEX(LLM_Data_Entry!$R$3:$R$548,MATCH($X148,INDEX(LLM_Data_Entry!$A$3:$A$548&amp;"|"&amp;LLM_Data_Entry!$C$3:$C$548&amp;"|"&amp;LLM_Data_Entry!$D$3:$D$548,0),0))),"")</f>
        <v/>
      </c>
      <c r="AB148" t="inlineStr">
        <is>
          <t>document date + price signal</t>
        </is>
      </c>
      <c r="AC148" t="inlineStr">
        <is>
          <t>FDX</t>
        </is>
      </c>
      <c r="AD148" t="inlineStr">
        <is>
          <t>2025-12-18</t>
        </is>
      </c>
      <c r="AE148" t="n">
        <v>229.5658</v>
      </c>
      <c r="AF148" t="inlineStr">
        <is>
          <t>2025-12-19</t>
        </is>
      </c>
      <c r="AG148" t="n">
        <v>217.5246</v>
      </c>
      <c r="AH148" t="n">
        <v>-0.05245197295717229</v>
      </c>
      <c r="AI148" t="inlineStr">
        <is>
          <t>DOWN</t>
        </is>
      </c>
      <c r="AJ148" t="inlineStr">
        <is>
          <t>NO</t>
        </is>
      </c>
      <c r="AK148" t="n">
        <v>0</v>
      </c>
      <c r="AL148">
        <f>IF($A148="","",IFERROR(INDEX(Company_List!$G$3:$G$207,MATCH($A148,Company_List!$A$3:$A$207,0)),"unassigned"))</f>
        <v/>
      </c>
      <c r="AM148" t="inlineStr">
        <is>
          <t>Phase 2/FedEx/Earnings-Transcript-Q2FY26.pdf</t>
        </is>
      </c>
      <c r="AO148" t="inlineStr">
        <is>
          <t>unique filename match</t>
        </is>
      </c>
      <c r="AP148">
        <f>IF($A148="","",IF(COUNTIFS(LLM_Data_Entry!$A$3:$A$548,$A148)&gt;0,"YES","NO"))</f>
        <v/>
      </c>
      <c r="AQ148">
        <f>IF($A148="","",IF(COUNTIFS($A$3:$A148,$A148,$C$3:$C148,$C148,$D$3:$D148,$D148)=1,"YES","NO"))</f>
        <v/>
      </c>
      <c r="AR148">
        <f>IF($A148="","",IF(AND($C148&amp;"-"&amp;$D148&gt;=Settings!$B$19,$C148&amp;"-"&amp;$D148&lt;=Settings!$B$20),"IN","OUT"))</f>
        <v/>
      </c>
      <c r="AS148">
        <f>IF($A148="","",IF($F148="Financial Results","financials",IF($F148="Outlook/Guidance","guidance",IF($F148="Transcript Q&amp;A","qanda",IF($F148="","unrecorded",IF($E148="All","full",IF($E148="","unrecorded",LOWER($E148)&amp;" only")))))))</f>
        <v/>
      </c>
      <c r="AT148">
        <f>IF(AND(OR($J148="BUY",$J148="SELL"),ISNUMBER($U148)),$U148,"")</f>
        <v/>
      </c>
      <c r="AU148">
        <f>IF(AND(OR($J148="BUY",$J148="SELL"),ISNUMBER($AK148)),$AK148,"")</f>
        <v/>
      </c>
      <c r="AV148">
        <f>IF(ISNUMBER($AT148),ABS(IF(ISNUMBER($I148),$I148,0)-Settings!$B$24),"")</f>
        <v/>
      </c>
      <c r="AW148">
        <f>IF(ISNUMBER($AV148),$AV148*$AT148,"")</f>
        <v/>
      </c>
      <c r="AX148">
        <f>IF(ISNUMBER($AU148),ABS(IF(ISNUMBER($I148),$I148,0)-Settings!$B$24),"")</f>
        <v/>
      </c>
      <c r="AY148">
        <f>IF(ISNUMBER($AX148),$AX148*$AU148,"")</f>
        <v/>
      </c>
      <c r="AZ148">
        <f>IF($A148="","",IFERROR(INDEX(Company_List!$H$3:$H$207,MATCH($A148,Company_List!$A$3:$A$207,0)),"unassigned"))</f>
        <v/>
      </c>
      <c r="BC148">
        <f>IF($A148="","",IF(COUNTIFS($A$3:$A148,$A148,$C$3:$C148,$C148,$D$3:$D148,$D148,$G$3:$G148,$G148)=1,1,0))</f>
        <v/>
      </c>
      <c r="BG148" t="inlineStr">
        <is>
          <t>no</t>
        </is>
      </c>
      <c r="BK148">
        <f>IF(OR($H148&lt;&gt;"Human",$S148="",$J148="",$Y148="",$Z148=""),"",IF(EXACT(UPPER($J148),UPPER($Y148)),1,0))</f>
        <v/>
      </c>
      <c r="BL148" t="inlineStr">
        <is>
          <t>assumed - no rater record</t>
        </is>
      </c>
      <c r="BM148" t="n">
        <v>1</v>
      </c>
      <c r="BN148" t="inlineStr">
        <is>
          <t>not publisher-identified</t>
        </is>
      </c>
      <c r="BO148" t="inlineStr">
        <is>
          <t>not publisher-identified</t>
        </is>
      </c>
      <c r="BP148" t="inlineStr">
        <is>
          <t>no</t>
        </is>
      </c>
      <c r="BQ148" t="inlineStr">
        <is>
          <t>no</t>
        </is>
      </c>
    </row>
    <row r="149" ht="16.35" customHeight="1">
      <c r="A149" s="95" t="inlineStr">
        <is>
          <t>FedEx</t>
        </is>
      </c>
      <c r="B149" s="96">
        <f>IF(A149="","",_xlfn.XLOOKUP(A149, Company_List!$A:$A, Company_List!$B:$B, ""))</f>
        <v/>
      </c>
      <c r="C149" s="21" t="n">
        <v>2026</v>
      </c>
      <c r="D149" s="20" t="inlineStr">
        <is>
          <t>Q3</t>
        </is>
      </c>
      <c r="E149" s="19" t="inlineStr">
        <is>
          <t>Transcript</t>
        </is>
      </c>
      <c r="F149" s="19" t="inlineStr">
        <is>
          <t>All</t>
        </is>
      </c>
      <c r="G149" s="20" t="inlineStr">
        <is>
          <t>Anna</t>
        </is>
      </c>
      <c r="H149" s="20" t="inlineStr">
        <is>
          <t>Human</t>
        </is>
      </c>
      <c r="I149" s="127" t="n">
        <v>0.3</v>
      </c>
      <c r="J149" s="145">
        <f>IF(OR(I149="",Settings!$B$6=""),"",IF(I149&gt;Settings!$B$6,"BUY",IF(I149&lt;-Settings!$B$6,"SELL","HOLD")))</f>
        <v/>
      </c>
      <c r="K149" s="139" t="n">
        <v>22</v>
      </c>
      <c r="L149" s="123" t="n">
        <v>46100</v>
      </c>
      <c r="M149" s="123" t="n">
        <v>46100</v>
      </c>
      <c r="N149" s="147" t="n">
        <v>286.95</v>
      </c>
      <c r="O149" s="123" t="n">
        <v>46101</v>
      </c>
      <c r="P149" s="145" t="n">
        <v>306.87</v>
      </c>
      <c r="Q149" s="148">
        <f>IF(OR(N149="",P149=""),"",ROUND((P149-N149)/N149,4))</f>
        <v/>
      </c>
      <c r="R149" s="20">
        <f>IF(OR(N149="",P149=""),"",IF(Q149&gt;Settings!$B$3/100,"UP",IF(Q149&lt;-Settings!$B$3/100,"DOWN","FLAT")))</f>
        <v/>
      </c>
      <c r="S149" s="20">
        <f>IF(OR(N149="",P149="",J149=""),"",IF(OR(AND(J149="BUY",R149="UP"),AND(J149="SELL",R149="DOWN"),AND(J149="HOLD",R149="FLAT")),"YES","NO"))</f>
        <v/>
      </c>
      <c r="T149" s="21">
        <f>IF(J149="","",IF(J149="BUY",1,IF(J149="SELL",-1,0)))</f>
        <v/>
      </c>
      <c r="U149" s="148">
        <f>IFERROR(IF(OR(J149="",N149="",P149=""),"",IF(T149=0,0,T149*Q149-Settings!$B$4/10000-IF(T149&lt;0,Settings!$B$5/10000,0))),"")</f>
        <v/>
      </c>
      <c r="V149" s="23" t="n"/>
      <c r="W149" s="21">
        <f>IF($K149="","",$K149*60)</f>
        <v/>
      </c>
      <c r="X149" s="91">
        <f>IF($A149="","",$A149&amp;"|"&amp;$C149&amp;"|"&amp;$D149)</f>
        <v/>
      </c>
      <c r="Y149" s="91">
        <f>IFERROR(IF($X149="","",INDEX(LLM_Data_Entry!$H$3:$H$548,MATCH($X149,INDEX(LLM_Data_Entry!$A$3:$A$548&amp;"|"&amp;LLM_Data_Entry!$C$3:$C$548&amp;"|"&amp;LLM_Data_Entry!$D$3:$D$548,0),0))),"")</f>
        <v/>
      </c>
      <c r="Z149" s="91">
        <f>IFERROR(IF($X149="","",INDEX(LLM_Data_Entry!$R$3:$R$548,MATCH($X149,INDEX(LLM_Data_Entry!$A$3:$A$548&amp;"|"&amp;LLM_Data_Entry!$C$3:$C$548&amp;"|"&amp;LLM_Data_Entry!$D$3:$D$548,0),0))),"")</f>
        <v/>
      </c>
      <c r="AB149" t="inlineStr">
        <is>
          <t>price signal — only this window shows an abnormal move</t>
        </is>
      </c>
      <c r="AC149" t="inlineStr">
        <is>
          <t>FDX</t>
        </is>
      </c>
      <c r="AD149" t="inlineStr">
        <is>
          <t>2026-03-19</t>
        </is>
      </c>
      <c r="AE149" t="n">
        <v>285.8809</v>
      </c>
      <c r="AF149" t="inlineStr">
        <is>
          <t>2026-03-20</t>
        </is>
      </c>
      <c r="AG149" t="n">
        <v>305.7177</v>
      </c>
      <c r="AH149" t="n">
        <v>0.06938857023244727</v>
      </c>
      <c r="AI149" t="inlineStr">
        <is>
          <t>UP</t>
        </is>
      </c>
      <c r="AJ149" t="inlineStr">
        <is>
          <t>YES</t>
        </is>
      </c>
      <c r="AK149" t="n">
        <v>0.06838900000000001</v>
      </c>
      <c r="AL149">
        <f>IF($A149="","",IFERROR(INDEX(Company_List!$G$3:$G$207,MATCH($A149,Company_List!$A$3:$A$207,0)),"unassigned"))</f>
        <v/>
      </c>
      <c r="AM149" t="inlineStr">
        <is>
          <t>Phase 2/FedEx/Earnings-Transcript-Q3FY26.pdf</t>
        </is>
      </c>
      <c r="AO149" t="inlineStr">
        <is>
          <t>unique filename match</t>
        </is>
      </c>
      <c r="AP149">
        <f>IF($A149="","",IF(COUNTIFS(LLM_Data_Entry!$A$3:$A$548,$A149)&gt;0,"YES","NO"))</f>
        <v/>
      </c>
      <c r="AQ149">
        <f>IF($A149="","",IF(COUNTIFS($A$3:$A149,$A149,$C$3:$C149,$C149,$D$3:$D149,$D149)=1,"YES","NO"))</f>
        <v/>
      </c>
      <c r="AR149">
        <f>IF($A149="","",IF(AND($C149&amp;"-"&amp;$D149&gt;=Settings!$B$19,$C149&amp;"-"&amp;$D149&lt;=Settings!$B$20),"IN","OUT"))</f>
        <v/>
      </c>
      <c r="AS149">
        <f>IF($A149="","",IF($F149="Financial Results","financials",IF($F149="Outlook/Guidance","guidance",IF($F149="Transcript Q&amp;A","qanda",IF($F149="","unrecorded",IF($E149="All","full",IF($E149="","unrecorded",LOWER($E149)&amp;" only")))))))</f>
        <v/>
      </c>
      <c r="AT149">
        <f>IF(AND(OR($J149="BUY",$J149="SELL"),ISNUMBER($U149)),$U149,"")</f>
        <v/>
      </c>
      <c r="AU149">
        <f>IF(AND(OR($J149="BUY",$J149="SELL"),ISNUMBER($AK149)),$AK149,"")</f>
        <v/>
      </c>
      <c r="AV149">
        <f>IF(ISNUMBER($AT149),ABS(IF(ISNUMBER($I149),$I149,0)-Settings!$B$24),"")</f>
        <v/>
      </c>
      <c r="AW149">
        <f>IF(ISNUMBER($AV149),$AV149*$AT149,"")</f>
        <v/>
      </c>
      <c r="AX149">
        <f>IF(ISNUMBER($AU149),ABS(IF(ISNUMBER($I149),$I149,0)-Settings!$B$24),"")</f>
        <v/>
      </c>
      <c r="AY149">
        <f>IF(ISNUMBER($AX149),$AX149*$AU149,"")</f>
        <v/>
      </c>
      <c r="AZ149">
        <f>IF($A149="","",IFERROR(INDEX(Company_List!$H$3:$H$207,MATCH($A149,Company_List!$A$3:$A$207,0)),"unassigned"))</f>
        <v/>
      </c>
      <c r="BC149">
        <f>IF($A149="","",IF(COUNTIFS($A$3:$A149,$A149,$C$3:$C149,$C149,$D$3:$D149,$D149,$G$3:$G149,$G149)=1,1,0))</f>
        <v/>
      </c>
      <c r="BG149" t="inlineStr">
        <is>
          <t>no</t>
        </is>
      </c>
      <c r="BK149">
        <f>IF(OR($H149&lt;&gt;"Human",$S149="",$J149="",$Y149="",$Z149=""),"",IF(EXACT(UPPER($J149),UPPER($Y149)),1,0))</f>
        <v/>
      </c>
      <c r="BL149" t="inlineStr">
        <is>
          <t>assumed - no rater record</t>
        </is>
      </c>
      <c r="BM149" t="n">
        <v>1</v>
      </c>
      <c r="BN149" t="inlineStr">
        <is>
          <t>not publisher-identified</t>
        </is>
      </c>
      <c r="BO149" t="inlineStr">
        <is>
          <t>not publisher-identified</t>
        </is>
      </c>
      <c r="BP149" t="inlineStr">
        <is>
          <t>no</t>
        </is>
      </c>
      <c r="BQ149" t="inlineStr">
        <is>
          <t>no</t>
        </is>
      </c>
    </row>
    <row r="150" ht="16.35" customHeight="1">
      <c r="A150" s="95" t="inlineStr">
        <is>
          <t>FedEx</t>
        </is>
      </c>
      <c r="B150" s="96">
        <f>IF(A150="","",_xlfn.XLOOKUP(A150, Company_List!$A:$A, Company_List!$B:$B, ""))</f>
        <v/>
      </c>
      <c r="C150" s="21" t="n">
        <v>2026</v>
      </c>
      <c r="D150" s="20" t="inlineStr">
        <is>
          <t>Q4</t>
        </is>
      </c>
      <c r="E150" s="19" t="inlineStr">
        <is>
          <t>Transcript</t>
        </is>
      </c>
      <c r="F150" s="19" t="inlineStr">
        <is>
          <t>All</t>
        </is>
      </c>
      <c r="G150" s="20" t="inlineStr">
        <is>
          <t>Anna</t>
        </is>
      </c>
      <c r="H150" s="20" t="inlineStr">
        <is>
          <t>Human</t>
        </is>
      </c>
      <c r="I150" s="127" t="n">
        <v>0.4</v>
      </c>
      <c r="J150" s="145">
        <f>IF(OR(I150="",Settings!$B$6=""),"",IF(I150&gt;Settings!$B$6,"BUY",IF(I150&lt;-Settings!$B$6,"SELL","HOLD")))</f>
        <v/>
      </c>
      <c r="K150" s="139" t="n">
        <v>25</v>
      </c>
      <c r="L150" s="123" t="n">
        <v>46196</v>
      </c>
      <c r="M150" s="123" t="n">
        <v>46196</v>
      </c>
      <c r="N150" s="147" t="n">
        <v>317.24</v>
      </c>
      <c r="O150" s="123" t="n">
        <v>46197</v>
      </c>
      <c r="P150" s="145" t="n">
        <v>314.77</v>
      </c>
      <c r="Q150" s="148">
        <f>IF(OR(N150="",P150=""),"",ROUND((P150-N150)/N150,4))</f>
        <v/>
      </c>
      <c r="R150" s="20">
        <f>IF(OR(N150="",P150=""),"",IF(Q150&gt;Settings!$B$3/100,"UP",IF(Q150&lt;-Settings!$B$3/100,"DOWN","FLAT")))</f>
        <v/>
      </c>
      <c r="S150" s="20">
        <f>IF(OR(N150="",P150="",J150=""),"",IF(OR(AND(J150="BUY",R150="UP"),AND(J150="SELL",R150="DOWN"),AND(J150="HOLD",R150="FLAT")),"YES","NO"))</f>
        <v/>
      </c>
      <c r="T150" s="21">
        <f>IF(J150="","",IF(J150="BUY",1,IF(J150="SELL",-1,0)))</f>
        <v/>
      </c>
      <c r="U150" s="148">
        <f>IFERROR(IF(OR(J150="",N150="",P150=""),"",IF(T150=0,0,T150*Q150-Settings!$B$4/10000-IF(T150&lt;0,Settings!$B$5/10000,0))),"")</f>
        <v/>
      </c>
      <c r="V150" s="23" t="n"/>
      <c r="W150" s="21">
        <f>IF($K150="","",$K150*60)</f>
        <v/>
      </c>
      <c r="X150" s="91">
        <f>IF($A150="","",$A150&amp;"|"&amp;$C150&amp;"|"&amp;$D150)</f>
        <v/>
      </c>
      <c r="Y150" s="91">
        <f>IFERROR(IF($X150="","",INDEX(LLM_Data_Entry!$H$3:$H$548,MATCH($X150,INDEX(LLM_Data_Entry!$A$3:$A$548&amp;"|"&amp;LLM_Data_Entry!$C$3:$C$548&amp;"|"&amp;LLM_Data_Entry!$D$3:$D$548,0),0))),"")</f>
        <v/>
      </c>
      <c r="Z150" s="91">
        <f>IFERROR(IF($X150="","",INDEX(LLM_Data_Entry!$R$3:$R$548,MATCH($X150,INDEX(LLM_Data_Entry!$A$3:$A$548&amp;"|"&amp;LLM_Data_Entry!$C$3:$C$548&amp;"|"&amp;LLM_Data_Entry!$D$3:$D$548,0),0))),"")</f>
        <v/>
      </c>
      <c r="AB150" t="inlineStr">
        <is>
          <t>price signal — only this window shows an abnormal move</t>
        </is>
      </c>
      <c r="AC150" t="inlineStr">
        <is>
          <t>FDX</t>
        </is>
      </c>
      <c r="AD150" t="inlineStr">
        <is>
          <t>2026-06-23</t>
        </is>
      </c>
      <c r="AE150" t="n">
        <v>317.24</v>
      </c>
      <c r="AF150" t="inlineStr">
        <is>
          <t>2026-06-24</t>
        </is>
      </c>
      <c r="AG150" t="n">
        <v>314.77</v>
      </c>
      <c r="AH150" t="n">
        <v>-0.007785906814585286</v>
      </c>
      <c r="AI150" t="inlineStr">
        <is>
          <t>FLAT</t>
        </is>
      </c>
      <c r="AJ150" t="inlineStr">
        <is>
          <t>NO</t>
        </is>
      </c>
      <c r="AK150" t="n">
        <v>-0.008786</v>
      </c>
      <c r="AL150">
        <f>IF($A150="","",IFERROR(INDEX(Company_List!$G$3:$G$207,MATCH($A150,Company_List!$A$3:$A$207,0)),"unassigned"))</f>
        <v/>
      </c>
      <c r="AM150" t="inlineStr">
        <is>
          <t>Phase 2/FedEx/Earnings-Transcript-Q4FY26.pdf</t>
        </is>
      </c>
      <c r="AO150" t="inlineStr">
        <is>
          <t>unique filename match</t>
        </is>
      </c>
      <c r="AP150">
        <f>IF($A150="","",IF(COUNTIFS(LLM_Data_Entry!$A$3:$A$548,$A150)&gt;0,"YES","NO"))</f>
        <v/>
      </c>
      <c r="AQ150">
        <f>IF($A150="","",IF(COUNTIFS($A$3:$A150,$A150,$C$3:$C150,$C150,$D$3:$D150,$D150)=1,"YES","NO"))</f>
        <v/>
      </c>
      <c r="AR150">
        <f>IF($A150="","",IF(AND($C150&amp;"-"&amp;$D150&gt;=Settings!$B$19,$C150&amp;"-"&amp;$D150&lt;=Settings!$B$20),"IN","OUT"))</f>
        <v/>
      </c>
      <c r="AS150">
        <f>IF($A150="","",IF($F150="Financial Results","financials",IF($F150="Outlook/Guidance","guidance",IF($F150="Transcript Q&amp;A","qanda",IF($F150="","unrecorded",IF($E150="All","full",IF($E150="","unrecorded",LOWER($E150)&amp;" only")))))))</f>
        <v/>
      </c>
      <c r="AT150">
        <f>IF(AND(OR($J150="BUY",$J150="SELL"),ISNUMBER($U150)),$U150,"")</f>
        <v/>
      </c>
      <c r="AU150">
        <f>IF(AND(OR($J150="BUY",$J150="SELL"),ISNUMBER($AK150)),$AK150,"")</f>
        <v/>
      </c>
      <c r="AV150">
        <f>IF(ISNUMBER($AT150),ABS(IF(ISNUMBER($I150),$I150,0)-Settings!$B$24),"")</f>
        <v/>
      </c>
      <c r="AW150">
        <f>IF(ISNUMBER($AV150),$AV150*$AT150,"")</f>
        <v/>
      </c>
      <c r="AX150">
        <f>IF(ISNUMBER($AU150),ABS(IF(ISNUMBER($I150),$I150,0)-Settings!$B$24),"")</f>
        <v/>
      </c>
      <c r="AY150">
        <f>IF(ISNUMBER($AX150),$AX150*$AU150,"")</f>
        <v/>
      </c>
      <c r="AZ150">
        <f>IF($A150="","",IFERROR(INDEX(Company_List!$H$3:$H$207,MATCH($A150,Company_List!$A$3:$A$207,0)),"unassigned"))</f>
        <v/>
      </c>
      <c r="BC150">
        <f>IF($A150="","",IF(COUNTIFS($A$3:$A150,$A150,$C$3:$C150,$C150,$D$3:$D150,$D150,$G$3:$G150,$G150)=1,1,0))</f>
        <v/>
      </c>
      <c r="BG150" t="inlineStr">
        <is>
          <t>no</t>
        </is>
      </c>
      <c r="BK150">
        <f>IF(OR($H150&lt;&gt;"Human",$S150="",$J150="",$Y150="",$Z150=""),"",IF(EXACT(UPPER($J150),UPPER($Y150)),1,0))</f>
        <v/>
      </c>
      <c r="BL150" t="inlineStr">
        <is>
          <t>assumed - no rater record</t>
        </is>
      </c>
      <c r="BM150" t="n">
        <v>1</v>
      </c>
      <c r="BN150" t="inlineStr">
        <is>
          <t>not publisher-identified</t>
        </is>
      </c>
      <c r="BO150" t="inlineStr">
        <is>
          <t>not publisher-identified</t>
        </is>
      </c>
      <c r="BP150" t="inlineStr">
        <is>
          <t>no</t>
        </is>
      </c>
      <c r="BQ150" t="inlineStr">
        <is>
          <t>no</t>
        </is>
      </c>
    </row>
    <row r="151" ht="16.35" customHeight="1">
      <c r="A151" s="95" t="inlineStr">
        <is>
          <t>FedEx</t>
        </is>
      </c>
      <c r="B151" s="96">
        <f>IF(A151="","",_xlfn.XLOOKUP(A151, Company_List!$A:$A, Company_List!$B:$B, ""))</f>
        <v/>
      </c>
      <c r="C151" s="21" t="n">
        <v>2026</v>
      </c>
      <c r="D151" s="20" t="inlineStr">
        <is>
          <t>Q1</t>
        </is>
      </c>
      <c r="E151" s="19" t="inlineStr">
        <is>
          <t>Transcript</t>
        </is>
      </c>
      <c r="F151" s="19" t="inlineStr">
        <is>
          <t>All</t>
        </is>
      </c>
      <c r="G151" s="20" t="inlineStr">
        <is>
          <t>Anna</t>
        </is>
      </c>
      <c r="H151" s="20" t="inlineStr">
        <is>
          <t>Human</t>
        </is>
      </c>
      <c r="I151" s="127" t="n">
        <v>0.3</v>
      </c>
      <c r="J151" s="145">
        <f>IF(OR(I151="",Settings!$B$6=""),"",IF(I151&gt;Settings!$B$6,"BUY",IF(I151&lt;-Settings!$B$6,"SELL","HOLD")))</f>
        <v/>
      </c>
      <c r="K151" s="139" t="n">
        <v>19</v>
      </c>
      <c r="L151" s="123" t="n">
        <v>45918</v>
      </c>
      <c r="M151" s="123" t="n">
        <v>45918</v>
      </c>
      <c r="N151" s="147" t="n">
        <v>182.51</v>
      </c>
      <c r="O151" s="123" t="n">
        <v>45919</v>
      </c>
      <c r="P151" s="145" t="n">
        <v>183.96</v>
      </c>
      <c r="Q151" s="148">
        <f>IF(OR(N151="",P151=""),"",ROUND((P151-N151)/N151,4))</f>
        <v/>
      </c>
      <c r="R151" s="20">
        <f>IF(OR(N151="",P151=""),"",IF(Q151&gt;Settings!$B$3/100,"UP",IF(Q151&lt;-Settings!$B$3/100,"DOWN","FLAT")))</f>
        <v/>
      </c>
      <c r="S151" s="20">
        <f>IF(OR(N151="",P151="",J151=""),"",IF(OR(AND(J151="BUY",R151="UP"),AND(J151="SELL",R151="DOWN"),AND(J151="HOLD",R151="FLAT")),"YES","NO"))</f>
        <v/>
      </c>
      <c r="T151" s="21">
        <f>IF(J151="","",IF(J151="BUY",1,IF(J151="SELL",-1,0)))</f>
        <v/>
      </c>
      <c r="U151" s="148">
        <f>IFERROR(IF(OR(J151="",N151="",P151=""),"",IF(T151=0,0,T151*Q151-Settings!$B$4/10000-IF(T151&lt;0,Settings!$B$5/10000,0))),"")</f>
        <v/>
      </c>
      <c r="V151" s="23" t="n"/>
      <c r="W151" s="21">
        <f>IF($K151="","",$K151*60)</f>
        <v/>
      </c>
      <c r="X151" s="91">
        <f>IF($A151="","",$A151&amp;"|"&amp;$C151&amp;"|"&amp;$D151)</f>
        <v/>
      </c>
      <c r="Y151" s="91">
        <f>IFERROR(IF($X151="","",INDEX(LLM_Data_Entry!$H$3:$H$548,MATCH($X151,INDEX(LLM_Data_Entry!$A$3:$A$548&amp;"|"&amp;LLM_Data_Entry!$C$3:$C$548&amp;"|"&amp;LLM_Data_Entry!$D$3:$D$548,0),0))),"")</f>
        <v/>
      </c>
      <c r="Z151" s="91">
        <f>IFERROR(IF($X151="","",INDEX(LLM_Data_Entry!$R$3:$R$548,MATCH($X151,INDEX(LLM_Data_Entry!$A$3:$A$548&amp;"|"&amp;LLM_Data_Entry!$C$3:$C$548&amp;"|"&amp;LLM_Data_Entry!$D$3:$D$548,0),0))),"")</f>
        <v/>
      </c>
      <c r="AB151" t="inlineStr">
        <is>
          <t>price signal — only this window shows an abnormal move</t>
        </is>
      </c>
      <c r="AC151" t="inlineStr">
        <is>
          <t>FDX</t>
        </is>
      </c>
      <c r="AD151" t="inlineStr">
        <is>
          <t>2025-09-18</t>
        </is>
      </c>
      <c r="AE151" t="n">
        <v>180.1738</v>
      </c>
      <c r="AF151" t="inlineStr">
        <is>
          <t>2025-09-19</t>
        </is>
      </c>
      <c r="AG151" t="n">
        <v>181.6056</v>
      </c>
      <c r="AH151" t="n">
        <v>0.007947007323929561</v>
      </c>
      <c r="AI151" t="inlineStr">
        <is>
          <t>FLAT</t>
        </is>
      </c>
      <c r="AJ151" t="inlineStr">
        <is>
          <t>NO</t>
        </is>
      </c>
      <c r="AK151" t="n">
        <v>0.006947</v>
      </c>
      <c r="AL151">
        <f>IF($A151="","",IFERROR(INDEX(Company_List!$G$3:$G$207,MATCH($A151,Company_List!$A$3:$A$207,0)),"unassigned"))</f>
        <v/>
      </c>
      <c r="AM151" t="inlineStr">
        <is>
          <t>Phase 2/FedEx/FDX-Q1-FY26-Earnings-Call-Transcript.pdf</t>
        </is>
      </c>
      <c r="AO151" t="inlineStr">
        <is>
          <t>unique filename match</t>
        </is>
      </c>
      <c r="AP151">
        <f>IF($A151="","",IF(COUNTIFS(LLM_Data_Entry!$A$3:$A$548,$A151)&gt;0,"YES","NO"))</f>
        <v/>
      </c>
      <c r="AQ151">
        <f>IF($A151="","",IF(COUNTIFS($A$3:$A151,$A151,$C$3:$C151,$C151,$D$3:$D151,$D151)=1,"YES","NO"))</f>
        <v/>
      </c>
      <c r="AR151">
        <f>IF($A151="","",IF(AND($C151&amp;"-"&amp;$D151&gt;=Settings!$B$19,$C151&amp;"-"&amp;$D151&lt;=Settings!$B$20),"IN","OUT"))</f>
        <v/>
      </c>
      <c r="AS151">
        <f>IF($A151="","",IF($F151="Financial Results","financials",IF($F151="Outlook/Guidance","guidance",IF($F151="Transcript Q&amp;A","qanda",IF($F151="","unrecorded",IF($E151="All","full",IF($E151="","unrecorded",LOWER($E151)&amp;" only")))))))</f>
        <v/>
      </c>
      <c r="AT151">
        <f>IF(AND(OR($J151="BUY",$J151="SELL"),ISNUMBER($U151)),$U151,"")</f>
        <v/>
      </c>
      <c r="AU151">
        <f>IF(AND(OR($J151="BUY",$J151="SELL"),ISNUMBER($AK151)),$AK151,"")</f>
        <v/>
      </c>
      <c r="AV151">
        <f>IF(ISNUMBER($AT151),ABS(IF(ISNUMBER($I151),$I151,0)-Settings!$B$24),"")</f>
        <v/>
      </c>
      <c r="AW151">
        <f>IF(ISNUMBER($AV151),$AV151*$AT151,"")</f>
        <v/>
      </c>
      <c r="AX151">
        <f>IF(ISNUMBER($AU151),ABS(IF(ISNUMBER($I151),$I151,0)-Settings!$B$24),"")</f>
        <v/>
      </c>
      <c r="AY151">
        <f>IF(ISNUMBER($AX151),$AX151*$AU151,"")</f>
        <v/>
      </c>
      <c r="AZ151">
        <f>IF($A151="","",IFERROR(INDEX(Company_List!$H$3:$H$207,MATCH($A151,Company_List!$A$3:$A$207,0)),"unassigned"))</f>
        <v/>
      </c>
      <c r="BC151">
        <f>IF($A151="","",IF(COUNTIFS($A$3:$A151,$A151,$C$3:$C151,$C151,$D$3:$D151,$D151,$G$3:$G151,$G151)=1,1,0))</f>
        <v/>
      </c>
      <c r="BG151" t="inlineStr">
        <is>
          <t>no</t>
        </is>
      </c>
      <c r="BK151">
        <f>IF(OR($H151&lt;&gt;"Human",$S151="",$J151="",$Y151="",$Z151=""),"",IF(EXACT(UPPER($J151),UPPER($Y151)),1,0))</f>
        <v/>
      </c>
      <c r="BL151" t="inlineStr">
        <is>
          <t>assumed - no rater record</t>
        </is>
      </c>
      <c r="BM151" t="n">
        <v>1</v>
      </c>
      <c r="BN151" t="inlineStr">
        <is>
          <t>not publisher-identified</t>
        </is>
      </c>
      <c r="BO151" t="inlineStr">
        <is>
          <t>not publisher-identified</t>
        </is>
      </c>
      <c r="BP151" t="inlineStr">
        <is>
          <t>no</t>
        </is>
      </c>
      <c r="BQ151" t="inlineStr">
        <is>
          <t>no</t>
        </is>
      </c>
    </row>
    <row r="152" ht="16.35" customHeight="1">
      <c r="A152" s="95" t="inlineStr">
        <is>
          <t>Hilton</t>
        </is>
      </c>
      <c r="B152" s="96">
        <f>IF(A152="","",_xlfn.XLOOKUP(A152, Company_List!$A:$A, Company_List!$B:$B, ""))</f>
        <v/>
      </c>
      <c r="C152" s="21" t="n">
        <v>2025</v>
      </c>
      <c r="D152" s="20" t="inlineStr">
        <is>
          <t>Q1</t>
        </is>
      </c>
      <c r="E152" s="19" t="inlineStr">
        <is>
          <t>Transcript</t>
        </is>
      </c>
      <c r="F152" s="19" t="inlineStr">
        <is>
          <t>All</t>
        </is>
      </c>
      <c r="G152" s="20" t="inlineStr">
        <is>
          <t>Anna</t>
        </is>
      </c>
      <c r="H152" s="20" t="inlineStr">
        <is>
          <t>Human</t>
        </is>
      </c>
      <c r="I152" s="127" t="n">
        <v>-0.3</v>
      </c>
      <c r="J152" s="145">
        <f>IF(OR(I152="",Settings!$B$6=""),"",IF(I152&gt;Settings!$B$6,"BUY",IF(I152&lt;-Settings!$B$6,"SELL","HOLD")))</f>
        <v/>
      </c>
      <c r="K152" s="139" t="n">
        <v>27</v>
      </c>
      <c r="L152" s="123" t="n">
        <v>45776</v>
      </c>
      <c r="M152" s="123" t="n">
        <v>45776</v>
      </c>
      <c r="N152" s="147" t="n">
        <v>226.41</v>
      </c>
      <c r="O152" s="123" t="n">
        <v>45777</v>
      </c>
      <c r="P152" s="145" t="n">
        <v>223.04</v>
      </c>
      <c r="Q152" s="148">
        <f>IF(OR(N152="",P152=""),"",ROUND((P152-N152)/N152,4))</f>
        <v/>
      </c>
      <c r="R152" s="20">
        <f>IF(OR(N152="",P152=""),"",IF(Q152&gt;Settings!$B$3/100,"UP",IF(Q152&lt;-Settings!$B$3/100,"DOWN","FLAT")))</f>
        <v/>
      </c>
      <c r="S152" s="20">
        <f>IF(OR(N152="",P152="",J152=""),"",IF(OR(AND(J152="BUY",R152="UP"),AND(J152="SELL",R152="DOWN"),AND(J152="HOLD",R152="FLAT")),"YES","NO"))</f>
        <v/>
      </c>
      <c r="T152" s="21">
        <f>IF(J152="","",IF(J152="BUY",1,IF(J152="SELL",-1,0)))</f>
        <v/>
      </c>
      <c r="U152" s="148">
        <f>IFERROR(IF(OR(J152="",N152="",P152=""),"",IF(T152=0,0,T152*Q152-Settings!$B$4/10000-IF(T152&lt;0,Settings!$B$5/10000,0))),"")</f>
        <v/>
      </c>
      <c r="V152" s="23" t="n"/>
      <c r="W152" s="21">
        <f>IF($K152="","",$K152*60)</f>
        <v/>
      </c>
      <c r="X152" s="91">
        <f>IF($A152="","",$A152&amp;"|"&amp;$C152&amp;"|"&amp;$D152)</f>
        <v/>
      </c>
      <c r="Y152" s="91">
        <f>IFERROR(IF($X152="","",INDEX(LLM_Data_Entry!$H$3:$H$548,MATCH($X152,INDEX(LLM_Data_Entry!$A$3:$A$548&amp;"|"&amp;LLM_Data_Entry!$C$3:$C$548&amp;"|"&amp;LLM_Data_Entry!$D$3:$D$548,0),0))),"")</f>
        <v/>
      </c>
      <c r="Z152" s="91">
        <f>IFERROR(IF($X152="","",INDEX(LLM_Data_Entry!$R$3:$R$548,MATCH($X152,INDEX(LLM_Data_Entry!$A$3:$A$548&amp;"|"&amp;LLM_Data_Entry!$C$3:$C$548&amp;"|"&amp;LLM_Data_Entry!$D$3:$D$548,0),0))),"")</f>
        <v/>
      </c>
      <c r="AB152" t="inlineStr">
        <is>
          <t>price signal</t>
        </is>
      </c>
      <c r="AC152" t="inlineStr">
        <is>
          <t>HLT</t>
        </is>
      </c>
      <c r="AD152" t="inlineStr">
        <is>
          <t>2025-04-28</t>
        </is>
      </c>
      <c r="AE152" t="n">
        <v>221.0122</v>
      </c>
      <c r="AF152" t="inlineStr">
        <is>
          <t>2025-04-29</t>
        </is>
      </c>
      <c r="AG152" t="n">
        <v>224.0043</v>
      </c>
      <c r="AH152" t="n">
        <v>0.01353784273014375</v>
      </c>
      <c r="AI152" t="inlineStr">
        <is>
          <t>FLAT</t>
        </is>
      </c>
      <c r="AJ152" t="inlineStr">
        <is>
          <t>NO</t>
        </is>
      </c>
      <c r="AK152" t="n">
        <v>-0.014538</v>
      </c>
      <c r="AL152">
        <f>IF($A152="","",IFERROR(INDEX(Company_List!$G$3:$G$207,MATCH($A152,Company_List!$A$3:$A$207,0)),"unassigned"))</f>
        <v/>
      </c>
      <c r="AM152" t="inlineStr">
        <is>
          <t>Phase 2/Hilton/hilton-1q-2025-earnings-call-transcript.pdf</t>
        </is>
      </c>
      <c r="AO152" t="inlineStr">
        <is>
          <t>unique filename match</t>
        </is>
      </c>
      <c r="AP152">
        <f>IF($A152="","",IF(COUNTIFS(LLM_Data_Entry!$A$3:$A$548,$A152)&gt;0,"YES","NO"))</f>
        <v/>
      </c>
      <c r="AQ152">
        <f>IF($A152="","",IF(COUNTIFS($A$3:$A152,$A152,$C$3:$C152,$C152,$D$3:$D152,$D152)=1,"YES","NO"))</f>
        <v/>
      </c>
      <c r="AR152">
        <f>IF($A152="","",IF(AND($C152&amp;"-"&amp;$D152&gt;=Settings!$B$19,$C152&amp;"-"&amp;$D152&lt;=Settings!$B$20),"IN","OUT"))</f>
        <v/>
      </c>
      <c r="AS152">
        <f>IF($A152="","",IF($F152="Financial Results","financials",IF($F152="Outlook/Guidance","guidance",IF($F152="Transcript Q&amp;A","qanda",IF($F152="","unrecorded",IF($E152="All","full",IF($E152="","unrecorded",LOWER($E152)&amp;" only")))))))</f>
        <v/>
      </c>
      <c r="AT152">
        <f>IF(AND(OR($J152="BUY",$J152="SELL"),ISNUMBER($U152)),$U152,"")</f>
        <v/>
      </c>
      <c r="AU152">
        <f>IF(AND(OR($J152="BUY",$J152="SELL"),ISNUMBER($AK152)),$AK152,"")</f>
        <v/>
      </c>
      <c r="AV152">
        <f>IF(ISNUMBER($AT152),ABS(IF(ISNUMBER($I152),$I152,0)-Settings!$B$24),"")</f>
        <v/>
      </c>
      <c r="AW152">
        <f>IF(ISNUMBER($AV152),$AV152*$AT152,"")</f>
        <v/>
      </c>
      <c r="AX152">
        <f>IF(ISNUMBER($AU152),ABS(IF(ISNUMBER($I152),$I152,0)-Settings!$B$24),"")</f>
        <v/>
      </c>
      <c r="AY152">
        <f>IF(ISNUMBER($AX152),$AX152*$AU152,"")</f>
        <v/>
      </c>
      <c r="AZ152">
        <f>IF($A152="","",IFERROR(INDEX(Company_List!$H$3:$H$207,MATCH($A152,Company_List!$A$3:$A$207,0)),"unassigned"))</f>
        <v/>
      </c>
      <c r="BC152">
        <f>IF($A152="","",IF(COUNTIFS($A$3:$A152,$A152,$C$3:$C152,$C152,$D$3:$D152,$D152,$G$3:$G152,$G152)=1,1,0))</f>
        <v/>
      </c>
      <c r="BG152" t="inlineStr">
        <is>
          <t>no</t>
        </is>
      </c>
      <c r="BK152">
        <f>IF(OR($H152&lt;&gt;"Human",$S152="",$J152="",$Y152="",$Z152=""),"",IF(EXACT(UPPER($J152),UPPER($Y152)),1,0))</f>
        <v/>
      </c>
      <c r="BL152" t="inlineStr">
        <is>
          <t>assumed - no rater record</t>
        </is>
      </c>
      <c r="BM152" t="n">
        <v>1</v>
      </c>
      <c r="BN152" t="inlineStr">
        <is>
          <t>S&amp;P Global Market Intelligence (Capital IQ)</t>
        </is>
      </c>
      <c r="BO152" t="inlineStr">
        <is>
          <t>licensed vendor</t>
        </is>
      </c>
      <c r="BP152" t="inlineStr">
        <is>
          <t>no</t>
        </is>
      </c>
      <c r="BQ152" t="inlineStr">
        <is>
          <t>no</t>
        </is>
      </c>
    </row>
    <row r="153" ht="16.35" customHeight="1">
      <c r="A153" s="95" t="inlineStr">
        <is>
          <t>Hilton</t>
        </is>
      </c>
      <c r="B153" s="96">
        <f>IF(A153="","",_xlfn.XLOOKUP(A153, Company_List!$A:$A, Company_List!$B:$B, ""))</f>
        <v/>
      </c>
      <c r="C153" s="21" t="n">
        <v>2025</v>
      </c>
      <c r="D153" s="20" t="inlineStr">
        <is>
          <t>Q2</t>
        </is>
      </c>
      <c r="E153" s="19" t="inlineStr">
        <is>
          <t>Transcript</t>
        </is>
      </c>
      <c r="F153" s="19" t="inlineStr">
        <is>
          <t>All</t>
        </is>
      </c>
      <c r="G153" s="20" t="inlineStr">
        <is>
          <t>Anna</t>
        </is>
      </c>
      <c r="H153" s="20" t="inlineStr">
        <is>
          <t>Human</t>
        </is>
      </c>
      <c r="I153" s="127" t="n">
        <v>-0.2</v>
      </c>
      <c r="J153" s="145">
        <f>IF(OR(I153="",Settings!$B$6=""),"",IF(I153&gt;Settings!$B$6,"BUY",IF(I153&lt;-Settings!$B$6,"SELL","HOLD")))</f>
        <v/>
      </c>
      <c r="K153" s="139" t="n">
        <v>28</v>
      </c>
      <c r="L153" s="123" t="n">
        <v>45861</v>
      </c>
      <c r="M153" s="123" t="n">
        <v>45861</v>
      </c>
      <c r="N153" s="147" t="n">
        <v>266.85</v>
      </c>
      <c r="O153" s="123" t="n">
        <v>45862</v>
      </c>
      <c r="P153" s="145" t="n">
        <v>266.43</v>
      </c>
      <c r="Q153" s="148">
        <f>IF(OR(N153="",P153=""),"",ROUND((P153-N153)/N153,4))</f>
        <v/>
      </c>
      <c r="R153" s="20">
        <f>IF(OR(N153="",P153=""),"",IF(Q153&gt;Settings!$B$3/100,"UP",IF(Q153&lt;-Settings!$B$3/100,"DOWN","FLAT")))</f>
        <v/>
      </c>
      <c r="S153" s="20">
        <f>IF(OR(N153="",P153="",J153=""),"",IF(OR(AND(J153="BUY",R153="UP"),AND(J153="SELL",R153="DOWN"),AND(J153="HOLD",R153="FLAT")),"YES","NO"))</f>
        <v/>
      </c>
      <c r="T153" s="21">
        <f>IF(J153="","",IF(J153="BUY",1,IF(J153="SELL",-1,0)))</f>
        <v/>
      </c>
      <c r="U153" s="148">
        <f>IFERROR(IF(OR(J153="",N153="",P153=""),"",IF(T153=0,0,T153*Q153-Settings!$B$4/10000-IF(T153&lt;0,Settings!$B$5/10000,0))),"")</f>
        <v/>
      </c>
      <c r="V153" s="23" t="n"/>
      <c r="W153" s="21">
        <f>IF($K153="","",$K153*60)</f>
        <v/>
      </c>
      <c r="X153" s="91">
        <f>IF($A153="","",$A153&amp;"|"&amp;$C153&amp;"|"&amp;$D153)</f>
        <v/>
      </c>
      <c r="Y153" s="91">
        <f>IFERROR(IF($X153="","",INDEX(LLM_Data_Entry!$H$3:$H$548,MATCH($X153,INDEX(LLM_Data_Entry!$A$3:$A$548&amp;"|"&amp;LLM_Data_Entry!$C$3:$C$548&amp;"|"&amp;LLM_Data_Entry!$D$3:$D$548,0),0))),"")</f>
        <v/>
      </c>
      <c r="Z153" s="91">
        <f>IFERROR(IF($X153="","",INDEX(LLM_Data_Entry!$R$3:$R$548,MATCH($X153,INDEX(LLM_Data_Entry!$A$3:$A$548&amp;"|"&amp;LLM_Data_Entry!$C$3:$C$548&amp;"|"&amp;LLM_Data_Entry!$D$3:$D$548,0),0))),"")</f>
        <v/>
      </c>
      <c r="AB153" t="inlineStr">
        <is>
          <t>price signal</t>
        </is>
      </c>
      <c r="AC153" t="inlineStr">
        <is>
          <t>HLT</t>
        </is>
      </c>
      <c r="AD153" t="inlineStr">
        <is>
          <t>2025-07-22</t>
        </is>
      </c>
      <c r="AE153" t="n">
        <v>273.2798</v>
      </c>
      <c r="AF153" t="inlineStr">
        <is>
          <t>2025-07-23</t>
        </is>
      </c>
      <c r="AG153" t="n">
        <v>264.3581</v>
      </c>
      <c r="AH153" t="n">
        <v>-0.03264686799542926</v>
      </c>
      <c r="AI153" t="inlineStr">
        <is>
          <t>DOWN</t>
        </is>
      </c>
      <c r="AJ153" t="inlineStr">
        <is>
          <t>NO</t>
        </is>
      </c>
      <c r="AK153" t="n">
        <v>0</v>
      </c>
      <c r="AL153">
        <f>IF($A153="","",IFERROR(INDEX(Company_List!$G$3:$G$207,MATCH($A153,Company_List!$A$3:$A$207,0)),"unassigned"))</f>
        <v/>
      </c>
      <c r="AM153" t="inlineStr">
        <is>
          <t>Phase 2/Hilton/hilton-2q-2025-earnings-call-july-23-2025.pdf</t>
        </is>
      </c>
      <c r="AO153" t="inlineStr">
        <is>
          <t>unique filename match</t>
        </is>
      </c>
      <c r="AP153">
        <f>IF($A153="","",IF(COUNTIFS(LLM_Data_Entry!$A$3:$A$548,$A153)&gt;0,"YES","NO"))</f>
        <v/>
      </c>
      <c r="AQ153">
        <f>IF($A153="","",IF(COUNTIFS($A$3:$A153,$A153,$C$3:$C153,$C153,$D$3:$D153,$D153)=1,"YES","NO"))</f>
        <v/>
      </c>
      <c r="AR153">
        <f>IF($A153="","",IF(AND($C153&amp;"-"&amp;$D153&gt;=Settings!$B$19,$C153&amp;"-"&amp;$D153&lt;=Settings!$B$20),"IN","OUT"))</f>
        <v/>
      </c>
      <c r="AS153">
        <f>IF($A153="","",IF($F153="Financial Results","financials",IF($F153="Outlook/Guidance","guidance",IF($F153="Transcript Q&amp;A","qanda",IF($F153="","unrecorded",IF($E153="All","full",IF($E153="","unrecorded",LOWER($E153)&amp;" only")))))))</f>
        <v/>
      </c>
      <c r="AT153">
        <f>IF(AND(OR($J153="BUY",$J153="SELL"),ISNUMBER($U153)),$U153,"")</f>
        <v/>
      </c>
      <c r="AU153">
        <f>IF(AND(OR($J153="BUY",$J153="SELL"),ISNUMBER($AK153)),$AK153,"")</f>
        <v/>
      </c>
      <c r="AV153">
        <f>IF(ISNUMBER($AT153),ABS(IF(ISNUMBER($I153),$I153,0)-Settings!$B$24),"")</f>
        <v/>
      </c>
      <c r="AW153">
        <f>IF(ISNUMBER($AV153),$AV153*$AT153,"")</f>
        <v/>
      </c>
      <c r="AX153">
        <f>IF(ISNUMBER($AU153),ABS(IF(ISNUMBER($I153),$I153,0)-Settings!$B$24),"")</f>
        <v/>
      </c>
      <c r="AY153">
        <f>IF(ISNUMBER($AX153),$AX153*$AU153,"")</f>
        <v/>
      </c>
      <c r="AZ153">
        <f>IF($A153="","",IFERROR(INDEX(Company_List!$H$3:$H$207,MATCH($A153,Company_List!$A$3:$A$207,0)),"unassigned"))</f>
        <v/>
      </c>
      <c r="BC153">
        <f>IF($A153="","",IF(COUNTIFS($A$3:$A153,$A153,$C$3:$C153,$C153,$D$3:$D153,$D153,$G$3:$G153,$G153)=1,1,0))</f>
        <v/>
      </c>
      <c r="BG153" t="inlineStr">
        <is>
          <t>no</t>
        </is>
      </c>
      <c r="BK153">
        <f>IF(OR($H153&lt;&gt;"Human",$S153="",$J153="",$Y153="",$Z153=""),"",IF(EXACT(UPPER($J153),UPPER($Y153)),1,0))</f>
        <v/>
      </c>
      <c r="BL153" t="inlineStr">
        <is>
          <t>assumed - no rater record</t>
        </is>
      </c>
      <c r="BM153" t="n">
        <v>1</v>
      </c>
      <c r="BN153" t="inlineStr">
        <is>
          <t>S&amp;P Global Market Intelligence (Capital IQ)</t>
        </is>
      </c>
      <c r="BO153" t="inlineStr">
        <is>
          <t>licensed vendor</t>
        </is>
      </c>
      <c r="BP153" t="inlineStr">
        <is>
          <t>no</t>
        </is>
      </c>
      <c r="BQ153" t="inlineStr">
        <is>
          <t>no</t>
        </is>
      </c>
    </row>
    <row r="154" ht="16.35" customHeight="1">
      <c r="A154" s="95" t="inlineStr">
        <is>
          <t>Hilton</t>
        </is>
      </c>
      <c r="B154" s="96">
        <f>IF(A154="","",_xlfn.XLOOKUP(A154, Company_List!$A:$A, Company_List!$B:$B, ""))</f>
        <v/>
      </c>
      <c r="C154" s="21" t="n">
        <v>2024</v>
      </c>
      <c r="D154" s="20" t="inlineStr">
        <is>
          <t>Q3</t>
        </is>
      </c>
      <c r="E154" s="19" t="inlineStr">
        <is>
          <t>Transcript</t>
        </is>
      </c>
      <c r="F154" s="19" t="inlineStr">
        <is>
          <t>All</t>
        </is>
      </c>
      <c r="G154" s="20" t="inlineStr">
        <is>
          <t>Anna</t>
        </is>
      </c>
      <c r="H154" s="20" t="inlineStr">
        <is>
          <t>Human</t>
        </is>
      </c>
      <c r="I154" s="127" t="n">
        <v>-0.2</v>
      </c>
      <c r="J154" s="145">
        <f>IF(OR(I154="",Settings!$B$6=""),"",IF(I154&gt;Settings!$B$6,"BUY",IF(I154&lt;-Settings!$B$6,"SELL","HOLD")))</f>
        <v/>
      </c>
      <c r="K154" s="139" t="n">
        <v>24</v>
      </c>
      <c r="L154" s="123" t="n">
        <v>45952</v>
      </c>
      <c r="M154" s="123" t="n">
        <v>45952</v>
      </c>
      <c r="N154" s="127" t="n">
        <v>275.06</v>
      </c>
      <c r="O154" s="123" t="n">
        <v>45953</v>
      </c>
      <c r="P154" s="22" t="n">
        <v>274.12</v>
      </c>
      <c r="Q154" s="148">
        <f>IF(OR(N154="",P154=""),"",ROUND((P154-N154)/N154,4))</f>
        <v/>
      </c>
      <c r="R154" s="20">
        <f>IF(OR(N154="",P154=""),"",IF(Q154&gt;Settings!$B$3/100,"UP",IF(Q154&lt;-Settings!$B$3/100,"DOWN","FLAT")))</f>
        <v/>
      </c>
      <c r="S154" s="20">
        <f>IF(OR(N154="",P154="",J154=""),"",IF(OR(AND(J154="BUY",R154="UP"),AND(J154="SELL",R154="DOWN"),AND(J154="HOLD",R154="FLAT")),"YES","NO"))</f>
        <v/>
      </c>
      <c r="T154" s="21">
        <f>IF(J154="","",IF(J154="BUY",1,IF(J154="SELL",-1,0)))</f>
        <v/>
      </c>
      <c r="U154" s="148">
        <f>IFERROR(IF(OR(J154="",N154="",P154=""),"",IF(T154=0,0,T154*Q154-Settings!$B$4/10000-IF(T154&lt;0,Settings!$B$5/10000,0))),"")</f>
        <v/>
      </c>
      <c r="V154" s="23" t="n"/>
      <c r="W154" s="21">
        <f>IF($K154="","",$K154*60)</f>
        <v/>
      </c>
      <c r="X154" s="91">
        <f>IF($A154="","",$A154&amp;"|"&amp;$C154&amp;"|"&amp;$D154)</f>
        <v/>
      </c>
      <c r="Y154" s="91">
        <f>IFERROR(IF($X154="","",INDEX(LLM_Data_Entry!$H$3:$H$548,MATCH($X154,INDEX(LLM_Data_Entry!$A$3:$A$548&amp;"|"&amp;LLM_Data_Entry!$C$3:$C$548&amp;"|"&amp;LLM_Data_Entry!$D$3:$D$548,0),0))),"")</f>
        <v/>
      </c>
      <c r="Z154" s="91">
        <f>IFERROR(IF($X154="","",INDEX(LLM_Data_Entry!$R$3:$R$548,MATCH($X154,INDEX(LLM_Data_Entry!$A$3:$A$548&amp;"|"&amp;LLM_Data_Entry!$C$3:$C$548&amp;"|"&amp;LLM_Data_Entry!$D$3:$D$548,0),0))),"")</f>
        <v/>
      </c>
      <c r="AB154" t="inlineStr">
        <is>
          <t>recorded price identified against every pulled series</t>
        </is>
      </c>
      <c r="AC154" t="inlineStr">
        <is>
          <t>HLT</t>
        </is>
      </c>
      <c r="AD154" t="inlineStr">
        <is>
          <t>2024-10-22</t>
        </is>
      </c>
      <c r="AE154" t="n">
        <v>237.223</v>
      </c>
      <c r="AF154" t="inlineStr">
        <is>
          <t>2024-10-23</t>
        </is>
      </c>
      <c r="AG154" t="n">
        <v>236.5954</v>
      </c>
      <c r="AH154" t="n">
        <v>-0.002645619719489599</v>
      </c>
      <c r="AI154" t="inlineStr">
        <is>
          <t>FLAT</t>
        </is>
      </c>
      <c r="AJ154" t="inlineStr">
        <is>
          <t>YES</t>
        </is>
      </c>
      <c r="AK154" t="n">
        <v>0</v>
      </c>
      <c r="AL154">
        <f>IF($A154="","",IFERROR(INDEX(Company_List!$G$3:$G$207,MATCH($A154,Company_List!$A$3:$A$207,0)),"unassigned"))</f>
        <v/>
      </c>
      <c r="AM154" t="inlineStr">
        <is>
          <t>Phase 2/Hilton/hilton-3q-2024-earnings-call-october-22-2025.pdf</t>
        </is>
      </c>
      <c r="AO154" t="inlineStr">
        <is>
          <t>unique filename match</t>
        </is>
      </c>
      <c r="AP154">
        <f>IF($A154="","",IF(COUNTIFS(LLM_Data_Entry!$A$3:$A$548,$A154)&gt;0,"YES","NO"))</f>
        <v/>
      </c>
      <c r="AQ154">
        <f>IF($A154="","",IF(COUNTIFS($A$3:$A154,$A154,$C$3:$C154,$C154,$D$3:$D154,$D154)=1,"YES","NO"))</f>
        <v/>
      </c>
      <c r="AR154">
        <f>IF($A154="","",IF(AND($C154&amp;"-"&amp;$D154&gt;=Settings!$B$19,$C154&amp;"-"&amp;$D154&lt;=Settings!$B$20),"IN","OUT"))</f>
        <v/>
      </c>
      <c r="AS154">
        <f>IF($A154="","",IF($F154="Financial Results","financials",IF($F154="Outlook/Guidance","guidance",IF($F154="Transcript Q&amp;A","qanda",IF($F154="","unrecorded",IF($E154="All","full",IF($E154="","unrecorded",LOWER($E154)&amp;" only")))))))</f>
        <v/>
      </c>
      <c r="AT154">
        <f>IF(AND(OR($J154="BUY",$J154="SELL"),ISNUMBER($U154)),$U154,"")</f>
        <v/>
      </c>
      <c r="AU154">
        <f>IF(AND(OR($J154="BUY",$J154="SELL"),ISNUMBER($AK154)),$AK154,"")</f>
        <v/>
      </c>
      <c r="AV154">
        <f>IF(ISNUMBER($AT154),ABS(IF(ISNUMBER($I154),$I154,0)-Settings!$B$24),"")</f>
        <v/>
      </c>
      <c r="AW154">
        <f>IF(ISNUMBER($AV154),$AV154*$AT154,"")</f>
        <v/>
      </c>
      <c r="AX154">
        <f>IF(ISNUMBER($AU154),ABS(IF(ISNUMBER($I154),$I154,0)-Settings!$B$24),"")</f>
        <v/>
      </c>
      <c r="AY154">
        <f>IF(ISNUMBER($AX154),$AX154*$AU154,"")</f>
        <v/>
      </c>
      <c r="AZ154">
        <f>IF($A154="","",IFERROR(INDEX(Company_List!$H$3:$H$207,MATCH($A154,Company_List!$A$3:$A$207,0)),"unassigned"))</f>
        <v/>
      </c>
      <c r="BC154">
        <f>IF($A154="","",IF(COUNTIFS($A$3:$A154,$A154,$C$3:$C154,$C154,$D$3:$D154,$D154,$G$3:$G154,$G154)=1,1,0))</f>
        <v/>
      </c>
      <c r="BG154" t="inlineStr">
        <is>
          <t>no</t>
        </is>
      </c>
      <c r="BK154">
        <f>IF(OR($H154&lt;&gt;"Human",$S154="",$J154="",$Y154="",$Z154=""),"",IF(EXACT(UPPER($J154),UPPER($Y154)),1,0))</f>
        <v/>
      </c>
      <c r="BL154" t="inlineStr">
        <is>
          <t>assumed - no rater record</t>
        </is>
      </c>
      <c r="BM154" t="n">
        <v>1</v>
      </c>
      <c r="BN154" t="inlineStr">
        <is>
          <t>S&amp;P Global Market Intelligence (Capital IQ)</t>
        </is>
      </c>
      <c r="BO154" t="inlineStr">
        <is>
          <t>licensed vendor</t>
        </is>
      </c>
      <c r="BP154" t="inlineStr">
        <is>
          <t>no</t>
        </is>
      </c>
      <c r="BQ154" t="inlineStr">
        <is>
          <t>no</t>
        </is>
      </c>
    </row>
    <row r="155" ht="16.35" customHeight="1">
      <c r="A155" s="95" t="inlineStr">
        <is>
          <t>Hilton</t>
        </is>
      </c>
      <c r="B155" s="96">
        <f>IF(A155="","",_xlfn.XLOOKUP(A155, Company_List!$A:$A, Company_List!$B:$B, ""))</f>
        <v/>
      </c>
      <c r="C155" s="21" t="n">
        <v>2026</v>
      </c>
      <c r="D155" s="20" t="inlineStr">
        <is>
          <t>Q1</t>
        </is>
      </c>
      <c r="E155" s="19" t="inlineStr">
        <is>
          <t>Transcript</t>
        </is>
      </c>
      <c r="F155" s="19" t="inlineStr">
        <is>
          <t>All</t>
        </is>
      </c>
      <c r="G155" s="20" t="inlineStr">
        <is>
          <t>Anna</t>
        </is>
      </c>
      <c r="H155" s="20" t="inlineStr">
        <is>
          <t>Human</t>
        </is>
      </c>
      <c r="I155" s="127" t="n">
        <v>0.3</v>
      </c>
      <c r="J155" s="145">
        <f>IF(OR(I155="",Settings!$B$6=""),"",IF(I155&gt;Settings!$B$6,"BUY",IF(I155&lt;-Settings!$B$6,"SELL","HOLD")))</f>
        <v/>
      </c>
      <c r="K155" s="139" t="n">
        <v>25</v>
      </c>
      <c r="L155" s="123" t="n">
        <v>46140</v>
      </c>
      <c r="M155" s="124" t="n">
        <v>46140</v>
      </c>
      <c r="N155" s="127" t="n">
        <v>323.36</v>
      </c>
      <c r="O155" s="123" t="n">
        <v>46141</v>
      </c>
      <c r="P155" s="22" t="n">
        <v>321.55</v>
      </c>
      <c r="Q155" s="148">
        <f>IF(OR(N155="",P155=""),"",ROUND((P155-N155)/N155,4))</f>
        <v/>
      </c>
      <c r="R155" s="20">
        <f>IF(OR(N155="",P155=""),"",IF(Q155&gt;Settings!$B$3/100,"UP",IF(Q155&lt;-Settings!$B$3/100,"DOWN","FLAT")))</f>
        <v/>
      </c>
      <c r="S155" s="20">
        <f>IF(OR(N155="",P155="",J155=""),"",IF(OR(AND(J155="BUY",R155="UP"),AND(J155="SELL",R155="DOWN"),AND(J155="HOLD",R155="FLAT")),"YES","NO"))</f>
        <v/>
      </c>
      <c r="T155" s="21">
        <f>IF(J155="","",IF(J155="BUY",1,IF(J155="SELL",-1,0)))</f>
        <v/>
      </c>
      <c r="U155" s="148">
        <f>IFERROR(IF(OR(J155="",N155="",P155=""),"",IF(T155=0,0,T155*Q155-Settings!$B$4/10000-IF(T155&lt;0,Settings!$B$5/10000,0))),"")</f>
        <v/>
      </c>
      <c r="V155" s="23" t="n"/>
      <c r="W155" s="21">
        <f>IF($K155="","",$K155*60)</f>
        <v/>
      </c>
      <c r="X155" s="91">
        <f>IF($A155="","",$A155&amp;"|"&amp;$C155&amp;"|"&amp;$D155)</f>
        <v/>
      </c>
      <c r="Y155" s="91">
        <f>IFERROR(IF($X155="","",INDEX(LLM_Data_Entry!$H$3:$H$548,MATCH($X155,INDEX(LLM_Data_Entry!$A$3:$A$548&amp;"|"&amp;LLM_Data_Entry!$C$3:$C$548&amp;"|"&amp;LLM_Data_Entry!$D$3:$D$548,0),0))),"")</f>
        <v/>
      </c>
      <c r="Z155" s="91">
        <f>IFERROR(IF($X155="","",INDEX(LLM_Data_Entry!$R$3:$R$548,MATCH($X155,INDEX(LLM_Data_Entry!$A$3:$A$548&amp;"|"&amp;LLM_Data_Entry!$C$3:$C$548&amp;"|"&amp;LLM_Data_Entry!$D$3:$D$548,0),0))),"")</f>
        <v/>
      </c>
      <c r="AB155" t="inlineStr">
        <is>
          <t>recorded price identified against every pulled series</t>
        </is>
      </c>
      <c r="AC155" t="inlineStr">
        <is>
          <t>HLT</t>
        </is>
      </c>
      <c r="AD155" t="inlineStr">
        <is>
          <t>2026-04-27</t>
        </is>
      </c>
      <c r="AE155" t="n">
        <v>332.2955</v>
      </c>
      <c r="AF155" t="inlineStr">
        <is>
          <t>2026-04-28</t>
        </is>
      </c>
      <c r="AG155" t="n">
        <v>323.2697</v>
      </c>
      <c r="AH155" t="n">
        <v>-0.02716192317131351</v>
      </c>
      <c r="AI155" t="inlineStr">
        <is>
          <t>DOWN</t>
        </is>
      </c>
      <c r="AJ155" t="inlineStr">
        <is>
          <t>NO</t>
        </is>
      </c>
      <c r="AK155" t="n">
        <v>-0.028162</v>
      </c>
      <c r="AL155">
        <f>IF($A155="","",IFERROR(INDEX(Company_List!$G$3:$G$207,MATCH($A155,Company_List!$A$3:$A$207,0)),"unassigned"))</f>
        <v/>
      </c>
      <c r="AM155" t="inlineStr">
        <is>
          <t>Phase 2/Hilton/hilton-q1-2026-earnings-transcript.pdf</t>
        </is>
      </c>
      <c r="AO155" t="inlineStr">
        <is>
          <t>unique filename match</t>
        </is>
      </c>
      <c r="AP155">
        <f>IF($A155="","",IF(COUNTIFS(LLM_Data_Entry!$A$3:$A$548,$A155)&gt;0,"YES","NO"))</f>
        <v/>
      </c>
      <c r="AQ155">
        <f>IF($A155="","",IF(COUNTIFS($A$3:$A155,$A155,$C$3:$C155,$C155,$D$3:$D155,$D155)=1,"YES","NO"))</f>
        <v/>
      </c>
      <c r="AR155">
        <f>IF($A155="","",IF(AND($C155&amp;"-"&amp;$D155&gt;=Settings!$B$19,$C155&amp;"-"&amp;$D155&lt;=Settings!$B$20),"IN","OUT"))</f>
        <v/>
      </c>
      <c r="AS155">
        <f>IF($A155="","",IF($F155="Financial Results","financials",IF($F155="Outlook/Guidance","guidance",IF($F155="Transcript Q&amp;A","qanda",IF($F155="","unrecorded",IF($E155="All","full",IF($E155="","unrecorded",LOWER($E155)&amp;" only")))))))</f>
        <v/>
      </c>
      <c r="AT155">
        <f>IF(AND(OR($J155="BUY",$J155="SELL"),ISNUMBER($U155)),$U155,"")</f>
        <v/>
      </c>
      <c r="AU155">
        <f>IF(AND(OR($J155="BUY",$J155="SELL"),ISNUMBER($AK155)),$AK155,"")</f>
        <v/>
      </c>
      <c r="AV155">
        <f>IF(ISNUMBER($AT155),ABS(IF(ISNUMBER($I155),$I155,0)-Settings!$B$24),"")</f>
        <v/>
      </c>
      <c r="AW155">
        <f>IF(ISNUMBER($AV155),$AV155*$AT155,"")</f>
        <v/>
      </c>
      <c r="AX155">
        <f>IF(ISNUMBER($AU155),ABS(IF(ISNUMBER($I155),$I155,0)-Settings!$B$24),"")</f>
        <v/>
      </c>
      <c r="AY155">
        <f>IF(ISNUMBER($AX155),$AX155*$AU155,"")</f>
        <v/>
      </c>
      <c r="AZ155">
        <f>IF($A155="","",IFERROR(INDEX(Company_List!$H$3:$H$207,MATCH($A155,Company_List!$A$3:$A$207,0)),"unassigned"))</f>
        <v/>
      </c>
      <c r="BC155">
        <f>IF($A155="","",IF(COUNTIFS($A$3:$A155,$A155,$C$3:$C155,$C155,$D$3:$D155,$D155,$G$3:$G155,$G155)=1,1,0))</f>
        <v/>
      </c>
      <c r="BG155" t="inlineStr">
        <is>
          <t>no</t>
        </is>
      </c>
      <c r="BK155">
        <f>IF(OR($H155&lt;&gt;"Human",$S155="",$J155="",$Y155="",$Z155=""),"",IF(EXACT(UPPER($J155),UPPER($Y155)),1,0))</f>
        <v/>
      </c>
      <c r="BL155" t="inlineStr">
        <is>
          <t>assumed - no rater record</t>
        </is>
      </c>
      <c r="BM155" t="n">
        <v>1</v>
      </c>
      <c r="BN155" t="inlineStr">
        <is>
          <t>S&amp;P Global Market Intelligence (Capital IQ)</t>
        </is>
      </c>
      <c r="BO155" t="inlineStr">
        <is>
          <t>licensed vendor</t>
        </is>
      </c>
      <c r="BP155" t="inlineStr">
        <is>
          <t>no</t>
        </is>
      </c>
      <c r="BQ155" t="inlineStr">
        <is>
          <t>no</t>
        </is>
      </c>
    </row>
    <row r="156" ht="16.35" customHeight="1">
      <c r="A156" s="95" t="inlineStr">
        <is>
          <t>Hilton</t>
        </is>
      </c>
      <c r="B156" s="96">
        <f>IF(A156="","",_xlfn.XLOOKUP(A156, Company_List!$A:$A, Company_List!$B:$B, ""))</f>
        <v/>
      </c>
      <c r="C156" s="21" t="n">
        <v>2025</v>
      </c>
      <c r="D156" s="20" t="inlineStr">
        <is>
          <t>Q4</t>
        </is>
      </c>
      <c r="E156" s="19" t="inlineStr">
        <is>
          <t>Transcript</t>
        </is>
      </c>
      <c r="F156" s="19" t="inlineStr">
        <is>
          <t>All</t>
        </is>
      </c>
      <c r="G156" s="20" t="inlineStr">
        <is>
          <t>Anna</t>
        </is>
      </c>
      <c r="H156" s="20" t="inlineStr">
        <is>
          <t>Human</t>
        </is>
      </c>
      <c r="I156" s="127" t="n">
        <v>0.5</v>
      </c>
      <c r="J156" s="145">
        <f>IF(OR(I156="",Settings!$B$6=""),"",IF(I156&gt;Settings!$B$6,"BUY",IF(I156&lt;-Settings!$B$6,"SELL","HOLD")))</f>
        <v/>
      </c>
      <c r="K156" s="139" t="n">
        <v>23</v>
      </c>
      <c r="L156" s="123" t="n">
        <v>46064</v>
      </c>
      <c r="M156" s="123" t="n">
        <v>46064</v>
      </c>
      <c r="N156" s="127" t="n">
        <v>325.13</v>
      </c>
      <c r="O156" s="123" t="n">
        <v>46065</v>
      </c>
      <c r="P156" s="22" t="n">
        <v>325.51</v>
      </c>
      <c r="Q156" s="148">
        <f>IF(OR(N156="",P156=""),"",ROUND((P156-N156)/N156,4))</f>
        <v/>
      </c>
      <c r="R156" s="20">
        <f>IF(OR(N156="",P156=""),"",IF(Q156&gt;Settings!$B$3/100,"UP",IF(Q156&lt;-Settings!$B$3/100,"DOWN","FLAT")))</f>
        <v/>
      </c>
      <c r="S156" s="20">
        <f>IF(OR(N156="",P156="",J156=""),"",IF(OR(AND(J156="BUY",R156="UP"),AND(J156="SELL",R156="DOWN"),AND(J156="HOLD",R156="FLAT")),"YES","NO"))</f>
        <v/>
      </c>
      <c r="T156" s="21">
        <f>IF(J156="","",IF(J156="BUY",1,IF(J156="SELL",-1,0)))</f>
        <v/>
      </c>
      <c r="U156" s="148">
        <f>IFERROR(IF(OR(J156="",N156="",P156=""),"",IF(T156=0,0,T156*Q156-Settings!$B$4/10000-IF(T156&lt;0,Settings!$B$5/10000,0))),"")</f>
        <v/>
      </c>
      <c r="V156" s="23" t="n"/>
      <c r="W156" s="21">
        <f>IF($K156="","",$K156*60)</f>
        <v/>
      </c>
      <c r="X156" s="91">
        <f>IF($A156="","",$A156&amp;"|"&amp;$C156&amp;"|"&amp;$D156)</f>
        <v/>
      </c>
      <c r="Y156" s="91">
        <f>IFERROR(IF($X156="","",INDEX(LLM_Data_Entry!$H$3:$H$548,MATCH($X156,INDEX(LLM_Data_Entry!$A$3:$A$548&amp;"|"&amp;LLM_Data_Entry!$C$3:$C$548&amp;"|"&amp;LLM_Data_Entry!$D$3:$D$548,0),0))),"")</f>
        <v/>
      </c>
      <c r="Z156" s="91">
        <f>IFERROR(IF($X156="","",INDEX(LLM_Data_Entry!$R$3:$R$548,MATCH($X156,INDEX(LLM_Data_Entry!$A$3:$A$548&amp;"|"&amp;LLM_Data_Entry!$C$3:$C$548&amp;"|"&amp;LLM_Data_Entry!$D$3:$D$548,0),0))),"")</f>
        <v/>
      </c>
      <c r="AB156" t="inlineStr">
        <is>
          <t>price signal</t>
        </is>
      </c>
      <c r="AC156" t="inlineStr">
        <is>
          <t>HLT</t>
        </is>
      </c>
      <c r="AD156" t="inlineStr">
        <is>
          <t>2026-02-10</t>
        </is>
      </c>
      <c r="AE156" t="n">
        <v>323.3969</v>
      </c>
      <c r="AF156" t="inlineStr">
        <is>
          <t>2026-02-11</t>
        </is>
      </c>
      <c r="AG156" t="n">
        <v>321.4587</v>
      </c>
      <c r="AH156" t="n">
        <v>-0.00599322139387343</v>
      </c>
      <c r="AI156" t="inlineStr">
        <is>
          <t>FLAT</t>
        </is>
      </c>
      <c r="AJ156" t="inlineStr">
        <is>
          <t>NO</t>
        </is>
      </c>
      <c r="AK156" t="n">
        <v>-0.006993</v>
      </c>
      <c r="AL156">
        <f>IF($A156="","",IFERROR(INDEX(Company_List!$G$3:$G$207,MATCH($A156,Company_List!$A$3:$A$207,0)),"unassigned"))</f>
        <v/>
      </c>
      <c r="AM156" t="inlineStr">
        <is>
          <t>Phase 2/Hilton/hilton-q4-2025-earnings-transcript-combined.pdf</t>
        </is>
      </c>
      <c r="AO156" t="inlineStr">
        <is>
          <t>unique filename match</t>
        </is>
      </c>
      <c r="AP156">
        <f>IF($A156="","",IF(COUNTIFS(LLM_Data_Entry!$A$3:$A$548,$A156)&gt;0,"YES","NO"))</f>
        <v/>
      </c>
      <c r="AQ156">
        <f>IF($A156="","",IF(COUNTIFS($A$3:$A156,$A156,$C$3:$C156,$C156,$D$3:$D156,$D156)=1,"YES","NO"))</f>
        <v/>
      </c>
      <c r="AR156">
        <f>IF($A156="","",IF(AND($C156&amp;"-"&amp;$D156&gt;=Settings!$B$19,$C156&amp;"-"&amp;$D156&lt;=Settings!$B$20),"IN","OUT"))</f>
        <v/>
      </c>
      <c r="AS156">
        <f>IF($A156="","",IF($F156="Financial Results","financials",IF($F156="Outlook/Guidance","guidance",IF($F156="Transcript Q&amp;A","qanda",IF($F156="","unrecorded",IF($E156="All","full",IF($E156="","unrecorded",LOWER($E156)&amp;" only")))))))</f>
        <v/>
      </c>
      <c r="AT156">
        <f>IF(AND(OR($J156="BUY",$J156="SELL"),ISNUMBER($U156)),$U156,"")</f>
        <v/>
      </c>
      <c r="AU156">
        <f>IF(AND(OR($J156="BUY",$J156="SELL"),ISNUMBER($AK156)),$AK156,"")</f>
        <v/>
      </c>
      <c r="AV156">
        <f>IF(ISNUMBER($AT156),ABS(IF(ISNUMBER($I156),$I156,0)-Settings!$B$24),"")</f>
        <v/>
      </c>
      <c r="AW156">
        <f>IF(ISNUMBER($AV156),$AV156*$AT156,"")</f>
        <v/>
      </c>
      <c r="AX156">
        <f>IF(ISNUMBER($AU156),ABS(IF(ISNUMBER($I156),$I156,0)-Settings!$B$24),"")</f>
        <v/>
      </c>
      <c r="AY156">
        <f>IF(ISNUMBER($AX156),$AX156*$AU156,"")</f>
        <v/>
      </c>
      <c r="AZ156">
        <f>IF($A156="","",IFERROR(INDEX(Company_List!$H$3:$H$207,MATCH($A156,Company_List!$A$3:$A$207,0)),"unassigned"))</f>
        <v/>
      </c>
      <c r="BC156">
        <f>IF($A156="","",IF(COUNTIFS($A$3:$A156,$A156,$C$3:$C156,$C156,$D$3:$D156,$D156,$G$3:$G156,$G156)=1,1,0))</f>
        <v/>
      </c>
      <c r="BG156" t="inlineStr">
        <is>
          <t>no</t>
        </is>
      </c>
      <c r="BK156">
        <f>IF(OR($H156&lt;&gt;"Human",$S156="",$J156="",$Y156="",$Z156=""),"",IF(EXACT(UPPER($J156),UPPER($Y156)),1,0))</f>
        <v/>
      </c>
      <c r="BL156" t="inlineStr">
        <is>
          <t>assumed - no rater record</t>
        </is>
      </c>
      <c r="BM156" t="n">
        <v>1</v>
      </c>
      <c r="BN156" t="inlineStr">
        <is>
          <t>S&amp;P Global Market Intelligence (Capital IQ)</t>
        </is>
      </c>
      <c r="BO156" t="inlineStr">
        <is>
          <t>licensed vendor</t>
        </is>
      </c>
      <c r="BP156" t="inlineStr">
        <is>
          <t>no</t>
        </is>
      </c>
      <c r="BQ156" t="inlineStr">
        <is>
          <t>no</t>
        </is>
      </c>
    </row>
    <row r="157" ht="16.35" customHeight="1">
      <c r="A157" s="95" t="inlineStr">
        <is>
          <t>Marriott</t>
        </is>
      </c>
      <c r="B157" s="96">
        <f>IF(A157="","",_xlfn.XLOOKUP(A157, Company_List!$A:$A, Company_List!$B:$B, ""))</f>
        <v/>
      </c>
      <c r="C157" s="21" t="n">
        <v>2025</v>
      </c>
      <c r="D157" s="20" t="inlineStr">
        <is>
          <t>Q2</t>
        </is>
      </c>
      <c r="E157" s="19" t="inlineStr">
        <is>
          <t>Transcript</t>
        </is>
      </c>
      <c r="F157" s="19" t="inlineStr">
        <is>
          <t>All</t>
        </is>
      </c>
      <c r="G157" s="20" t="inlineStr">
        <is>
          <t>Anna</t>
        </is>
      </c>
      <c r="H157" s="20" t="inlineStr">
        <is>
          <t>Human</t>
        </is>
      </c>
      <c r="I157" s="127" t="n">
        <v>0.2</v>
      </c>
      <c r="J157" s="145">
        <f>IF(OR(I157="",Settings!$B$6=""),"",IF(I157&gt;Settings!$B$6,"BUY",IF(I157&lt;-Settings!$B$6,"SELL","HOLD")))</f>
        <v/>
      </c>
      <c r="K157" s="139" t="n">
        <v>22</v>
      </c>
      <c r="L157" s="123" t="n">
        <v>45874</v>
      </c>
      <c r="M157" s="123" t="n">
        <v>45874</v>
      </c>
      <c r="N157" s="127" t="n">
        <v>259.72</v>
      </c>
      <c r="O157" s="123" t="n">
        <v>45875</v>
      </c>
      <c r="P157" s="22" t="n">
        <v>259.29</v>
      </c>
      <c r="Q157" s="148">
        <f>IF(OR(N157="",P157=""),"",ROUND((P157-N157)/N157,4))</f>
        <v/>
      </c>
      <c r="R157" s="20">
        <f>IF(OR(N157="",P157=""),"",IF(Q157&gt;Settings!$B$3/100,"UP",IF(Q157&lt;-Settings!$B$3/100,"DOWN","FLAT")))</f>
        <v/>
      </c>
      <c r="S157" s="20">
        <f>IF(OR(N157="",P157="",J157=""),"",IF(OR(AND(J157="BUY",R157="UP"),AND(J157="SELL",R157="DOWN"),AND(J157="HOLD",R157="FLAT")),"YES","NO"))</f>
        <v/>
      </c>
      <c r="T157" s="21">
        <f>IF(J157="","",IF(J157="BUY",1,IF(J157="SELL",-1,0)))</f>
        <v/>
      </c>
      <c r="U157" s="148">
        <f>IFERROR(IF(OR(J157="",N157="",P157=""),"",IF(T157=0,0,T157*Q157-Settings!$B$4/10000-IF(T157&lt;0,Settings!$B$5/10000,0))),"")</f>
        <v/>
      </c>
      <c r="V157" s="23" t="n"/>
      <c r="W157" s="21">
        <f>IF($K157="","",$K157*60)</f>
        <v/>
      </c>
      <c r="X157" s="91">
        <f>IF($A157="","",$A157&amp;"|"&amp;$C157&amp;"|"&amp;$D157)</f>
        <v/>
      </c>
      <c r="Y157" s="91">
        <f>IFERROR(IF($X157="","",INDEX(LLM_Data_Entry!$H$3:$H$548,MATCH($X157,INDEX(LLM_Data_Entry!$A$3:$A$548&amp;"|"&amp;LLM_Data_Entry!$C$3:$C$548&amp;"|"&amp;LLM_Data_Entry!$D$3:$D$548,0),0))),"")</f>
        <v/>
      </c>
      <c r="Z157" s="91">
        <f>IFERROR(IF($X157="","",INDEX(LLM_Data_Entry!$R$3:$R$548,MATCH($X157,INDEX(LLM_Data_Entry!$A$3:$A$548&amp;"|"&amp;LLM_Data_Entry!$C$3:$C$548&amp;"|"&amp;LLM_Data_Entry!$D$3:$D$548,0),0))),"")</f>
        <v/>
      </c>
      <c r="AB157" t="inlineStr">
        <is>
          <t>earnings calendar, seconded by the issuer's habit</t>
        </is>
      </c>
      <c r="AC157" t="inlineStr">
        <is>
          <t>MAR</t>
        </is>
      </c>
      <c r="AD157" t="inlineStr">
        <is>
          <t>2025-08-04</t>
        </is>
      </c>
      <c r="AE157" t="n">
        <v>256.8576</v>
      </c>
      <c r="AF157" t="inlineStr">
        <is>
          <t>2025-08-05</t>
        </is>
      </c>
      <c r="AG157" t="n">
        <v>257.036</v>
      </c>
      <c r="AH157" t="n">
        <v>0.0006945501161925129</v>
      </c>
      <c r="AI157" t="inlineStr">
        <is>
          <t>FLAT</t>
        </is>
      </c>
      <c r="AJ157" t="inlineStr">
        <is>
          <t>YES</t>
        </is>
      </c>
      <c r="AK157" t="n">
        <v>0</v>
      </c>
      <c r="AL157">
        <f>IF($A157="","",IFERROR(INDEX(Company_List!$G$3:$G$207,MATCH($A157,Company_List!$A$3:$A$207,0)),"unassigned"))</f>
        <v/>
      </c>
      <c r="AM157" t="inlineStr">
        <is>
          <t>Phase 2/Marriott/MAR Q2 2025 TRANSCRIPT 8-5-25 FINAL.pdf</t>
        </is>
      </c>
      <c r="AO157" t="inlineStr">
        <is>
          <t>unique filename match</t>
        </is>
      </c>
      <c r="AP157">
        <f>IF($A157="","",IF(COUNTIFS(LLM_Data_Entry!$A$3:$A$548,$A157)&gt;0,"YES","NO"))</f>
        <v/>
      </c>
      <c r="AQ157">
        <f>IF($A157="","",IF(COUNTIFS($A$3:$A157,$A157,$C$3:$C157,$C157,$D$3:$D157,$D157)=1,"YES","NO"))</f>
        <v/>
      </c>
      <c r="AR157">
        <f>IF($A157="","",IF(AND($C157&amp;"-"&amp;$D157&gt;=Settings!$B$19,$C157&amp;"-"&amp;$D157&lt;=Settings!$B$20),"IN","OUT"))</f>
        <v/>
      </c>
      <c r="AS157">
        <f>IF($A157="","",IF($F157="Financial Results","financials",IF($F157="Outlook/Guidance","guidance",IF($F157="Transcript Q&amp;A","qanda",IF($F157="","unrecorded",IF($E157="All","full",IF($E157="","unrecorded",LOWER($E157)&amp;" only")))))))</f>
        <v/>
      </c>
      <c r="AT157">
        <f>IF(AND(OR($J157="BUY",$J157="SELL"),ISNUMBER($U157)),$U157,"")</f>
        <v/>
      </c>
      <c r="AU157">
        <f>IF(AND(OR($J157="BUY",$J157="SELL"),ISNUMBER($AK157)),$AK157,"")</f>
        <v/>
      </c>
      <c r="AV157">
        <f>IF(ISNUMBER($AT157),ABS(IF(ISNUMBER($I157),$I157,0)-Settings!$B$24),"")</f>
        <v/>
      </c>
      <c r="AW157">
        <f>IF(ISNUMBER($AV157),$AV157*$AT157,"")</f>
        <v/>
      </c>
      <c r="AX157">
        <f>IF(ISNUMBER($AU157),ABS(IF(ISNUMBER($I157),$I157,0)-Settings!$B$24),"")</f>
        <v/>
      </c>
      <c r="AY157">
        <f>IF(ISNUMBER($AX157),$AX157*$AU157,"")</f>
        <v/>
      </c>
      <c r="AZ157">
        <f>IF($A157="","",IFERROR(INDEX(Company_List!$H$3:$H$207,MATCH($A157,Company_List!$A$3:$A$207,0)),"unassigned"))</f>
        <v/>
      </c>
      <c r="BC157">
        <f>IF($A157="","",IF(COUNTIFS($A$3:$A157,$A157,$C$3:$C157,$C157,$D$3:$D157,$D157,$G$3:$G157,$G157)=1,1,0))</f>
        <v/>
      </c>
      <c r="BG157" t="inlineStr">
        <is>
          <t>no</t>
        </is>
      </c>
      <c r="BK157">
        <f>IF(OR($H157&lt;&gt;"Human",$S157="",$J157="",$Y157="",$Z157=""),"",IF(EXACT(UPPER($J157),UPPER($Y157)),1,0))</f>
        <v/>
      </c>
      <c r="BL157" t="inlineStr">
        <is>
          <t>assumed - no rater record</t>
        </is>
      </c>
      <c r="BM157" t="n">
        <v>1</v>
      </c>
      <c r="BN157" t="inlineStr">
        <is>
          <t>not publisher-identified</t>
        </is>
      </c>
      <c r="BO157" t="inlineStr">
        <is>
          <t>not publisher-identified</t>
        </is>
      </c>
      <c r="BP157" t="inlineStr">
        <is>
          <t>no</t>
        </is>
      </c>
      <c r="BQ157" t="inlineStr">
        <is>
          <t>no</t>
        </is>
      </c>
    </row>
    <row r="158" ht="16.35" customHeight="1">
      <c r="A158" s="95" t="inlineStr">
        <is>
          <t>Marriott</t>
        </is>
      </c>
      <c r="B158" s="96">
        <f>IF(A158="","",_xlfn.XLOOKUP(A158, Company_List!$A:$A, Company_List!$B:$B, ""))</f>
        <v/>
      </c>
      <c r="C158" s="21" t="n">
        <v>2025</v>
      </c>
      <c r="D158" s="20" t="inlineStr">
        <is>
          <t>Q3</t>
        </is>
      </c>
      <c r="E158" s="19" t="inlineStr">
        <is>
          <t>Transcript</t>
        </is>
      </c>
      <c r="F158" s="19" t="inlineStr">
        <is>
          <t>All</t>
        </is>
      </c>
      <c r="G158" s="20" t="inlineStr">
        <is>
          <t>Anna</t>
        </is>
      </c>
      <c r="H158" s="20" t="inlineStr">
        <is>
          <t>Human</t>
        </is>
      </c>
      <c r="I158" s="127" t="n">
        <v>0.3</v>
      </c>
      <c r="J158" s="145">
        <f>IF(OR(I158="",Settings!$B$6=""),"",IF(I158&gt;Settings!$B$6,"BUY",IF(I158&lt;-Settings!$B$6,"SELL","HOLD")))</f>
        <v/>
      </c>
      <c r="K158" s="139" t="n">
        <v>26</v>
      </c>
      <c r="L158" s="123" t="n">
        <v>45965</v>
      </c>
      <c r="M158" s="123" t="n">
        <v>45965</v>
      </c>
      <c r="N158" s="127" t="n">
        <v>272.24</v>
      </c>
      <c r="O158" s="123" t="n">
        <v>45966</v>
      </c>
      <c r="P158" s="22" t="n">
        <v>273.75</v>
      </c>
      <c r="Q158" s="148">
        <f>IF(OR(N158="",P158=""),"",ROUND((P158-N158)/N158,4))</f>
        <v/>
      </c>
      <c r="R158" s="20">
        <f>IF(OR(N158="",P158=""),"",IF(Q158&gt;Settings!$B$3/100,"UP",IF(Q158&lt;-Settings!$B$3/100,"DOWN","FLAT")))</f>
        <v/>
      </c>
      <c r="S158" s="20">
        <f>IF(OR(N158="",P158="",J158=""),"",IF(OR(AND(J158="BUY",R158="UP"),AND(J158="SELL",R158="DOWN"),AND(J158="HOLD",R158="FLAT")),"YES","NO"))</f>
        <v/>
      </c>
      <c r="T158" s="21">
        <f>IF(J158="","",IF(J158="BUY",1,IF(J158="SELL",-1,0)))</f>
        <v/>
      </c>
      <c r="U158" s="148">
        <f>IFERROR(IF(OR(J158="",N158="",P158=""),"",IF(T158=0,0,T158*Q158-Settings!$B$4/10000-IF(T158&lt;0,Settings!$B$5/10000,0))),"")</f>
        <v/>
      </c>
      <c r="V158" s="23" t="n"/>
      <c r="W158" s="21">
        <f>IF($K158="","",$K158*60)</f>
        <v/>
      </c>
      <c r="X158" s="91">
        <f>IF($A158="","",$A158&amp;"|"&amp;$C158&amp;"|"&amp;$D158)</f>
        <v/>
      </c>
      <c r="Y158" s="91">
        <f>IFERROR(IF($X158="","",INDEX(LLM_Data_Entry!$H$3:$H$548,MATCH($X158,INDEX(LLM_Data_Entry!$A$3:$A$548&amp;"|"&amp;LLM_Data_Entry!$C$3:$C$548&amp;"|"&amp;LLM_Data_Entry!$D$3:$D$548,0),0))),"")</f>
        <v/>
      </c>
      <c r="Z158" s="91">
        <f>IFERROR(IF($X158="","",INDEX(LLM_Data_Entry!$R$3:$R$548,MATCH($X158,INDEX(LLM_Data_Entry!$A$3:$A$548&amp;"|"&amp;LLM_Data_Entry!$C$3:$C$548&amp;"|"&amp;LLM_Data_Entry!$D$3:$D$548,0),0))),"")</f>
        <v/>
      </c>
      <c r="AB158" t="inlineStr">
        <is>
          <t>document date + price signal</t>
        </is>
      </c>
      <c r="AC158" t="inlineStr">
        <is>
          <t>MAR</t>
        </is>
      </c>
      <c r="AD158" t="inlineStr">
        <is>
          <t>2025-11-04</t>
        </is>
      </c>
      <c r="AE158" t="n">
        <v>270.5404</v>
      </c>
      <c r="AF158" t="inlineStr">
        <is>
          <t>2025-11-05</t>
        </is>
      </c>
      <c r="AG158" t="n">
        <v>272.041</v>
      </c>
      <c r="AH158" t="n">
        <v>0.005546668634632643</v>
      </c>
      <c r="AI158" t="inlineStr">
        <is>
          <t>FLAT</t>
        </is>
      </c>
      <c r="AJ158" t="inlineStr">
        <is>
          <t>NO</t>
        </is>
      </c>
      <c r="AK158" t="n">
        <v>0.004547</v>
      </c>
      <c r="AL158">
        <f>IF($A158="","",IFERROR(INDEX(Company_List!$G$3:$G$207,MATCH($A158,Company_List!$A$3:$A$207,0)),"unassigned"))</f>
        <v/>
      </c>
      <c r="AM158" t="inlineStr">
        <is>
          <t>Phase 2/Marriott/MAR Q3 Earnings TRANSCRIPT 11-4-25 FINAL.pdf</t>
        </is>
      </c>
      <c r="AO158" t="inlineStr">
        <is>
          <t>unique filename match</t>
        </is>
      </c>
      <c r="AP158">
        <f>IF($A158="","",IF(COUNTIFS(LLM_Data_Entry!$A$3:$A$548,$A158)&gt;0,"YES","NO"))</f>
        <v/>
      </c>
      <c r="AQ158">
        <f>IF($A158="","",IF(COUNTIFS($A$3:$A158,$A158,$C$3:$C158,$C158,$D$3:$D158,$D158)=1,"YES","NO"))</f>
        <v/>
      </c>
      <c r="AR158">
        <f>IF($A158="","",IF(AND($C158&amp;"-"&amp;$D158&gt;=Settings!$B$19,$C158&amp;"-"&amp;$D158&lt;=Settings!$B$20),"IN","OUT"))</f>
        <v/>
      </c>
      <c r="AS158">
        <f>IF($A158="","",IF($F158="Financial Results","financials",IF($F158="Outlook/Guidance","guidance",IF($F158="Transcript Q&amp;A","qanda",IF($F158="","unrecorded",IF($E158="All","full",IF($E158="","unrecorded",LOWER($E158)&amp;" only")))))))</f>
        <v/>
      </c>
      <c r="AT158">
        <f>IF(AND(OR($J158="BUY",$J158="SELL"),ISNUMBER($U158)),$U158,"")</f>
        <v/>
      </c>
      <c r="AU158">
        <f>IF(AND(OR($J158="BUY",$J158="SELL"),ISNUMBER($AK158)),$AK158,"")</f>
        <v/>
      </c>
      <c r="AV158">
        <f>IF(ISNUMBER($AT158),ABS(IF(ISNUMBER($I158),$I158,0)-Settings!$B$24),"")</f>
        <v/>
      </c>
      <c r="AW158">
        <f>IF(ISNUMBER($AV158),$AV158*$AT158,"")</f>
        <v/>
      </c>
      <c r="AX158">
        <f>IF(ISNUMBER($AU158),ABS(IF(ISNUMBER($I158),$I158,0)-Settings!$B$24),"")</f>
        <v/>
      </c>
      <c r="AY158">
        <f>IF(ISNUMBER($AX158),$AX158*$AU158,"")</f>
        <v/>
      </c>
      <c r="AZ158">
        <f>IF($A158="","",IFERROR(INDEX(Company_List!$H$3:$H$207,MATCH($A158,Company_List!$A$3:$A$207,0)),"unassigned"))</f>
        <v/>
      </c>
      <c r="BC158">
        <f>IF($A158="","",IF(COUNTIFS($A$3:$A158,$A158,$C$3:$C158,$C158,$D$3:$D158,$D158,$G$3:$G158,$G158)=1,1,0))</f>
        <v/>
      </c>
      <c r="BG158" t="inlineStr">
        <is>
          <t>no</t>
        </is>
      </c>
      <c r="BK158">
        <f>IF(OR($H158&lt;&gt;"Human",$S158="",$J158="",$Y158="",$Z158=""),"",IF(EXACT(UPPER($J158),UPPER($Y158)),1,0))</f>
        <v/>
      </c>
      <c r="BL158" t="inlineStr">
        <is>
          <t>assumed - no rater record</t>
        </is>
      </c>
      <c r="BM158" t="n">
        <v>1</v>
      </c>
      <c r="BN158" t="inlineStr">
        <is>
          <t>not publisher-identified</t>
        </is>
      </c>
      <c r="BO158" t="inlineStr">
        <is>
          <t>not publisher-identified</t>
        </is>
      </c>
      <c r="BP158" t="inlineStr">
        <is>
          <t>no</t>
        </is>
      </c>
      <c r="BQ158" t="inlineStr">
        <is>
          <t>no</t>
        </is>
      </c>
    </row>
    <row r="159" ht="16.35" customHeight="1">
      <c r="A159" s="95" t="inlineStr">
        <is>
          <t>Marriott</t>
        </is>
      </c>
      <c r="B159" s="96">
        <f>IF(A159="","",_xlfn.XLOOKUP(A159, Company_List!$A:$A, Company_List!$B:$B, ""))</f>
        <v/>
      </c>
      <c r="C159" s="21" t="n">
        <v>2025</v>
      </c>
      <c r="D159" s="20" t="inlineStr">
        <is>
          <t>Q4</t>
        </is>
      </c>
      <c r="E159" s="19" t="inlineStr">
        <is>
          <t>Transcript</t>
        </is>
      </c>
      <c r="F159" s="19" t="inlineStr">
        <is>
          <t>All</t>
        </is>
      </c>
      <c r="G159" s="20" t="inlineStr">
        <is>
          <t>Anna</t>
        </is>
      </c>
      <c r="H159" s="20" t="inlineStr">
        <is>
          <t>Human</t>
        </is>
      </c>
      <c r="I159" s="127" t="n">
        <v>-0.4</v>
      </c>
      <c r="J159" s="145">
        <f>IF(OR(I159="",Settings!$B$6=""),"",IF(I159&gt;Settings!$B$6,"BUY",IF(I159&lt;-Settings!$B$6,"SELL","HOLD")))</f>
        <v/>
      </c>
      <c r="K159" s="139" t="n">
        <v>27</v>
      </c>
      <c r="L159" s="123" t="n">
        <v>46063</v>
      </c>
      <c r="M159" s="123" t="n">
        <v>46063</v>
      </c>
      <c r="N159" s="127" t="n">
        <v>304.45</v>
      </c>
      <c r="O159" s="123" t="n">
        <v>46064</v>
      </c>
      <c r="P159" s="22" t="n">
        <v>291.32</v>
      </c>
      <c r="Q159" s="148">
        <f>IF(OR(N159="",P159=""),"",ROUND((P159-N159)/N159,4))</f>
        <v/>
      </c>
      <c r="R159" s="20">
        <f>IF(OR(N159="",P159=""),"",IF(Q159&gt;Settings!$B$3/100,"UP",IF(Q159&lt;-Settings!$B$3/100,"DOWN","FLAT")))</f>
        <v/>
      </c>
      <c r="S159" s="20">
        <f>IF(OR(N159="",P159="",J159=""),"",IF(OR(AND(J159="BUY",R159="UP"),AND(J159="SELL",R159="DOWN"),AND(J159="HOLD",R159="FLAT")),"YES","NO"))</f>
        <v/>
      </c>
      <c r="T159" s="21">
        <f>IF(J159="","",IF(J159="BUY",1,IF(J159="SELL",-1,0)))</f>
        <v/>
      </c>
      <c r="U159" s="148">
        <f>IFERROR(IF(OR(J159="",N159="",P159=""),"",IF(T159=0,0,T159*Q159-Settings!$B$4/10000-IF(T159&lt;0,Settings!$B$5/10000,0))),"")</f>
        <v/>
      </c>
      <c r="V159" s="23" t="n"/>
      <c r="W159" s="21">
        <f>IF($K159="","",$K159*60)</f>
        <v/>
      </c>
      <c r="X159" s="91">
        <f>IF($A159="","",$A159&amp;"|"&amp;$C159&amp;"|"&amp;$D159)</f>
        <v/>
      </c>
      <c r="Y159" s="91">
        <f>IFERROR(IF($X159="","",INDEX(LLM_Data_Entry!$H$3:$H$548,MATCH($X159,INDEX(LLM_Data_Entry!$A$3:$A$548&amp;"|"&amp;LLM_Data_Entry!$C$3:$C$548&amp;"|"&amp;LLM_Data_Entry!$D$3:$D$548,0),0))),"")</f>
        <v/>
      </c>
      <c r="Z159" s="91">
        <f>IFERROR(IF($X159="","",INDEX(LLM_Data_Entry!$R$3:$R$548,MATCH($X159,INDEX(LLM_Data_Entry!$A$3:$A$548&amp;"|"&amp;LLM_Data_Entry!$C$3:$C$548&amp;"|"&amp;LLM_Data_Entry!$D$3:$D$548,0),0))),"")</f>
        <v/>
      </c>
      <c r="AB159" t="inlineStr">
        <is>
          <t>recorded price identified against every pulled series</t>
        </is>
      </c>
      <c r="AC159" t="inlineStr">
        <is>
          <t>MAR</t>
        </is>
      </c>
      <c r="AD159" t="inlineStr">
        <is>
          <t>2026-02-09</t>
        </is>
      </c>
      <c r="AE159" t="n">
        <v>329.9201</v>
      </c>
      <c r="AF159" t="inlineStr">
        <is>
          <t>2026-02-10</t>
        </is>
      </c>
      <c r="AG159" t="n">
        <v>348.5473</v>
      </c>
      <c r="AH159" t="n">
        <v>0.0564597004331539</v>
      </c>
      <c r="AI159" t="inlineStr">
        <is>
          <t>UP</t>
        </is>
      </c>
      <c r="AJ159" t="inlineStr">
        <is>
          <t>NO</t>
        </is>
      </c>
      <c r="AK159" t="n">
        <v>-0.05746</v>
      </c>
      <c r="AL159">
        <f>IF($A159="","",IFERROR(INDEX(Company_List!$G$3:$G$207,MATCH($A159,Company_List!$A$3:$A$207,0)),"unassigned"))</f>
        <v/>
      </c>
      <c r="AM159" t="inlineStr">
        <is>
          <t>Phase 2/Marriott/2025-Q4/MAR-2025-Q4-earnings-call-transcript-fool-com.html</t>
        </is>
      </c>
      <c r="AN159" t="inlineStr">
        <is>
          <t>https://www.fool.com/earnings/call-transcripts/2026/02/10/marriott-mar-q4-2025-earnings-call-transcript/</t>
        </is>
      </c>
      <c r="AO159" t="inlineStr">
        <is>
          <t>manifest</t>
        </is>
      </c>
      <c r="AP159">
        <f>IF($A159="","",IF(COUNTIFS(LLM_Data_Entry!$A$3:$A$548,$A159)&gt;0,"YES","NO"))</f>
        <v/>
      </c>
      <c r="AQ159">
        <f>IF($A159="","",IF(COUNTIFS($A$3:$A159,$A159,$C$3:$C159,$C159,$D$3:$D159,$D159)=1,"YES","NO"))</f>
        <v/>
      </c>
      <c r="AR159">
        <f>IF($A159="","",IF(AND($C159&amp;"-"&amp;$D159&gt;=Settings!$B$19,$C159&amp;"-"&amp;$D159&lt;=Settings!$B$20),"IN","OUT"))</f>
        <v/>
      </c>
      <c r="AS159">
        <f>IF($A159="","",IF($F159="Financial Results","financials",IF($F159="Outlook/Guidance","guidance",IF($F159="Transcript Q&amp;A","qanda",IF($F159="","unrecorded",IF($E159="All","full",IF($E159="","unrecorded",LOWER($E159)&amp;" only")))))))</f>
        <v/>
      </c>
      <c r="AT159">
        <f>IF(AND(OR($J159="BUY",$J159="SELL"),ISNUMBER($U159)),$U159,"")</f>
        <v/>
      </c>
      <c r="AU159">
        <f>IF(AND(OR($J159="BUY",$J159="SELL"),ISNUMBER($AK159)),$AK159,"")</f>
        <v/>
      </c>
      <c r="AV159">
        <f>IF(ISNUMBER($AT159),ABS(IF(ISNUMBER($I159),$I159,0)-Settings!$B$24),"")</f>
        <v/>
      </c>
      <c r="AW159">
        <f>IF(ISNUMBER($AV159),$AV159*$AT159,"")</f>
        <v/>
      </c>
      <c r="AX159">
        <f>IF(ISNUMBER($AU159),ABS(IF(ISNUMBER($I159),$I159,0)-Settings!$B$24),"")</f>
        <v/>
      </c>
      <c r="AY159">
        <f>IF(ISNUMBER($AX159),$AX159*$AU159,"")</f>
        <v/>
      </c>
      <c r="AZ159">
        <f>IF($A159="","",IFERROR(INDEX(Company_List!$H$3:$H$207,MATCH($A159,Company_List!$A$3:$A$207,0)),"unassigned"))</f>
        <v/>
      </c>
      <c r="BC159">
        <f>IF($A159="","",IF(COUNTIFS($A$3:$A159,$A159,$C$3:$C159,$C159,$D$3:$D159,$D159,$G$3:$G159,$G159)=1,1,0))</f>
        <v/>
      </c>
      <c r="BG159" t="inlineStr">
        <is>
          <t>no</t>
        </is>
      </c>
      <c r="BK159">
        <f>IF(OR($H159&lt;&gt;"Human",$S159="",$J159="",$Y159="",$Z159=""),"",IF(EXACT(UPPER($J159),UPPER($Y159)),1,0))</f>
        <v/>
      </c>
      <c r="BL159" t="inlineStr">
        <is>
          <t>assumed - no rater record</t>
        </is>
      </c>
      <c r="BM159" t="n">
        <v>1</v>
      </c>
      <c r="BN159" t="inlineStr">
        <is>
          <t>The Motley Fool</t>
        </is>
      </c>
      <c r="BO159" t="inlineStr">
        <is>
          <t>free to read, copyright asserted</t>
        </is>
      </c>
      <c r="BP159" t="inlineStr">
        <is>
          <t>no</t>
        </is>
      </c>
      <c r="BQ159" t="inlineStr">
        <is>
          <t>yes</t>
        </is>
      </c>
    </row>
    <row r="160" ht="16.35" customHeight="1">
      <c r="A160" s="95" t="inlineStr">
        <is>
          <t>Marriott</t>
        </is>
      </c>
      <c r="B160" s="96">
        <f>IF(A160="","",_xlfn.XLOOKUP(A160, Company_List!$A:$A, Company_List!$B:$B, ""))</f>
        <v/>
      </c>
      <c r="C160" s="21" t="n">
        <v>2026</v>
      </c>
      <c r="D160" s="20" t="inlineStr">
        <is>
          <t>Q1</t>
        </is>
      </c>
      <c r="E160" s="19" t="inlineStr">
        <is>
          <t>Transcript</t>
        </is>
      </c>
      <c r="F160" s="19" t="inlineStr">
        <is>
          <t>All</t>
        </is>
      </c>
      <c r="G160" s="20" t="inlineStr">
        <is>
          <t>Anna</t>
        </is>
      </c>
      <c r="H160" s="20" t="inlineStr">
        <is>
          <t>Human</t>
        </is>
      </c>
      <c r="I160" s="127" t="n">
        <v>0.2</v>
      </c>
      <c r="J160" s="145">
        <f>IF(OR(I160="",Settings!$B$6=""),"",IF(I160&gt;Settings!$B$6,"BUY",IF(I160&lt;-Settings!$B$6,"SELL","HOLD")))</f>
        <v/>
      </c>
      <c r="K160" s="139" t="n">
        <v>29</v>
      </c>
      <c r="L160" s="123" t="n">
        <v>46148</v>
      </c>
      <c r="M160" s="123" t="n">
        <v>46148</v>
      </c>
      <c r="N160" s="127" t="n">
        <v>359.06</v>
      </c>
      <c r="O160" s="123" t="n">
        <v>46149</v>
      </c>
      <c r="P160" s="22" t="n">
        <v>358.01</v>
      </c>
      <c r="Q160" s="148">
        <f>IF(OR(N160="",P160=""),"",ROUND((P160-N160)/N160,4))</f>
        <v/>
      </c>
      <c r="R160" s="20">
        <f>IF(OR(N160="",P160=""),"",IF(Q160&gt;Settings!$B$3/100,"UP",IF(Q160&lt;-Settings!$B$3/100,"DOWN","FLAT")))</f>
        <v/>
      </c>
      <c r="S160" s="20">
        <f>IF(OR(N160="",P160="",J160=""),"",IF(OR(AND(J160="BUY",R160="UP"),AND(J160="SELL",R160="DOWN"),AND(J160="HOLD",R160="FLAT")),"YES","NO"))</f>
        <v/>
      </c>
      <c r="T160" s="21">
        <f>IF(J160="","",IF(J160="BUY",1,IF(J160="SELL",-1,0)))</f>
        <v/>
      </c>
      <c r="U160" s="148">
        <f>IFERROR(IF(OR(J160="",N160="",P160=""),"",IF(T160=0,0,T160*Q160-Settings!$B$4/10000-IF(T160&lt;0,Settings!$B$5/10000,0))),"")</f>
        <v/>
      </c>
      <c r="V160" s="23" t="n"/>
      <c r="W160" s="21">
        <f>IF($K160="","",$K160*60)</f>
        <v/>
      </c>
      <c r="X160" s="91">
        <f>IF($A160="","",$A160&amp;"|"&amp;$C160&amp;"|"&amp;$D160)</f>
        <v/>
      </c>
      <c r="Y160" s="91">
        <f>IFERROR(IF($X160="","",INDEX(LLM_Data_Entry!$H$3:$H$548,MATCH($X160,INDEX(LLM_Data_Entry!$A$3:$A$548&amp;"|"&amp;LLM_Data_Entry!$C$3:$C$548&amp;"|"&amp;LLM_Data_Entry!$D$3:$D$548,0),0))),"")</f>
        <v/>
      </c>
      <c r="Z160" s="91">
        <f>IFERROR(IF($X160="","",INDEX(LLM_Data_Entry!$R$3:$R$548,MATCH($X160,INDEX(LLM_Data_Entry!$A$3:$A$548&amp;"|"&amp;LLM_Data_Entry!$C$3:$C$548&amp;"|"&amp;LLM_Data_Entry!$D$3:$D$548,0),0))),"")</f>
        <v/>
      </c>
      <c r="AB160" t="inlineStr">
        <is>
          <t>document date + price signal</t>
        </is>
      </c>
      <c r="AC160" t="inlineStr">
        <is>
          <t>MAR</t>
        </is>
      </c>
      <c r="AD160" t="inlineStr">
        <is>
          <t>2026-05-05</t>
        </is>
      </c>
      <c r="AE160" t="n">
        <v>353.8216</v>
      </c>
      <c r="AF160" t="inlineStr">
        <is>
          <t>2026-05-06</t>
        </is>
      </c>
      <c r="AG160" t="n">
        <v>363.1532</v>
      </c>
      <c r="AH160" t="n">
        <v>0.02637371097224022</v>
      </c>
      <c r="AI160" t="inlineStr">
        <is>
          <t>UP</t>
        </is>
      </c>
      <c r="AJ160" t="inlineStr">
        <is>
          <t>NO</t>
        </is>
      </c>
      <c r="AK160" t="n">
        <v>0</v>
      </c>
      <c r="AL160">
        <f>IF($A160="","",IFERROR(INDEX(Company_List!$G$3:$G$207,MATCH($A160,Company_List!$A$3:$A$207,0)),"unassigned"))</f>
        <v/>
      </c>
      <c r="AM160" t="inlineStr">
        <is>
          <t>Phase 2/Marriott/Marriott Q1 Earnings Transcript 5-6-26 FINAL.pdf</t>
        </is>
      </c>
      <c r="AO160" t="inlineStr">
        <is>
          <t>unique filename match</t>
        </is>
      </c>
      <c r="AP160">
        <f>IF($A160="","",IF(COUNTIFS(LLM_Data_Entry!$A$3:$A$548,$A160)&gt;0,"YES","NO"))</f>
        <v/>
      </c>
      <c r="AQ160">
        <f>IF($A160="","",IF(COUNTIFS($A$3:$A160,$A160,$C$3:$C160,$C160,$D$3:$D160,$D160)=1,"YES","NO"))</f>
        <v/>
      </c>
      <c r="AR160">
        <f>IF($A160="","",IF(AND($C160&amp;"-"&amp;$D160&gt;=Settings!$B$19,$C160&amp;"-"&amp;$D160&lt;=Settings!$B$20),"IN","OUT"))</f>
        <v/>
      </c>
      <c r="AS160">
        <f>IF($A160="","",IF($F160="Financial Results","financials",IF($F160="Outlook/Guidance","guidance",IF($F160="Transcript Q&amp;A","qanda",IF($F160="","unrecorded",IF($E160="All","full",IF($E160="","unrecorded",LOWER($E160)&amp;" only")))))))</f>
        <v/>
      </c>
      <c r="AT160">
        <f>IF(AND(OR($J160="BUY",$J160="SELL"),ISNUMBER($U160)),$U160,"")</f>
        <v/>
      </c>
      <c r="AU160">
        <f>IF(AND(OR($J160="BUY",$J160="SELL"),ISNUMBER($AK160)),$AK160,"")</f>
        <v/>
      </c>
      <c r="AV160">
        <f>IF(ISNUMBER($AT160),ABS(IF(ISNUMBER($I160),$I160,0)-Settings!$B$24),"")</f>
        <v/>
      </c>
      <c r="AW160">
        <f>IF(ISNUMBER($AV160),$AV160*$AT160,"")</f>
        <v/>
      </c>
      <c r="AX160">
        <f>IF(ISNUMBER($AU160),ABS(IF(ISNUMBER($I160),$I160,0)-Settings!$B$24),"")</f>
        <v/>
      </c>
      <c r="AY160">
        <f>IF(ISNUMBER($AX160),$AX160*$AU160,"")</f>
        <v/>
      </c>
      <c r="AZ160">
        <f>IF($A160="","",IFERROR(INDEX(Company_List!$H$3:$H$207,MATCH($A160,Company_List!$A$3:$A$207,0)),"unassigned"))</f>
        <v/>
      </c>
      <c r="BC160">
        <f>IF($A160="","",IF(COUNTIFS($A$3:$A160,$A160,$C$3:$C160,$C160,$D$3:$D160,$D160,$G$3:$G160,$G160)=1,1,0))</f>
        <v/>
      </c>
      <c r="BG160" t="inlineStr">
        <is>
          <t>no</t>
        </is>
      </c>
      <c r="BK160">
        <f>IF(OR($H160&lt;&gt;"Human",$S160="",$J160="",$Y160="",$Z160=""),"",IF(EXACT(UPPER($J160),UPPER($Y160)),1,0))</f>
        <v/>
      </c>
      <c r="BL160" t="inlineStr">
        <is>
          <t>assumed - no rater record</t>
        </is>
      </c>
      <c r="BM160" t="n">
        <v>1</v>
      </c>
      <c r="BN160" t="inlineStr">
        <is>
          <t>not publisher-identified</t>
        </is>
      </c>
      <c r="BO160" t="inlineStr">
        <is>
          <t>not publisher-identified</t>
        </is>
      </c>
      <c r="BP160" t="inlineStr">
        <is>
          <t>no</t>
        </is>
      </c>
      <c r="BQ160" t="inlineStr">
        <is>
          <t>no</t>
        </is>
      </c>
    </row>
    <row r="161" ht="16.35" customHeight="1">
      <c r="A161" s="100" t="inlineStr">
        <is>
          <t>Target</t>
        </is>
      </c>
      <c r="B161" s="96">
        <f>IF(A161="","",_xlfn.XLOOKUP(A161, Company_List!$A:$A, Company_List!$B:$B, ""))</f>
        <v/>
      </c>
      <c r="C161" s="21" t="n">
        <v>2025</v>
      </c>
      <c r="D161" s="20" t="inlineStr">
        <is>
          <t>Q1</t>
        </is>
      </c>
      <c r="E161" s="19" t="inlineStr">
        <is>
          <t>Transcript</t>
        </is>
      </c>
      <c r="F161" s="19" t="inlineStr">
        <is>
          <t>Financial Results</t>
        </is>
      </c>
      <c r="G161" s="20" t="inlineStr">
        <is>
          <t>Abdul</t>
        </is>
      </c>
      <c r="H161" s="20" t="inlineStr">
        <is>
          <t>Human</t>
        </is>
      </c>
      <c r="I161" s="127" t="n">
        <v>-0.7</v>
      </c>
      <c r="J161" s="145">
        <f>IF(OR(I161="",Settings!$B$6=""),"",IF(I161&gt;Settings!$B$6,"BUY",IF(I161&lt;-Settings!$B$6,"SELL","HOLD")))</f>
        <v/>
      </c>
      <c r="K161" s="139" t="n">
        <v>15</v>
      </c>
      <c r="L161" s="123" t="n">
        <v>45798</v>
      </c>
      <c r="M161" s="123" t="n">
        <v>45797</v>
      </c>
      <c r="N161" s="127" t="n">
        <v>98.12</v>
      </c>
      <c r="O161" s="123" t="n">
        <v>45798</v>
      </c>
      <c r="P161" s="22" t="n">
        <v>91.5</v>
      </c>
      <c r="Q161" s="148">
        <f>IF(OR(N161="",P161=""),"",ROUND((P161-N161)/N161,4))</f>
        <v/>
      </c>
      <c r="R161" s="20">
        <f>IF(OR(N161="",P161=""),"",IF(Q161&gt;Settings!$B$3/100,"UP",IF(Q161&lt;-Settings!$B$3/100,"DOWN","FLAT")))</f>
        <v/>
      </c>
      <c r="S161" s="20">
        <f>IF(OR(N161="",P161="",J161=""),"",IF(OR(AND(J161="BUY",R161="UP"),AND(J161="SELL",R161="DOWN"),AND(J161="HOLD",R161="FLAT")),"YES","NO"))</f>
        <v/>
      </c>
      <c r="T161" s="21">
        <f>IF(J161="","",IF(J161="BUY",1,IF(J161="SELL",-1,0)))</f>
        <v/>
      </c>
      <c r="U161" s="148">
        <f>IFERROR(IF(OR(J161="",N161="",P161=""),"",IF(T161=0,0,T161*Q161-Settings!$B$4/10000-IF(T161&lt;0,Settings!$B$5/10000,0))),"")</f>
        <v/>
      </c>
      <c r="V161" s="23" t="n"/>
      <c r="W161" s="21">
        <f>IF($K161="","",$K161*60)</f>
        <v/>
      </c>
      <c r="X161" s="91">
        <f>IF($A161="","",$A161&amp;"|"&amp;$C161&amp;"|"&amp;$D161)</f>
        <v/>
      </c>
      <c r="Y161" s="91">
        <f>IFERROR(IF($X161="","",INDEX(LLM_Data_Entry!$H$3:$H$548,MATCH($X161,INDEX(LLM_Data_Entry!$A$3:$A$548&amp;"|"&amp;LLM_Data_Entry!$C$3:$C$548&amp;"|"&amp;LLM_Data_Entry!$D$3:$D$548,0),0))),"")</f>
        <v/>
      </c>
      <c r="Z161" s="91">
        <f>IFERROR(IF($X161="","",INDEX(LLM_Data_Entry!$R$3:$R$548,MATCH($X161,INDEX(LLM_Data_Entry!$A$3:$A$548&amp;"|"&amp;LLM_Data_Entry!$C$3:$C$548&amp;"|"&amp;LLM_Data_Entry!$D$3:$D$548,0),0))),"")</f>
        <v/>
      </c>
      <c r="AB161" t="inlineStr">
        <is>
          <t>release date + stated time</t>
        </is>
      </c>
      <c r="AC161" t="inlineStr">
        <is>
          <t>TGT</t>
        </is>
      </c>
      <c r="AD161" t="inlineStr">
        <is>
          <t>2025-05-20</t>
        </is>
      </c>
      <c r="AE161" t="n">
        <v>94.0057</v>
      </c>
      <c r="AF161" t="inlineStr">
        <is>
          <t>2025-05-21</t>
        </is>
      </c>
      <c r="AG161" t="n">
        <v>87.66330000000001</v>
      </c>
      <c r="AH161" t="n">
        <v>-0.06746838049408189</v>
      </c>
      <c r="AI161" t="inlineStr">
        <is>
          <t>DOWN</t>
        </is>
      </c>
      <c r="AJ161" t="inlineStr">
        <is>
          <t>YES</t>
        </is>
      </c>
      <c r="AK161" t="n">
        <v>0.066468</v>
      </c>
      <c r="AL161">
        <f>IF($A161="","",IFERROR(INDEX(Company_List!$G$3:$G$207,MATCH($A161,Company_List!$A$3:$A$207,0)),"unassigned"))</f>
        <v/>
      </c>
      <c r="AM161" t="inlineStr">
        <is>
          <t>Phase 2/Target/2025-Q1/TGT-2025-Q1-earnings-call-transcript-corporate-target-com.pdf</t>
        </is>
      </c>
      <c r="AN161" t="inlineStr">
        <is>
          <t>https://corporate.target.com/getmedia/9c383747-166d-4310-b91f-cd77b7d06433/2025-May-21-TGT-Transcript.pdf%C2%A0%C2%A0</t>
        </is>
      </c>
      <c r="AO161" t="inlineStr">
        <is>
          <t>manifest</t>
        </is>
      </c>
      <c r="AP161">
        <f>IF($A161="","",IF(COUNTIFS(LLM_Data_Entry!$A$3:$A$548,$A161)&gt;0,"YES","NO"))</f>
        <v/>
      </c>
      <c r="AQ161">
        <f>IF($A161="","",IF(COUNTIFS($A$3:$A161,$A161,$C$3:$C161,$C161,$D$3:$D161,$D161)=1,"YES","NO"))</f>
        <v/>
      </c>
      <c r="AR161">
        <f>IF($A161="","",IF(AND($C161&amp;"-"&amp;$D161&gt;=Settings!$B$19,$C161&amp;"-"&amp;$D161&lt;=Settings!$B$20),"IN","OUT"))</f>
        <v/>
      </c>
      <c r="AS161">
        <f>IF($A161="","",IF($F161="Financial Results","financials",IF($F161="Outlook/Guidance","guidance",IF($F161="Transcript Q&amp;A","qanda",IF($F161="","unrecorded",IF($E161="All","full",IF($E161="","unrecorded",LOWER($E161)&amp;" only")))))))</f>
        <v/>
      </c>
      <c r="AT161">
        <f>IF(AND(OR($J161="BUY",$J161="SELL"),ISNUMBER($U161)),$U161,"")</f>
        <v/>
      </c>
      <c r="AU161">
        <f>IF(AND(OR($J161="BUY",$J161="SELL"),ISNUMBER($AK161)),$AK161,"")</f>
        <v/>
      </c>
      <c r="AV161">
        <f>IF(ISNUMBER($AT161),ABS(IF(ISNUMBER($I161),$I161,0)-Settings!$B$24),"")</f>
        <v/>
      </c>
      <c r="AW161">
        <f>IF(ISNUMBER($AV161),$AV161*$AT161,"")</f>
        <v/>
      </c>
      <c r="AX161">
        <f>IF(ISNUMBER($AU161),ABS(IF(ISNUMBER($I161),$I161,0)-Settings!$B$24),"")</f>
        <v/>
      </c>
      <c r="AY161">
        <f>IF(ISNUMBER($AX161),$AX161*$AU161,"")</f>
        <v/>
      </c>
      <c r="AZ161">
        <f>IF($A161="","",IFERROR(INDEX(Company_List!$H$3:$H$207,MATCH($A161,Company_List!$A$3:$A$207,0)),"unassigned"))</f>
        <v/>
      </c>
      <c r="BC161">
        <f>IF($A161="","",IF(COUNTIFS($A$3:$A161,$A161,$C$3:$C161,$C161,$D$3:$D161,$D161,$G$3:$G161,$G161)=1,1,0))</f>
        <v/>
      </c>
      <c r="BG161" t="inlineStr">
        <is>
          <t>no</t>
        </is>
      </c>
      <c r="BK161">
        <f>IF(OR($H161&lt;&gt;"Human",$S161="",$J161="",$Y161="",$Z161=""),"",IF(EXACT(UPPER($J161),UPPER($Y161)),1,0))</f>
        <v/>
      </c>
      <c r="BL161" t="inlineStr">
        <is>
          <t>assumed - no rater record</t>
        </is>
      </c>
      <c r="BM161" t="n">
        <v>1</v>
      </c>
      <c r="BN161" t="inlineStr">
        <is>
          <t>Refinitiv / LSEG StreetEvents</t>
        </is>
      </c>
      <c r="BO161" t="inlineStr">
        <is>
          <t>licensed vendor</t>
        </is>
      </c>
      <c r="BP161" t="inlineStr">
        <is>
          <t>no</t>
        </is>
      </c>
      <c r="BQ161" t="inlineStr">
        <is>
          <t>yes</t>
        </is>
      </c>
    </row>
    <row r="162">
      <c r="A162" s="100" t="inlineStr">
        <is>
          <t>Target</t>
        </is>
      </c>
      <c r="B162" s="96">
        <f>IF(A162="","",_xlfn.XLOOKUP(A162, Company_List!$A:$A, Company_List!$B:$B, ""))</f>
        <v/>
      </c>
      <c r="C162" s="21" t="n">
        <v>2025</v>
      </c>
      <c r="D162" s="20" t="inlineStr">
        <is>
          <t>Q2</t>
        </is>
      </c>
      <c r="E162" s="19" t="inlineStr">
        <is>
          <t>Transcript</t>
        </is>
      </c>
      <c r="F162" s="19" t="inlineStr">
        <is>
          <t>Financial Results</t>
        </is>
      </c>
      <c r="G162" s="20" t="inlineStr">
        <is>
          <t>Abdul</t>
        </is>
      </c>
      <c r="H162" s="20" t="inlineStr">
        <is>
          <t>Human</t>
        </is>
      </c>
      <c r="I162" s="138" t="n">
        <v>-0.3</v>
      </c>
      <c r="J162" s="145">
        <f>IF(OR(I162="",Settings!$B$6=""),"",IF(I162&gt;Settings!$B$6,"BUY",IF(I162&lt;-Settings!$B$6,"SELL","HOLD")))</f>
        <v/>
      </c>
      <c r="K162" s="145" t="n">
        <v>17</v>
      </c>
      <c r="L162" s="123" t="n">
        <v>45889</v>
      </c>
      <c r="M162" s="124" t="n">
        <v>45888</v>
      </c>
      <c r="N162" s="147" t="n">
        <v>105.36</v>
      </c>
      <c r="O162" s="124" t="n">
        <v>45889</v>
      </c>
      <c r="P162" s="145" t="n">
        <v>94.41</v>
      </c>
      <c r="Q162" s="148">
        <f>IF(OR(N162="",P162=""),"",ROUND((P162-N162)/N162,4))</f>
        <v/>
      </c>
      <c r="R162" s="20">
        <f>IF(OR(N162="",P162=""),"",IF(Q162&gt;Settings!$B$3/100,"UP",IF(Q162&lt;-Settings!$B$3/100,"DOWN","FLAT")))</f>
        <v/>
      </c>
      <c r="S162" s="20">
        <f>IF(OR(N162="",P162="",J162=""),"",IF(OR(AND(J162="BUY",R162="UP"),AND(J162="SELL",R162="DOWN"),AND(J162="HOLD",R162="FLAT")),"YES","NO"))</f>
        <v/>
      </c>
      <c r="T162" s="21">
        <f>IF(J162="","",IF(J162="BUY",1,IF(J162="SELL",-1,0)))</f>
        <v/>
      </c>
      <c r="U162" s="148">
        <f>IFERROR(IF(OR(J162="",N162="",P162=""),"",IF(T162=0,0,T162*Q162-Settings!$B$4/10000-IF(T162&lt;0,Settings!$B$5/10000,0))),"")</f>
        <v/>
      </c>
      <c r="W162" s="21">
        <f>IF($K162="","",$K162*60)</f>
        <v/>
      </c>
      <c r="X162" s="91">
        <f>IF($A162="","",$A162&amp;"|"&amp;$C162&amp;"|"&amp;$D162)</f>
        <v/>
      </c>
      <c r="Y162" s="91">
        <f>IFERROR(IF($X162="","",INDEX(LLM_Data_Entry!$H$3:$H$548,MATCH($X162,INDEX(LLM_Data_Entry!$A$3:$A$548&amp;"|"&amp;LLM_Data_Entry!$C$3:$C$548&amp;"|"&amp;LLM_Data_Entry!$D$3:$D$548,0),0))),"")</f>
        <v/>
      </c>
      <c r="Z162" s="91">
        <f>IFERROR(IF($X162="","",INDEX(LLM_Data_Entry!$R$3:$R$548,MATCH($X162,INDEX(LLM_Data_Entry!$A$3:$A$548&amp;"|"&amp;LLM_Data_Entry!$C$3:$C$548&amp;"|"&amp;LLM_Data_Entry!$D$3:$D$548,0),0))),"")</f>
        <v/>
      </c>
      <c r="AB162" t="inlineStr">
        <is>
          <t>release date + stated time</t>
        </is>
      </c>
      <c r="AC162" t="inlineStr">
        <is>
          <t>TGT</t>
        </is>
      </c>
      <c r="AD162" t="inlineStr">
        <is>
          <t>2025-08-19</t>
        </is>
      </c>
      <c r="AE162" t="n">
        <v>102.0369</v>
      </c>
      <c r="AF162" t="inlineStr">
        <is>
          <t>2025-08-20</t>
        </is>
      </c>
      <c r="AG162" t="n">
        <v>91.43219999999999</v>
      </c>
      <c r="AH162" t="n">
        <v>-0.1039292512694035</v>
      </c>
      <c r="AI162" t="inlineStr">
        <is>
          <t>DOWN</t>
        </is>
      </c>
      <c r="AJ162" t="inlineStr">
        <is>
          <t>YES</t>
        </is>
      </c>
      <c r="AK162" t="n">
        <v>0.102929</v>
      </c>
      <c r="AL162">
        <f>IF($A162="","",IFERROR(INDEX(Company_List!$G$3:$G$207,MATCH($A162,Company_List!$A$3:$A$207,0)),"unassigned"))</f>
        <v/>
      </c>
      <c r="AM162" t="inlineStr">
        <is>
          <t>Phase 2/Target/2025-Q2/TGT-2025-Q2-earnings-call-transcript-corporate-target-com.pdf</t>
        </is>
      </c>
      <c r="AN162" t="inlineStr">
        <is>
          <t>https://corporate.target.com/getmedia/c5751599-850d-4bb0-b599-d8ac55a91156/2025-august-20-tgt-transcript.pdf</t>
        </is>
      </c>
      <c r="AO162" t="inlineStr">
        <is>
          <t>manifest</t>
        </is>
      </c>
      <c r="AP162">
        <f>IF($A162="","",IF(COUNTIFS(LLM_Data_Entry!$A$3:$A$548,$A162)&gt;0,"YES","NO"))</f>
        <v/>
      </c>
      <c r="AQ162">
        <f>IF($A162="","",IF(COUNTIFS($A$3:$A162,$A162,$C$3:$C162,$C162,$D$3:$D162,$D162)=1,"YES","NO"))</f>
        <v/>
      </c>
      <c r="AR162">
        <f>IF($A162="","",IF(AND($C162&amp;"-"&amp;$D162&gt;=Settings!$B$19,$C162&amp;"-"&amp;$D162&lt;=Settings!$B$20),"IN","OUT"))</f>
        <v/>
      </c>
      <c r="AS162">
        <f>IF($A162="","",IF($F162="Financial Results","financials",IF($F162="Outlook/Guidance","guidance",IF($F162="Transcript Q&amp;A","qanda",IF($F162="","unrecorded",IF($E162="All","full",IF($E162="","unrecorded",LOWER($E162)&amp;" only")))))))</f>
        <v/>
      </c>
      <c r="AT162">
        <f>IF(AND(OR($J162="BUY",$J162="SELL"),ISNUMBER($U162)),$U162,"")</f>
        <v/>
      </c>
      <c r="AU162">
        <f>IF(AND(OR($J162="BUY",$J162="SELL"),ISNUMBER($AK162)),$AK162,"")</f>
        <v/>
      </c>
      <c r="AV162">
        <f>IF(ISNUMBER($AT162),ABS(IF(ISNUMBER($I162),$I162,0)-Settings!$B$24),"")</f>
        <v/>
      </c>
      <c r="AW162">
        <f>IF(ISNUMBER($AV162),$AV162*$AT162,"")</f>
        <v/>
      </c>
      <c r="AX162">
        <f>IF(ISNUMBER($AU162),ABS(IF(ISNUMBER($I162),$I162,0)-Settings!$B$24),"")</f>
        <v/>
      </c>
      <c r="AY162">
        <f>IF(ISNUMBER($AX162),$AX162*$AU162,"")</f>
        <v/>
      </c>
      <c r="AZ162">
        <f>IF($A162="","",IFERROR(INDEX(Company_List!$H$3:$H$207,MATCH($A162,Company_List!$A$3:$A$207,0)),"unassigned"))</f>
        <v/>
      </c>
      <c r="BC162">
        <f>IF($A162="","",IF(COUNTIFS($A$3:$A162,$A162,$C$3:$C162,$C162,$D$3:$D162,$D162,$G$3:$G162,$G162)=1,1,0))</f>
        <v/>
      </c>
      <c r="BG162" t="inlineStr">
        <is>
          <t>no</t>
        </is>
      </c>
      <c r="BK162">
        <f>IF(OR($H162&lt;&gt;"Human",$S162="",$J162="",$Y162="",$Z162=""),"",IF(EXACT(UPPER($J162),UPPER($Y162)),1,0))</f>
        <v/>
      </c>
      <c r="BL162" t="inlineStr">
        <is>
          <t>assumed - no rater record</t>
        </is>
      </c>
      <c r="BM162" t="n">
        <v>1</v>
      </c>
      <c r="BN162" t="inlineStr">
        <is>
          <t>Refinitiv / LSEG StreetEvents</t>
        </is>
      </c>
      <c r="BO162" t="inlineStr">
        <is>
          <t>licensed vendor</t>
        </is>
      </c>
      <c r="BP162" t="inlineStr">
        <is>
          <t>no</t>
        </is>
      </c>
      <c r="BQ162" t="inlineStr">
        <is>
          <t>yes</t>
        </is>
      </c>
    </row>
    <row r="163">
      <c r="A163" s="100" t="inlineStr">
        <is>
          <t>Target</t>
        </is>
      </c>
      <c r="B163" s="96">
        <f>IF(A163="","",_xlfn.XLOOKUP(A163, Company_List!$A:$A, Company_List!$B:$B, ""))</f>
        <v/>
      </c>
      <c r="C163" s="21" t="n">
        <v>2025</v>
      </c>
      <c r="D163" s="20" t="inlineStr">
        <is>
          <t>Q3</t>
        </is>
      </c>
      <c r="E163" s="19" t="inlineStr">
        <is>
          <t>Transcript</t>
        </is>
      </c>
      <c r="F163" s="19" t="inlineStr">
        <is>
          <t>Financial Results</t>
        </is>
      </c>
      <c r="G163" s="20" t="inlineStr">
        <is>
          <t>Abdul</t>
        </is>
      </c>
      <c r="H163" s="20" t="inlineStr">
        <is>
          <t>Human</t>
        </is>
      </c>
      <c r="I163" s="145" t="n">
        <v>-0.6</v>
      </c>
      <c r="J163" s="145">
        <f>IF(OR(I163="",Settings!$B$6=""),"",IF(I163&gt;Settings!$B$6,"BUY",IF(I163&lt;-Settings!$B$6,"SELL","HOLD")))</f>
        <v/>
      </c>
      <c r="K163" s="145" t="n">
        <v>13</v>
      </c>
      <c r="L163" s="123" t="n">
        <v>45980</v>
      </c>
      <c r="M163" s="124" t="n">
        <v>45979</v>
      </c>
      <c r="N163" s="147" t="n">
        <v>88.53</v>
      </c>
      <c r="O163" s="124" t="n">
        <v>45980</v>
      </c>
      <c r="P163" s="145" t="n">
        <v>86.42</v>
      </c>
      <c r="Q163" s="148">
        <f>IF(OR(N163="",P163=""),"",ROUND((P163-N163)/N163,4))</f>
        <v/>
      </c>
      <c r="R163" s="20">
        <f>IF(OR(N163="",P163=""),"",IF(Q163&gt;Settings!$B$3/100,"UP",IF(Q163&lt;-Settings!$B$3/100,"DOWN","FLAT")))</f>
        <v/>
      </c>
      <c r="S163" s="20">
        <f>IF(OR(N163="",P163="",J163=""),"",IF(OR(AND(J163="BUY",R163="UP"),AND(J163="SELL",R163="DOWN"),AND(J163="HOLD",R163="FLAT")),"YES","NO"))</f>
        <v/>
      </c>
      <c r="T163" s="21">
        <f>IF(J163="","",IF(J163="BUY",1,IF(J163="SELL",-1,0)))</f>
        <v/>
      </c>
      <c r="U163" s="148">
        <f>IFERROR(IF(OR(J163="",N163="",P163=""),"",IF(T163=0,0,T163*Q163-Settings!$B$4/10000-IF(T163&lt;0,Settings!$B$5/10000,0))),"")</f>
        <v/>
      </c>
      <c r="W163" s="21">
        <f>IF($K163="","",$K163*60)</f>
        <v/>
      </c>
      <c r="X163" s="91">
        <f>IF($A163="","",$A163&amp;"|"&amp;$C163&amp;"|"&amp;$D163)</f>
        <v/>
      </c>
      <c r="Y163" s="91">
        <f>IFERROR(IF($X163="","",INDEX(LLM_Data_Entry!$H$3:$H$548,MATCH($X163,INDEX(LLM_Data_Entry!$A$3:$A$548&amp;"|"&amp;LLM_Data_Entry!$C$3:$C$548&amp;"|"&amp;LLM_Data_Entry!$D$3:$D$548,0),0))),"")</f>
        <v/>
      </c>
      <c r="Z163" s="91">
        <f>IFERROR(IF($X163="","",INDEX(LLM_Data_Entry!$R$3:$R$548,MATCH($X163,INDEX(LLM_Data_Entry!$A$3:$A$548&amp;"|"&amp;LLM_Data_Entry!$C$3:$C$548&amp;"|"&amp;LLM_Data_Entry!$D$3:$D$548,0),0))),"")</f>
        <v/>
      </c>
      <c r="AB163" t="inlineStr">
        <is>
          <t>release date + stated time</t>
        </is>
      </c>
      <c r="AC163" t="inlineStr">
        <is>
          <t>TGT</t>
        </is>
      </c>
      <c r="AD163" t="inlineStr">
        <is>
          <t>2025-11-18</t>
        </is>
      </c>
      <c r="AE163" t="n">
        <v>86.8184</v>
      </c>
      <c r="AF163" t="inlineStr">
        <is>
          <t>2025-11-19</t>
        </is>
      </c>
      <c r="AG163" t="n">
        <v>84.7492</v>
      </c>
      <c r="AH163" t="n">
        <v>-0.02383377009660183</v>
      </c>
      <c r="AI163" t="inlineStr">
        <is>
          <t>DOWN</t>
        </is>
      </c>
      <c r="AJ163" t="inlineStr">
        <is>
          <t>YES</t>
        </is>
      </c>
      <c r="AK163" t="n">
        <v>0.022834</v>
      </c>
      <c r="AL163">
        <f>IF($A163="","",IFERROR(INDEX(Company_List!$G$3:$G$207,MATCH($A163,Company_List!$A$3:$A$207,0)),"unassigned"))</f>
        <v/>
      </c>
      <c r="AM163" t="inlineStr">
        <is>
          <t>Phase 2/Target/2025-Q3/TGT-2025-Q3-earnings-call-transcript-corporate-target-com.pdf</t>
        </is>
      </c>
      <c r="AN163" t="inlineStr">
        <is>
          <t>https://corporate.target.com/getmedia/1b701222-ff3c-4f65-b4b7-d0de5511f9a4/TGT-Transcript-2025-11-19.pdf</t>
        </is>
      </c>
      <c r="AO163" t="inlineStr">
        <is>
          <t>manifest</t>
        </is>
      </c>
      <c r="AP163">
        <f>IF($A163="","",IF(COUNTIFS(LLM_Data_Entry!$A$3:$A$548,$A163)&gt;0,"YES","NO"))</f>
        <v/>
      </c>
      <c r="AQ163">
        <f>IF($A163="","",IF(COUNTIFS($A$3:$A163,$A163,$C$3:$C163,$C163,$D$3:$D163,$D163)=1,"YES","NO"))</f>
        <v/>
      </c>
      <c r="AR163">
        <f>IF($A163="","",IF(AND($C163&amp;"-"&amp;$D163&gt;=Settings!$B$19,$C163&amp;"-"&amp;$D163&lt;=Settings!$B$20),"IN","OUT"))</f>
        <v/>
      </c>
      <c r="AS163">
        <f>IF($A163="","",IF($F163="Financial Results","financials",IF($F163="Outlook/Guidance","guidance",IF($F163="Transcript Q&amp;A","qanda",IF($F163="","unrecorded",IF($E163="All","full",IF($E163="","unrecorded",LOWER($E163)&amp;" only")))))))</f>
        <v/>
      </c>
      <c r="AT163">
        <f>IF(AND(OR($J163="BUY",$J163="SELL"),ISNUMBER($U163)),$U163,"")</f>
        <v/>
      </c>
      <c r="AU163">
        <f>IF(AND(OR($J163="BUY",$J163="SELL"),ISNUMBER($AK163)),$AK163,"")</f>
        <v/>
      </c>
      <c r="AV163">
        <f>IF(ISNUMBER($AT163),ABS(IF(ISNUMBER($I163),$I163,0)-Settings!$B$24),"")</f>
        <v/>
      </c>
      <c r="AW163">
        <f>IF(ISNUMBER($AV163),$AV163*$AT163,"")</f>
        <v/>
      </c>
      <c r="AX163">
        <f>IF(ISNUMBER($AU163),ABS(IF(ISNUMBER($I163),$I163,0)-Settings!$B$24),"")</f>
        <v/>
      </c>
      <c r="AY163">
        <f>IF(ISNUMBER($AX163),$AX163*$AU163,"")</f>
        <v/>
      </c>
      <c r="AZ163">
        <f>IF($A163="","",IFERROR(INDEX(Company_List!$H$3:$H$207,MATCH($A163,Company_List!$A$3:$A$207,0)),"unassigned"))</f>
        <v/>
      </c>
      <c r="BC163">
        <f>IF($A163="","",IF(COUNTIFS($A$3:$A163,$A163,$C$3:$C163,$C163,$D$3:$D163,$D163,$G$3:$G163,$G163)=1,1,0))</f>
        <v/>
      </c>
      <c r="BG163" t="inlineStr">
        <is>
          <t>no</t>
        </is>
      </c>
      <c r="BK163">
        <f>IF(OR($H163&lt;&gt;"Human",$S163="",$J163="",$Y163="",$Z163=""),"",IF(EXACT(UPPER($J163),UPPER($Y163)),1,0))</f>
        <v/>
      </c>
      <c r="BL163" t="inlineStr">
        <is>
          <t>assumed - no rater record</t>
        </is>
      </c>
      <c r="BM163" t="n">
        <v>1</v>
      </c>
      <c r="BN163" t="inlineStr">
        <is>
          <t>Refinitiv / LSEG StreetEvents</t>
        </is>
      </c>
      <c r="BO163" t="inlineStr">
        <is>
          <t>licensed vendor</t>
        </is>
      </c>
      <c r="BP163" t="inlineStr">
        <is>
          <t>no</t>
        </is>
      </c>
      <c r="BQ163" t="inlineStr">
        <is>
          <t>yes</t>
        </is>
      </c>
    </row>
    <row r="164">
      <c r="A164" s="100" t="inlineStr">
        <is>
          <t>Target</t>
        </is>
      </c>
      <c r="B164" s="96">
        <f>IF(A164="","",_xlfn.XLOOKUP(A164, Company_List!$A:$A, Company_List!$B:$B, ""))</f>
        <v/>
      </c>
      <c r="C164" s="21" t="n">
        <v>2026</v>
      </c>
      <c r="D164" s="20" t="inlineStr">
        <is>
          <t>Q1</t>
        </is>
      </c>
      <c r="E164" s="19" t="inlineStr">
        <is>
          <t>Transcript</t>
        </is>
      </c>
      <c r="F164" s="19" t="inlineStr">
        <is>
          <t>Financial Results</t>
        </is>
      </c>
      <c r="G164" s="20" t="inlineStr">
        <is>
          <t>Abdul</t>
        </is>
      </c>
      <c r="H164" s="20" t="inlineStr">
        <is>
          <t>Human</t>
        </is>
      </c>
      <c r="I164" s="145" t="n">
        <v>-0.1</v>
      </c>
      <c r="J164" s="145">
        <f>IF(OR(I164="",Settings!$B$6=""),"",IF(I164&gt;Settings!$B$6,"BUY",IF(I164&lt;-Settings!$B$6,"SELL","HOLD")))</f>
        <v/>
      </c>
      <c r="K164" s="145" t="n">
        <v>19</v>
      </c>
      <c r="L164" s="123" t="n">
        <v>46162</v>
      </c>
      <c r="M164" s="124" t="n">
        <v>46161</v>
      </c>
      <c r="N164" s="147" t="n">
        <v>127.24</v>
      </c>
      <c r="O164" s="124" t="n">
        <v>46162</v>
      </c>
      <c r="P164" s="145" t="n">
        <v>120.21</v>
      </c>
      <c r="Q164" s="148">
        <f>IF(OR(N164="",P164=""),"",ROUND((P164-N164)/N164,4))</f>
        <v/>
      </c>
      <c r="R164" s="20">
        <f>IF(OR(N164="",P164=""),"",IF(Q164&gt;Settings!$B$3/100,"UP",IF(Q164&lt;-Settings!$B$3/100,"DOWN","FLAT")))</f>
        <v/>
      </c>
      <c r="S164" s="20">
        <f>IF(OR(N164="",P164="",J164=""),"",IF(OR(AND(J164="BUY",R164="UP"),AND(J164="SELL",R164="DOWN"),AND(J164="HOLD",R164="FLAT")),"YES","NO"))</f>
        <v/>
      </c>
      <c r="T164" s="21">
        <f>IF(J164="","",IF(J164="BUY",1,IF(J164="SELL",-1,0)))</f>
        <v/>
      </c>
      <c r="U164" s="148">
        <f>IFERROR(IF(OR(J164="",N164="",P164=""),"",IF(T164=0,0,T164*Q164-Settings!$B$4/10000-IF(T164&lt;0,Settings!$B$5/10000,0))),"")</f>
        <v/>
      </c>
      <c r="W164" s="21">
        <f>IF($K164="","",$K164*60)</f>
        <v/>
      </c>
      <c r="X164" s="91">
        <f>IF($A164="","",$A164&amp;"|"&amp;$C164&amp;"|"&amp;$D164)</f>
        <v/>
      </c>
      <c r="Y164" s="91">
        <f>IFERROR(IF($X164="","",INDEX(LLM_Data_Entry!$H$3:$H$548,MATCH($X164,INDEX(LLM_Data_Entry!$A$3:$A$548&amp;"|"&amp;LLM_Data_Entry!$C$3:$C$548&amp;"|"&amp;LLM_Data_Entry!$D$3:$D$548,0),0))),"")</f>
        <v/>
      </c>
      <c r="Z164" s="91">
        <f>IFERROR(IF($X164="","",INDEX(LLM_Data_Entry!$R$3:$R$548,MATCH($X164,INDEX(LLM_Data_Entry!$A$3:$A$548&amp;"|"&amp;LLM_Data_Entry!$C$3:$C$548&amp;"|"&amp;LLM_Data_Entry!$D$3:$D$548,0),0))),"")</f>
        <v/>
      </c>
      <c r="AB164" t="inlineStr">
        <is>
          <t>release date + stated time</t>
        </is>
      </c>
      <c r="AC164" t="inlineStr">
        <is>
          <t>TGT</t>
        </is>
      </c>
      <c r="AD164" t="inlineStr">
        <is>
          <t>2026-05-19</t>
        </is>
      </c>
      <c r="AE164" t="n">
        <v>127.24</v>
      </c>
      <c r="AF164" t="inlineStr">
        <is>
          <t>2026-05-20</t>
        </is>
      </c>
      <c r="AG164" t="n">
        <v>120.21</v>
      </c>
      <c r="AH164" t="n">
        <v>-0.05524991441763465</v>
      </c>
      <c r="AI164" t="inlineStr">
        <is>
          <t>DOWN</t>
        </is>
      </c>
      <c r="AJ164" t="inlineStr">
        <is>
          <t>NO</t>
        </is>
      </c>
      <c r="AK164" t="n">
        <v>0</v>
      </c>
      <c r="AL164">
        <f>IF($A164="","",IFERROR(INDEX(Company_List!$G$3:$G$207,MATCH($A164,Company_List!$A$3:$A$207,0)),"unassigned"))</f>
        <v/>
      </c>
      <c r="AM164" t="inlineStr">
        <is>
          <t>Phase 2/Target/2026-Q1/TGT-2026-Q1-earnings-call-transcript-fool-com.html</t>
        </is>
      </c>
      <c r="AN164" t="inlineStr">
        <is>
          <t>https://www.fool.com/earnings/call-transcripts/2026/05/20/target-tgt-q1-2026-earnings-call-transcript/</t>
        </is>
      </c>
      <c r="AO164" t="inlineStr">
        <is>
          <t>manifest</t>
        </is>
      </c>
      <c r="AP164">
        <f>IF($A164="","",IF(COUNTIFS(LLM_Data_Entry!$A$3:$A$548,$A164)&gt;0,"YES","NO"))</f>
        <v/>
      </c>
      <c r="AQ164">
        <f>IF($A164="","",IF(COUNTIFS($A$3:$A164,$A164,$C$3:$C164,$C164,$D$3:$D164,$D164)=1,"YES","NO"))</f>
        <v/>
      </c>
      <c r="AR164">
        <f>IF($A164="","",IF(AND($C164&amp;"-"&amp;$D164&gt;=Settings!$B$19,$C164&amp;"-"&amp;$D164&lt;=Settings!$B$20),"IN","OUT"))</f>
        <v/>
      </c>
      <c r="AS164">
        <f>IF($A164="","",IF($F164="Financial Results","financials",IF($F164="Outlook/Guidance","guidance",IF($F164="Transcript Q&amp;A","qanda",IF($F164="","unrecorded",IF($E164="All","full",IF($E164="","unrecorded",LOWER($E164)&amp;" only")))))))</f>
        <v/>
      </c>
      <c r="AT164">
        <f>IF(AND(OR($J164="BUY",$J164="SELL"),ISNUMBER($U164)),$U164,"")</f>
        <v/>
      </c>
      <c r="AU164">
        <f>IF(AND(OR($J164="BUY",$J164="SELL"),ISNUMBER($AK164)),$AK164,"")</f>
        <v/>
      </c>
      <c r="AV164">
        <f>IF(ISNUMBER($AT164),ABS(IF(ISNUMBER($I164),$I164,0)-Settings!$B$24),"")</f>
        <v/>
      </c>
      <c r="AW164">
        <f>IF(ISNUMBER($AV164),$AV164*$AT164,"")</f>
        <v/>
      </c>
      <c r="AX164">
        <f>IF(ISNUMBER($AU164),ABS(IF(ISNUMBER($I164),$I164,0)-Settings!$B$24),"")</f>
        <v/>
      </c>
      <c r="AY164">
        <f>IF(ISNUMBER($AX164),$AX164*$AU164,"")</f>
        <v/>
      </c>
      <c r="AZ164">
        <f>IF($A164="","",IFERROR(INDEX(Company_List!$H$3:$H$207,MATCH($A164,Company_List!$A$3:$A$207,0)),"unassigned"))</f>
        <v/>
      </c>
      <c r="BC164">
        <f>IF($A164="","",IF(COUNTIFS($A$3:$A164,$A164,$C$3:$C164,$C164,$D$3:$D164,$D164,$G$3:$G164,$G164)=1,1,0))</f>
        <v/>
      </c>
      <c r="BG164" t="inlineStr">
        <is>
          <t>no</t>
        </is>
      </c>
      <c r="BK164">
        <f>IF(OR($H164&lt;&gt;"Human",$S164="",$J164="",$Y164="",$Z164=""),"",IF(EXACT(UPPER($J164),UPPER($Y164)),1,0))</f>
        <v/>
      </c>
      <c r="BL164" t="inlineStr">
        <is>
          <t>assumed - no rater record</t>
        </is>
      </c>
      <c r="BM164" t="n">
        <v>1</v>
      </c>
      <c r="BN164" t="inlineStr">
        <is>
          <t>The Motley Fool</t>
        </is>
      </c>
      <c r="BO164" t="inlineStr">
        <is>
          <t>free to read, copyright asserted</t>
        </is>
      </c>
      <c r="BP164" t="inlineStr">
        <is>
          <t>no</t>
        </is>
      </c>
      <c r="BQ164" t="inlineStr">
        <is>
          <t>yes</t>
        </is>
      </c>
    </row>
    <row r="165">
      <c r="A165" s="100" t="inlineStr">
        <is>
          <t>PayPal</t>
        </is>
      </c>
      <c r="B165" s="116">
        <f>IF(A165="","",_xlfn.XLOOKUP(A165, Company_List!$A:$A, Company_List!$B:$B, ""))</f>
        <v/>
      </c>
      <c r="C165" s="21" t="n">
        <v>2025</v>
      </c>
      <c r="D165" s="20" t="inlineStr">
        <is>
          <t>Q1</t>
        </is>
      </c>
      <c r="E165" s="19" t="inlineStr">
        <is>
          <t>Transcript</t>
        </is>
      </c>
      <c r="F165" s="19" t="inlineStr">
        <is>
          <t>Financial Results</t>
        </is>
      </c>
      <c r="G165" s="20" t="inlineStr">
        <is>
          <t>Abdul</t>
        </is>
      </c>
      <c r="H165" s="20" t="inlineStr">
        <is>
          <t>Human</t>
        </is>
      </c>
      <c r="I165" s="145" t="n">
        <v>0.3</v>
      </c>
      <c r="J165" s="145">
        <f>IF(OR(I165="",Settings!$B$6=""),"",IF(I165&gt;Settings!$B$6,"BUY",IF(I165&lt;-Settings!$B$6,"SELL","HOLD")))</f>
        <v/>
      </c>
      <c r="K165" s="145" t="n">
        <v>17</v>
      </c>
      <c r="L165" s="123" t="n">
        <v>45776</v>
      </c>
      <c r="M165" s="124" t="n">
        <v>45775</v>
      </c>
      <c r="N165" s="147" t="n">
        <v>64.93000000000001</v>
      </c>
      <c r="O165" s="124" t="n">
        <v>45776</v>
      </c>
      <c r="P165" s="145" t="n">
        <v>66.37</v>
      </c>
      <c r="Q165" s="148">
        <f>IF(OR(N165="",P165=""),"",ROUND((P165-N165)/N165,4))</f>
        <v/>
      </c>
      <c r="R165" s="20">
        <f>IF(OR(N165="",P165=""),"",IF(Q165&gt;Settings!$B$3/100,"UP",IF(Q165&lt;-Settings!$B$3/100,"DOWN","FLAT")))</f>
        <v/>
      </c>
      <c r="S165" s="20">
        <f>IF(OR(N165="",P165="",J165=""),"",IF(OR(AND(J165="BUY",R165="UP"),AND(J165="SELL",R165="DOWN"),AND(J165="HOLD",R165="FLAT")),"YES","NO"))</f>
        <v/>
      </c>
      <c r="T165" s="21">
        <f>IF(J165="","",IF(J165="BUY",1,IF(J165="SELL",-1,0)))</f>
        <v/>
      </c>
      <c r="U165" s="148">
        <f>IFERROR(IF(OR(J165="",N165="",P165=""),"",IF(T165=0,0,T165*Q165-Settings!$B$4/10000-IF(T165&lt;0,Settings!$B$5/10000,0))),"")</f>
        <v/>
      </c>
      <c r="W165" s="21">
        <f>IF($K165="","",$K165*60)</f>
        <v/>
      </c>
      <c r="X165" s="91">
        <f>IF($A165="","",$A165&amp;"|"&amp;$C165&amp;"|"&amp;$D165)</f>
        <v/>
      </c>
      <c r="Y165" s="91">
        <f>IFERROR(IF($X165="","",INDEX(LLM_Data_Entry!$H$3:$H$548,MATCH($X165,INDEX(LLM_Data_Entry!$A$3:$A$548&amp;"|"&amp;LLM_Data_Entry!$C$3:$C$548&amp;"|"&amp;LLM_Data_Entry!$D$3:$D$548,0),0))),"")</f>
        <v/>
      </c>
      <c r="Z165" s="91">
        <f>IFERROR(IF($X165="","",INDEX(LLM_Data_Entry!$R$3:$R$548,MATCH($X165,INDEX(LLM_Data_Entry!$A$3:$A$548&amp;"|"&amp;LLM_Data_Entry!$C$3:$C$548&amp;"|"&amp;LLM_Data_Entry!$D$3:$D$548,0),0))),"")</f>
        <v/>
      </c>
      <c r="AB165" t="inlineStr">
        <is>
          <t>price signal — only this window shows an abnormal move</t>
        </is>
      </c>
      <c r="AC165" t="inlineStr">
        <is>
          <t>PYPL</t>
        </is>
      </c>
      <c r="AD165" t="inlineStr">
        <is>
          <t>2025-04-28</t>
        </is>
      </c>
      <c r="AE165" t="n">
        <v>64.3725</v>
      </c>
      <c r="AF165" t="inlineStr">
        <is>
          <t>2025-04-29</t>
        </is>
      </c>
      <c r="AG165" t="n">
        <v>65.8001</v>
      </c>
      <c r="AH165" t="n">
        <v>0.02217769318727723</v>
      </c>
      <c r="AI165" t="inlineStr">
        <is>
          <t>UP</t>
        </is>
      </c>
      <c r="AJ165" t="inlineStr">
        <is>
          <t>YES</t>
        </is>
      </c>
      <c r="AK165" t="n">
        <v>0.021178</v>
      </c>
      <c r="AL165">
        <f>IF($A165="","",IFERROR(INDEX(Company_List!$G$3:$G$207,MATCH($A165,Company_List!$A$3:$A$207,0)),"unassigned"))</f>
        <v/>
      </c>
      <c r="AM165" t="inlineStr">
        <is>
          <t>Phase 3/Readings/PayPal/PYPL-Holdings_Q1-2025-Earnings-Call-Transcript.pdf</t>
        </is>
      </c>
      <c r="AO165" t="inlineStr">
        <is>
          <t>unique filename match</t>
        </is>
      </c>
      <c r="AP165">
        <f>IF($A165="","",IF(COUNTIFS(LLM_Data_Entry!$A$3:$A$548,$A165)&gt;0,"YES","NO"))</f>
        <v/>
      </c>
      <c r="AQ165">
        <f>IF($A165="","",IF(COUNTIFS($A$3:$A165,$A165,$C$3:$C165,$C165,$D$3:$D165,$D165)=1,"YES","NO"))</f>
        <v/>
      </c>
      <c r="AR165">
        <f>IF($A165="","",IF(AND($C165&amp;"-"&amp;$D165&gt;=Settings!$B$19,$C165&amp;"-"&amp;$D165&lt;=Settings!$B$20),"IN","OUT"))</f>
        <v/>
      </c>
      <c r="AS165">
        <f>IF($A165="","",IF($F165="Financial Results","financials",IF($F165="Outlook/Guidance","guidance",IF($F165="Transcript Q&amp;A","qanda",IF($F165="","unrecorded",IF($E165="All","full",IF($E165="","unrecorded",LOWER($E165)&amp;" only")))))))</f>
        <v/>
      </c>
      <c r="AT165">
        <f>IF(AND(OR($J165="BUY",$J165="SELL"),ISNUMBER($U165)),$U165,"")</f>
        <v/>
      </c>
      <c r="AU165">
        <f>IF(AND(OR($J165="BUY",$J165="SELL"),ISNUMBER($AK165)),$AK165,"")</f>
        <v/>
      </c>
      <c r="AV165">
        <f>IF(ISNUMBER($AT165),ABS(IF(ISNUMBER($I165),$I165,0)-Settings!$B$24),"")</f>
        <v/>
      </c>
      <c r="AW165">
        <f>IF(ISNUMBER($AV165),$AV165*$AT165,"")</f>
        <v/>
      </c>
      <c r="AX165">
        <f>IF(ISNUMBER($AU165),ABS(IF(ISNUMBER($I165),$I165,0)-Settings!$B$24),"")</f>
        <v/>
      </c>
      <c r="AY165">
        <f>IF(ISNUMBER($AX165),$AX165*$AU165,"")</f>
        <v/>
      </c>
      <c r="AZ165">
        <f>IF($A165="","",IFERROR(INDEX(Company_List!$H$3:$H$207,MATCH($A165,Company_List!$A$3:$A$207,0)),"unassigned"))</f>
        <v/>
      </c>
      <c r="BC165">
        <f>IF($A165="","",IF(COUNTIFS($A$3:$A165,$A165,$C$3:$C165,$C165,$D$3:$D165,$D165,$G$3:$G165,$G165)=1,1,0))</f>
        <v/>
      </c>
      <c r="BG165" t="inlineStr">
        <is>
          <t>no</t>
        </is>
      </c>
      <c r="BK165">
        <f>IF(OR($H165&lt;&gt;"Human",$S165="",$J165="",$Y165="",$Z165=""),"",IF(EXACT(UPPER($J165),UPPER($Y165)),1,0))</f>
        <v/>
      </c>
      <c r="BL165" t="inlineStr">
        <is>
          <t>assumed - no rater record</t>
        </is>
      </c>
      <c r="BM165" t="n">
        <v>1</v>
      </c>
      <c r="BN165" t="inlineStr">
        <is>
          <t>FactSet CallStreet</t>
        </is>
      </c>
      <c r="BO165" t="inlineStr">
        <is>
          <t>licensed vendor</t>
        </is>
      </c>
      <c r="BP165" t="inlineStr">
        <is>
          <t>no</t>
        </is>
      </c>
      <c r="BQ165" t="inlineStr">
        <is>
          <t>no</t>
        </is>
      </c>
    </row>
    <row r="166">
      <c r="A166" s="100" t="inlineStr">
        <is>
          <t>PayPal</t>
        </is>
      </c>
      <c r="B166" s="116">
        <f>IF(A166="","",_xlfn.XLOOKUP(A166, Company_List!$A:$A, Company_List!$B:$B, ""))</f>
        <v/>
      </c>
      <c r="C166" s="21" t="n">
        <v>2025</v>
      </c>
      <c r="D166" s="20" t="inlineStr">
        <is>
          <t>Q2</t>
        </is>
      </c>
      <c r="E166" s="19" t="inlineStr">
        <is>
          <t>Transcript</t>
        </is>
      </c>
      <c r="F166" s="19" t="inlineStr">
        <is>
          <t>Outlook/Guidance</t>
        </is>
      </c>
      <c r="G166" s="20" t="inlineStr">
        <is>
          <t>Abdul</t>
        </is>
      </c>
      <c r="H166" s="20" t="inlineStr">
        <is>
          <t>Human</t>
        </is>
      </c>
      <c r="I166" s="145" t="n">
        <v>0.3</v>
      </c>
      <c r="J166" s="145">
        <f>IF(OR(I166="",Settings!$B$6=""),"",IF(I166&gt;Settings!$B$6,"BUY",IF(I166&lt;-Settings!$B$6,"SELL","HOLD")))</f>
        <v/>
      </c>
      <c r="K166" s="145" t="n">
        <v>12</v>
      </c>
      <c r="L166" s="123" t="n">
        <v>45867</v>
      </c>
      <c r="M166" s="124" t="n">
        <v>45866</v>
      </c>
      <c r="N166" s="147" t="n">
        <v>78.22</v>
      </c>
      <c r="O166" s="124" t="n">
        <v>45867</v>
      </c>
      <c r="P166" s="145" t="n">
        <v>71.73</v>
      </c>
      <c r="Q166" s="148">
        <f>IF(OR(N166="",P166=""),"",ROUND((P166-N166)/N166,4))</f>
        <v/>
      </c>
      <c r="R166" s="20">
        <f>IF(OR(N166="",P166=""),"",IF(Q166&gt;Settings!$B$3/100,"UP",IF(Q166&lt;-Settings!$B$3/100,"DOWN","FLAT")))</f>
        <v/>
      </c>
      <c r="S166" s="20">
        <f>IF(OR(N166="",P166="",J166=""),"",IF(OR(AND(J166="BUY",R166="UP"),AND(J166="SELL",R166="DOWN"),AND(J166="HOLD",R166="FLAT")),"YES","NO"))</f>
        <v/>
      </c>
      <c r="T166" s="21">
        <f>IF(J166="","",IF(J166="BUY",1,IF(J166="SELL",-1,0)))</f>
        <v/>
      </c>
      <c r="U166" s="148">
        <f>IFERROR(IF(OR(J166="",N166="",P166=""),"",IF(T166=0,0,T166*Q166-Settings!$B$4/10000-IF(T166&lt;0,Settings!$B$5/10000,0))),"")</f>
        <v/>
      </c>
      <c r="W166" s="21">
        <f>IF($K166="","",$K166*60)</f>
        <v/>
      </c>
      <c r="X166" s="91">
        <f>IF($A166="","",$A166&amp;"|"&amp;$C166&amp;"|"&amp;$D166)</f>
        <v/>
      </c>
      <c r="Y166" s="91">
        <f>IFERROR(IF($X166="","",INDEX(LLM_Data_Entry!$H$3:$H$548,MATCH($X166,INDEX(LLM_Data_Entry!$A$3:$A$548&amp;"|"&amp;LLM_Data_Entry!$C$3:$C$548&amp;"|"&amp;LLM_Data_Entry!$D$3:$D$548,0),0))),"")</f>
        <v/>
      </c>
      <c r="Z166" s="91">
        <f>IFERROR(IF($X166="","",INDEX(LLM_Data_Entry!$R$3:$R$548,MATCH($X166,INDEX(LLM_Data_Entry!$A$3:$A$548&amp;"|"&amp;LLM_Data_Entry!$C$3:$C$548&amp;"|"&amp;LLM_Data_Entry!$D$3:$D$548,0),0))),"")</f>
        <v/>
      </c>
      <c r="AB166" t="inlineStr">
        <is>
          <t>price signal — only this window shows an abnormal move</t>
        </is>
      </c>
      <c r="AC166" t="inlineStr">
        <is>
          <t>PYPL</t>
        </is>
      </c>
      <c r="AD166" t="inlineStr">
        <is>
          <t>2025-07-28</t>
        </is>
      </c>
      <c r="AE166" t="n">
        <v>77.5484</v>
      </c>
      <c r="AF166" t="inlineStr">
        <is>
          <t>2025-07-29</t>
        </is>
      </c>
      <c r="AG166" t="n">
        <v>71.11409999999999</v>
      </c>
      <c r="AH166" t="n">
        <v>-0.08297117785809287</v>
      </c>
      <c r="AI166" t="inlineStr">
        <is>
          <t>DOWN</t>
        </is>
      </c>
      <c r="AJ166" t="inlineStr">
        <is>
          <t>NO</t>
        </is>
      </c>
      <c r="AK166" t="n">
        <v>-0.083971</v>
      </c>
      <c r="AL166">
        <f>IF($A166="","",IFERROR(INDEX(Company_List!$G$3:$G$207,MATCH($A166,Company_List!$A$3:$A$207,0)),"unassigned"))</f>
        <v/>
      </c>
      <c r="AM166" t="inlineStr">
        <is>
          <t>Phase 3/Readings/PayPal/CORRECTED-TRANSCRIPT_-PayPal-Holdings-Inc-PYPL-US-Q2-2025-Earnings-Call-29-July-2025-8_00-AM-ET.pdf</t>
        </is>
      </c>
      <c r="AO166" t="inlineStr">
        <is>
          <t>unique filename match</t>
        </is>
      </c>
      <c r="AP166">
        <f>IF($A166="","",IF(COUNTIFS(LLM_Data_Entry!$A$3:$A$548,$A166)&gt;0,"YES","NO"))</f>
        <v/>
      </c>
      <c r="AQ166">
        <f>IF($A166="","",IF(COUNTIFS($A$3:$A166,$A166,$C$3:$C166,$C166,$D$3:$D166,$D166)=1,"YES","NO"))</f>
        <v/>
      </c>
      <c r="AR166">
        <f>IF($A166="","",IF(AND($C166&amp;"-"&amp;$D166&gt;=Settings!$B$19,$C166&amp;"-"&amp;$D166&lt;=Settings!$B$20),"IN","OUT"))</f>
        <v/>
      </c>
      <c r="AS166">
        <f>IF($A166="","",IF($F166="Financial Results","financials",IF($F166="Outlook/Guidance","guidance",IF($F166="Transcript Q&amp;A","qanda",IF($F166="","unrecorded",IF($E166="All","full",IF($E166="","unrecorded",LOWER($E166)&amp;" only")))))))</f>
        <v/>
      </c>
      <c r="AT166">
        <f>IF(AND(OR($J166="BUY",$J166="SELL"),ISNUMBER($U166)),$U166,"")</f>
        <v/>
      </c>
      <c r="AU166">
        <f>IF(AND(OR($J166="BUY",$J166="SELL"),ISNUMBER($AK166)),$AK166,"")</f>
        <v/>
      </c>
      <c r="AV166">
        <f>IF(ISNUMBER($AT166),ABS(IF(ISNUMBER($I166),$I166,0)-Settings!$B$24),"")</f>
        <v/>
      </c>
      <c r="AW166">
        <f>IF(ISNUMBER($AV166),$AV166*$AT166,"")</f>
        <v/>
      </c>
      <c r="AX166">
        <f>IF(ISNUMBER($AU166),ABS(IF(ISNUMBER($I166),$I166,0)-Settings!$B$24),"")</f>
        <v/>
      </c>
      <c r="AY166">
        <f>IF(ISNUMBER($AX166),$AX166*$AU166,"")</f>
        <v/>
      </c>
      <c r="AZ166">
        <f>IF($A166="","",IFERROR(INDEX(Company_List!$H$3:$H$207,MATCH($A166,Company_List!$A$3:$A$207,0)),"unassigned"))</f>
        <v/>
      </c>
      <c r="BC166">
        <f>IF($A166="","",IF(COUNTIFS($A$3:$A166,$A166,$C$3:$C166,$C166,$D$3:$D166,$D166,$G$3:$G166,$G166)=1,1,0))</f>
        <v/>
      </c>
      <c r="BG166" t="inlineStr">
        <is>
          <t>no</t>
        </is>
      </c>
      <c r="BK166">
        <f>IF(OR($H166&lt;&gt;"Human",$S166="",$J166="",$Y166="",$Z166=""),"",IF(EXACT(UPPER($J166),UPPER($Y166)),1,0))</f>
        <v/>
      </c>
      <c r="BL166" t="inlineStr">
        <is>
          <t>assumed - no rater record</t>
        </is>
      </c>
      <c r="BM166" t="n">
        <v>1</v>
      </c>
      <c r="BN166" t="inlineStr">
        <is>
          <t>FactSet CallStreet</t>
        </is>
      </c>
      <c r="BO166" t="inlineStr">
        <is>
          <t>licensed vendor</t>
        </is>
      </c>
      <c r="BP166" t="inlineStr">
        <is>
          <t>no</t>
        </is>
      </c>
      <c r="BQ166" t="inlineStr">
        <is>
          <t>no</t>
        </is>
      </c>
    </row>
    <row r="167">
      <c r="A167" s="100" t="inlineStr">
        <is>
          <t>PayPal</t>
        </is>
      </c>
      <c r="B167" s="116">
        <f>IF(A167="","",_xlfn.XLOOKUP(A167, Company_List!$A:$A, Company_List!$B:$B, ""))</f>
        <v/>
      </c>
      <c r="C167" s="21" t="n">
        <v>2025</v>
      </c>
      <c r="D167" s="20" t="inlineStr">
        <is>
          <t>Q3</t>
        </is>
      </c>
      <c r="E167" s="19" t="inlineStr">
        <is>
          <t>Transcript</t>
        </is>
      </c>
      <c r="F167" s="19" t="inlineStr">
        <is>
          <t>Transcript Q&amp;A</t>
        </is>
      </c>
      <c r="G167" s="20" t="inlineStr">
        <is>
          <t>Abdul</t>
        </is>
      </c>
      <c r="H167" s="20" t="inlineStr">
        <is>
          <t>Human</t>
        </is>
      </c>
      <c r="I167" s="145" t="n">
        <v>0.5</v>
      </c>
      <c r="J167" s="145">
        <f>IF(OR(I167="",Settings!$B$6=""),"",IF(I167&gt;Settings!$B$6,"BUY",IF(I167&lt;-Settings!$B$6,"SELL","HOLD")))</f>
        <v/>
      </c>
      <c r="K167" s="145" t="n">
        <v>32</v>
      </c>
      <c r="L167" s="123" t="n">
        <v>45958</v>
      </c>
      <c r="M167" s="124" t="n">
        <v>45957</v>
      </c>
      <c r="N167" s="147" t="n">
        <v>70.25</v>
      </c>
      <c r="O167" s="124" t="n">
        <v>45958</v>
      </c>
      <c r="P167" s="145" t="n">
        <v>76.20999999999999</v>
      </c>
      <c r="Q167" s="148">
        <f>IF(OR(N167="",P167=""),"",ROUND((P167-N167)/N167,4))</f>
        <v/>
      </c>
      <c r="R167" s="20">
        <f>IF(OR(N167="",P167=""),"",IF(Q167&gt;Settings!$B$3/100,"UP",IF(Q167&lt;-Settings!$B$3/100,"DOWN","FLAT")))</f>
        <v/>
      </c>
      <c r="S167" s="20">
        <f>IF(OR(N167="",P167="",J167=""),"",IF(OR(AND(J167="BUY",R167="UP"),AND(J167="SELL",R167="DOWN"),AND(J167="HOLD",R167="FLAT")),"YES","NO"))</f>
        <v/>
      </c>
      <c r="T167" s="21">
        <f>IF(J167="","",IF(J167="BUY",1,IF(J167="SELL",-1,0)))</f>
        <v/>
      </c>
      <c r="U167" s="148">
        <f>IFERROR(IF(OR(J167="",N167="",P167=""),"",IF(T167=0,0,T167*Q167-Settings!$B$4/10000-IF(T167&lt;0,Settings!$B$5/10000,0))),"")</f>
        <v/>
      </c>
      <c r="W167" s="21">
        <f>IF($K167="","",$K167*60)</f>
        <v/>
      </c>
      <c r="X167" s="91">
        <f>IF($A167="","",$A167&amp;"|"&amp;$C167&amp;"|"&amp;$D167)</f>
        <v/>
      </c>
      <c r="Y167" s="91">
        <f>IFERROR(IF($X167="","",INDEX(LLM_Data_Entry!$H$3:$H$548,MATCH($X167,INDEX(LLM_Data_Entry!$A$3:$A$548&amp;"|"&amp;LLM_Data_Entry!$C$3:$C$548&amp;"|"&amp;LLM_Data_Entry!$D$3:$D$548,0),0))),"")</f>
        <v/>
      </c>
      <c r="Z167" s="91">
        <f>IFERROR(IF($X167="","",INDEX(LLM_Data_Entry!$R$3:$R$548,MATCH($X167,INDEX(LLM_Data_Entry!$A$3:$A$548&amp;"|"&amp;LLM_Data_Entry!$C$3:$C$548&amp;"|"&amp;LLM_Data_Entry!$D$3:$D$548,0),0))),"")</f>
        <v/>
      </c>
      <c r="AB167" t="inlineStr">
        <is>
          <t>price signal — only this window shows an abnormal move</t>
        </is>
      </c>
      <c r="AC167" t="inlineStr">
        <is>
          <t>PYPL</t>
        </is>
      </c>
      <c r="AD167" t="inlineStr">
        <is>
          <t>2025-10-27</t>
        </is>
      </c>
      <c r="AE167" t="n">
        <v>69.6468</v>
      </c>
      <c r="AF167" t="inlineStr">
        <is>
          <t>2025-10-28</t>
        </is>
      </c>
      <c r="AG167" t="n">
        <v>75.5556</v>
      </c>
      <c r="AH167" t="n">
        <v>0.08483975966452981</v>
      </c>
      <c r="AI167" t="inlineStr">
        <is>
          <t>UP</t>
        </is>
      </c>
      <c r="AJ167" t="inlineStr">
        <is>
          <t>YES</t>
        </is>
      </c>
      <c r="AK167" t="n">
        <v>0.08384</v>
      </c>
      <c r="AL167">
        <f>IF($A167="","",IFERROR(INDEX(Company_List!$G$3:$G$207,MATCH($A167,Company_List!$A$3:$A$207,0)),"unassigned"))</f>
        <v/>
      </c>
      <c r="AM167" t="inlineStr">
        <is>
          <t>Phase 3/Readings/PayPal/CORRECTED-TRANSCRIPT_-PayPal-Holdings-Inc-PYPL-US-Q3-2025-Earnings-Call-28-October-2025-8_00-AM-ET.pdf</t>
        </is>
      </c>
      <c r="AO167" t="inlineStr">
        <is>
          <t>unique filename match</t>
        </is>
      </c>
      <c r="AP167">
        <f>IF($A167="","",IF(COUNTIFS(LLM_Data_Entry!$A$3:$A$548,$A167)&gt;0,"YES","NO"))</f>
        <v/>
      </c>
      <c r="AQ167">
        <f>IF($A167="","",IF(COUNTIFS($A$3:$A167,$A167,$C$3:$C167,$C167,$D$3:$D167,$D167)=1,"YES","NO"))</f>
        <v/>
      </c>
      <c r="AR167">
        <f>IF($A167="","",IF(AND($C167&amp;"-"&amp;$D167&gt;=Settings!$B$19,$C167&amp;"-"&amp;$D167&lt;=Settings!$B$20),"IN","OUT"))</f>
        <v/>
      </c>
      <c r="AS167">
        <f>IF($A167="","",IF($F167="Financial Results","financials",IF($F167="Outlook/Guidance","guidance",IF($F167="Transcript Q&amp;A","qanda",IF($F167="","unrecorded",IF($E167="All","full",IF($E167="","unrecorded",LOWER($E167)&amp;" only")))))))</f>
        <v/>
      </c>
      <c r="AT167">
        <f>IF(AND(OR($J167="BUY",$J167="SELL"),ISNUMBER($U167)),$U167,"")</f>
        <v/>
      </c>
      <c r="AU167">
        <f>IF(AND(OR($J167="BUY",$J167="SELL"),ISNUMBER($AK167)),$AK167,"")</f>
        <v/>
      </c>
      <c r="AV167">
        <f>IF(ISNUMBER($AT167),ABS(IF(ISNUMBER($I167),$I167,0)-Settings!$B$24),"")</f>
        <v/>
      </c>
      <c r="AW167">
        <f>IF(ISNUMBER($AV167),$AV167*$AT167,"")</f>
        <v/>
      </c>
      <c r="AX167">
        <f>IF(ISNUMBER($AU167),ABS(IF(ISNUMBER($I167),$I167,0)-Settings!$B$24),"")</f>
        <v/>
      </c>
      <c r="AY167">
        <f>IF(ISNUMBER($AX167),$AX167*$AU167,"")</f>
        <v/>
      </c>
      <c r="AZ167">
        <f>IF($A167="","",IFERROR(INDEX(Company_List!$H$3:$H$207,MATCH($A167,Company_List!$A$3:$A$207,0)),"unassigned"))</f>
        <v/>
      </c>
      <c r="BC167">
        <f>IF($A167="","",IF(COUNTIFS($A$3:$A167,$A167,$C$3:$C167,$C167,$D$3:$D167,$D167,$G$3:$G167,$G167)=1,1,0))</f>
        <v/>
      </c>
      <c r="BG167" t="inlineStr">
        <is>
          <t>no</t>
        </is>
      </c>
      <c r="BK167">
        <f>IF(OR($H167&lt;&gt;"Human",$S167="",$J167="",$Y167="",$Z167=""),"",IF(EXACT(UPPER($J167),UPPER($Y167)),1,0))</f>
        <v/>
      </c>
      <c r="BL167" t="inlineStr">
        <is>
          <t>assumed - no rater record</t>
        </is>
      </c>
      <c r="BM167" t="n">
        <v>1</v>
      </c>
      <c r="BN167" t="inlineStr">
        <is>
          <t>FactSet CallStreet</t>
        </is>
      </c>
      <c r="BO167" t="inlineStr">
        <is>
          <t>licensed vendor</t>
        </is>
      </c>
      <c r="BP167" t="inlineStr">
        <is>
          <t>no</t>
        </is>
      </c>
      <c r="BQ167" t="inlineStr">
        <is>
          <t>no</t>
        </is>
      </c>
    </row>
    <row r="168">
      <c r="A168" s="100" t="inlineStr">
        <is>
          <t>PayPal</t>
        </is>
      </c>
      <c r="B168" s="116">
        <f>IF(A168="","",_xlfn.XLOOKUP(A168, Company_List!$A:$A, Company_List!$B:$B, ""))</f>
        <v/>
      </c>
      <c r="C168" s="21" t="n">
        <v>2026</v>
      </c>
      <c r="D168" s="20" t="inlineStr">
        <is>
          <t>Q1</t>
        </is>
      </c>
      <c r="E168" s="19" t="inlineStr">
        <is>
          <t>Presentation</t>
        </is>
      </c>
      <c r="F168" s="19" t="inlineStr">
        <is>
          <t>All</t>
        </is>
      </c>
      <c r="G168" s="20" t="inlineStr">
        <is>
          <t>Abdul</t>
        </is>
      </c>
      <c r="H168" s="20" t="inlineStr">
        <is>
          <t>Human</t>
        </is>
      </c>
      <c r="I168" s="145" t="n">
        <v>-0.5</v>
      </c>
      <c r="J168" s="145">
        <f>IF(OR(I168="",Settings!$B$6=""),"",IF(I168&gt;Settings!$B$6,"BUY",IF(I168&lt;-Settings!$B$6,"SELL","HOLD")))</f>
        <v/>
      </c>
      <c r="K168" s="145" t="n">
        <v>28</v>
      </c>
      <c r="L168" s="123" t="n">
        <v>46147</v>
      </c>
      <c r="M168" s="124" t="n">
        <v>46146</v>
      </c>
      <c r="N168" s="145" t="n">
        <v>50.39</v>
      </c>
      <c r="O168" s="124" t="n">
        <v>46147</v>
      </c>
      <c r="P168" s="145" t="n">
        <v>45.37</v>
      </c>
      <c r="Q168" s="148">
        <f>IF(OR(N168="",P168=""),"",ROUND((P168-N168)/N168,4))</f>
        <v/>
      </c>
      <c r="R168" s="20">
        <f>IF(OR(N168="",P168=""),"",IF(Q168&gt;Settings!$B$3/100,"UP",IF(Q168&lt;-Settings!$B$3/100,"DOWN","FLAT")))</f>
        <v/>
      </c>
      <c r="S168" s="20">
        <f>IF(OR(N168="",P168="",J168=""),"",IF(OR(AND(J168="BUY",R168="UP"),AND(J168="SELL",R168="DOWN"),AND(J168="HOLD",R168="FLAT")),"YES","NO"))</f>
        <v/>
      </c>
      <c r="T168" s="21">
        <f>IF(J168="","",IF(J168="BUY",1,IF(J168="SELL",-1,0)))</f>
        <v/>
      </c>
      <c r="U168" s="148">
        <f>IFERROR(IF(OR(J168="",N168="",P168=""),"",IF(T168=0,0,T168*Q168-Settings!$B$4/10000-IF(T168&lt;0,Settings!$B$5/10000,0))),"")</f>
        <v/>
      </c>
      <c r="W168" s="21">
        <f>IF($K168="","",$K168*60)</f>
        <v/>
      </c>
      <c r="X168" s="91">
        <f>IF($A168="","",$A168&amp;"|"&amp;$C168&amp;"|"&amp;$D168)</f>
        <v/>
      </c>
      <c r="Y168" s="91">
        <f>IFERROR(IF($X168="","",INDEX(LLM_Data_Entry!$H$3:$H$548,MATCH($X168,INDEX(LLM_Data_Entry!$A$3:$A$548&amp;"|"&amp;LLM_Data_Entry!$C$3:$C$548&amp;"|"&amp;LLM_Data_Entry!$D$3:$D$548,0),0))),"")</f>
        <v/>
      </c>
      <c r="Z168" s="91">
        <f>IFERROR(IF($X168="","",INDEX(LLM_Data_Entry!$R$3:$R$548,MATCH($X168,INDEX(LLM_Data_Entry!$A$3:$A$548&amp;"|"&amp;LLM_Data_Entry!$C$3:$C$548&amp;"|"&amp;LLM_Data_Entry!$D$3:$D$548,0),0))),"")</f>
        <v/>
      </c>
      <c r="AB168" t="inlineStr">
        <is>
          <t>price signal — only this window shows an abnormal move</t>
        </is>
      </c>
      <c r="AC168" t="inlineStr">
        <is>
          <t>PYPL</t>
        </is>
      </c>
      <c r="AD168" t="inlineStr">
        <is>
          <t>2026-05-04</t>
        </is>
      </c>
      <c r="AE168" t="n">
        <v>50.2244</v>
      </c>
      <c r="AF168" t="inlineStr">
        <is>
          <t>2026-05-05</t>
        </is>
      </c>
      <c r="AG168" t="n">
        <v>45.2209</v>
      </c>
      <c r="AH168" t="n">
        <v>-0.09962295859469628</v>
      </c>
      <c r="AI168" t="inlineStr">
        <is>
          <t>DOWN</t>
        </is>
      </c>
      <c r="AJ168" t="inlineStr">
        <is>
          <t>YES</t>
        </is>
      </c>
      <c r="AK168" t="n">
        <v>0.098623</v>
      </c>
      <c r="AL168">
        <f>IF($A168="","",IFERROR(INDEX(Company_List!$G$3:$G$207,MATCH($A168,Company_List!$A$3:$A$207,0)),"unassigned"))</f>
        <v/>
      </c>
      <c r="AM168" t="inlineStr">
        <is>
          <t>Phase 3/Readings/PayPal/PYPL-1Q-26-Earnings-Presentation.pdf</t>
        </is>
      </c>
      <c r="AO168" t="inlineStr">
        <is>
          <t>unique filename match</t>
        </is>
      </c>
      <c r="AP168">
        <f>IF($A168="","",IF(COUNTIFS(LLM_Data_Entry!$A$3:$A$548,$A168)&gt;0,"YES","NO"))</f>
        <v/>
      </c>
      <c r="AQ168">
        <f>IF($A168="","",IF(COUNTIFS($A$3:$A168,$A168,$C$3:$C168,$C168,$D$3:$D168,$D168)=1,"YES","NO"))</f>
        <v/>
      </c>
      <c r="AR168">
        <f>IF($A168="","",IF(AND($C168&amp;"-"&amp;$D168&gt;=Settings!$B$19,$C168&amp;"-"&amp;$D168&lt;=Settings!$B$20),"IN","OUT"))</f>
        <v/>
      </c>
      <c r="AS168">
        <f>IF($A168="","",IF($F168="Financial Results","financials",IF($F168="Outlook/Guidance","guidance",IF($F168="Transcript Q&amp;A","qanda",IF($F168="","unrecorded",IF($E168="All","full",IF($E168="","unrecorded",LOWER($E168)&amp;" only")))))))</f>
        <v/>
      </c>
      <c r="AT168">
        <f>IF(AND(OR($J168="BUY",$J168="SELL"),ISNUMBER($U168)),$U168,"")</f>
        <v/>
      </c>
      <c r="AU168">
        <f>IF(AND(OR($J168="BUY",$J168="SELL"),ISNUMBER($AK168)),$AK168,"")</f>
        <v/>
      </c>
      <c r="AV168">
        <f>IF(ISNUMBER($AT168),ABS(IF(ISNUMBER($I168),$I168,0)-Settings!$B$24),"")</f>
        <v/>
      </c>
      <c r="AW168">
        <f>IF(ISNUMBER($AV168),$AV168*$AT168,"")</f>
        <v/>
      </c>
      <c r="AX168">
        <f>IF(ISNUMBER($AU168),ABS(IF(ISNUMBER($I168),$I168,0)-Settings!$B$24),"")</f>
        <v/>
      </c>
      <c r="AY168">
        <f>IF(ISNUMBER($AX168),$AX168*$AU168,"")</f>
        <v/>
      </c>
      <c r="AZ168">
        <f>IF($A168="","",IFERROR(INDEX(Company_List!$H$3:$H$207,MATCH($A168,Company_List!$A$3:$A$207,0)),"unassigned"))</f>
        <v/>
      </c>
      <c r="BC168">
        <f>IF($A168="","",IF(COUNTIFS($A$3:$A168,$A168,$C$3:$C168,$C168,$D$3:$D168,$D168,$G$3:$G168,$G168)=1,1,0))</f>
        <v/>
      </c>
      <c r="BG168" t="inlineStr">
        <is>
          <t>no</t>
        </is>
      </c>
      <c r="BK168">
        <f>IF(OR($H168&lt;&gt;"Human",$S168="",$J168="",$Y168="",$Z168=""),"",IF(EXACT(UPPER($J168),UPPER($Y168)),1,0))</f>
        <v/>
      </c>
      <c r="BL168" t="inlineStr">
        <is>
          <t>assumed - no rater record</t>
        </is>
      </c>
      <c r="BM168" t="n">
        <v>1</v>
      </c>
      <c r="BN168" t="inlineStr">
        <is>
          <t>not publisher-identified</t>
        </is>
      </c>
      <c r="BO168" t="inlineStr">
        <is>
          <t>not publisher-identified</t>
        </is>
      </c>
      <c r="BP168" t="inlineStr">
        <is>
          <t>no</t>
        </is>
      </c>
      <c r="BQ168" t="inlineStr">
        <is>
          <t>no</t>
        </is>
      </c>
    </row>
    <row r="169">
      <c r="A169" s="101" t="inlineStr">
        <is>
          <t>Visa</t>
        </is>
      </c>
      <c r="B169" s="116">
        <f>IF(A169="","",_xlfn.XLOOKUP(A169, Company_List!$A:$A, Company_List!$B:$B, ""))</f>
        <v/>
      </c>
      <c r="C169" s="21" t="n">
        <v>2025</v>
      </c>
      <c r="D169" s="20" t="inlineStr">
        <is>
          <t>Q1</t>
        </is>
      </c>
      <c r="E169" s="19" t="inlineStr">
        <is>
          <t>Transcript</t>
        </is>
      </c>
      <c r="F169" s="19" t="inlineStr">
        <is>
          <t>Outlook/Guidance</t>
        </is>
      </c>
      <c r="G169" s="20" t="inlineStr">
        <is>
          <t>Abdul</t>
        </is>
      </c>
      <c r="H169" s="20" t="inlineStr">
        <is>
          <t>Human</t>
        </is>
      </c>
      <c r="I169" s="145" t="n">
        <v>0.5</v>
      </c>
      <c r="J169" s="145">
        <f>IF(OR(I169="",Settings!$B$6=""),"",IF(I169&gt;Settings!$B$6,"BUY",IF(I169&lt;-Settings!$B$6,"SELL","HOLD")))</f>
        <v/>
      </c>
      <c r="K169" s="145" t="n">
        <v>12</v>
      </c>
      <c r="L169" s="124" t="n">
        <v>45776</v>
      </c>
      <c r="M169" s="124" t="n">
        <v>45775</v>
      </c>
      <c r="N169" s="147" t="n">
        <v>337.51</v>
      </c>
      <c r="O169" s="124" t="n">
        <v>45776</v>
      </c>
      <c r="P169" s="145" t="n">
        <v>338.5</v>
      </c>
      <c r="Q169" s="148">
        <f>IF(OR(N169="",P169=""),"",ROUND((P169-N169)/N169,4))</f>
        <v/>
      </c>
      <c r="R169" s="20">
        <f>IF(OR(N169="",P169=""),"",IF(Q169&gt;Settings!$B$3/100,"UP",IF(Q169&lt;-Settings!$B$3/100,"DOWN","FLAT")))</f>
        <v/>
      </c>
      <c r="S169" s="20">
        <f>IF(OR(N169="",P169="",J169=""),"",IF(OR(AND(J169="BUY",R169="UP"),AND(J169="SELL",R169="DOWN"),AND(J169="HOLD",R169="FLAT")),"YES","NO"))</f>
        <v/>
      </c>
      <c r="T169" s="21">
        <f>IF(J169="","",IF(J169="BUY",1,IF(J169="SELL",-1,0)))</f>
        <v/>
      </c>
      <c r="U169" s="148">
        <f>IFERROR(IF(OR(J169="",N169="",P169=""),"",IF(T169=0,0,T169*Q169-Settings!$B$4/10000-IF(T169&lt;0,Settings!$B$5/10000,0))),"")</f>
        <v/>
      </c>
      <c r="W169" s="21">
        <f>IF($K169="","",$K169*60)</f>
        <v/>
      </c>
      <c r="X169" s="91">
        <f>IF($A169="","",$A169&amp;"|"&amp;$C169&amp;"|"&amp;$D169)</f>
        <v/>
      </c>
      <c r="Y169" s="91">
        <f>IFERROR(IF($X169="","",INDEX(LLM_Data_Entry!$H$3:$H$548,MATCH($X169,INDEX(LLM_Data_Entry!$A$3:$A$548&amp;"|"&amp;LLM_Data_Entry!$C$3:$C$548&amp;"|"&amp;LLM_Data_Entry!$D$3:$D$548,0),0))),"")</f>
        <v/>
      </c>
      <c r="Z169" s="91">
        <f>IFERROR(IF($X169="","",INDEX(LLM_Data_Entry!$R$3:$R$548,MATCH($X169,INDEX(LLM_Data_Entry!$A$3:$A$548&amp;"|"&amp;LLM_Data_Entry!$C$3:$C$548&amp;"|"&amp;LLM_Data_Entry!$D$3:$D$548,0),0))),"")</f>
        <v/>
      </c>
      <c r="AB169" t="inlineStr">
        <is>
          <t>price signal</t>
        </is>
      </c>
      <c r="AC169" t="inlineStr">
        <is>
          <t>V</t>
        </is>
      </c>
      <c r="AD169" t="inlineStr">
        <is>
          <t>2025-04-29</t>
        </is>
      </c>
      <c r="AE169" t="n">
        <v>338.2817</v>
      </c>
      <c r="AF169" t="inlineStr">
        <is>
          <t>2025-04-30</t>
        </is>
      </c>
      <c r="AG169" t="n">
        <v>331.2689</v>
      </c>
      <c r="AH169" t="n">
        <v>-0.02073084731316826</v>
      </c>
      <c r="AI169" t="inlineStr">
        <is>
          <t>DOWN</t>
        </is>
      </c>
      <c r="AJ169" t="inlineStr">
        <is>
          <t>NO</t>
        </is>
      </c>
      <c r="AK169" t="n">
        <v>-0.021731</v>
      </c>
      <c r="AL169">
        <f>IF($A169="","",IFERROR(INDEX(Company_List!$G$3:$G$207,MATCH($A169,Company_List!$A$3:$A$207,0)),"unassigned"))</f>
        <v/>
      </c>
      <c r="AM169" t="inlineStr">
        <is>
          <t>Phase 3/Readings/Visa/CORRECTED-TRANSCRIPT_-Visa-Inc-V-US-Q2-2025-Earnings-Call-29-April-2025-5_00-PM-ET.pdf</t>
        </is>
      </c>
      <c r="AO169" t="inlineStr">
        <is>
          <t>unique filename match</t>
        </is>
      </c>
      <c r="AP169">
        <f>IF($A169="","",IF(COUNTIFS(LLM_Data_Entry!$A$3:$A$548,$A169)&gt;0,"YES","NO"))</f>
        <v/>
      </c>
      <c r="AQ169">
        <f>IF($A169="","",IF(COUNTIFS($A$3:$A169,$A169,$C$3:$C169,$C169,$D$3:$D169,$D169)=1,"YES","NO"))</f>
        <v/>
      </c>
      <c r="AR169">
        <f>IF($A169="","",IF(AND($C169&amp;"-"&amp;$D169&gt;=Settings!$B$19,$C169&amp;"-"&amp;$D169&lt;=Settings!$B$20),"IN","OUT"))</f>
        <v/>
      </c>
      <c r="AS169">
        <f>IF($A169="","",IF($F169="Financial Results","financials",IF($F169="Outlook/Guidance","guidance",IF($F169="Transcript Q&amp;A","qanda",IF($F169="","unrecorded",IF($E169="All","full",IF($E169="","unrecorded",LOWER($E169)&amp;" only")))))))</f>
        <v/>
      </c>
      <c r="AT169">
        <f>IF(AND(OR($J169="BUY",$J169="SELL"),ISNUMBER($U169)),$U169,"")</f>
        <v/>
      </c>
      <c r="AU169">
        <f>IF(AND(OR($J169="BUY",$J169="SELL"),ISNUMBER($AK169)),$AK169,"")</f>
        <v/>
      </c>
      <c r="AV169">
        <f>IF(ISNUMBER($AT169),ABS(IF(ISNUMBER($I169),$I169,0)-Settings!$B$24),"")</f>
        <v/>
      </c>
      <c r="AW169">
        <f>IF(ISNUMBER($AV169),$AV169*$AT169,"")</f>
        <v/>
      </c>
      <c r="AX169">
        <f>IF(ISNUMBER($AU169),ABS(IF(ISNUMBER($I169),$I169,0)-Settings!$B$24),"")</f>
        <v/>
      </c>
      <c r="AY169">
        <f>IF(ISNUMBER($AX169),$AX169*$AU169,"")</f>
        <v/>
      </c>
      <c r="AZ169">
        <f>IF($A169="","",IFERROR(INDEX(Company_List!$H$3:$H$207,MATCH($A169,Company_List!$A$3:$A$207,0)),"unassigned"))</f>
        <v/>
      </c>
      <c r="BC169">
        <f>IF($A169="","",IF(COUNTIFS($A$3:$A169,$A169,$C$3:$C169,$C169,$D$3:$D169,$D169,$G$3:$G169,$G169)=1,1,0))</f>
        <v/>
      </c>
      <c r="BG169" t="inlineStr">
        <is>
          <t>no</t>
        </is>
      </c>
      <c r="BK169">
        <f>IF(OR($H169&lt;&gt;"Human",$S169="",$J169="",$Y169="",$Z169=""),"",IF(EXACT(UPPER($J169),UPPER($Y169)),1,0))</f>
        <v/>
      </c>
      <c r="BL169" t="inlineStr">
        <is>
          <t>assumed - no rater record</t>
        </is>
      </c>
      <c r="BM169" t="n">
        <v>1</v>
      </c>
      <c r="BN169" t="inlineStr">
        <is>
          <t>FactSet CallStreet</t>
        </is>
      </c>
      <c r="BO169" t="inlineStr">
        <is>
          <t>licensed vendor</t>
        </is>
      </c>
      <c r="BP169" t="inlineStr">
        <is>
          <t>no</t>
        </is>
      </c>
      <c r="BQ169" t="inlineStr">
        <is>
          <t>no</t>
        </is>
      </c>
    </row>
    <row r="170">
      <c r="A170" s="101" t="inlineStr">
        <is>
          <t>Visa</t>
        </is>
      </c>
      <c r="B170" s="116">
        <f>IF(A170="","",_xlfn.XLOOKUP(A170, Company_List!$A:$A, Company_List!$B:$B, ""))</f>
        <v/>
      </c>
      <c r="C170" s="21" t="n">
        <v>2025</v>
      </c>
      <c r="D170" s="20" t="inlineStr">
        <is>
          <t>Q2</t>
        </is>
      </c>
      <c r="E170" s="19" t="inlineStr">
        <is>
          <t>Transcript</t>
        </is>
      </c>
      <c r="F170" s="19" t="inlineStr">
        <is>
          <t>Outlook/Guidance</t>
        </is>
      </c>
      <c r="G170" s="20" t="inlineStr">
        <is>
          <t>Abdul</t>
        </is>
      </c>
      <c r="H170" s="20" t="inlineStr">
        <is>
          <t>Human</t>
        </is>
      </c>
      <c r="I170" s="145" t="n">
        <v>0.3</v>
      </c>
      <c r="J170" s="145">
        <f>IF(OR(I170="",Settings!$B$6=""),"",IF(I170&gt;Settings!$B$6,"BUY",IF(I170&lt;-Settings!$B$6,"SELL","HOLD")))</f>
        <v/>
      </c>
      <c r="K170" s="145" t="n">
        <v>10</v>
      </c>
      <c r="L170" s="124" t="n">
        <v>45867</v>
      </c>
      <c r="M170" s="124" t="n">
        <v>45867</v>
      </c>
      <c r="N170" s="147" t="n">
        <v>351.29</v>
      </c>
      <c r="O170" s="124" t="n">
        <v>45868</v>
      </c>
      <c r="P170" s="145" t="n">
        <v>351.7</v>
      </c>
      <c r="Q170" s="148">
        <f>IF(OR(N170="",P170=""),"",ROUND((P170-N170)/N170,4))</f>
        <v/>
      </c>
      <c r="R170" s="20">
        <f>IF(OR(N170="",P170=""),"",IF(Q170&gt;Settings!$B$3/100,"UP",IF(Q170&lt;-Settings!$B$3/100,"DOWN","FLAT")))</f>
        <v/>
      </c>
      <c r="S170" s="20">
        <f>IF(OR(N170="",P170="",J170=""),"",IF(OR(AND(J170="BUY",R170="UP"),AND(J170="SELL",R170="DOWN"),AND(J170="HOLD",R170="FLAT")),"YES","NO"))</f>
        <v/>
      </c>
      <c r="T170" s="21">
        <f>IF(J170="","",IF(J170="BUY",1,IF(J170="SELL",-1,0)))</f>
        <v/>
      </c>
      <c r="U170" s="148">
        <f>IFERROR(IF(OR(J170="",N170="",P170=""),"",IF(T170=0,0,T170*Q170-Settings!$B$4/10000-IF(T170&lt;0,Settings!$B$5/10000,0))),"")</f>
        <v/>
      </c>
      <c r="W170" s="21">
        <f>IF($K170="","",$K170*60)</f>
        <v/>
      </c>
      <c r="X170" s="91">
        <f>IF($A170="","",$A170&amp;"|"&amp;$C170&amp;"|"&amp;$D170)</f>
        <v/>
      </c>
      <c r="Y170" s="91">
        <f>IFERROR(IF($X170="","",INDEX(LLM_Data_Entry!$H$3:$H$548,MATCH($X170,INDEX(LLM_Data_Entry!$A$3:$A$548&amp;"|"&amp;LLM_Data_Entry!$C$3:$C$548&amp;"|"&amp;LLM_Data_Entry!$D$3:$D$548,0),0))),"")</f>
        <v/>
      </c>
      <c r="Z170" s="91">
        <f>IFERROR(IF($X170="","",INDEX(LLM_Data_Entry!$R$3:$R$548,MATCH($X170,INDEX(LLM_Data_Entry!$A$3:$A$548&amp;"|"&amp;LLM_Data_Entry!$C$3:$C$548&amp;"|"&amp;LLM_Data_Entry!$D$3:$D$548,0),0))),"")</f>
        <v/>
      </c>
      <c r="AB170" t="inlineStr">
        <is>
          <t>release time published by the issuer</t>
        </is>
      </c>
      <c r="AC170" t="inlineStr">
        <is>
          <t>V</t>
        </is>
      </c>
      <c r="AD170" t="inlineStr">
        <is>
          <t>2025-07-29</t>
        </is>
      </c>
      <c r="AE170" t="n">
        <v>348.537</v>
      </c>
      <c r="AF170" t="inlineStr">
        <is>
          <t>2025-07-30</t>
        </is>
      </c>
      <c r="AG170" t="n">
        <v>348.9438</v>
      </c>
      <c r="AH170" t="n">
        <v>0.001167086332530885</v>
      </c>
      <c r="AI170" t="inlineStr">
        <is>
          <t>FLAT</t>
        </is>
      </c>
      <c r="AJ170" t="inlineStr">
        <is>
          <t>NO</t>
        </is>
      </c>
      <c r="AK170" t="n">
        <v>0.000167</v>
      </c>
      <c r="AL170">
        <f>IF($A170="","",IFERROR(INDEX(Company_List!$G$3:$G$207,MATCH($A170,Company_List!$A$3:$A$207,0)),"unassigned"))</f>
        <v/>
      </c>
      <c r="AM170" t="inlineStr">
        <is>
          <t>Phase 3/Readings/Visa/CORRECTED-TRANSCRIPT_-Visa-Inc-V-US-Q3-2025-Earnings-Call-29-July-2025-5_00-PM-ET.pdf</t>
        </is>
      </c>
      <c r="AO170" t="inlineStr">
        <is>
          <t>unique filename match</t>
        </is>
      </c>
      <c r="AP170">
        <f>IF($A170="","",IF(COUNTIFS(LLM_Data_Entry!$A$3:$A$548,$A170)&gt;0,"YES","NO"))</f>
        <v/>
      </c>
      <c r="AQ170">
        <f>IF($A170="","",IF(COUNTIFS($A$3:$A170,$A170,$C$3:$C170,$C170,$D$3:$D170,$D170)=1,"YES","NO"))</f>
        <v/>
      </c>
      <c r="AR170">
        <f>IF($A170="","",IF(AND($C170&amp;"-"&amp;$D170&gt;=Settings!$B$19,$C170&amp;"-"&amp;$D170&lt;=Settings!$B$20),"IN","OUT"))</f>
        <v/>
      </c>
      <c r="AS170">
        <f>IF($A170="","",IF($F170="Financial Results","financials",IF($F170="Outlook/Guidance","guidance",IF($F170="Transcript Q&amp;A","qanda",IF($F170="","unrecorded",IF($E170="All","full",IF($E170="","unrecorded",LOWER($E170)&amp;" only")))))))</f>
        <v/>
      </c>
      <c r="AT170">
        <f>IF(AND(OR($J170="BUY",$J170="SELL"),ISNUMBER($U170)),$U170,"")</f>
        <v/>
      </c>
      <c r="AU170">
        <f>IF(AND(OR($J170="BUY",$J170="SELL"),ISNUMBER($AK170)),$AK170,"")</f>
        <v/>
      </c>
      <c r="AV170">
        <f>IF(ISNUMBER($AT170),ABS(IF(ISNUMBER($I170),$I170,0)-Settings!$B$24),"")</f>
        <v/>
      </c>
      <c r="AW170">
        <f>IF(ISNUMBER($AV170),$AV170*$AT170,"")</f>
        <v/>
      </c>
      <c r="AX170">
        <f>IF(ISNUMBER($AU170),ABS(IF(ISNUMBER($I170),$I170,0)-Settings!$B$24),"")</f>
        <v/>
      </c>
      <c r="AY170">
        <f>IF(ISNUMBER($AX170),$AX170*$AU170,"")</f>
        <v/>
      </c>
      <c r="AZ170">
        <f>IF($A170="","",IFERROR(INDEX(Company_List!$H$3:$H$207,MATCH($A170,Company_List!$A$3:$A$207,0)),"unassigned"))</f>
        <v/>
      </c>
      <c r="BC170">
        <f>IF($A170="","",IF(COUNTIFS($A$3:$A170,$A170,$C$3:$C170,$C170,$D$3:$D170,$D170,$G$3:$G170,$G170)=1,1,0))</f>
        <v/>
      </c>
      <c r="BG170" t="inlineStr">
        <is>
          <t>no</t>
        </is>
      </c>
      <c r="BK170">
        <f>IF(OR($H170&lt;&gt;"Human",$S170="",$J170="",$Y170="",$Z170=""),"",IF(EXACT(UPPER($J170),UPPER($Y170)),1,0))</f>
        <v/>
      </c>
      <c r="BL170" t="inlineStr">
        <is>
          <t>assumed - no rater record</t>
        </is>
      </c>
      <c r="BM170" t="n">
        <v>1</v>
      </c>
      <c r="BN170" t="inlineStr">
        <is>
          <t>FactSet CallStreet</t>
        </is>
      </c>
      <c r="BO170" t="inlineStr">
        <is>
          <t>licensed vendor</t>
        </is>
      </c>
      <c r="BP170" t="inlineStr">
        <is>
          <t>no</t>
        </is>
      </c>
      <c r="BQ170" t="inlineStr">
        <is>
          <t>no</t>
        </is>
      </c>
    </row>
    <row r="171">
      <c r="A171" s="101" t="inlineStr">
        <is>
          <t>Visa</t>
        </is>
      </c>
      <c r="B171" s="116">
        <f>IF(A171="","",_xlfn.XLOOKUP(A171, Company_List!$A:$A, Company_List!$B:$B, ""))</f>
        <v/>
      </c>
      <c r="C171" s="21" t="n">
        <v>2025</v>
      </c>
      <c r="D171" s="20" t="inlineStr">
        <is>
          <t>Q3</t>
        </is>
      </c>
      <c r="E171" s="19" t="inlineStr">
        <is>
          <t>Transcript</t>
        </is>
      </c>
      <c r="F171" s="19" t="inlineStr">
        <is>
          <t>Outlook/Guidance</t>
        </is>
      </c>
      <c r="G171" s="20" t="inlineStr">
        <is>
          <t>Abdul</t>
        </is>
      </c>
      <c r="H171" s="20" t="inlineStr">
        <is>
          <t>Human</t>
        </is>
      </c>
      <c r="I171" s="145" t="n">
        <v>0.3</v>
      </c>
      <c r="J171" s="145">
        <f>IF(OR(I171="",Settings!$B$6=""),"",IF(I171&gt;Settings!$B$6,"BUY",IF(I171&lt;-Settings!$B$6,"SELL","HOLD")))</f>
        <v/>
      </c>
      <c r="K171" s="145" t="n">
        <v>10</v>
      </c>
      <c r="L171" s="124" t="n">
        <v>45958</v>
      </c>
      <c r="M171" s="124" t="n">
        <v>45958</v>
      </c>
      <c r="N171" s="147" t="n">
        <v>346.9</v>
      </c>
      <c r="O171" s="124" t="n">
        <v>45959</v>
      </c>
      <c r="P171" s="145" t="n">
        <v>346</v>
      </c>
      <c r="Q171" s="148">
        <f>IF(OR(N171="",P171=""),"",ROUND((P171-N171)/N171,4))</f>
        <v/>
      </c>
      <c r="R171" s="20">
        <f>IF(OR(N171="",P171=""),"",IF(Q171&gt;Settings!$B$3/100,"UP",IF(Q171&lt;-Settings!$B$3/100,"DOWN","FLAT")))</f>
        <v/>
      </c>
      <c r="S171" s="20">
        <f>IF(OR(N171="",P171="",J171=""),"",IF(OR(AND(J171="BUY",R171="UP"),AND(J171="SELL",R171="DOWN"),AND(J171="HOLD",R171="FLAT")),"YES","NO"))</f>
        <v/>
      </c>
      <c r="T171" s="21">
        <f>IF(J171="","",IF(J171="BUY",1,IF(J171="SELL",-1,0)))</f>
        <v/>
      </c>
      <c r="U171" s="148">
        <f>IFERROR(IF(OR(J171="",N171="",P171=""),"",IF(T171=0,0,T171*Q171-Settings!$B$4/10000-IF(T171&lt;0,Settings!$B$5/10000,0))),"")</f>
        <v/>
      </c>
      <c r="W171" s="21">
        <f>IF($K171="","",$K171*60)</f>
        <v/>
      </c>
      <c r="X171" s="91">
        <f>IF($A171="","",$A171&amp;"|"&amp;$C171&amp;"|"&amp;$D171)</f>
        <v/>
      </c>
      <c r="Y171" s="91">
        <f>IFERROR(IF($X171="","",INDEX(LLM_Data_Entry!$H$3:$H$548,MATCH($X171,INDEX(LLM_Data_Entry!$A$3:$A$548&amp;"|"&amp;LLM_Data_Entry!$C$3:$C$548&amp;"|"&amp;LLM_Data_Entry!$D$3:$D$548,0),0))),"")</f>
        <v/>
      </c>
      <c r="Z171" s="91">
        <f>IFERROR(IF($X171="","",INDEX(LLM_Data_Entry!$R$3:$R$548,MATCH($X171,INDEX(LLM_Data_Entry!$A$3:$A$548&amp;"|"&amp;LLM_Data_Entry!$C$3:$C$548&amp;"|"&amp;LLM_Data_Entry!$D$3:$D$548,0),0))),"")</f>
        <v/>
      </c>
      <c r="AB171" t="inlineStr">
        <is>
          <t>release time published by the issuer</t>
        </is>
      </c>
      <c r="AC171" t="inlineStr">
        <is>
          <t>V</t>
        </is>
      </c>
      <c r="AD171" t="inlineStr">
        <is>
          <t>2025-10-28</t>
        </is>
      </c>
      <c r="AE171" t="n">
        <v>344.787</v>
      </c>
      <c r="AF171" t="inlineStr">
        <is>
          <t>2025-10-29</t>
        </is>
      </c>
      <c r="AG171" t="n">
        <v>343.8925</v>
      </c>
      <c r="AH171" t="n">
        <v>-0.002594277179821893</v>
      </c>
      <c r="AI171" t="inlineStr">
        <is>
          <t>FLAT</t>
        </is>
      </c>
      <c r="AJ171" t="inlineStr">
        <is>
          <t>NO</t>
        </is>
      </c>
      <c r="AK171" t="n">
        <v>-0.003594</v>
      </c>
      <c r="AL171">
        <f>IF($A171="","",IFERROR(INDEX(Company_List!$G$3:$G$207,MATCH($A171,Company_List!$A$3:$A$207,0)),"unassigned"))</f>
        <v/>
      </c>
      <c r="AM171" t="inlineStr">
        <is>
          <t>Phase 3/Readings/Visa/CORRECTED-TRANSCRIPT_-Visa-Inc-V-US-Q4-2025-Earnings-Call-28-October-2025-5_00-PM-ET.pdf</t>
        </is>
      </c>
      <c r="AO171" t="inlineStr">
        <is>
          <t>unique filename match</t>
        </is>
      </c>
      <c r="AP171">
        <f>IF($A171="","",IF(COUNTIFS(LLM_Data_Entry!$A$3:$A$548,$A171)&gt;0,"YES","NO"))</f>
        <v/>
      </c>
      <c r="AQ171">
        <f>IF($A171="","",IF(COUNTIFS($A$3:$A171,$A171,$C$3:$C171,$C171,$D$3:$D171,$D171)=1,"YES","NO"))</f>
        <v/>
      </c>
      <c r="AR171">
        <f>IF($A171="","",IF(AND($C171&amp;"-"&amp;$D171&gt;=Settings!$B$19,$C171&amp;"-"&amp;$D171&lt;=Settings!$B$20),"IN","OUT"))</f>
        <v/>
      </c>
      <c r="AS171">
        <f>IF($A171="","",IF($F171="Financial Results","financials",IF($F171="Outlook/Guidance","guidance",IF($F171="Transcript Q&amp;A","qanda",IF($F171="","unrecorded",IF($E171="All","full",IF($E171="","unrecorded",LOWER($E171)&amp;" only")))))))</f>
        <v/>
      </c>
      <c r="AT171">
        <f>IF(AND(OR($J171="BUY",$J171="SELL"),ISNUMBER($U171)),$U171,"")</f>
        <v/>
      </c>
      <c r="AU171">
        <f>IF(AND(OR($J171="BUY",$J171="SELL"),ISNUMBER($AK171)),$AK171,"")</f>
        <v/>
      </c>
      <c r="AV171">
        <f>IF(ISNUMBER($AT171),ABS(IF(ISNUMBER($I171),$I171,0)-Settings!$B$24),"")</f>
        <v/>
      </c>
      <c r="AW171">
        <f>IF(ISNUMBER($AV171),$AV171*$AT171,"")</f>
        <v/>
      </c>
      <c r="AX171">
        <f>IF(ISNUMBER($AU171),ABS(IF(ISNUMBER($I171),$I171,0)-Settings!$B$24),"")</f>
        <v/>
      </c>
      <c r="AY171">
        <f>IF(ISNUMBER($AX171),$AX171*$AU171,"")</f>
        <v/>
      </c>
      <c r="AZ171">
        <f>IF($A171="","",IFERROR(INDEX(Company_List!$H$3:$H$207,MATCH($A171,Company_List!$A$3:$A$207,0)),"unassigned"))</f>
        <v/>
      </c>
      <c r="BC171">
        <f>IF($A171="","",IF(COUNTIFS($A$3:$A171,$A171,$C$3:$C171,$C171,$D$3:$D171,$D171,$G$3:$G171,$G171)=1,1,0))</f>
        <v/>
      </c>
      <c r="BG171" t="inlineStr">
        <is>
          <t>no</t>
        </is>
      </c>
      <c r="BK171">
        <f>IF(OR($H171&lt;&gt;"Human",$S171="",$J171="",$Y171="",$Z171=""),"",IF(EXACT(UPPER($J171),UPPER($Y171)),1,0))</f>
        <v/>
      </c>
      <c r="BL171" t="inlineStr">
        <is>
          <t>assumed - no rater record</t>
        </is>
      </c>
      <c r="BM171" t="n">
        <v>1</v>
      </c>
      <c r="BN171" t="inlineStr">
        <is>
          <t>FactSet CallStreet</t>
        </is>
      </c>
      <c r="BO171" t="inlineStr">
        <is>
          <t>licensed vendor</t>
        </is>
      </c>
      <c r="BP171" t="inlineStr">
        <is>
          <t>no</t>
        </is>
      </c>
      <c r="BQ171" t="inlineStr">
        <is>
          <t>no</t>
        </is>
      </c>
    </row>
    <row r="172">
      <c r="A172" s="101" t="inlineStr">
        <is>
          <t>Visa</t>
        </is>
      </c>
      <c r="B172" s="116">
        <f>IF(A172="","",_xlfn.XLOOKUP(A172, Company_List!$A:$A, Company_List!$B:$B, ""))</f>
        <v/>
      </c>
      <c r="C172" s="21" t="n">
        <v>2026</v>
      </c>
      <c r="D172" s="20" t="inlineStr">
        <is>
          <t>Q1</t>
        </is>
      </c>
      <c r="E172" s="19" t="inlineStr">
        <is>
          <t>Transcript</t>
        </is>
      </c>
      <c r="F172" s="19" t="inlineStr">
        <is>
          <t>Outlook/Guidance</t>
        </is>
      </c>
      <c r="G172" s="20" t="inlineStr">
        <is>
          <t>Abdul</t>
        </is>
      </c>
      <c r="H172" s="20" t="inlineStr">
        <is>
          <t>Human</t>
        </is>
      </c>
      <c r="I172" s="145" t="n">
        <v>0.8</v>
      </c>
      <c r="J172" s="145">
        <f>IF(OR(I172="",Settings!$B$6=""),"",IF(I172&gt;Settings!$B$6,"BUY",IF(I172&lt;-Settings!$B$6,"SELL","HOLD")))</f>
        <v/>
      </c>
      <c r="K172" s="145" t="n">
        <v>13</v>
      </c>
      <c r="L172" s="124" t="n">
        <v>46140</v>
      </c>
      <c r="M172" s="124" t="n">
        <v>46140</v>
      </c>
      <c r="N172" s="147" t="n">
        <v>309.3</v>
      </c>
      <c r="O172" s="124" t="n">
        <v>46141</v>
      </c>
      <c r="P172" s="145" t="n">
        <v>336.4</v>
      </c>
      <c r="Q172" s="148">
        <f>IF(OR(N172="",P172=""),"",ROUND((P172-N172)/N172,4))</f>
        <v/>
      </c>
      <c r="R172" s="20">
        <f>IF(OR(N172="",P172=""),"",IF(Q172&gt;Settings!$B$3/100,"UP",IF(Q172&lt;-Settings!$B$3/100,"DOWN","FLAT")))</f>
        <v/>
      </c>
      <c r="S172" s="20">
        <f>IF(OR(N172="",P172="",J172=""),"",IF(OR(AND(J172="BUY",R172="UP"),AND(J172="SELL",R172="DOWN"),AND(J172="HOLD",R172="FLAT")),"YES","NO"))</f>
        <v/>
      </c>
      <c r="T172" s="21">
        <f>IF(J172="","",IF(J172="BUY",1,IF(J172="SELL",-1,0)))</f>
        <v/>
      </c>
      <c r="U172" s="148">
        <f>IFERROR(IF(OR(J172="",N172="",P172=""),"",IF(T172=0,0,T172*Q172-Settings!$B$4/10000-IF(T172&lt;0,Settings!$B$5/10000,0))),"")</f>
        <v/>
      </c>
      <c r="W172" s="21">
        <f>IF($K172="","",$K172*60)</f>
        <v/>
      </c>
      <c r="X172" s="91">
        <f>IF($A172="","",$A172&amp;"|"&amp;$C172&amp;"|"&amp;$D172)</f>
        <v/>
      </c>
      <c r="Y172" s="91">
        <f>IFERROR(IF($X172="","",INDEX(LLM_Data_Entry!$H$3:$H$548,MATCH($X172,INDEX(LLM_Data_Entry!$A$3:$A$548&amp;"|"&amp;LLM_Data_Entry!$C$3:$C$548&amp;"|"&amp;LLM_Data_Entry!$D$3:$D$548,0),0))),"")</f>
        <v/>
      </c>
      <c r="Z172" s="91">
        <f>IFERROR(IF($X172="","",INDEX(LLM_Data_Entry!$R$3:$R$548,MATCH($X172,INDEX(LLM_Data_Entry!$A$3:$A$548&amp;"|"&amp;LLM_Data_Entry!$C$3:$C$548&amp;"|"&amp;LLM_Data_Entry!$D$3:$D$548,0),0))),"")</f>
        <v/>
      </c>
      <c r="AB172" t="inlineStr">
        <is>
          <t>price signal — both moved; this one dominates</t>
        </is>
      </c>
      <c r="AC172" t="inlineStr">
        <is>
          <t>V</t>
        </is>
      </c>
      <c r="AD172" t="inlineStr">
        <is>
          <t>2026-04-28</t>
        </is>
      </c>
      <c r="AE172" t="n">
        <v>308.6601</v>
      </c>
      <c r="AF172" t="inlineStr">
        <is>
          <t>2026-04-29</t>
        </is>
      </c>
      <c r="AG172" t="n">
        <v>335.7041</v>
      </c>
      <c r="AH172" t="n">
        <v>0.0876172997754088</v>
      </c>
      <c r="AI172" t="inlineStr">
        <is>
          <t>UP</t>
        </is>
      </c>
      <c r="AJ172" t="inlineStr">
        <is>
          <t>YES</t>
        </is>
      </c>
      <c r="AK172" t="n">
        <v>0.086617</v>
      </c>
      <c r="AL172">
        <f>IF($A172="","",IFERROR(INDEX(Company_List!$G$3:$G$207,MATCH($A172,Company_List!$A$3:$A$207,0)),"unassigned"))</f>
        <v/>
      </c>
      <c r="AM172" t="inlineStr">
        <is>
          <t>Phase 3/Readings/Visa/CORRECTED-TRANSCRIPT_-Visa-Inc-V-US-Q2-2026-Earnings-Call-28-April-2026-5_00-PM-ET-4.pdf</t>
        </is>
      </c>
      <c r="AO172" t="inlineStr">
        <is>
          <t>unique filename match</t>
        </is>
      </c>
      <c r="AP172">
        <f>IF($A172="","",IF(COUNTIFS(LLM_Data_Entry!$A$3:$A$548,$A172)&gt;0,"YES","NO"))</f>
        <v/>
      </c>
      <c r="AQ172">
        <f>IF($A172="","",IF(COUNTIFS($A$3:$A172,$A172,$C$3:$C172,$C172,$D$3:$D172,$D172)=1,"YES","NO"))</f>
        <v/>
      </c>
      <c r="AR172">
        <f>IF($A172="","",IF(AND($C172&amp;"-"&amp;$D172&gt;=Settings!$B$19,$C172&amp;"-"&amp;$D172&lt;=Settings!$B$20),"IN","OUT"))</f>
        <v/>
      </c>
      <c r="AS172">
        <f>IF($A172="","",IF($F172="Financial Results","financials",IF($F172="Outlook/Guidance","guidance",IF($F172="Transcript Q&amp;A","qanda",IF($F172="","unrecorded",IF($E172="All","full",IF($E172="","unrecorded",LOWER($E172)&amp;" only")))))))</f>
        <v/>
      </c>
      <c r="AT172">
        <f>IF(AND(OR($J172="BUY",$J172="SELL"),ISNUMBER($U172)),$U172,"")</f>
        <v/>
      </c>
      <c r="AU172">
        <f>IF(AND(OR($J172="BUY",$J172="SELL"),ISNUMBER($AK172)),$AK172,"")</f>
        <v/>
      </c>
      <c r="AV172">
        <f>IF(ISNUMBER($AT172),ABS(IF(ISNUMBER($I172),$I172,0)-Settings!$B$24),"")</f>
        <v/>
      </c>
      <c r="AW172">
        <f>IF(ISNUMBER($AV172),$AV172*$AT172,"")</f>
        <v/>
      </c>
      <c r="AX172">
        <f>IF(ISNUMBER($AU172),ABS(IF(ISNUMBER($I172),$I172,0)-Settings!$B$24),"")</f>
        <v/>
      </c>
      <c r="AY172">
        <f>IF(ISNUMBER($AX172),$AX172*$AU172,"")</f>
        <v/>
      </c>
      <c r="AZ172">
        <f>IF($A172="","",IFERROR(INDEX(Company_List!$H$3:$H$207,MATCH($A172,Company_List!$A$3:$A$207,0)),"unassigned"))</f>
        <v/>
      </c>
      <c r="BC172">
        <f>IF($A172="","",IF(COUNTIFS($A$3:$A172,$A172,$C$3:$C172,$C172,$D$3:$D172,$D172,$G$3:$G172,$G172)=1,1,0))</f>
        <v/>
      </c>
      <c r="BG172" t="inlineStr">
        <is>
          <t>no</t>
        </is>
      </c>
      <c r="BK172">
        <f>IF(OR($H172&lt;&gt;"Human",$S172="",$J172="",$Y172="",$Z172=""),"",IF(EXACT(UPPER($J172),UPPER($Y172)),1,0))</f>
        <v/>
      </c>
      <c r="BL172" t="inlineStr">
        <is>
          <t>assumed - no rater record</t>
        </is>
      </c>
      <c r="BM172" t="n">
        <v>1</v>
      </c>
      <c r="BN172" t="inlineStr">
        <is>
          <t>FactSet CallStreet</t>
        </is>
      </c>
      <c r="BO172" t="inlineStr">
        <is>
          <t>licensed vendor</t>
        </is>
      </c>
      <c r="BP172" t="inlineStr">
        <is>
          <t>no</t>
        </is>
      </c>
      <c r="BQ172" t="inlineStr">
        <is>
          <t>no</t>
        </is>
      </c>
    </row>
    <row r="173">
      <c r="A173" s="100" t="inlineStr">
        <is>
          <t>Johnson &amp; Johnson</t>
        </is>
      </c>
      <c r="B173" s="116">
        <f>IF(A173="","",_xlfn.XLOOKUP(A173, Company_List!$A:$A, Company_List!$B:$B, ""))</f>
        <v/>
      </c>
      <c r="C173" s="21" t="n">
        <v>2025</v>
      </c>
      <c r="D173" s="20" t="inlineStr">
        <is>
          <t>Q1</t>
        </is>
      </c>
      <c r="E173" s="19" t="inlineStr">
        <is>
          <t>Presentation</t>
        </is>
      </c>
      <c r="F173" s="19" t="inlineStr">
        <is>
          <t>All</t>
        </is>
      </c>
      <c r="G173" s="20" t="inlineStr">
        <is>
          <t>Abdul</t>
        </is>
      </c>
      <c r="H173" s="20" t="inlineStr">
        <is>
          <t>Human</t>
        </is>
      </c>
      <c r="I173" s="145" t="n">
        <v>0.3</v>
      </c>
      <c r="J173" s="145">
        <f>IF(OR(I173="",Settings!$B$6=""),"",IF(I173&gt;Settings!$B$6,"BUY",IF(I173&lt;-Settings!$B$6,"SELL","HOLD")))</f>
        <v/>
      </c>
      <c r="K173" s="145" t="n">
        <v>28</v>
      </c>
      <c r="L173" s="123" t="n">
        <v>45762</v>
      </c>
      <c r="M173" s="124" t="n">
        <v>45761</v>
      </c>
      <c r="N173" s="147" t="n">
        <v>154.36</v>
      </c>
      <c r="O173" s="124" t="n">
        <v>45762</v>
      </c>
      <c r="P173" s="145" t="n">
        <v>155.7</v>
      </c>
      <c r="Q173" s="148">
        <f>IF(OR(N173="",P173=""),"",ROUND((P173-N173)/N173,4))</f>
        <v/>
      </c>
      <c r="R173" s="20">
        <f>IF(OR(N173="",P173=""),"",IF(Q173&gt;Settings!$B$3/100,"UP",IF(Q173&lt;-Settings!$B$3/100,"DOWN","FLAT")))</f>
        <v/>
      </c>
      <c r="S173" s="20">
        <f>IF(OR(N173="",P173="",J173=""),"",IF(OR(AND(J173="BUY",R173="UP"),AND(J173="SELL",R173="DOWN"),AND(J173="HOLD",R173="FLAT")),"YES","NO"))</f>
        <v/>
      </c>
      <c r="T173" s="21">
        <f>IF(J173="","",IF(J173="BUY",1,IF(J173="SELL",-1,0)))</f>
        <v/>
      </c>
      <c r="U173" s="148">
        <f>IFERROR(IF(OR(J173="",N173="",P173=""),"",IF(T173=0,0,T173*Q173-Settings!$B$4/10000-IF(T173&lt;0,Settings!$B$5/10000,0))),"")</f>
        <v/>
      </c>
      <c r="W173" s="21">
        <f>IF($K173="","",$K173*60)</f>
        <v/>
      </c>
      <c r="X173" s="91">
        <f>IF($A173="","",$A173&amp;"|"&amp;$C173&amp;"|"&amp;$D173)</f>
        <v/>
      </c>
      <c r="Y173" s="91">
        <f>IFERROR(IF($X173="","",INDEX(LLM_Data_Entry!$H$3:$H$548,MATCH($X173,INDEX(LLM_Data_Entry!$A$3:$A$548&amp;"|"&amp;LLM_Data_Entry!$C$3:$C$548&amp;"|"&amp;LLM_Data_Entry!$D$3:$D$548,0),0))),"")</f>
        <v/>
      </c>
      <c r="Z173" s="91">
        <f>IFERROR(IF($X173="","",INDEX(LLM_Data_Entry!$R$3:$R$548,MATCH($X173,INDEX(LLM_Data_Entry!$A$3:$A$548&amp;"|"&amp;LLM_Data_Entry!$C$3:$C$548&amp;"|"&amp;LLM_Data_Entry!$D$3:$D$548,0),0))),"")</f>
        <v/>
      </c>
      <c r="AB173" t="inlineStr">
        <is>
          <t>release date + stated time</t>
        </is>
      </c>
      <c r="AC173" t="inlineStr">
        <is>
          <t>JNJ</t>
        </is>
      </c>
      <c r="AD173" t="inlineStr">
        <is>
          <t>2025-04-14</t>
        </is>
      </c>
      <c r="AE173" t="n">
        <v>149.3171</v>
      </c>
      <c r="AF173" t="inlineStr">
        <is>
          <t>2025-04-15</t>
        </is>
      </c>
      <c r="AG173" t="n">
        <v>150.6133</v>
      </c>
      <c r="AH173" t="n">
        <v>0.008680939853563819</v>
      </c>
      <c r="AI173" t="inlineStr">
        <is>
          <t>FLAT</t>
        </is>
      </c>
      <c r="AJ173" t="inlineStr">
        <is>
          <t>NO</t>
        </is>
      </c>
      <c r="AK173" t="n">
        <v>0.007681</v>
      </c>
      <c r="AL173">
        <f>IF($A173="","",IFERROR(INDEX(Company_List!$G$3:$G$207,MATCH($A173,Company_List!$A$3:$A$207,0)),"unassigned"))</f>
        <v/>
      </c>
      <c r="AM173" t="inlineStr">
        <is>
          <t>Phase 3/Readings/Jonson &amp; Jonson/JNJ_N-Transcript-2025-04-15T12_30.pdf</t>
        </is>
      </c>
      <c r="AO173" t="inlineStr">
        <is>
          <t>unique filename match</t>
        </is>
      </c>
      <c r="AP173">
        <f>IF($A173="","",IF(COUNTIFS(LLM_Data_Entry!$A$3:$A$548,$A173)&gt;0,"YES","NO"))</f>
        <v/>
      </c>
      <c r="AQ173">
        <f>IF($A173="","",IF(COUNTIFS($A$3:$A173,$A173,$C$3:$C173,$C173,$D$3:$D173,$D173)=1,"YES","NO"))</f>
        <v/>
      </c>
      <c r="AR173">
        <f>IF($A173="","",IF(AND($C173&amp;"-"&amp;$D173&gt;=Settings!$B$19,$C173&amp;"-"&amp;$D173&lt;=Settings!$B$20),"IN","OUT"))</f>
        <v/>
      </c>
      <c r="AS173">
        <f>IF($A173="","",IF($F173="Financial Results","financials",IF($F173="Outlook/Guidance","guidance",IF($F173="Transcript Q&amp;A","qanda",IF($F173="","unrecorded",IF($E173="All","full",IF($E173="","unrecorded",LOWER($E173)&amp;" only")))))))</f>
        <v/>
      </c>
      <c r="AT173">
        <f>IF(AND(OR($J173="BUY",$J173="SELL"),ISNUMBER($U173)),$U173,"")</f>
        <v/>
      </c>
      <c r="AU173">
        <f>IF(AND(OR($J173="BUY",$J173="SELL"),ISNUMBER($AK173)),$AK173,"")</f>
        <v/>
      </c>
      <c r="AV173">
        <f>IF(ISNUMBER($AT173),ABS(IF(ISNUMBER($I173),$I173,0)-Settings!$B$24),"")</f>
        <v/>
      </c>
      <c r="AW173">
        <f>IF(ISNUMBER($AV173),$AV173*$AT173,"")</f>
        <v/>
      </c>
      <c r="AX173">
        <f>IF(ISNUMBER($AU173),ABS(IF(ISNUMBER($I173),$I173,0)-Settings!$B$24),"")</f>
        <v/>
      </c>
      <c r="AY173">
        <f>IF(ISNUMBER($AX173),$AX173*$AU173,"")</f>
        <v/>
      </c>
      <c r="AZ173">
        <f>IF($A173="","",IFERROR(INDEX(Company_List!$H$3:$H$207,MATCH($A173,Company_List!$A$3:$A$207,0)),"unassigned"))</f>
        <v/>
      </c>
      <c r="BC173">
        <f>IF($A173="","",IF(COUNTIFS($A$3:$A173,$A173,$C$3:$C173,$C173,$D$3:$D173,$D173,$G$3:$G173,$G173)=1,1,0))</f>
        <v/>
      </c>
      <c r="BG173" t="inlineStr">
        <is>
          <t>no</t>
        </is>
      </c>
      <c r="BK173">
        <f>IF(OR($H173&lt;&gt;"Human",$S173="",$J173="",$Y173="",$Z173=""),"",IF(EXACT(UPPER($J173),UPPER($Y173)),1,0))</f>
        <v/>
      </c>
      <c r="BL173" t="inlineStr">
        <is>
          <t>assumed - no rater record</t>
        </is>
      </c>
      <c r="BM173" t="n">
        <v>1</v>
      </c>
      <c r="BN173" t="inlineStr">
        <is>
          <t>Refinitiv / LSEG StreetEvents</t>
        </is>
      </c>
      <c r="BO173" t="inlineStr">
        <is>
          <t>licensed vendor</t>
        </is>
      </c>
      <c r="BP173" t="inlineStr">
        <is>
          <t>no</t>
        </is>
      </c>
      <c r="BQ173" t="inlineStr">
        <is>
          <t>no</t>
        </is>
      </c>
    </row>
    <row r="174">
      <c r="A174" s="100" t="inlineStr">
        <is>
          <t>Johnson &amp; Johnson</t>
        </is>
      </c>
      <c r="B174" s="116">
        <f>IF(A174="","",_xlfn.XLOOKUP(A174, Company_List!$A:$A, Company_List!$B:$B, ""))</f>
        <v/>
      </c>
      <c r="C174" s="21" t="n">
        <v>2025</v>
      </c>
      <c r="D174" s="20" t="inlineStr">
        <is>
          <t>Q2</t>
        </is>
      </c>
      <c r="E174" s="19" t="inlineStr">
        <is>
          <t>Presentation</t>
        </is>
      </c>
      <c r="F174" s="19" t="inlineStr">
        <is>
          <t>All</t>
        </is>
      </c>
      <c r="G174" s="20" t="inlineStr">
        <is>
          <t>Abdul</t>
        </is>
      </c>
      <c r="H174" s="20" t="inlineStr">
        <is>
          <t>Human</t>
        </is>
      </c>
      <c r="I174" s="145" t="n">
        <v>0.4</v>
      </c>
      <c r="J174" s="145">
        <f>IF(OR(I174="",Settings!$B$6=""),"",IF(I174&gt;Settings!$B$6,"BUY",IF(I174&lt;-Settings!$B$6,"SELL","HOLD")))</f>
        <v/>
      </c>
      <c r="K174" s="145" t="n">
        <v>25</v>
      </c>
      <c r="L174" s="123" t="n">
        <v>45854</v>
      </c>
      <c r="M174" s="124" t="n">
        <v>45853</v>
      </c>
      <c r="N174" s="147" t="n">
        <v>155.17</v>
      </c>
      <c r="O174" s="124" t="n">
        <v>45854</v>
      </c>
      <c r="P174" s="145" t="n">
        <v>160.3</v>
      </c>
      <c r="Q174" s="148">
        <f>IF(OR(N174="",P174=""),"",ROUND((P174-N174)/N174,4))</f>
        <v/>
      </c>
      <c r="R174" s="20">
        <f>IF(OR(N174="",P174=""),"",IF(Q174&gt;Settings!$B$3/100,"UP",IF(Q174&lt;-Settings!$B$3/100,"DOWN","FLAT")))</f>
        <v/>
      </c>
      <c r="S174" s="20">
        <f>IF(OR(N174="",P174="",J174=""),"",IF(OR(AND(J174="BUY",R174="UP"),AND(J174="SELL",R174="DOWN"),AND(J174="HOLD",R174="FLAT")),"YES","NO"))</f>
        <v/>
      </c>
      <c r="T174" s="21">
        <f>IF(J174="","",IF(J174="BUY",1,IF(J174="SELL",-1,0)))</f>
        <v/>
      </c>
      <c r="U174" s="148">
        <f>IFERROR(IF(OR(J174="",N174="",P174=""),"",IF(T174=0,0,T174*Q174-Settings!$B$4/10000-IF(T174&lt;0,Settings!$B$5/10000,0))),"")</f>
        <v/>
      </c>
      <c r="W174" s="21">
        <f>IF($K174="","",$K174*60)</f>
        <v/>
      </c>
      <c r="X174" s="91">
        <f>IF($A174="","",$A174&amp;"|"&amp;$C174&amp;"|"&amp;$D174)</f>
        <v/>
      </c>
      <c r="Y174" s="91">
        <f>IFERROR(IF($X174="","",INDEX(LLM_Data_Entry!$H$3:$H$548,MATCH($X174,INDEX(LLM_Data_Entry!$A$3:$A$548&amp;"|"&amp;LLM_Data_Entry!$C$3:$C$548&amp;"|"&amp;LLM_Data_Entry!$D$3:$D$548,0),0))),"")</f>
        <v/>
      </c>
      <c r="Z174" s="91">
        <f>IFERROR(IF($X174="","",INDEX(LLM_Data_Entry!$R$3:$R$548,MATCH($X174,INDEX(LLM_Data_Entry!$A$3:$A$548&amp;"|"&amp;LLM_Data_Entry!$C$3:$C$548&amp;"|"&amp;LLM_Data_Entry!$D$3:$D$548,0),0))),"")</f>
        <v/>
      </c>
      <c r="AB174" t="inlineStr">
        <is>
          <t>release date + stated time in the document (document)</t>
        </is>
      </c>
      <c r="AC174" t="inlineStr">
        <is>
          <t>JNJ</t>
        </is>
      </c>
      <c r="AD174" t="inlineStr">
        <is>
          <t>2025-07-15</t>
        </is>
      </c>
      <c r="AE174" t="n">
        <v>151.3874</v>
      </c>
      <c r="AF174" t="inlineStr">
        <is>
          <t>2025-07-16</t>
        </is>
      </c>
      <c r="AG174" t="n">
        <v>156.3924</v>
      </c>
      <c r="AH174" t="n">
        <v>0.03306050751914497</v>
      </c>
      <c r="AI174" t="inlineStr">
        <is>
          <t>UP</t>
        </is>
      </c>
      <c r="AJ174" t="inlineStr">
        <is>
          <t>YES</t>
        </is>
      </c>
      <c r="AK174" t="n">
        <v>0.032061</v>
      </c>
      <c r="AL174">
        <f>IF($A174="","",IFERROR(INDEX(Company_List!$G$3:$G$207,MATCH($A174,Company_List!$A$3:$A$207,0)),"unassigned"))</f>
        <v/>
      </c>
      <c r="AM174" t="inlineStr">
        <is>
          <t>Phase 3/Readings/Jonson &amp; Jonson/JNJ-USQ_Transcript_2025-07-16.pdf</t>
        </is>
      </c>
      <c r="AO174" t="inlineStr">
        <is>
          <t>unique filename match</t>
        </is>
      </c>
      <c r="AP174">
        <f>IF($A174="","",IF(COUNTIFS(LLM_Data_Entry!$A$3:$A$548,$A174)&gt;0,"YES","NO"))</f>
        <v/>
      </c>
      <c r="AQ174">
        <f>IF($A174="","",IF(COUNTIFS($A$3:$A174,$A174,$C$3:$C174,$C174,$D$3:$D174,$D174)=1,"YES","NO"))</f>
        <v/>
      </c>
      <c r="AR174">
        <f>IF($A174="","",IF(AND($C174&amp;"-"&amp;$D174&gt;=Settings!$B$19,$C174&amp;"-"&amp;$D174&lt;=Settings!$B$20),"IN","OUT"))</f>
        <v/>
      </c>
      <c r="AS174">
        <f>IF($A174="","",IF($F174="Financial Results","financials",IF($F174="Outlook/Guidance","guidance",IF($F174="Transcript Q&amp;A","qanda",IF($F174="","unrecorded",IF($E174="All","full",IF($E174="","unrecorded",LOWER($E174)&amp;" only")))))))</f>
        <v/>
      </c>
      <c r="AT174">
        <f>IF(AND(OR($J174="BUY",$J174="SELL"),ISNUMBER($U174)),$U174,"")</f>
        <v/>
      </c>
      <c r="AU174">
        <f>IF(AND(OR($J174="BUY",$J174="SELL"),ISNUMBER($AK174)),$AK174,"")</f>
        <v/>
      </c>
      <c r="AV174">
        <f>IF(ISNUMBER($AT174),ABS(IF(ISNUMBER($I174),$I174,0)-Settings!$B$24),"")</f>
        <v/>
      </c>
      <c r="AW174">
        <f>IF(ISNUMBER($AV174),$AV174*$AT174,"")</f>
        <v/>
      </c>
      <c r="AX174">
        <f>IF(ISNUMBER($AU174),ABS(IF(ISNUMBER($I174),$I174,0)-Settings!$B$24),"")</f>
        <v/>
      </c>
      <c r="AY174">
        <f>IF(ISNUMBER($AX174),$AX174*$AU174,"")</f>
        <v/>
      </c>
      <c r="AZ174">
        <f>IF($A174="","",IFERROR(INDEX(Company_List!$H$3:$H$207,MATCH($A174,Company_List!$A$3:$A$207,0)),"unassigned"))</f>
        <v/>
      </c>
      <c r="BC174">
        <f>IF($A174="","",IF(COUNTIFS($A$3:$A174,$A174,$C$3:$C174,$C174,$D$3:$D174,$D174,$G$3:$G174,$G174)=1,1,0))</f>
        <v/>
      </c>
      <c r="BG174" t="inlineStr">
        <is>
          <t>no</t>
        </is>
      </c>
      <c r="BK174">
        <f>IF(OR($H174&lt;&gt;"Human",$S174="",$J174="",$Y174="",$Z174=""),"",IF(EXACT(UPPER($J174),UPPER($Y174)),1,0))</f>
        <v/>
      </c>
      <c r="BL174" t="inlineStr">
        <is>
          <t>assumed - no rater record</t>
        </is>
      </c>
      <c r="BM174" t="n">
        <v>1</v>
      </c>
      <c r="BN174" t="inlineStr">
        <is>
          <t>Refinitiv / LSEG StreetEvents</t>
        </is>
      </c>
      <c r="BO174" t="inlineStr">
        <is>
          <t>licensed vendor</t>
        </is>
      </c>
      <c r="BP174" t="inlineStr">
        <is>
          <t>no</t>
        </is>
      </c>
      <c r="BQ174" t="inlineStr">
        <is>
          <t>no</t>
        </is>
      </c>
    </row>
    <row r="175">
      <c r="A175" s="100" t="inlineStr">
        <is>
          <t>Johnson &amp; Johnson</t>
        </is>
      </c>
      <c r="B175" s="116">
        <f>IF(A175="","",_xlfn.XLOOKUP(A175, Company_List!$A:$A, Company_List!$B:$B, ""))</f>
        <v/>
      </c>
      <c r="C175" s="21" t="n">
        <v>2025</v>
      </c>
      <c r="D175" s="20" t="inlineStr">
        <is>
          <t>Q3</t>
        </is>
      </c>
      <c r="E175" s="19" t="inlineStr">
        <is>
          <t>Presentation</t>
        </is>
      </c>
      <c r="F175" s="19" t="inlineStr">
        <is>
          <t>All</t>
        </is>
      </c>
      <c r="G175" s="20" t="inlineStr">
        <is>
          <t>Abdul</t>
        </is>
      </c>
      <c r="H175" s="20" t="inlineStr">
        <is>
          <t>Human</t>
        </is>
      </c>
      <c r="I175" s="145" t="n">
        <v>0.6</v>
      </c>
      <c r="J175" s="145">
        <f>IF(OR(I175="",Settings!$B$6=""),"",IF(I175&gt;Settings!$B$6,"BUY",IF(I175&lt;-Settings!$B$6,"SELL","HOLD")))</f>
        <v/>
      </c>
      <c r="K175" s="145" t="n">
        <v>22</v>
      </c>
      <c r="L175" s="123" t="n">
        <v>45944</v>
      </c>
      <c r="M175" s="124" t="n">
        <v>45943</v>
      </c>
      <c r="N175" s="147" t="n">
        <v>190.9</v>
      </c>
      <c r="O175" s="124" t="n">
        <v>45944</v>
      </c>
      <c r="P175" s="145" t="n">
        <v>192.92</v>
      </c>
      <c r="Q175" s="148">
        <f>IF(OR(N175="",P175=""),"",ROUND((P175-N175)/N175,4))</f>
        <v/>
      </c>
      <c r="R175" s="20">
        <f>IF(OR(N175="",P175=""),"",IF(Q175&gt;Settings!$B$3/100,"UP",IF(Q175&lt;-Settings!$B$3/100,"DOWN","FLAT")))</f>
        <v/>
      </c>
      <c r="S175" s="20">
        <f>IF(OR(N175="",P175="",J175=""),"",IF(OR(AND(J175="BUY",R175="UP"),AND(J175="SELL",R175="DOWN"),AND(J175="HOLD",R175="FLAT")),"YES","NO"))</f>
        <v/>
      </c>
      <c r="T175" s="21">
        <f>IF(J175="","",IF(J175="BUY",1,IF(J175="SELL",-1,0)))</f>
        <v/>
      </c>
      <c r="U175" s="148">
        <f>IFERROR(IF(OR(J175="",N175="",P175=""),"",IF(T175=0,0,T175*Q175-Settings!$B$4/10000-IF(T175&lt;0,Settings!$B$5/10000,0))),"")</f>
        <v/>
      </c>
      <c r="W175" s="21">
        <f>IF($K175="","",$K175*60)</f>
        <v/>
      </c>
      <c r="X175" s="91">
        <f>IF($A175="","",$A175&amp;"|"&amp;$C175&amp;"|"&amp;$D175)</f>
        <v/>
      </c>
      <c r="Y175" s="91">
        <f>IFERROR(IF($X175="","",INDEX(LLM_Data_Entry!$H$3:$H$548,MATCH($X175,INDEX(LLM_Data_Entry!$A$3:$A$548&amp;"|"&amp;LLM_Data_Entry!$C$3:$C$548&amp;"|"&amp;LLM_Data_Entry!$D$3:$D$548,0),0))),"")</f>
        <v/>
      </c>
      <c r="Z175" s="91">
        <f>IFERROR(IF($X175="","",INDEX(LLM_Data_Entry!$R$3:$R$548,MATCH($X175,INDEX(LLM_Data_Entry!$A$3:$A$548&amp;"|"&amp;LLM_Data_Entry!$C$3:$C$548&amp;"|"&amp;LLM_Data_Entry!$D$3:$D$548,0),0))),"")</f>
        <v/>
      </c>
      <c r="AB175" t="inlineStr">
        <is>
          <t>release date + stated time in the document (document)</t>
        </is>
      </c>
      <c r="AC175" t="inlineStr">
        <is>
          <t>JNJ</t>
        </is>
      </c>
      <c r="AD175" t="inlineStr">
        <is>
          <t>2025-10-13</t>
        </is>
      </c>
      <c r="AE175" t="n">
        <v>187.6135</v>
      </c>
      <c r="AF175" t="inlineStr">
        <is>
          <t>2025-10-14</t>
        </is>
      </c>
      <c r="AG175" t="n">
        <v>189.5987</v>
      </c>
      <c r="AH175" t="n">
        <v>0.01058152825636535</v>
      </c>
      <c r="AI175" t="inlineStr">
        <is>
          <t>FLAT</t>
        </is>
      </c>
      <c r="AJ175" t="inlineStr">
        <is>
          <t>NO</t>
        </is>
      </c>
      <c r="AK175" t="n">
        <v>0.009582</v>
      </c>
      <c r="AL175">
        <f>IF($A175="","",IFERROR(INDEX(Company_List!$G$3:$G$207,MATCH($A175,Company_List!$A$3:$A$207,0)),"unassigned"))</f>
        <v/>
      </c>
      <c r="AM175" t="inlineStr">
        <is>
          <t>Phase 3/Readings/Jonson &amp; Jonson/JNJ-USQ_Transcript_2025-10-14.pdf</t>
        </is>
      </c>
      <c r="AO175" t="inlineStr">
        <is>
          <t>unique filename match</t>
        </is>
      </c>
      <c r="AP175">
        <f>IF($A175="","",IF(COUNTIFS(LLM_Data_Entry!$A$3:$A$548,$A175)&gt;0,"YES","NO"))</f>
        <v/>
      </c>
      <c r="AQ175">
        <f>IF($A175="","",IF(COUNTIFS($A$3:$A175,$A175,$C$3:$C175,$C175,$D$3:$D175,$D175)=1,"YES","NO"))</f>
        <v/>
      </c>
      <c r="AR175">
        <f>IF($A175="","",IF(AND($C175&amp;"-"&amp;$D175&gt;=Settings!$B$19,$C175&amp;"-"&amp;$D175&lt;=Settings!$B$20),"IN","OUT"))</f>
        <v/>
      </c>
      <c r="AS175">
        <f>IF($A175="","",IF($F175="Financial Results","financials",IF($F175="Outlook/Guidance","guidance",IF($F175="Transcript Q&amp;A","qanda",IF($F175="","unrecorded",IF($E175="All","full",IF($E175="","unrecorded",LOWER($E175)&amp;" only")))))))</f>
        <v/>
      </c>
      <c r="AT175">
        <f>IF(AND(OR($J175="BUY",$J175="SELL"),ISNUMBER($U175)),$U175,"")</f>
        <v/>
      </c>
      <c r="AU175">
        <f>IF(AND(OR($J175="BUY",$J175="SELL"),ISNUMBER($AK175)),$AK175,"")</f>
        <v/>
      </c>
      <c r="AV175">
        <f>IF(ISNUMBER($AT175),ABS(IF(ISNUMBER($I175),$I175,0)-Settings!$B$24),"")</f>
        <v/>
      </c>
      <c r="AW175">
        <f>IF(ISNUMBER($AV175),$AV175*$AT175,"")</f>
        <v/>
      </c>
      <c r="AX175">
        <f>IF(ISNUMBER($AU175),ABS(IF(ISNUMBER($I175),$I175,0)-Settings!$B$24),"")</f>
        <v/>
      </c>
      <c r="AY175">
        <f>IF(ISNUMBER($AX175),$AX175*$AU175,"")</f>
        <v/>
      </c>
      <c r="AZ175">
        <f>IF($A175="","",IFERROR(INDEX(Company_List!$H$3:$H$207,MATCH($A175,Company_List!$A$3:$A$207,0)),"unassigned"))</f>
        <v/>
      </c>
      <c r="BC175">
        <f>IF($A175="","",IF(COUNTIFS($A$3:$A175,$A175,$C$3:$C175,$C175,$D$3:$D175,$D175,$G$3:$G175,$G175)=1,1,0))</f>
        <v/>
      </c>
      <c r="BG175" t="inlineStr">
        <is>
          <t>no</t>
        </is>
      </c>
      <c r="BK175">
        <f>IF(OR($H175&lt;&gt;"Human",$S175="",$J175="",$Y175="",$Z175=""),"",IF(EXACT(UPPER($J175),UPPER($Y175)),1,0))</f>
        <v/>
      </c>
      <c r="BL175" t="inlineStr">
        <is>
          <t>assumed - no rater record</t>
        </is>
      </c>
      <c r="BM175" t="n">
        <v>1</v>
      </c>
      <c r="BN175" t="inlineStr">
        <is>
          <t>Refinitiv / LSEG StreetEvents</t>
        </is>
      </c>
      <c r="BO175" t="inlineStr">
        <is>
          <t>licensed vendor</t>
        </is>
      </c>
      <c r="BP175" t="inlineStr">
        <is>
          <t>no</t>
        </is>
      </c>
      <c r="BQ175" t="inlineStr">
        <is>
          <t>no</t>
        </is>
      </c>
    </row>
    <row r="176">
      <c r="A176" s="100" t="inlineStr">
        <is>
          <t>Johnson &amp; Johnson</t>
        </is>
      </c>
      <c r="B176" s="116">
        <f>IF(A176="","",_xlfn.XLOOKUP(A176, Company_List!$A:$A, Company_List!$B:$B, ""))</f>
        <v/>
      </c>
      <c r="C176" s="21" t="n">
        <v>2026</v>
      </c>
      <c r="D176" s="20" t="inlineStr">
        <is>
          <t>Q1</t>
        </is>
      </c>
      <c r="E176" s="98" t="inlineStr">
        <is>
          <t>Presentation</t>
        </is>
      </c>
      <c r="F176" s="98" t="inlineStr">
        <is>
          <t>All</t>
        </is>
      </c>
      <c r="G176" s="103" t="inlineStr">
        <is>
          <t>Abdul</t>
        </is>
      </c>
      <c r="H176" s="20" t="inlineStr">
        <is>
          <t>Human</t>
        </is>
      </c>
      <c r="I176" s="145" t="n">
        <v>-0.3</v>
      </c>
      <c r="J176" s="145">
        <f>IF(OR(I176="",Settings!$B$6=""),"",IF(I176&gt;Settings!$B$6,"BUY",IF(I176&lt;-Settings!$B$6,"SELL","HOLD")))</f>
        <v/>
      </c>
      <c r="K176" s="145" t="n">
        <v>24</v>
      </c>
      <c r="L176" s="125" t="n">
        <v>46126</v>
      </c>
      <c r="M176" s="126" t="n">
        <v>46125</v>
      </c>
      <c r="N176" s="147" t="n">
        <v>237.96</v>
      </c>
      <c r="O176" s="126" t="n">
        <v>46126</v>
      </c>
      <c r="P176" s="145" t="n">
        <v>235.01</v>
      </c>
      <c r="Q176" s="148">
        <f>IF(OR(N176="",P176=""),"",ROUND((P176-N176)/N176,4))</f>
        <v/>
      </c>
      <c r="R176" s="20">
        <f>IF(OR(N176="",P176=""),"",IF(Q176&gt;Settings!$B$3/100,"UP",IF(Q176&lt;-Settings!$B$3/100,"DOWN","FLAT")))</f>
        <v/>
      </c>
      <c r="S176" s="20">
        <f>IF(OR(N176="",P176="",J176=""),"",IF(OR(AND(J176="BUY",R176="UP"),AND(J176="SELL",R176="DOWN"),AND(J176="HOLD",R176="FLAT")),"YES","NO"))</f>
        <v/>
      </c>
      <c r="T176" s="21">
        <f>IF(J176="","",IF(J176="BUY",1,IF(J176="SELL",-1,0)))</f>
        <v/>
      </c>
      <c r="U176" s="148">
        <f>IFERROR(IF(OR(J176="",N176="",P176=""),"",IF(T176=0,0,T176*Q176-Settings!$B$4/10000-IF(T176&lt;0,Settings!$B$5/10000,0))),"")</f>
        <v/>
      </c>
      <c r="W176" s="21">
        <f>IF($K176="","",$K176*60)</f>
        <v/>
      </c>
      <c r="X176" s="91">
        <f>IF($A176="","",$A176&amp;"|"&amp;$C176&amp;"|"&amp;$D176)</f>
        <v/>
      </c>
      <c r="Y176" s="91">
        <f>IFERROR(IF($X176="","",INDEX(LLM_Data_Entry!$H$3:$H$548,MATCH($X176,INDEX(LLM_Data_Entry!$A$3:$A$548&amp;"|"&amp;LLM_Data_Entry!$C$3:$C$548&amp;"|"&amp;LLM_Data_Entry!$D$3:$D$548,0),0))),"")</f>
        <v/>
      </c>
      <c r="Z176" s="91">
        <f>IFERROR(IF($X176="","",INDEX(LLM_Data_Entry!$R$3:$R$548,MATCH($X176,INDEX(LLM_Data_Entry!$A$3:$A$548&amp;"|"&amp;LLM_Data_Entry!$C$3:$C$548&amp;"|"&amp;LLM_Data_Entry!$D$3:$D$548,0),0))),"")</f>
        <v/>
      </c>
      <c r="AB176" t="inlineStr">
        <is>
          <t>release date + stated time in the document (document)</t>
        </is>
      </c>
      <c r="AC176" t="inlineStr">
        <is>
          <t>JNJ</t>
        </is>
      </c>
      <c r="AD176" t="inlineStr">
        <is>
          <t>2026-04-13</t>
        </is>
      </c>
      <c r="AE176" t="n">
        <v>236.5993</v>
      </c>
      <c r="AF176" t="inlineStr">
        <is>
          <t>2026-04-14</t>
        </is>
      </c>
      <c r="AG176" t="n">
        <v>233.6662</v>
      </c>
      <c r="AH176" t="n">
        <v>-0.01239709181904946</v>
      </c>
      <c r="AI176" t="inlineStr">
        <is>
          <t>FLAT</t>
        </is>
      </c>
      <c r="AJ176" t="inlineStr">
        <is>
          <t>NO</t>
        </is>
      </c>
      <c r="AK176" t="n">
        <v>0.011397</v>
      </c>
      <c r="AL176">
        <f>IF($A176="","",IFERROR(INDEX(Company_List!$G$3:$G$207,MATCH($A176,Company_List!$A$3:$A$207,0)),"unassigned"))</f>
        <v/>
      </c>
      <c r="AM176" t="inlineStr">
        <is>
          <t>Phase 3/Readings/Jonson &amp; Jonson/JNJ-USQ_Transcript_2026-04-14.pdf</t>
        </is>
      </c>
      <c r="AO176" t="inlineStr">
        <is>
          <t>unique filename match</t>
        </is>
      </c>
      <c r="AP176">
        <f>IF($A176="","",IF(COUNTIFS(LLM_Data_Entry!$A$3:$A$548,$A176)&gt;0,"YES","NO"))</f>
        <v/>
      </c>
      <c r="AQ176">
        <f>IF($A176="","",IF(COUNTIFS($A$3:$A176,$A176,$C$3:$C176,$C176,$D$3:$D176,$D176)=1,"YES","NO"))</f>
        <v/>
      </c>
      <c r="AR176">
        <f>IF($A176="","",IF(AND($C176&amp;"-"&amp;$D176&gt;=Settings!$B$19,$C176&amp;"-"&amp;$D176&lt;=Settings!$B$20),"IN","OUT"))</f>
        <v/>
      </c>
      <c r="AS176">
        <f>IF($A176="","",IF($F176="Financial Results","financials",IF($F176="Outlook/Guidance","guidance",IF($F176="Transcript Q&amp;A","qanda",IF($F176="","unrecorded",IF($E176="All","full",IF($E176="","unrecorded",LOWER($E176)&amp;" only")))))))</f>
        <v/>
      </c>
      <c r="AT176">
        <f>IF(AND(OR($J176="BUY",$J176="SELL"),ISNUMBER($U176)),$U176,"")</f>
        <v/>
      </c>
      <c r="AU176">
        <f>IF(AND(OR($J176="BUY",$J176="SELL"),ISNUMBER($AK176)),$AK176,"")</f>
        <v/>
      </c>
      <c r="AV176">
        <f>IF(ISNUMBER($AT176),ABS(IF(ISNUMBER($I176),$I176,0)-Settings!$B$24),"")</f>
        <v/>
      </c>
      <c r="AW176">
        <f>IF(ISNUMBER($AV176),$AV176*$AT176,"")</f>
        <v/>
      </c>
      <c r="AX176">
        <f>IF(ISNUMBER($AU176),ABS(IF(ISNUMBER($I176),$I176,0)-Settings!$B$24),"")</f>
        <v/>
      </c>
      <c r="AY176">
        <f>IF(ISNUMBER($AX176),$AX176*$AU176,"")</f>
        <v/>
      </c>
      <c r="AZ176">
        <f>IF($A176="","",IFERROR(INDEX(Company_List!$H$3:$H$207,MATCH($A176,Company_List!$A$3:$A$207,0)),"unassigned"))</f>
        <v/>
      </c>
      <c r="BC176">
        <f>IF($A176="","",IF(COUNTIFS($A$3:$A176,$A176,$C$3:$C176,$C176,$D$3:$D176,$D176,$G$3:$G176,$G176)=1,1,0))</f>
        <v/>
      </c>
      <c r="BG176" t="inlineStr">
        <is>
          <t>no</t>
        </is>
      </c>
      <c r="BK176">
        <f>IF(OR($H176&lt;&gt;"Human",$S176="",$J176="",$Y176="",$Z176=""),"",IF(EXACT(UPPER($J176),UPPER($Y176)),1,0))</f>
        <v/>
      </c>
      <c r="BL176" t="inlineStr">
        <is>
          <t>assumed - no rater record</t>
        </is>
      </c>
      <c r="BM176" t="n">
        <v>1</v>
      </c>
      <c r="BN176" t="inlineStr">
        <is>
          <t>Refinitiv / LSEG StreetEvents</t>
        </is>
      </c>
      <c r="BO176" t="inlineStr">
        <is>
          <t>licensed vendor</t>
        </is>
      </c>
      <c r="BP176" t="inlineStr">
        <is>
          <t>no</t>
        </is>
      </c>
      <c r="BQ176" t="inlineStr">
        <is>
          <t>no</t>
        </is>
      </c>
    </row>
    <row r="177">
      <c r="A177" s="100" t="inlineStr">
        <is>
          <t>Expedia</t>
        </is>
      </c>
      <c r="B177" s="116">
        <f>IF(A177="","",_xlfn.XLOOKUP(A177, Company_List!$A:$A, Company_List!$B:$B, ""))</f>
        <v/>
      </c>
      <c r="C177" s="21" t="n">
        <v>2025</v>
      </c>
      <c r="D177" s="20" t="inlineStr">
        <is>
          <t>Q1</t>
        </is>
      </c>
      <c r="E177" s="98" t="inlineStr">
        <is>
          <t>Transcript</t>
        </is>
      </c>
      <c r="F177" s="98" t="inlineStr">
        <is>
          <t>Transcript Q&amp;A</t>
        </is>
      </c>
      <c r="G177" s="143" t="inlineStr">
        <is>
          <t>Abdul</t>
        </is>
      </c>
      <c r="H177" s="20" t="inlineStr">
        <is>
          <t>Human</t>
        </is>
      </c>
      <c r="I177" s="145" t="n">
        <v>-0.3</v>
      </c>
      <c r="J177" s="145">
        <f>IF(OR(I177="",Settings!$B$6=""),"",IF(I177&gt;Settings!$B$6,"BUY",IF(I177&lt;-Settings!$B$6,"SELL","HOLD")))</f>
        <v/>
      </c>
      <c r="K177" s="145" t="n">
        <v>38</v>
      </c>
      <c r="L177" s="125" t="n">
        <v>45785</v>
      </c>
      <c r="M177" s="125" t="n">
        <v>45785</v>
      </c>
      <c r="N177" s="147" t="n">
        <v>166.56</v>
      </c>
      <c r="O177" s="125" t="n">
        <v>45786</v>
      </c>
      <c r="P177" s="145" t="n">
        <v>152.59</v>
      </c>
      <c r="Q177" s="148">
        <f>IF(OR(N177="",P177=""),"",ROUND((P177-N177)/N177,4))</f>
        <v/>
      </c>
      <c r="R177" s="20">
        <f>IF(OR(N177="",P177=""),"",IF(Q177&gt;Settings!$B$3/100,"UP",IF(Q177&lt;-Settings!$B$3/100,"DOWN","FLAT")))</f>
        <v/>
      </c>
      <c r="S177" s="20">
        <f>IF(OR(N177="",P177="",J177=""),"",IF(OR(AND(J177="BUY",R177="UP"),AND(J177="SELL",R177="DOWN"),AND(J177="HOLD",R177="FLAT")),"YES","NO"))</f>
        <v/>
      </c>
      <c r="T177" s="21">
        <f>IF(J177="","",IF(J177="BUY",1,IF(J177="SELL",-1,0)))</f>
        <v/>
      </c>
      <c r="U177" s="148">
        <f>IFERROR(IF(OR(J177="",N177="",P177=""),"",IF(T177=0,0,T177*Q177-Settings!$B$4/10000-IF(T177&lt;0,Settings!$B$5/10000,0))),"")</f>
        <v/>
      </c>
      <c r="W177" s="21">
        <f>IF($K177="","",$K177*60)</f>
        <v/>
      </c>
      <c r="X177" s="91">
        <f>IF($A177="","",$A177&amp;"|"&amp;$C177&amp;"|"&amp;$D177)</f>
        <v/>
      </c>
      <c r="Y177" s="91">
        <f>IFERROR(IF($X177="","",INDEX(LLM_Data_Entry!$H$3:$H$548,MATCH($X177,INDEX(LLM_Data_Entry!$A$3:$A$548&amp;"|"&amp;LLM_Data_Entry!$C$3:$C$548&amp;"|"&amp;LLM_Data_Entry!$D$3:$D$548,0),0))),"")</f>
        <v/>
      </c>
      <c r="Z177" s="91">
        <f>IFERROR(IF($X177="","",INDEX(LLM_Data_Entry!$R$3:$R$548,MATCH($X177,INDEX(LLM_Data_Entry!$A$3:$A$548&amp;"|"&amp;LLM_Data_Entry!$C$3:$C$548&amp;"|"&amp;LLM_Data_Entry!$D$3:$D$548,0),0))),"")</f>
        <v/>
      </c>
      <c r="AB177" t="inlineStr">
        <is>
          <t>document date + price signal</t>
        </is>
      </c>
      <c r="AC177" t="inlineStr">
        <is>
          <t>EXPE</t>
        </is>
      </c>
      <c r="AD177" t="inlineStr">
        <is>
          <t>2025-05-08</t>
        </is>
      </c>
      <c r="AE177" t="n">
        <v>167.2699</v>
      </c>
      <c r="AF177" t="inlineStr">
        <is>
          <t>2025-05-09</t>
        </is>
      </c>
      <c r="AG177" t="n">
        <v>151.0368</v>
      </c>
      <c r="AH177" t="n">
        <v>-0.09704723191489181</v>
      </c>
      <c r="AI177" t="inlineStr">
        <is>
          <t>DOWN</t>
        </is>
      </c>
      <c r="AJ177" t="inlineStr">
        <is>
          <t>YES</t>
        </is>
      </c>
      <c r="AK177" t="n">
        <v>0.09604699999999999</v>
      </c>
      <c r="AL177">
        <f>IF($A177="","",IFERROR(INDEX(Company_List!$G$3:$G$207,MATCH($A177,Company_List!$A$3:$A$207,0)),"unassigned"))</f>
        <v/>
      </c>
      <c r="AM177" t="inlineStr">
        <is>
          <t>Phase 3/Readings/Expedia/EXPE-USQ_Transcript_2025-05-08.pdf</t>
        </is>
      </c>
      <c r="AO177" t="inlineStr">
        <is>
          <t>unique filename match</t>
        </is>
      </c>
      <c r="AP177">
        <f>IF($A177="","",IF(COUNTIFS(LLM_Data_Entry!$A$3:$A$548,$A177)&gt;0,"YES","NO"))</f>
        <v/>
      </c>
      <c r="AQ177">
        <f>IF($A177="","",IF(COUNTIFS($A$3:$A177,$A177,$C$3:$C177,$C177,$D$3:$D177,$D177)=1,"YES","NO"))</f>
        <v/>
      </c>
      <c r="AR177">
        <f>IF($A177="","",IF(AND($C177&amp;"-"&amp;$D177&gt;=Settings!$B$19,$C177&amp;"-"&amp;$D177&lt;=Settings!$B$20),"IN","OUT"))</f>
        <v/>
      </c>
      <c r="AS177">
        <f>IF($A177="","",IF($F177="Financial Results","financials",IF($F177="Outlook/Guidance","guidance",IF($F177="Transcript Q&amp;A","qanda",IF($F177="","unrecorded",IF($E177="All","full",IF($E177="","unrecorded",LOWER($E177)&amp;" only")))))))</f>
        <v/>
      </c>
      <c r="AT177">
        <f>IF(AND(OR($J177="BUY",$J177="SELL"),ISNUMBER($U177)),$U177,"")</f>
        <v/>
      </c>
      <c r="AU177">
        <f>IF(AND(OR($J177="BUY",$J177="SELL"),ISNUMBER($AK177)),$AK177,"")</f>
        <v/>
      </c>
      <c r="AV177">
        <f>IF(ISNUMBER($AT177),ABS(IF(ISNUMBER($I177),$I177,0)-Settings!$B$24),"")</f>
        <v/>
      </c>
      <c r="AW177">
        <f>IF(ISNUMBER($AV177),$AV177*$AT177,"")</f>
        <v/>
      </c>
      <c r="AX177">
        <f>IF(ISNUMBER($AU177),ABS(IF(ISNUMBER($I177),$I177,0)-Settings!$B$24),"")</f>
        <v/>
      </c>
      <c r="AY177">
        <f>IF(ISNUMBER($AX177),$AX177*$AU177,"")</f>
        <v/>
      </c>
      <c r="AZ177">
        <f>IF($A177="","",IFERROR(INDEX(Company_List!$H$3:$H$207,MATCH($A177,Company_List!$A$3:$A$207,0)),"unassigned"))</f>
        <v/>
      </c>
      <c r="BC177">
        <f>IF($A177="","",IF(COUNTIFS($A$3:$A177,$A177,$C$3:$C177,$C177,$D$3:$D177,$D177,$G$3:$G177,$G177)=1,1,0))</f>
        <v/>
      </c>
      <c r="BG177" t="inlineStr">
        <is>
          <t>no</t>
        </is>
      </c>
      <c r="BK177">
        <f>IF(OR($H177&lt;&gt;"Human",$S177="",$J177="",$Y177="",$Z177=""),"",IF(EXACT(UPPER($J177),UPPER($Y177)),1,0))</f>
        <v/>
      </c>
      <c r="BL177" t="inlineStr">
        <is>
          <t>assumed - no rater record</t>
        </is>
      </c>
      <c r="BM177" t="n">
        <v>1</v>
      </c>
      <c r="BN177" t="inlineStr">
        <is>
          <t>Refinitiv / LSEG StreetEvents</t>
        </is>
      </c>
      <c r="BO177" t="inlineStr">
        <is>
          <t>licensed vendor</t>
        </is>
      </c>
      <c r="BP177" t="inlineStr">
        <is>
          <t>no</t>
        </is>
      </c>
      <c r="BQ177" t="inlineStr">
        <is>
          <t>no</t>
        </is>
      </c>
    </row>
    <row r="178">
      <c r="A178" s="100" t="inlineStr">
        <is>
          <t>Expedia</t>
        </is>
      </c>
      <c r="B178" s="116">
        <f>IF(A178="","",_xlfn.XLOOKUP(A178, Company_List!$A:$A, Company_List!$B:$B, ""))</f>
        <v/>
      </c>
      <c r="C178" s="21" t="n">
        <v>2025</v>
      </c>
      <c r="D178" s="20" t="inlineStr">
        <is>
          <t>Q2</t>
        </is>
      </c>
      <c r="E178" s="98" t="inlineStr">
        <is>
          <t>Transcript</t>
        </is>
      </c>
      <c r="F178" s="98" t="inlineStr">
        <is>
          <t>Transcript Q&amp;A</t>
        </is>
      </c>
      <c r="G178" s="143" t="inlineStr">
        <is>
          <t>Abdul</t>
        </is>
      </c>
      <c r="H178" s="20" t="inlineStr">
        <is>
          <t>Human</t>
        </is>
      </c>
      <c r="I178" s="145" t="n">
        <v>0.2</v>
      </c>
      <c r="J178" s="145">
        <f>IF(OR(I178="",Settings!$B$6=""),"",IF(I178&gt;Settings!$B$6,"BUY",IF(I178&lt;-Settings!$B$6,"SELL","HOLD")))</f>
        <v/>
      </c>
      <c r="K178" s="145" t="n">
        <v>32</v>
      </c>
      <c r="L178" s="125" t="n">
        <v>45876</v>
      </c>
      <c r="M178" s="125" t="n">
        <v>45876</v>
      </c>
      <c r="N178" s="147" t="n">
        <v>187.61</v>
      </c>
      <c r="O178" s="125" t="n">
        <v>45877</v>
      </c>
      <c r="P178" s="145" t="n">
        <v>211.6</v>
      </c>
      <c r="Q178" s="148">
        <f>IF(OR(N178="",P178=""),"",ROUND((P178-N178)/N178,4))</f>
        <v/>
      </c>
      <c r="R178" s="20">
        <f>IF(OR(N178="",P178=""),"",IF(Q178&gt;Settings!$B$3/100,"UP",IF(Q178&lt;-Settings!$B$3/100,"DOWN","FLAT")))</f>
        <v/>
      </c>
      <c r="S178" s="20">
        <f>IF(OR(N178="",P178="",J178=""),"",IF(OR(AND(J178="BUY",R178="UP"),AND(J178="SELL",R178="DOWN"),AND(J178="HOLD",R178="FLAT")),"YES","NO"))</f>
        <v/>
      </c>
      <c r="T178" s="21">
        <f>IF(J178="","",IF(J178="BUY",1,IF(J178="SELL",-1,0)))</f>
        <v/>
      </c>
      <c r="U178" s="148">
        <f>IFERROR(IF(OR(J178="",N178="",P178=""),"",IF(T178=0,0,T178*Q178-Settings!$B$4/10000-IF(T178&lt;0,Settings!$B$5/10000,0))),"")</f>
        <v/>
      </c>
      <c r="W178" s="21">
        <f>IF($K178="","",$K178*60)</f>
        <v/>
      </c>
      <c r="X178" s="91">
        <f>IF($A178="","",$A178&amp;"|"&amp;$C178&amp;"|"&amp;$D178)</f>
        <v/>
      </c>
      <c r="Y178" s="91">
        <f>IFERROR(IF($X178="","",INDEX(LLM_Data_Entry!$H$3:$H$548,MATCH($X178,INDEX(LLM_Data_Entry!$A$3:$A$548&amp;"|"&amp;LLM_Data_Entry!$C$3:$C$548&amp;"|"&amp;LLM_Data_Entry!$D$3:$D$548,0),0))),"")</f>
        <v/>
      </c>
      <c r="Z178" s="91">
        <f>IFERROR(IF($X178="","",INDEX(LLM_Data_Entry!$R$3:$R$548,MATCH($X178,INDEX(LLM_Data_Entry!$A$3:$A$548&amp;"|"&amp;LLM_Data_Entry!$C$3:$C$548&amp;"|"&amp;LLM_Data_Entry!$D$3:$D$548,0),0))),"")</f>
        <v/>
      </c>
      <c r="AB178" t="inlineStr">
        <is>
          <t>price signal — only this window shows an abnormal move</t>
        </is>
      </c>
      <c r="AC178" t="inlineStr">
        <is>
          <t>EXPE</t>
        </is>
      </c>
      <c r="AD178" t="inlineStr">
        <is>
          <t>2025-08-07</t>
        </is>
      </c>
      <c r="AE178" t="n">
        <v>186.1444</v>
      </c>
      <c r="AF178" t="inlineStr">
        <is>
          <t>2025-08-08</t>
        </is>
      </c>
      <c r="AG178" t="n">
        <v>209.947</v>
      </c>
      <c r="AH178" t="n">
        <v>0.1278717323670675</v>
      </c>
      <c r="AI178" t="inlineStr">
        <is>
          <t>UP</t>
        </is>
      </c>
      <c r="AJ178" t="inlineStr">
        <is>
          <t>NO</t>
        </is>
      </c>
      <c r="AK178" t="n">
        <v>0</v>
      </c>
      <c r="AL178">
        <f>IF($A178="","",IFERROR(INDEX(Company_List!$G$3:$G$207,MATCH($A178,Company_List!$A$3:$A$207,0)),"unassigned"))</f>
        <v/>
      </c>
      <c r="AM178" t="inlineStr">
        <is>
          <t>Phase 3/Readings/Expedia/EXPE-USQ_Transcript_2025-08-07.pdf</t>
        </is>
      </c>
      <c r="AO178" t="inlineStr">
        <is>
          <t>unique filename match</t>
        </is>
      </c>
      <c r="AP178">
        <f>IF($A178="","",IF(COUNTIFS(LLM_Data_Entry!$A$3:$A$548,$A178)&gt;0,"YES","NO"))</f>
        <v/>
      </c>
      <c r="AQ178">
        <f>IF($A178="","",IF(COUNTIFS($A$3:$A178,$A178,$C$3:$C178,$C178,$D$3:$D178,$D178)=1,"YES","NO"))</f>
        <v/>
      </c>
      <c r="AR178">
        <f>IF($A178="","",IF(AND($C178&amp;"-"&amp;$D178&gt;=Settings!$B$19,$C178&amp;"-"&amp;$D178&lt;=Settings!$B$20),"IN","OUT"))</f>
        <v/>
      </c>
      <c r="AS178">
        <f>IF($A178="","",IF($F178="Financial Results","financials",IF($F178="Outlook/Guidance","guidance",IF($F178="Transcript Q&amp;A","qanda",IF($F178="","unrecorded",IF($E178="All","full",IF($E178="","unrecorded",LOWER($E178)&amp;" only")))))))</f>
        <v/>
      </c>
      <c r="AT178">
        <f>IF(AND(OR($J178="BUY",$J178="SELL"),ISNUMBER($U178)),$U178,"")</f>
        <v/>
      </c>
      <c r="AU178">
        <f>IF(AND(OR($J178="BUY",$J178="SELL"),ISNUMBER($AK178)),$AK178,"")</f>
        <v/>
      </c>
      <c r="AV178">
        <f>IF(ISNUMBER($AT178),ABS(IF(ISNUMBER($I178),$I178,0)-Settings!$B$24),"")</f>
        <v/>
      </c>
      <c r="AW178">
        <f>IF(ISNUMBER($AV178),$AV178*$AT178,"")</f>
        <v/>
      </c>
      <c r="AX178">
        <f>IF(ISNUMBER($AU178),ABS(IF(ISNUMBER($I178),$I178,0)-Settings!$B$24),"")</f>
        <v/>
      </c>
      <c r="AY178">
        <f>IF(ISNUMBER($AX178),$AX178*$AU178,"")</f>
        <v/>
      </c>
      <c r="AZ178">
        <f>IF($A178="","",IFERROR(INDEX(Company_List!$H$3:$H$207,MATCH($A178,Company_List!$A$3:$A$207,0)),"unassigned"))</f>
        <v/>
      </c>
      <c r="BC178">
        <f>IF($A178="","",IF(COUNTIFS($A$3:$A178,$A178,$C$3:$C178,$C178,$D$3:$D178,$D178,$G$3:$G178,$G178)=1,1,0))</f>
        <v/>
      </c>
      <c r="BG178" t="inlineStr">
        <is>
          <t>no</t>
        </is>
      </c>
      <c r="BK178">
        <f>IF(OR($H178&lt;&gt;"Human",$S178="",$J178="",$Y178="",$Z178=""),"",IF(EXACT(UPPER($J178),UPPER($Y178)),1,0))</f>
        <v/>
      </c>
      <c r="BL178" t="inlineStr">
        <is>
          <t>assumed - no rater record</t>
        </is>
      </c>
      <c r="BM178" t="n">
        <v>1</v>
      </c>
      <c r="BN178" t="inlineStr">
        <is>
          <t>Refinitiv / LSEG StreetEvents</t>
        </is>
      </c>
      <c r="BO178" t="inlineStr">
        <is>
          <t>licensed vendor</t>
        </is>
      </c>
      <c r="BP178" t="inlineStr">
        <is>
          <t>no</t>
        </is>
      </c>
      <c r="BQ178" t="inlineStr">
        <is>
          <t>no</t>
        </is>
      </c>
    </row>
    <row r="179">
      <c r="A179" s="100" t="inlineStr">
        <is>
          <t>Expedia</t>
        </is>
      </c>
      <c r="B179" s="116">
        <f>IF(A179="","",_xlfn.XLOOKUP(A179, Company_List!$A:$A, Company_List!$B:$B, ""))</f>
        <v/>
      </c>
      <c r="C179" s="21" t="n">
        <v>2025</v>
      </c>
      <c r="D179" s="20" t="inlineStr">
        <is>
          <t>Q4</t>
        </is>
      </c>
      <c r="E179" s="98" t="inlineStr">
        <is>
          <t>Transcript</t>
        </is>
      </c>
      <c r="F179" s="98" t="inlineStr">
        <is>
          <t>Transcript Q&amp;A</t>
        </is>
      </c>
      <c r="G179" s="143" t="inlineStr">
        <is>
          <t>Abdul</t>
        </is>
      </c>
      <c r="H179" s="20" t="inlineStr">
        <is>
          <t>Human</t>
        </is>
      </c>
      <c r="I179" s="145" t="n">
        <v>0.4</v>
      </c>
      <c r="J179" s="145">
        <f>IF(OR(I179="",Settings!$B$6=""),"",IF(I179&gt;Settings!$B$6,"BUY",IF(I179&lt;-Settings!$B$6,"SELL","HOLD")))</f>
        <v/>
      </c>
      <c r="K179" s="145" t="n">
        <v>34</v>
      </c>
      <c r="L179" s="125" t="n">
        <v>46065</v>
      </c>
      <c r="M179" s="125" t="n">
        <v>46065</v>
      </c>
      <c r="N179" s="147" t="n">
        <v>227.24</v>
      </c>
      <c r="O179" s="125" t="n">
        <v>46066</v>
      </c>
      <c r="P179" s="145" t="n">
        <v>212</v>
      </c>
      <c r="Q179" s="148">
        <f>IF(OR(N179="",P179=""),"",ROUND((P179-N179)/N179,4))</f>
        <v/>
      </c>
      <c r="R179" s="20">
        <f>IF(OR(N179="",P179=""),"",IF(Q179&gt;Settings!$B$3/100,"UP",IF(Q179&lt;-Settings!$B$3/100,"DOWN","FLAT")))</f>
        <v/>
      </c>
      <c r="S179" s="20">
        <f>IF(OR(N179="",P179="",J179=""),"",IF(OR(AND(J179="BUY",R179="UP"),AND(J179="SELL",R179="DOWN"),AND(J179="HOLD",R179="FLAT")),"YES","NO"))</f>
        <v/>
      </c>
      <c r="T179" s="21">
        <f>IF(J179="","",IF(J179="BUY",1,IF(J179="SELL",-1,0)))</f>
        <v/>
      </c>
      <c r="U179" s="148">
        <f>IFERROR(IF(OR(J179="",N179="",P179=""),"",IF(T179=0,0,T179*Q179-Settings!$B$4/10000-IF(T179&lt;0,Settings!$B$5/10000,0))),"")</f>
        <v/>
      </c>
      <c r="W179" s="21">
        <f>IF($K179="","",$K179*60)</f>
        <v/>
      </c>
      <c r="X179" s="91">
        <f>IF($A179="","",$A179&amp;"|"&amp;$C179&amp;"|"&amp;$D179)</f>
        <v/>
      </c>
      <c r="Y179" s="91">
        <f>IFERROR(IF($X179="","",INDEX(LLM_Data_Entry!$H$3:$H$548,MATCH($X179,INDEX(LLM_Data_Entry!$A$3:$A$548&amp;"|"&amp;LLM_Data_Entry!$C$3:$C$548&amp;"|"&amp;LLM_Data_Entry!$D$3:$D$548,0),0))),"")</f>
        <v/>
      </c>
      <c r="Z179" s="91">
        <f>IFERROR(IF($X179="","",INDEX(LLM_Data_Entry!$R$3:$R$548,MATCH($X179,INDEX(LLM_Data_Entry!$A$3:$A$548&amp;"|"&amp;LLM_Data_Entry!$C$3:$C$548&amp;"|"&amp;LLM_Data_Entry!$D$3:$D$548,0),0))),"")</f>
        <v/>
      </c>
      <c r="AB179" t="inlineStr">
        <is>
          <t>price signal — both moved; this one dominates</t>
        </is>
      </c>
      <c r="AC179" t="inlineStr">
        <is>
          <t>EXPE</t>
        </is>
      </c>
      <c r="AD179" t="inlineStr">
        <is>
          <t>2026-02-12</t>
        </is>
      </c>
      <c r="AE179" t="n">
        <v>226.2677</v>
      </c>
      <c r="AF179" t="inlineStr">
        <is>
          <t>2026-02-13</t>
        </is>
      </c>
      <c r="AG179" t="n">
        <v>211.0929</v>
      </c>
      <c r="AH179" t="n">
        <v>-0.06706572422558535</v>
      </c>
      <c r="AI179" t="inlineStr">
        <is>
          <t>DOWN</t>
        </is>
      </c>
      <c r="AJ179" t="inlineStr">
        <is>
          <t>NO</t>
        </is>
      </c>
      <c r="AK179" t="n">
        <v>-0.068066</v>
      </c>
      <c r="AL179">
        <f>IF($A179="","",IFERROR(INDEX(Company_List!$G$3:$G$207,MATCH($A179,Company_List!$A$3:$A$207,0)),"unassigned"))</f>
        <v/>
      </c>
      <c r="AM179" t="inlineStr">
        <is>
          <t>Phase 3/Readings/Expedia/EXPE-USQ_Transcript_2026-02-12.pdf</t>
        </is>
      </c>
      <c r="AO179" t="inlineStr">
        <is>
          <t>unique filename match</t>
        </is>
      </c>
      <c r="AP179">
        <f>IF($A179="","",IF(COUNTIFS(LLM_Data_Entry!$A$3:$A$548,$A179)&gt;0,"YES","NO"))</f>
        <v/>
      </c>
      <c r="AQ179">
        <f>IF($A179="","",IF(COUNTIFS($A$3:$A179,$A179,$C$3:$C179,$C179,$D$3:$D179,$D179)=1,"YES","NO"))</f>
        <v/>
      </c>
      <c r="AR179">
        <f>IF($A179="","",IF(AND($C179&amp;"-"&amp;$D179&gt;=Settings!$B$19,$C179&amp;"-"&amp;$D179&lt;=Settings!$B$20),"IN","OUT"))</f>
        <v/>
      </c>
      <c r="AS179">
        <f>IF($A179="","",IF($F179="Financial Results","financials",IF($F179="Outlook/Guidance","guidance",IF($F179="Transcript Q&amp;A","qanda",IF($F179="","unrecorded",IF($E179="All","full",IF($E179="","unrecorded",LOWER($E179)&amp;" only")))))))</f>
        <v/>
      </c>
      <c r="AT179">
        <f>IF(AND(OR($J179="BUY",$J179="SELL"),ISNUMBER($U179)),$U179,"")</f>
        <v/>
      </c>
      <c r="AU179">
        <f>IF(AND(OR($J179="BUY",$J179="SELL"),ISNUMBER($AK179)),$AK179,"")</f>
        <v/>
      </c>
      <c r="AV179">
        <f>IF(ISNUMBER($AT179),ABS(IF(ISNUMBER($I179),$I179,0)-Settings!$B$24),"")</f>
        <v/>
      </c>
      <c r="AW179">
        <f>IF(ISNUMBER($AV179),$AV179*$AT179,"")</f>
        <v/>
      </c>
      <c r="AX179">
        <f>IF(ISNUMBER($AU179),ABS(IF(ISNUMBER($I179),$I179,0)-Settings!$B$24),"")</f>
        <v/>
      </c>
      <c r="AY179">
        <f>IF(ISNUMBER($AX179),$AX179*$AU179,"")</f>
        <v/>
      </c>
      <c r="AZ179">
        <f>IF($A179="","",IFERROR(INDEX(Company_List!$H$3:$H$207,MATCH($A179,Company_List!$A$3:$A$207,0)),"unassigned"))</f>
        <v/>
      </c>
      <c r="BC179">
        <f>IF($A179="","",IF(COUNTIFS($A$3:$A179,$A179,$C$3:$C179,$C179,$D$3:$D179,$D179,$G$3:$G179,$G179)=1,1,0))</f>
        <v/>
      </c>
      <c r="BG179" t="inlineStr">
        <is>
          <t>no</t>
        </is>
      </c>
      <c r="BK179">
        <f>IF(OR($H179&lt;&gt;"Human",$S179="",$J179="",$Y179="",$Z179=""),"",IF(EXACT(UPPER($J179),UPPER($Y179)),1,0))</f>
        <v/>
      </c>
      <c r="BL179" t="inlineStr">
        <is>
          <t>assumed - no rater record</t>
        </is>
      </c>
      <c r="BM179" t="n">
        <v>1</v>
      </c>
      <c r="BN179" t="inlineStr">
        <is>
          <t>Refinitiv / LSEG StreetEvents</t>
        </is>
      </c>
      <c r="BO179" t="inlineStr">
        <is>
          <t>licensed vendor</t>
        </is>
      </c>
      <c r="BP179" t="inlineStr">
        <is>
          <t>no</t>
        </is>
      </c>
      <c r="BQ179" t="inlineStr">
        <is>
          <t>no</t>
        </is>
      </c>
    </row>
    <row r="180">
      <c r="A180" s="100" t="inlineStr">
        <is>
          <t>Expedia</t>
        </is>
      </c>
      <c r="B180" s="116">
        <f>IF(A180="","",_xlfn.XLOOKUP(A180, Company_List!$A:$A, Company_List!$B:$B, ""))</f>
        <v/>
      </c>
      <c r="C180" s="21" t="n">
        <v>2026</v>
      </c>
      <c r="D180" s="20" t="inlineStr">
        <is>
          <t>Q1</t>
        </is>
      </c>
      <c r="E180" s="98" t="inlineStr">
        <is>
          <t>Transcript</t>
        </is>
      </c>
      <c r="F180" s="98" t="inlineStr">
        <is>
          <t>Transcript Q&amp;A</t>
        </is>
      </c>
      <c r="G180" s="143" t="inlineStr">
        <is>
          <t>Abdul</t>
        </is>
      </c>
      <c r="H180" s="20" t="inlineStr">
        <is>
          <t>Human</t>
        </is>
      </c>
      <c r="I180" s="145" t="n">
        <v>-0.4</v>
      </c>
      <c r="J180" s="145">
        <f>IF(OR(I180="",Settings!$B$6=""),"",IF(I180&gt;Settings!$B$6,"BUY",IF(I180&lt;-Settings!$B$6,"SELL","HOLD")))</f>
        <v/>
      </c>
      <c r="K180" s="145" t="n">
        <v>30</v>
      </c>
      <c r="L180" s="125" t="n">
        <v>46149</v>
      </c>
      <c r="M180" s="125" t="n">
        <v>46149</v>
      </c>
      <c r="N180" s="147" t="n">
        <v>252.79</v>
      </c>
      <c r="O180" s="125" t="n">
        <v>46150</v>
      </c>
      <c r="P180" s="145" t="n">
        <v>232.51</v>
      </c>
      <c r="Q180" s="148">
        <f>IF(OR(N180="",P180=""),"",ROUND((P180-N180)/N180,4))</f>
        <v/>
      </c>
      <c r="R180" s="20">
        <f>IF(OR(N180="",P180=""),"",IF(Q180&gt;Settings!$B$3/100,"UP",IF(Q180&lt;-Settings!$B$3/100,"DOWN","FLAT")))</f>
        <v/>
      </c>
      <c r="S180" s="20">
        <f>IF(OR(N180="",P180="",J180=""),"",IF(OR(AND(J180="BUY",R180="UP"),AND(J180="SELL",R180="DOWN"),AND(J180="HOLD",R180="FLAT")),"YES","NO"))</f>
        <v/>
      </c>
      <c r="T180" s="21">
        <f>IF(J180="","",IF(J180="BUY",1,IF(J180="SELL",-1,0)))</f>
        <v/>
      </c>
      <c r="U180" s="148">
        <f>IFERROR(IF(OR(J180="",N180="",P180=""),"",IF(T180=0,0,T180*Q180-Settings!$B$4/10000-IF(T180&lt;0,Settings!$B$5/10000,0))),"")</f>
        <v/>
      </c>
      <c r="W180" s="21">
        <f>IF($K180="","",$K180*60)</f>
        <v/>
      </c>
      <c r="X180" s="91">
        <f>IF($A180="","",$A180&amp;"|"&amp;$C180&amp;"|"&amp;$D180)</f>
        <v/>
      </c>
      <c r="Y180" s="91">
        <f>IFERROR(IF($X180="","",INDEX(LLM_Data_Entry!$H$3:$H$548,MATCH($X180,INDEX(LLM_Data_Entry!$A$3:$A$548&amp;"|"&amp;LLM_Data_Entry!$C$3:$C$548&amp;"|"&amp;LLM_Data_Entry!$D$3:$D$548,0),0))),"")</f>
        <v/>
      </c>
      <c r="Z180" s="91">
        <f>IFERROR(IF($X180="","",INDEX(LLM_Data_Entry!$R$3:$R$548,MATCH($X180,INDEX(LLM_Data_Entry!$A$3:$A$548&amp;"|"&amp;LLM_Data_Entry!$C$3:$C$548&amp;"|"&amp;LLM_Data_Entry!$D$3:$D$548,0),0))),"")</f>
        <v/>
      </c>
      <c r="AB180" t="inlineStr">
        <is>
          <t>price signal — only this window shows an abnormal move</t>
        </is>
      </c>
      <c r="AC180" t="inlineStr">
        <is>
          <t>EXPE</t>
        </is>
      </c>
      <c r="AD180" t="inlineStr">
        <is>
          <t>2026-05-07</t>
        </is>
      </c>
      <c r="AE180" t="n">
        <v>252.2544</v>
      </c>
      <c r="AF180" t="inlineStr">
        <is>
          <t>2026-05-08</t>
        </is>
      </c>
      <c r="AG180" t="n">
        <v>232.0174</v>
      </c>
      <c r="AH180" t="n">
        <v>-0.08022469436591488</v>
      </c>
      <c r="AI180" t="inlineStr">
        <is>
          <t>DOWN</t>
        </is>
      </c>
      <c r="AJ180" t="inlineStr">
        <is>
          <t>YES</t>
        </is>
      </c>
      <c r="AK180" t="n">
        <v>0.079225</v>
      </c>
      <c r="AL180">
        <f>IF($A180="","",IFERROR(INDEX(Company_List!$G$3:$G$207,MATCH($A180,Company_List!$A$3:$A$207,0)),"unassigned"))</f>
        <v/>
      </c>
      <c r="AM180" t="inlineStr">
        <is>
          <t>Phase 3/Readings/Expedia/EXPE-USQ_Transcript_2026-05-07.pdf</t>
        </is>
      </c>
      <c r="AO180" t="inlineStr">
        <is>
          <t>unique filename match</t>
        </is>
      </c>
      <c r="AP180">
        <f>IF($A180="","",IF(COUNTIFS(LLM_Data_Entry!$A$3:$A$548,$A180)&gt;0,"YES","NO"))</f>
        <v/>
      </c>
      <c r="AQ180">
        <f>IF($A180="","",IF(COUNTIFS($A$3:$A180,$A180,$C$3:$C180,$C180,$D$3:$D180,$D180)=1,"YES","NO"))</f>
        <v/>
      </c>
      <c r="AR180">
        <f>IF($A180="","",IF(AND($C180&amp;"-"&amp;$D180&gt;=Settings!$B$19,$C180&amp;"-"&amp;$D180&lt;=Settings!$B$20),"IN","OUT"))</f>
        <v/>
      </c>
      <c r="AS180">
        <f>IF($A180="","",IF($F180="Financial Results","financials",IF($F180="Outlook/Guidance","guidance",IF($F180="Transcript Q&amp;A","qanda",IF($F180="","unrecorded",IF($E180="All","full",IF($E180="","unrecorded",LOWER($E180)&amp;" only")))))))</f>
        <v/>
      </c>
      <c r="AT180">
        <f>IF(AND(OR($J180="BUY",$J180="SELL"),ISNUMBER($U180)),$U180,"")</f>
        <v/>
      </c>
      <c r="AU180">
        <f>IF(AND(OR($J180="BUY",$J180="SELL"),ISNUMBER($AK180)),$AK180,"")</f>
        <v/>
      </c>
      <c r="AV180">
        <f>IF(ISNUMBER($AT180),ABS(IF(ISNUMBER($I180),$I180,0)-Settings!$B$24),"")</f>
        <v/>
      </c>
      <c r="AW180">
        <f>IF(ISNUMBER($AV180),$AV180*$AT180,"")</f>
        <v/>
      </c>
      <c r="AX180">
        <f>IF(ISNUMBER($AU180),ABS(IF(ISNUMBER($I180),$I180,0)-Settings!$B$24),"")</f>
        <v/>
      </c>
      <c r="AY180">
        <f>IF(ISNUMBER($AX180),$AX180*$AU180,"")</f>
        <v/>
      </c>
      <c r="AZ180">
        <f>IF($A180="","",IFERROR(INDEX(Company_List!$H$3:$H$207,MATCH($A180,Company_List!$A$3:$A$207,0)),"unassigned"))</f>
        <v/>
      </c>
      <c r="BC180">
        <f>IF($A180="","",IF(COUNTIFS($A$3:$A180,$A180,$C$3:$C180,$C180,$D$3:$D180,$D180,$G$3:$G180,$G180)=1,1,0))</f>
        <v/>
      </c>
      <c r="BG180" t="inlineStr">
        <is>
          <t>no</t>
        </is>
      </c>
      <c r="BK180">
        <f>IF(OR($H180&lt;&gt;"Human",$S180="",$J180="",$Y180="",$Z180=""),"",IF(EXACT(UPPER($J180),UPPER($Y180)),1,0))</f>
        <v/>
      </c>
      <c r="BL180" t="inlineStr">
        <is>
          <t>assumed - no rater record</t>
        </is>
      </c>
      <c r="BM180" t="n">
        <v>1</v>
      </c>
      <c r="BN180" t="inlineStr">
        <is>
          <t>Refinitiv / LSEG StreetEvents</t>
        </is>
      </c>
      <c r="BO180" t="inlineStr">
        <is>
          <t>licensed vendor</t>
        </is>
      </c>
      <c r="BP180" t="inlineStr">
        <is>
          <t>no</t>
        </is>
      </c>
      <c r="BQ180" t="inlineStr">
        <is>
          <t>no</t>
        </is>
      </c>
    </row>
    <row r="181">
      <c r="A181" s="100" t="inlineStr">
        <is>
          <t>Robinhood Markets</t>
        </is>
      </c>
      <c r="B181" s="116">
        <f>IF(A181="","",_xlfn.XLOOKUP(A181, Company_List!$A:$A, Company_List!$B:$B, ""))</f>
        <v/>
      </c>
      <c r="C181" s="21" t="n">
        <v>2025</v>
      </c>
      <c r="D181" s="20" t="inlineStr">
        <is>
          <t>Q1</t>
        </is>
      </c>
      <c r="E181" s="98" t="inlineStr">
        <is>
          <t>Press Release Document</t>
        </is>
      </c>
      <c r="F181" s="98" t="inlineStr">
        <is>
          <t>All</t>
        </is>
      </c>
      <c r="G181" s="143" t="inlineStr">
        <is>
          <t>Abdul</t>
        </is>
      </c>
      <c r="H181" s="20" t="inlineStr">
        <is>
          <t>Human</t>
        </is>
      </c>
      <c r="I181" s="145" t="n">
        <v>0.7</v>
      </c>
      <c r="J181" s="145">
        <f>IF(OR(I181="",Settings!$B$6=""),"",IF(I181&gt;Settings!$B$6,"BUY",IF(I181&lt;-Settings!$B$6,"SELL","HOLD")))</f>
        <v/>
      </c>
      <c r="K181" s="145" t="n">
        <v>21</v>
      </c>
      <c r="L181" s="124" t="n">
        <v>45777</v>
      </c>
      <c r="M181" s="124" t="n">
        <v>45777</v>
      </c>
      <c r="N181" s="147" t="n">
        <v>49.11</v>
      </c>
      <c r="O181" s="126" t="n">
        <v>45778</v>
      </c>
      <c r="P181" s="145" t="n">
        <v>51.13</v>
      </c>
      <c r="Q181" s="148">
        <f>IF(OR(N181="",P181=""),"",ROUND((P181-N181)/N181,4))</f>
        <v/>
      </c>
      <c r="R181" s="20">
        <f>IF(OR(N181="",P181=""),"",IF(Q181&gt;Settings!$B$3/100,"UP",IF(Q181&lt;-Settings!$B$3/100,"DOWN","FLAT")))</f>
        <v/>
      </c>
      <c r="S181" s="20">
        <f>IF(OR(N181="",P181="",J181=""),"",IF(OR(AND(J181="BUY",R181="UP"),AND(J181="SELL",R181="DOWN"),AND(J181="HOLD",R181="FLAT")),"YES","NO"))</f>
        <v/>
      </c>
      <c r="T181" s="21">
        <f>IF(J181="","",IF(J181="BUY",1,IF(J181="SELL",-1,0)))</f>
        <v/>
      </c>
      <c r="U181" s="148">
        <f>IFERROR(IF(OR(J181="",N181="",P181=""),"",IF(T181=0,0,T181*Q181-Settings!$B$4/10000-IF(T181&lt;0,Settings!$B$5/10000,0))),"")</f>
        <v/>
      </c>
      <c r="W181" s="21">
        <f>IF($K181="","",$K181*60)</f>
        <v/>
      </c>
      <c r="X181" s="91">
        <f>IF($A181="","",$A181&amp;"|"&amp;$C181&amp;"|"&amp;$D181)</f>
        <v/>
      </c>
      <c r="Y181" s="91">
        <f>IFERROR(IF($X181="","",INDEX(LLM_Data_Entry!$H$3:$H$548,MATCH($X181,INDEX(LLM_Data_Entry!$A$3:$A$548&amp;"|"&amp;LLM_Data_Entry!$C$3:$C$548&amp;"|"&amp;LLM_Data_Entry!$D$3:$D$548,0),0))),"")</f>
        <v/>
      </c>
      <c r="Z181" s="91">
        <f>IFERROR(IF($X181="","",INDEX(LLM_Data_Entry!$R$3:$R$548,MATCH($X181,INDEX(LLM_Data_Entry!$A$3:$A$548&amp;"|"&amp;LLM_Data_Entry!$C$3:$C$548&amp;"|"&amp;LLM_Data_Entry!$D$3:$D$548,0),0))),"")</f>
        <v/>
      </c>
      <c r="AB181" t="inlineStr">
        <is>
          <t>release time published by the issuer (section C)</t>
        </is>
      </c>
      <c r="AC181" t="inlineStr">
        <is>
          <t>HOOD</t>
        </is>
      </c>
      <c r="AD181" t="inlineStr">
        <is>
          <t>2025-04-30</t>
        </is>
      </c>
      <c r="AE181" t="n">
        <v>49.11</v>
      </c>
      <c r="AF181" t="inlineStr">
        <is>
          <t>2025-05-01</t>
        </is>
      </c>
      <c r="AG181" t="n">
        <v>51.125</v>
      </c>
      <c r="AH181" t="n">
        <v>0.04103031885501306</v>
      </c>
      <c r="AI181" t="inlineStr">
        <is>
          <t>UP</t>
        </is>
      </c>
      <c r="AJ181" t="inlineStr">
        <is>
          <t>YES</t>
        </is>
      </c>
      <c r="AK181" t="n">
        <v>0.04003</v>
      </c>
      <c r="AL181">
        <f>IF($A181="","",IFERROR(INDEX(Company_List!$G$3:$G$207,MATCH($A181,Company_List!$A$3:$A$207,0)),"unassigned"))</f>
        <v/>
      </c>
      <c r="AM181" t="inlineStr">
        <is>
          <t>Phase 3/Readings/Robinhood/Q1 2025 Robinhood Exhibit 99.1.pdf</t>
        </is>
      </c>
      <c r="AO181" t="inlineStr">
        <is>
          <t>unique filename match</t>
        </is>
      </c>
      <c r="AP181">
        <f>IF($A181="","",IF(COUNTIFS(LLM_Data_Entry!$A$3:$A$548,$A181)&gt;0,"YES","NO"))</f>
        <v/>
      </c>
      <c r="AQ181">
        <f>IF($A181="","",IF(COUNTIFS($A$3:$A181,$A181,$C$3:$C181,$C181,$D$3:$D181,$D181)=1,"YES","NO"))</f>
        <v/>
      </c>
      <c r="AR181">
        <f>IF($A181="","",IF(AND($C181&amp;"-"&amp;$D181&gt;=Settings!$B$19,$C181&amp;"-"&amp;$D181&lt;=Settings!$B$20),"IN","OUT"))</f>
        <v/>
      </c>
      <c r="AS181">
        <f>IF($A181="","",IF($F181="Financial Results","financials",IF($F181="Outlook/Guidance","guidance",IF($F181="Transcript Q&amp;A","qanda",IF($F181="","unrecorded",IF($E181="All","full",IF($E181="","unrecorded",LOWER($E181)&amp;" only")))))))</f>
        <v/>
      </c>
      <c r="AT181">
        <f>IF(AND(OR($J181="BUY",$J181="SELL"),ISNUMBER($U181)),$U181,"")</f>
        <v/>
      </c>
      <c r="AU181">
        <f>IF(AND(OR($J181="BUY",$J181="SELL"),ISNUMBER($AK181)),$AK181,"")</f>
        <v/>
      </c>
      <c r="AV181">
        <f>IF(ISNUMBER($AT181),ABS(IF(ISNUMBER($I181),$I181,0)-Settings!$B$24),"")</f>
        <v/>
      </c>
      <c r="AW181">
        <f>IF(ISNUMBER($AV181),$AV181*$AT181,"")</f>
        <v/>
      </c>
      <c r="AX181">
        <f>IF(ISNUMBER($AU181),ABS(IF(ISNUMBER($I181),$I181,0)-Settings!$B$24),"")</f>
        <v/>
      </c>
      <c r="AY181">
        <f>IF(ISNUMBER($AX181),$AX181*$AU181,"")</f>
        <v/>
      </c>
      <c r="AZ181">
        <f>IF($A181="","",IFERROR(INDEX(Company_List!$H$3:$H$207,MATCH($A181,Company_List!$A$3:$A$207,0)),"unassigned"))</f>
        <v/>
      </c>
      <c r="BC181">
        <f>IF($A181="","",IF(COUNTIFS($A$3:$A181,$A181,$C$3:$C181,$C181,$D$3:$D181,$D181,$G$3:$G181,$G181)=1,1,0))</f>
        <v/>
      </c>
      <c r="BG181" t="inlineStr">
        <is>
          <t>no</t>
        </is>
      </c>
      <c r="BK181">
        <f>IF(OR($H181&lt;&gt;"Human",$S181="",$J181="",$Y181="",$Z181=""),"",IF(EXACT(UPPER($J181),UPPER($Y181)),1,0))</f>
        <v/>
      </c>
      <c r="BL181" t="inlineStr">
        <is>
          <t>assumed - no rater record</t>
        </is>
      </c>
      <c r="BM181" t="n">
        <v>1</v>
      </c>
      <c r="BN181" t="inlineStr">
        <is>
          <t>not publisher-identified</t>
        </is>
      </c>
      <c r="BO181" t="inlineStr">
        <is>
          <t>not publisher-identified</t>
        </is>
      </c>
      <c r="BP181" t="inlineStr">
        <is>
          <t>no</t>
        </is>
      </c>
      <c r="BQ181" t="inlineStr">
        <is>
          <t>no</t>
        </is>
      </c>
    </row>
    <row r="182">
      <c r="A182" s="100" t="inlineStr">
        <is>
          <t>Robinhood Markets</t>
        </is>
      </c>
      <c r="B182" s="116">
        <f>IF(A182="","",_xlfn.XLOOKUP(A182, Company_List!$A:$A, Company_List!$B:$B, ""))</f>
        <v/>
      </c>
      <c r="C182" s="21" t="n">
        <v>2025</v>
      </c>
      <c r="D182" s="20" t="inlineStr">
        <is>
          <t>Q2</t>
        </is>
      </c>
      <c r="E182" s="98" t="inlineStr">
        <is>
          <t>Transcript</t>
        </is>
      </c>
      <c r="F182" s="98" t="inlineStr">
        <is>
          <t>Outlook/Guidance</t>
        </is>
      </c>
      <c r="G182" s="143" t="inlineStr">
        <is>
          <t>Abdul</t>
        </is>
      </c>
      <c r="H182" s="20" t="inlineStr">
        <is>
          <t>Human</t>
        </is>
      </c>
      <c r="I182" s="145" t="n">
        <v>0.6</v>
      </c>
      <c r="J182" s="145">
        <f>IF(OR(I182="",Settings!$B$6=""),"",IF(I182&gt;Settings!$B$6,"BUY",IF(I182&lt;-Settings!$B$6,"SELL","HOLD")))</f>
        <v/>
      </c>
      <c r="K182" s="145" t="n">
        <v>15</v>
      </c>
      <c r="L182" s="124" t="n">
        <v>45868</v>
      </c>
      <c r="M182" s="124" t="n">
        <v>45868</v>
      </c>
      <c r="N182" s="147" t="n">
        <v>106.1</v>
      </c>
      <c r="O182" s="124" t="n">
        <v>45869</v>
      </c>
      <c r="P182" s="145" t="n">
        <v>103.86</v>
      </c>
      <c r="Q182" s="148">
        <f>IF(OR(N182="",P182=""),"",ROUND((P182-N182)/N182,4))</f>
        <v/>
      </c>
      <c r="R182" s="20">
        <f>IF(OR(N182="",P182=""),"",IF(Q182&gt;Settings!$B$3/100,"UP",IF(Q182&lt;-Settings!$B$3/100,"DOWN","FLAT")))</f>
        <v/>
      </c>
      <c r="S182" s="20">
        <f>IF(OR(N182="",P182="",J182=""),"",IF(OR(AND(J182="BUY",R182="UP"),AND(J182="SELL",R182="DOWN"),AND(J182="HOLD",R182="FLAT")),"YES","NO"))</f>
        <v/>
      </c>
      <c r="T182" s="21">
        <f>IF(J182="","",IF(J182="BUY",1,IF(J182="SELL",-1,0)))</f>
        <v/>
      </c>
      <c r="U182" s="148">
        <f>IFERROR(IF(OR(J182="",N182="",P182=""),"",IF(T182=0,0,T182*Q182-Settings!$B$4/10000-IF(T182&lt;0,Settings!$B$5/10000,0))),"")</f>
        <v/>
      </c>
      <c r="W182" s="21">
        <f>IF($K182="","",$K182*60)</f>
        <v/>
      </c>
      <c r="X182" s="91">
        <f>IF($A182="","",$A182&amp;"|"&amp;$C182&amp;"|"&amp;$D182)</f>
        <v/>
      </c>
      <c r="Y182" s="91">
        <f>IFERROR(IF($X182="","",INDEX(LLM_Data_Entry!$H$3:$H$548,MATCH($X182,INDEX(LLM_Data_Entry!$A$3:$A$548&amp;"|"&amp;LLM_Data_Entry!$C$3:$C$548&amp;"|"&amp;LLM_Data_Entry!$D$3:$D$548,0),0))),"")</f>
        <v/>
      </c>
      <c r="Z182" s="91">
        <f>IFERROR(IF($X182="","",INDEX(LLM_Data_Entry!$R$3:$R$548,MATCH($X182,INDEX(LLM_Data_Entry!$A$3:$A$548&amp;"|"&amp;LLM_Data_Entry!$C$3:$C$548&amp;"|"&amp;LLM_Data_Entry!$D$3:$D$548,0),0))),"")</f>
        <v/>
      </c>
      <c r="AB182" t="inlineStr">
        <is>
          <t>price signal — only this window shows an abnormal move</t>
        </is>
      </c>
      <c r="AC182" t="inlineStr">
        <is>
          <t>HOOD</t>
        </is>
      </c>
      <c r="AD182" t="inlineStr">
        <is>
          <t>2025-07-30</t>
        </is>
      </c>
      <c r="AE182" t="n">
        <v>106.1</v>
      </c>
      <c r="AF182" t="inlineStr">
        <is>
          <t>2025-07-31</t>
        </is>
      </c>
      <c r="AG182" t="n">
        <v>103.865</v>
      </c>
      <c r="AH182" t="n">
        <v>-0.02106503338482626</v>
      </c>
      <c r="AI182" t="inlineStr">
        <is>
          <t>DOWN</t>
        </is>
      </c>
      <c r="AJ182" t="inlineStr">
        <is>
          <t>NO</t>
        </is>
      </c>
      <c r="AK182" t="n">
        <v>-0.022065</v>
      </c>
      <c r="AL182">
        <f>IF($A182="","",IFERROR(INDEX(Company_List!$G$3:$G$207,MATCH($A182,Company_List!$A$3:$A$207,0)),"unassigned"))</f>
        <v/>
      </c>
      <c r="AM182" t="inlineStr">
        <is>
          <t>Phase 3/Readings/Robinhood/Robinhood Markets, Inc. Q2 2025 Earnings Call Transcript.pdf</t>
        </is>
      </c>
      <c r="AO182" t="inlineStr">
        <is>
          <t>unique filename match</t>
        </is>
      </c>
      <c r="AP182">
        <f>IF($A182="","",IF(COUNTIFS(LLM_Data_Entry!$A$3:$A$548,$A182)&gt;0,"YES","NO"))</f>
        <v/>
      </c>
      <c r="AQ182">
        <f>IF($A182="","",IF(COUNTIFS($A$3:$A182,$A182,$C$3:$C182,$C182,$D$3:$D182,$D182)=1,"YES","NO"))</f>
        <v/>
      </c>
      <c r="AR182">
        <f>IF($A182="","",IF(AND($C182&amp;"-"&amp;$D182&gt;=Settings!$B$19,$C182&amp;"-"&amp;$D182&lt;=Settings!$B$20),"IN","OUT"))</f>
        <v/>
      </c>
      <c r="AS182">
        <f>IF($A182="","",IF($F182="Financial Results","financials",IF($F182="Outlook/Guidance","guidance",IF($F182="Transcript Q&amp;A","qanda",IF($F182="","unrecorded",IF($E182="All","full",IF($E182="","unrecorded",LOWER($E182)&amp;" only")))))))</f>
        <v/>
      </c>
      <c r="AT182">
        <f>IF(AND(OR($J182="BUY",$J182="SELL"),ISNUMBER($U182)),$U182,"")</f>
        <v/>
      </c>
      <c r="AU182">
        <f>IF(AND(OR($J182="BUY",$J182="SELL"),ISNUMBER($AK182)),$AK182,"")</f>
        <v/>
      </c>
      <c r="AV182">
        <f>IF(ISNUMBER($AT182),ABS(IF(ISNUMBER($I182),$I182,0)-Settings!$B$24),"")</f>
        <v/>
      </c>
      <c r="AW182">
        <f>IF(ISNUMBER($AV182),$AV182*$AT182,"")</f>
        <v/>
      </c>
      <c r="AX182">
        <f>IF(ISNUMBER($AU182),ABS(IF(ISNUMBER($I182),$I182,0)-Settings!$B$24),"")</f>
        <v/>
      </c>
      <c r="AY182">
        <f>IF(ISNUMBER($AX182),$AX182*$AU182,"")</f>
        <v/>
      </c>
      <c r="AZ182">
        <f>IF($A182="","",IFERROR(INDEX(Company_List!$H$3:$H$207,MATCH($A182,Company_List!$A$3:$A$207,0)),"unassigned"))</f>
        <v/>
      </c>
      <c r="BC182">
        <f>IF($A182="","",IF(COUNTIFS($A$3:$A182,$A182,$C$3:$C182,$C182,$D$3:$D182,$D182,$G$3:$G182,$G182)=1,1,0))</f>
        <v/>
      </c>
      <c r="BG182" t="inlineStr">
        <is>
          <t>no</t>
        </is>
      </c>
      <c r="BK182">
        <f>IF(OR($H182&lt;&gt;"Human",$S182="",$J182="",$Y182="",$Z182=""),"",IF(EXACT(UPPER($J182),UPPER($Y182)),1,0))</f>
        <v/>
      </c>
      <c r="BL182" t="inlineStr">
        <is>
          <t>assumed - no rater record</t>
        </is>
      </c>
      <c r="BM182" t="n">
        <v>1</v>
      </c>
      <c r="BN182" t="inlineStr">
        <is>
          <t>not publisher-identified</t>
        </is>
      </c>
      <c r="BO182" t="inlineStr">
        <is>
          <t>not publisher-identified</t>
        </is>
      </c>
      <c r="BP182" t="inlineStr">
        <is>
          <t>no</t>
        </is>
      </c>
      <c r="BQ182" t="inlineStr">
        <is>
          <t>no</t>
        </is>
      </c>
    </row>
    <row r="183">
      <c r="A183" s="100" t="inlineStr">
        <is>
          <t>Robinhood Markets</t>
        </is>
      </c>
      <c r="B183" s="116">
        <f>IF(A183="","",_xlfn.XLOOKUP(A183, Company_List!$A:$A, Company_List!$B:$B, ""))</f>
        <v/>
      </c>
      <c r="C183" s="21" t="n">
        <v>2025</v>
      </c>
      <c r="D183" s="20" t="inlineStr">
        <is>
          <t>Q3</t>
        </is>
      </c>
      <c r="E183" s="98" t="inlineStr">
        <is>
          <t>Transcript</t>
        </is>
      </c>
      <c r="F183" s="98" t="inlineStr">
        <is>
          <t>Transcript Q&amp;A</t>
        </is>
      </c>
      <c r="G183" s="143" t="inlineStr">
        <is>
          <t>Abdul</t>
        </is>
      </c>
      <c r="H183" s="20" t="inlineStr">
        <is>
          <t>Human</t>
        </is>
      </c>
      <c r="I183" s="145" t="n">
        <v>0.3</v>
      </c>
      <c r="J183" s="145">
        <f>IF(OR(I183="",Settings!$B$6=""),"",IF(I183&gt;Settings!$B$6,"BUY",IF(I183&lt;-Settings!$B$6,"SELL","HOLD")))</f>
        <v/>
      </c>
      <c r="K183" s="145" t="n">
        <v>40</v>
      </c>
      <c r="L183" s="125" t="n">
        <v>45966</v>
      </c>
      <c r="M183" s="126" t="n">
        <v>45966</v>
      </c>
      <c r="N183" s="147" t="n">
        <v>142.48</v>
      </c>
      <c r="O183" s="126" t="n">
        <v>45967</v>
      </c>
      <c r="P183" s="145" t="n">
        <v>140</v>
      </c>
      <c r="Q183" s="148">
        <f>IF(OR(N183="",P183=""),"",ROUND((P183-N183)/N183,4))</f>
        <v/>
      </c>
      <c r="R183" s="20">
        <f>IF(OR(N183="",P183=""),"",IF(Q183&gt;Settings!$B$3/100,"UP",IF(Q183&lt;-Settings!$B$3/100,"DOWN","FLAT")))</f>
        <v/>
      </c>
      <c r="S183" s="20">
        <f>IF(OR(N183="",P183="",J183=""),"",IF(OR(AND(J183="BUY",R183="UP"),AND(J183="SELL",R183="DOWN"),AND(J183="HOLD",R183="FLAT")),"YES","NO"))</f>
        <v/>
      </c>
      <c r="T183" s="21">
        <f>IF(J183="","",IF(J183="BUY",1,IF(J183="SELL",-1,0)))</f>
        <v/>
      </c>
      <c r="U183" s="148">
        <f>IFERROR(IF(OR(J183="",N183="",P183=""),"",IF(T183=0,0,T183*Q183-Settings!$B$4/10000-IF(T183&lt;0,Settings!$B$5/10000,0))),"")</f>
        <v/>
      </c>
      <c r="W183" s="21">
        <f>IF($K183="","",$K183*60)</f>
        <v/>
      </c>
      <c r="X183" s="91">
        <f>IF($A183="","",$A183&amp;"|"&amp;$C183&amp;"|"&amp;$D183)</f>
        <v/>
      </c>
      <c r="Y183" s="91">
        <f>IFERROR(IF($X183="","",INDEX(LLM_Data_Entry!$H$3:$H$548,MATCH($X183,INDEX(LLM_Data_Entry!$A$3:$A$548&amp;"|"&amp;LLM_Data_Entry!$C$3:$C$548&amp;"|"&amp;LLM_Data_Entry!$D$3:$D$548,0),0))),"")</f>
        <v/>
      </c>
      <c r="Z183" s="91">
        <f>IFERROR(IF($X183="","",INDEX(LLM_Data_Entry!$R$3:$R$548,MATCH($X183,INDEX(LLM_Data_Entry!$A$3:$A$548&amp;"|"&amp;LLM_Data_Entry!$C$3:$C$548&amp;"|"&amp;LLM_Data_Entry!$D$3:$D$548,0),0))),"")</f>
        <v/>
      </c>
      <c r="AB183" t="inlineStr">
        <is>
          <t>price signal</t>
        </is>
      </c>
      <c r="AC183" t="inlineStr">
        <is>
          <t>HOOD</t>
        </is>
      </c>
      <c r="AD183" t="inlineStr">
        <is>
          <t>2025-11-04</t>
        </is>
      </c>
      <c r="AE183" t="n">
        <v>136.8</v>
      </c>
      <c r="AF183" t="inlineStr">
        <is>
          <t>2025-11-05</t>
        </is>
      </c>
      <c r="AG183" t="n">
        <v>139.635</v>
      </c>
      <c r="AH183" t="n">
        <v>0.02072362527652868</v>
      </c>
      <c r="AI183" t="inlineStr">
        <is>
          <t>UP</t>
        </is>
      </c>
      <c r="AJ183" t="inlineStr">
        <is>
          <t>YES</t>
        </is>
      </c>
      <c r="AK183" t="n">
        <v>0.019724</v>
      </c>
      <c r="AL183">
        <f>IF($A183="","",IFERROR(INDEX(Company_List!$G$3:$G$207,MATCH($A183,Company_List!$A$3:$A$207,0)),"unassigned"))</f>
        <v/>
      </c>
      <c r="AM183" t="inlineStr">
        <is>
          <t>Phase 3/Readings/Robinhood/Robinhood Markets, Inc. Q3 2025 Earnings Call Transcript.pdf</t>
        </is>
      </c>
      <c r="AO183" t="inlineStr">
        <is>
          <t>unique filename match</t>
        </is>
      </c>
      <c r="AP183">
        <f>IF($A183="","",IF(COUNTIFS(LLM_Data_Entry!$A$3:$A$548,$A183)&gt;0,"YES","NO"))</f>
        <v/>
      </c>
      <c r="AQ183">
        <f>IF($A183="","",IF(COUNTIFS($A$3:$A183,$A183,$C$3:$C183,$C183,$D$3:$D183,$D183)=1,"YES","NO"))</f>
        <v/>
      </c>
      <c r="AR183">
        <f>IF($A183="","",IF(AND($C183&amp;"-"&amp;$D183&gt;=Settings!$B$19,$C183&amp;"-"&amp;$D183&lt;=Settings!$B$20),"IN","OUT"))</f>
        <v/>
      </c>
      <c r="AS183">
        <f>IF($A183="","",IF($F183="Financial Results","financials",IF($F183="Outlook/Guidance","guidance",IF($F183="Transcript Q&amp;A","qanda",IF($F183="","unrecorded",IF($E183="All","full",IF($E183="","unrecorded",LOWER($E183)&amp;" only")))))))</f>
        <v/>
      </c>
      <c r="AT183">
        <f>IF(AND(OR($J183="BUY",$J183="SELL"),ISNUMBER($U183)),$U183,"")</f>
        <v/>
      </c>
      <c r="AU183">
        <f>IF(AND(OR($J183="BUY",$J183="SELL"),ISNUMBER($AK183)),$AK183,"")</f>
        <v/>
      </c>
      <c r="AV183">
        <f>IF(ISNUMBER($AT183),ABS(IF(ISNUMBER($I183),$I183,0)-Settings!$B$24),"")</f>
        <v/>
      </c>
      <c r="AW183">
        <f>IF(ISNUMBER($AV183),$AV183*$AT183,"")</f>
        <v/>
      </c>
      <c r="AX183">
        <f>IF(ISNUMBER($AU183),ABS(IF(ISNUMBER($I183),$I183,0)-Settings!$B$24),"")</f>
        <v/>
      </c>
      <c r="AY183">
        <f>IF(ISNUMBER($AX183),$AX183*$AU183,"")</f>
        <v/>
      </c>
      <c r="AZ183">
        <f>IF($A183="","",IFERROR(INDEX(Company_List!$H$3:$H$207,MATCH($A183,Company_List!$A$3:$A$207,0)),"unassigned"))</f>
        <v/>
      </c>
      <c r="BC183">
        <f>IF($A183="","",IF(COUNTIFS($A$3:$A183,$A183,$C$3:$C183,$C183,$D$3:$D183,$D183,$G$3:$G183,$G183)=1,1,0))</f>
        <v/>
      </c>
      <c r="BG183" t="inlineStr">
        <is>
          <t>no</t>
        </is>
      </c>
      <c r="BK183">
        <f>IF(OR($H183&lt;&gt;"Human",$S183="",$J183="",$Y183="",$Z183=""),"",IF(EXACT(UPPER($J183),UPPER($Y183)),1,0))</f>
        <v/>
      </c>
      <c r="BL183" t="inlineStr">
        <is>
          <t>assumed - no rater record</t>
        </is>
      </c>
      <c r="BM183" t="n">
        <v>1</v>
      </c>
      <c r="BN183" t="inlineStr">
        <is>
          <t>not publisher-identified</t>
        </is>
      </c>
      <c r="BO183" t="inlineStr">
        <is>
          <t>not publisher-identified</t>
        </is>
      </c>
      <c r="BP183" t="inlineStr">
        <is>
          <t>no</t>
        </is>
      </c>
      <c r="BQ183" t="inlineStr">
        <is>
          <t>no</t>
        </is>
      </c>
    </row>
    <row r="184">
      <c r="A184" s="100" t="inlineStr">
        <is>
          <t>Robinhood Markets</t>
        </is>
      </c>
      <c r="B184" s="116">
        <f>IF(A184="","",_xlfn.XLOOKUP(A184, Company_List!$A:$A, Company_List!$B:$B, ""))</f>
        <v/>
      </c>
      <c r="C184" s="21" t="n">
        <v>2026</v>
      </c>
      <c r="D184" s="20" t="inlineStr">
        <is>
          <t>Q1</t>
        </is>
      </c>
      <c r="E184" s="98" t="inlineStr">
        <is>
          <t>Presentation</t>
        </is>
      </c>
      <c r="F184" s="98" t="inlineStr">
        <is>
          <t>All</t>
        </is>
      </c>
      <c r="G184" s="143" t="inlineStr">
        <is>
          <t>Abdul</t>
        </is>
      </c>
      <c r="H184" s="20" t="inlineStr">
        <is>
          <t>Human</t>
        </is>
      </c>
      <c r="I184" s="145" t="n">
        <v>-0.6</v>
      </c>
      <c r="J184" s="145">
        <f>IF(OR(I184="",Settings!$B$6=""),"",IF(I184&gt;Settings!$B$6,"BUY",IF(I184&lt;-Settings!$B$6,"SELL","HOLD")))</f>
        <v/>
      </c>
      <c r="K184" s="145" t="n">
        <v>25</v>
      </c>
      <c r="L184" s="125" t="n">
        <v>46140</v>
      </c>
      <c r="M184" s="126" t="n">
        <v>46140</v>
      </c>
      <c r="N184" s="147" t="n">
        <v>82.06999999999999</v>
      </c>
      <c r="O184" s="126" t="n">
        <v>46141</v>
      </c>
      <c r="P184" s="145" t="n">
        <v>72.3</v>
      </c>
      <c r="Q184" s="148">
        <f>IF(OR(N184="",P184=""),"",ROUND((P184-N184)/N184,4))</f>
        <v/>
      </c>
      <c r="R184" s="20">
        <f>IF(OR(N184="",P184=""),"",IF(Q184&gt;Settings!$B$3/100,"UP",IF(Q184&lt;-Settings!$B$3/100,"DOWN","FLAT")))</f>
        <v/>
      </c>
      <c r="S184" s="20">
        <f>IF(OR(N184="",P184="",J184=""),"",IF(OR(AND(J184="BUY",R184="UP"),AND(J184="SELL",R184="DOWN"),AND(J184="HOLD",R184="FLAT")),"YES","NO"))</f>
        <v/>
      </c>
      <c r="T184" s="21">
        <f>IF(J184="","",IF(J184="BUY",1,IF(J184="SELL",-1,0)))</f>
        <v/>
      </c>
      <c r="U184" s="148">
        <f>IFERROR(IF(OR(J184="",N184="",P184=""),"",IF(T184=0,0,T184*Q184-Settings!$B$4/10000-IF(T184&lt;0,Settings!$B$5/10000,0))),"")</f>
        <v/>
      </c>
      <c r="W184" s="21">
        <f>IF($K184="","",$K184*60)</f>
        <v/>
      </c>
      <c r="X184" s="91">
        <f>IF($A184="","",$A184&amp;"|"&amp;$C184&amp;"|"&amp;$D184)</f>
        <v/>
      </c>
      <c r="Y184" s="91">
        <f>IFERROR(IF($X184="","",INDEX(LLM_Data_Entry!$H$3:$H$548,MATCH($X184,INDEX(LLM_Data_Entry!$A$3:$A$548&amp;"|"&amp;LLM_Data_Entry!$C$3:$C$548&amp;"|"&amp;LLM_Data_Entry!$D$3:$D$548,0),0))),"")</f>
        <v/>
      </c>
      <c r="Z184" s="91">
        <f>IFERROR(IF($X184="","",INDEX(LLM_Data_Entry!$R$3:$R$548,MATCH($X184,INDEX(LLM_Data_Entry!$A$3:$A$548&amp;"|"&amp;LLM_Data_Entry!$C$3:$C$548&amp;"|"&amp;LLM_Data_Entry!$D$3:$D$548,0),0))),"")</f>
        <v/>
      </c>
      <c r="AB184" t="inlineStr">
        <is>
          <t>price signal — both moved; this one dominates</t>
        </is>
      </c>
      <c r="AC184" t="inlineStr">
        <is>
          <t>HOOD</t>
        </is>
      </c>
      <c r="AD184" t="inlineStr">
        <is>
          <t>2026-04-28</t>
        </is>
      </c>
      <c r="AE184" t="n">
        <v>82.06999999999999</v>
      </c>
      <c r="AF184" t="inlineStr">
        <is>
          <t>2026-04-29</t>
        </is>
      </c>
      <c r="AG184" t="n">
        <v>72.3</v>
      </c>
      <c r="AH184" t="n">
        <v>-0.1190446813695624</v>
      </c>
      <c r="AI184" t="inlineStr">
        <is>
          <t>DOWN</t>
        </is>
      </c>
      <c r="AJ184" t="inlineStr">
        <is>
          <t>YES</t>
        </is>
      </c>
      <c r="AK184" t="n">
        <v>0.118045</v>
      </c>
      <c r="AL184">
        <f>IF($A184="","",IFERROR(INDEX(Company_List!$G$3:$G$207,MATCH($A184,Company_List!$A$3:$A$207,0)),"unassigned"))</f>
        <v/>
      </c>
      <c r="AM184" t="inlineStr">
        <is>
          <t>Phase 3/Readings/Robinhood/Q1 2026 Earnings Presentation.pdf</t>
        </is>
      </c>
      <c r="AO184" t="inlineStr">
        <is>
          <t>unique filename match</t>
        </is>
      </c>
      <c r="AP184">
        <f>IF($A184="","",IF(COUNTIFS(LLM_Data_Entry!$A$3:$A$548,$A184)&gt;0,"YES","NO"))</f>
        <v/>
      </c>
      <c r="AQ184">
        <f>IF($A184="","",IF(COUNTIFS($A$3:$A184,$A184,$C$3:$C184,$C184,$D$3:$D184,$D184)=1,"YES","NO"))</f>
        <v/>
      </c>
      <c r="AR184">
        <f>IF($A184="","",IF(AND($C184&amp;"-"&amp;$D184&gt;=Settings!$B$19,$C184&amp;"-"&amp;$D184&lt;=Settings!$B$20),"IN","OUT"))</f>
        <v/>
      </c>
      <c r="AS184">
        <f>IF($A184="","",IF($F184="Financial Results","financials",IF($F184="Outlook/Guidance","guidance",IF($F184="Transcript Q&amp;A","qanda",IF($F184="","unrecorded",IF($E184="All","full",IF($E184="","unrecorded",LOWER($E184)&amp;" only")))))))</f>
        <v/>
      </c>
      <c r="AT184">
        <f>IF(AND(OR($J184="BUY",$J184="SELL"),ISNUMBER($U184)),$U184,"")</f>
        <v/>
      </c>
      <c r="AU184">
        <f>IF(AND(OR($J184="BUY",$J184="SELL"),ISNUMBER($AK184)),$AK184,"")</f>
        <v/>
      </c>
      <c r="AV184">
        <f>IF(ISNUMBER($AT184),ABS(IF(ISNUMBER($I184),$I184,0)-Settings!$B$24),"")</f>
        <v/>
      </c>
      <c r="AW184">
        <f>IF(ISNUMBER($AV184),$AV184*$AT184,"")</f>
        <v/>
      </c>
      <c r="AX184">
        <f>IF(ISNUMBER($AU184),ABS(IF(ISNUMBER($I184),$I184,0)-Settings!$B$24),"")</f>
        <v/>
      </c>
      <c r="AY184">
        <f>IF(ISNUMBER($AX184),$AX184*$AU184,"")</f>
        <v/>
      </c>
      <c r="AZ184">
        <f>IF($A184="","",IFERROR(INDEX(Company_List!$H$3:$H$207,MATCH($A184,Company_List!$A$3:$A$207,0)),"unassigned"))</f>
        <v/>
      </c>
      <c r="BC184">
        <f>IF($A184="","",IF(COUNTIFS($A$3:$A184,$A184,$C$3:$C184,$C184,$D$3:$D184,$D184,$G$3:$G184,$G184)=1,1,0))</f>
        <v/>
      </c>
      <c r="BG184" t="inlineStr">
        <is>
          <t>no</t>
        </is>
      </c>
      <c r="BK184">
        <f>IF(OR($H184&lt;&gt;"Human",$S184="",$J184="",$Y184="",$Z184=""),"",IF(EXACT(UPPER($J184),UPPER($Y184)),1,0))</f>
        <v/>
      </c>
      <c r="BL184" t="inlineStr">
        <is>
          <t>assumed - no rater record</t>
        </is>
      </c>
      <c r="BM184" t="n">
        <v>1</v>
      </c>
      <c r="BN184" t="inlineStr">
        <is>
          <t>not publisher-identified</t>
        </is>
      </c>
      <c r="BO184" t="inlineStr">
        <is>
          <t>not publisher-identified</t>
        </is>
      </c>
      <c r="BP184" t="inlineStr">
        <is>
          <t>no</t>
        </is>
      </c>
      <c r="BQ184" t="inlineStr">
        <is>
          <t>no</t>
        </is>
      </c>
    </row>
    <row r="185">
      <c r="A185" s="100" t="inlineStr">
        <is>
          <t>Comcast Corporation</t>
        </is>
      </c>
      <c r="B185" s="116">
        <f>IF(A185="","",_xlfn.XLOOKUP(A185, Company_List!$A:$A, Company_List!$B:$B, ""))</f>
        <v/>
      </c>
      <c r="C185" s="21" t="n">
        <v>2025</v>
      </c>
      <c r="D185" s="20" t="inlineStr">
        <is>
          <t>Q1</t>
        </is>
      </c>
      <c r="E185" s="19" t="inlineStr">
        <is>
          <t>Transcript</t>
        </is>
      </c>
      <c r="F185" s="19" t="inlineStr">
        <is>
          <t>All</t>
        </is>
      </c>
      <c r="G185" s="143" t="inlineStr">
        <is>
          <t>Abdul</t>
        </is>
      </c>
      <c r="H185" s="20" t="inlineStr">
        <is>
          <t>Human</t>
        </is>
      </c>
      <c r="I185" s="145" t="n">
        <v>-0.1</v>
      </c>
      <c r="J185" s="145">
        <f>IF(OR(I185="",Settings!$B$6=""),"",IF(I185&gt;Settings!$B$6,"BUY",IF(I185&lt;-Settings!$B$6,"SELL","HOLD")))</f>
        <v/>
      </c>
      <c r="K185" s="145" t="n">
        <v>38</v>
      </c>
      <c r="L185" s="123" t="n">
        <v>45771</v>
      </c>
      <c r="M185" s="123" t="n">
        <v>45770</v>
      </c>
      <c r="N185" s="147" t="n">
        <v>32.31</v>
      </c>
      <c r="O185" s="123" t="n">
        <v>45771</v>
      </c>
      <c r="P185" s="145" t="n">
        <v>29.97</v>
      </c>
      <c r="Q185" s="148">
        <f>IF(OR(N185="",P185=""),"",ROUND((P185-N185)/N185,4))</f>
        <v/>
      </c>
      <c r="R185" s="20">
        <f>IF(OR(N185="",P185=""),"",IF(Q185&gt;Settings!$B$3/100,"UP",IF(Q185&lt;-Settings!$B$3/100,"DOWN","FLAT")))</f>
        <v/>
      </c>
      <c r="S185" s="20">
        <f>IF(OR(N185="",P185="",J185=""),"",IF(OR(AND(J185="BUY",R185="UP"),AND(J185="SELL",R185="DOWN"),AND(J185="HOLD",R185="FLAT")),"YES","NO"))</f>
        <v/>
      </c>
      <c r="T185" s="21">
        <f>IF(J185="","",IF(J185="BUY",1,IF(J185="SELL",-1,0)))</f>
        <v/>
      </c>
      <c r="U185" s="148">
        <f>IFERROR(IF(OR(J185="",N185="",P185=""),"",IF(T185=0,0,T185*Q185-Settings!$B$4/10000-IF(T185&lt;0,Settings!$B$5/10000,0))),"")</f>
        <v/>
      </c>
      <c r="W185" s="21">
        <f>IF($K185="","",$K185*60)</f>
        <v/>
      </c>
      <c r="X185" s="91">
        <f>IF($A185="","",$A185&amp;"|"&amp;$C185&amp;"|"&amp;$D185)</f>
        <v/>
      </c>
      <c r="Y185" s="91">
        <f>IFERROR(IF($X185="","",INDEX(LLM_Data_Entry!$H$3:$H$548,MATCH($X185,INDEX(LLM_Data_Entry!$A$3:$A$548&amp;"|"&amp;LLM_Data_Entry!$C$3:$C$548&amp;"|"&amp;LLM_Data_Entry!$D$3:$D$548,0),0))),"")</f>
        <v/>
      </c>
      <c r="Z185" s="91">
        <f>IFERROR(IF($X185="","",INDEX(LLM_Data_Entry!$R$3:$R$548,MATCH($X185,INDEX(LLM_Data_Entry!$A$3:$A$548&amp;"|"&amp;LLM_Data_Entry!$C$3:$C$548&amp;"|"&amp;LLM_Data_Entry!$D$3:$D$548,0),0))),"")</f>
        <v/>
      </c>
      <c r="AB185" t="inlineStr">
        <is>
          <t>release date + stated time in the document (document)</t>
        </is>
      </c>
      <c r="AC185" t="inlineStr">
        <is>
          <t>CMCSA</t>
        </is>
      </c>
      <c r="AD185" t="inlineStr">
        <is>
          <t>2025-04-23</t>
        </is>
      </c>
      <c r="AE185" t="n">
        <v>30.5329</v>
      </c>
      <c r="AF185" t="inlineStr">
        <is>
          <t>2025-04-24</t>
        </is>
      </c>
      <c r="AG185" t="n">
        <v>28.3273</v>
      </c>
      <c r="AH185" t="n">
        <v>-0.07223681702027766</v>
      </c>
      <c r="AI185" t="inlineStr">
        <is>
          <t>DOWN</t>
        </is>
      </c>
      <c r="AJ185" t="inlineStr">
        <is>
          <t>NO</t>
        </is>
      </c>
      <c r="AK185" t="n">
        <v>0</v>
      </c>
      <c r="AL185">
        <f>IF($A185="","",IFERROR(INDEX(Company_List!$G$3:$G$207,MATCH($A185,Company_List!$A$3:$A$207,0)),"unassigned"))</f>
        <v/>
      </c>
      <c r="AM185" t="inlineStr">
        <is>
          <t>Phase 3/Readings/Comcast/CMCSA-USQ_Transcript_2025-04-24.pdf</t>
        </is>
      </c>
      <c r="AO185" t="inlineStr">
        <is>
          <t>unique filename match</t>
        </is>
      </c>
      <c r="AP185">
        <f>IF($A185="","",IF(COUNTIFS(LLM_Data_Entry!$A$3:$A$548,$A185)&gt;0,"YES","NO"))</f>
        <v/>
      </c>
      <c r="AQ185">
        <f>IF($A185="","",IF(COUNTIFS($A$3:$A185,$A185,$C$3:$C185,$C185,$D$3:$D185,$D185)=1,"YES","NO"))</f>
        <v/>
      </c>
      <c r="AR185">
        <f>IF($A185="","",IF(AND($C185&amp;"-"&amp;$D185&gt;=Settings!$B$19,$C185&amp;"-"&amp;$D185&lt;=Settings!$B$20),"IN","OUT"))</f>
        <v/>
      </c>
      <c r="AS185">
        <f>IF($A185="","",IF($F185="Financial Results","financials",IF($F185="Outlook/Guidance","guidance",IF($F185="Transcript Q&amp;A","qanda",IF($F185="","unrecorded",IF($E185="All","full",IF($E185="","unrecorded",LOWER($E185)&amp;" only")))))))</f>
        <v/>
      </c>
      <c r="AT185">
        <f>IF(AND(OR($J185="BUY",$J185="SELL"),ISNUMBER($U185)),$U185,"")</f>
        <v/>
      </c>
      <c r="AU185">
        <f>IF(AND(OR($J185="BUY",$J185="SELL"),ISNUMBER($AK185)),$AK185,"")</f>
        <v/>
      </c>
      <c r="AV185">
        <f>IF(ISNUMBER($AT185),ABS(IF(ISNUMBER($I185),$I185,0)-Settings!$B$24),"")</f>
        <v/>
      </c>
      <c r="AW185">
        <f>IF(ISNUMBER($AV185),$AV185*$AT185,"")</f>
        <v/>
      </c>
      <c r="AX185">
        <f>IF(ISNUMBER($AU185),ABS(IF(ISNUMBER($I185),$I185,0)-Settings!$B$24),"")</f>
        <v/>
      </c>
      <c r="AY185">
        <f>IF(ISNUMBER($AX185),$AX185*$AU185,"")</f>
        <v/>
      </c>
      <c r="AZ185">
        <f>IF($A185="","",IFERROR(INDEX(Company_List!$H$3:$H$207,MATCH($A185,Company_List!$A$3:$A$207,0)),"unassigned"))</f>
        <v/>
      </c>
      <c r="BC185">
        <f>IF($A185="","",IF(COUNTIFS($A$3:$A185,$A185,$C$3:$C185,$C185,$D$3:$D185,$D185,$G$3:$G185,$G185)=1,1,0))</f>
        <v/>
      </c>
      <c r="BG185" t="inlineStr">
        <is>
          <t>no</t>
        </is>
      </c>
      <c r="BK185">
        <f>IF(OR($H185&lt;&gt;"Human",$S185="",$J185="",$Y185="",$Z185=""),"",IF(EXACT(UPPER($J185),UPPER($Y185)),1,0))</f>
        <v/>
      </c>
      <c r="BL185" t="inlineStr">
        <is>
          <t>assumed - no rater record</t>
        </is>
      </c>
      <c r="BM185" t="n">
        <v>1</v>
      </c>
      <c r="BN185" t="inlineStr">
        <is>
          <t>Refinitiv / LSEG StreetEvents</t>
        </is>
      </c>
      <c r="BO185" t="inlineStr">
        <is>
          <t>licensed vendor</t>
        </is>
      </c>
      <c r="BP185" t="inlineStr">
        <is>
          <t>no</t>
        </is>
      </c>
      <c r="BQ185" t="inlineStr">
        <is>
          <t>no</t>
        </is>
      </c>
    </row>
    <row r="186">
      <c r="A186" s="100" t="inlineStr">
        <is>
          <t>Comcast Corporation</t>
        </is>
      </c>
      <c r="B186" s="116">
        <f>IF(A186="","",_xlfn.XLOOKUP(A186, Company_List!$A:$A, Company_List!$B:$B, ""))</f>
        <v/>
      </c>
      <c r="C186" s="21" t="n">
        <v>2025</v>
      </c>
      <c r="D186" s="20" t="inlineStr">
        <is>
          <t>Q2</t>
        </is>
      </c>
      <c r="E186" s="19" t="inlineStr">
        <is>
          <t>Transcript</t>
        </is>
      </c>
      <c r="F186" s="19" t="inlineStr">
        <is>
          <t>All</t>
        </is>
      </c>
      <c r="G186" s="143" t="inlineStr">
        <is>
          <t>Abdul</t>
        </is>
      </c>
      <c r="H186" s="20" t="inlineStr">
        <is>
          <t>Human</t>
        </is>
      </c>
      <c r="I186" s="145" t="n">
        <v>-0.3</v>
      </c>
      <c r="J186" s="145">
        <f>IF(OR(I186="",Settings!$B$6=""),"",IF(I186&gt;Settings!$B$6,"BUY",IF(I186&lt;-Settings!$B$6,"SELL","HOLD")))</f>
        <v/>
      </c>
      <c r="K186" s="145" t="n">
        <v>29</v>
      </c>
      <c r="L186" s="123" t="n">
        <v>45869</v>
      </c>
      <c r="M186" s="123" t="n">
        <v>45868</v>
      </c>
      <c r="N186" s="147" t="n">
        <v>30.46</v>
      </c>
      <c r="O186" s="123" t="n">
        <v>45869</v>
      </c>
      <c r="P186" s="145" t="n">
        <v>31.86</v>
      </c>
      <c r="Q186" s="148">
        <f>IF(OR(N186="",P186=""),"",ROUND((P186-N186)/N186,4))</f>
        <v/>
      </c>
      <c r="R186" s="20">
        <f>IF(OR(N186="",P186=""),"",IF(Q186&gt;Settings!$B$3/100,"UP",IF(Q186&lt;-Settings!$B$3/100,"DOWN","FLAT")))</f>
        <v/>
      </c>
      <c r="S186" s="20">
        <f>IF(OR(N186="",P186="",J186=""),"",IF(OR(AND(J186="BUY",R186="UP"),AND(J186="SELL",R186="DOWN"),AND(J186="HOLD",R186="FLAT")),"YES","NO"))</f>
        <v/>
      </c>
      <c r="T186" s="21">
        <f>IF(J186="","",IF(J186="BUY",1,IF(J186="SELL",-1,0)))</f>
        <v/>
      </c>
      <c r="U186" s="148">
        <f>IFERROR(IF(OR(J186="",N186="",P186=""),"",IF(T186=0,0,T186*Q186-Settings!$B$4/10000-IF(T186&lt;0,Settings!$B$5/10000,0))),"")</f>
        <v/>
      </c>
      <c r="W186" s="21">
        <f>IF($K186="","",$K186*60)</f>
        <v/>
      </c>
      <c r="X186" s="91">
        <f>IF($A186="","",$A186&amp;"|"&amp;$C186&amp;"|"&amp;$D186)</f>
        <v/>
      </c>
      <c r="Y186" s="91">
        <f>IFERROR(IF($X186="","",INDEX(LLM_Data_Entry!$H$3:$H$548,MATCH($X186,INDEX(LLM_Data_Entry!$A$3:$A$548&amp;"|"&amp;LLM_Data_Entry!$C$3:$C$548&amp;"|"&amp;LLM_Data_Entry!$D$3:$D$548,0),0))),"")</f>
        <v/>
      </c>
      <c r="Z186" s="91">
        <f>IFERROR(IF($X186="","",INDEX(LLM_Data_Entry!$R$3:$R$548,MATCH($X186,INDEX(LLM_Data_Entry!$A$3:$A$548&amp;"|"&amp;LLM_Data_Entry!$C$3:$C$548&amp;"|"&amp;LLM_Data_Entry!$D$3:$D$548,0),0))),"")</f>
        <v/>
      </c>
      <c r="AB186" t="inlineStr">
        <is>
          <t>release date + stated time in the document (document)</t>
        </is>
      </c>
      <c r="AC186" t="inlineStr">
        <is>
          <t>CMCSA</t>
        </is>
      </c>
      <c r="AD186" t="inlineStr">
        <is>
          <t>2025-07-30</t>
        </is>
      </c>
      <c r="AE186" t="n">
        <v>29.0518</v>
      </c>
      <c r="AF186" t="inlineStr">
        <is>
          <t>2025-07-31</t>
        </is>
      </c>
      <c r="AG186" t="n">
        <v>30.3838</v>
      </c>
      <c r="AH186" t="n">
        <v>0.04584623937001522</v>
      </c>
      <c r="AI186" t="inlineStr">
        <is>
          <t>UP</t>
        </is>
      </c>
      <c r="AJ186" t="inlineStr">
        <is>
          <t>NO</t>
        </is>
      </c>
      <c r="AK186" t="n">
        <v>-0.046846</v>
      </c>
      <c r="AL186">
        <f>IF($A186="","",IFERROR(INDEX(Company_List!$G$3:$G$207,MATCH($A186,Company_List!$A$3:$A$207,0)),"unassigned"))</f>
        <v/>
      </c>
      <c r="AM186" t="inlineStr">
        <is>
          <t>Phase 3/Readings/Comcast/CMCSA-USQ_Transcript_2025-07-31.pdf</t>
        </is>
      </c>
      <c r="AO186" t="inlineStr">
        <is>
          <t>unique filename match</t>
        </is>
      </c>
      <c r="AP186">
        <f>IF($A186="","",IF(COUNTIFS(LLM_Data_Entry!$A$3:$A$548,$A186)&gt;0,"YES","NO"))</f>
        <v/>
      </c>
      <c r="AQ186">
        <f>IF($A186="","",IF(COUNTIFS($A$3:$A186,$A186,$C$3:$C186,$C186,$D$3:$D186,$D186)=1,"YES","NO"))</f>
        <v/>
      </c>
      <c r="AR186">
        <f>IF($A186="","",IF(AND($C186&amp;"-"&amp;$D186&gt;=Settings!$B$19,$C186&amp;"-"&amp;$D186&lt;=Settings!$B$20),"IN","OUT"))</f>
        <v/>
      </c>
      <c r="AS186">
        <f>IF($A186="","",IF($F186="Financial Results","financials",IF($F186="Outlook/Guidance","guidance",IF($F186="Transcript Q&amp;A","qanda",IF($F186="","unrecorded",IF($E186="All","full",IF($E186="","unrecorded",LOWER($E186)&amp;" only")))))))</f>
        <v/>
      </c>
      <c r="AT186">
        <f>IF(AND(OR($J186="BUY",$J186="SELL"),ISNUMBER($U186)),$U186,"")</f>
        <v/>
      </c>
      <c r="AU186">
        <f>IF(AND(OR($J186="BUY",$J186="SELL"),ISNUMBER($AK186)),$AK186,"")</f>
        <v/>
      </c>
      <c r="AV186">
        <f>IF(ISNUMBER($AT186),ABS(IF(ISNUMBER($I186),$I186,0)-Settings!$B$24),"")</f>
        <v/>
      </c>
      <c r="AW186">
        <f>IF(ISNUMBER($AV186),$AV186*$AT186,"")</f>
        <v/>
      </c>
      <c r="AX186">
        <f>IF(ISNUMBER($AU186),ABS(IF(ISNUMBER($I186),$I186,0)-Settings!$B$24),"")</f>
        <v/>
      </c>
      <c r="AY186">
        <f>IF(ISNUMBER($AX186),$AX186*$AU186,"")</f>
        <v/>
      </c>
      <c r="AZ186">
        <f>IF($A186="","",IFERROR(INDEX(Company_List!$H$3:$H$207,MATCH($A186,Company_List!$A$3:$A$207,0)),"unassigned"))</f>
        <v/>
      </c>
      <c r="BC186">
        <f>IF($A186="","",IF(COUNTIFS($A$3:$A186,$A186,$C$3:$C186,$C186,$D$3:$D186,$D186,$G$3:$G186,$G186)=1,1,0))</f>
        <v/>
      </c>
      <c r="BG186" t="inlineStr">
        <is>
          <t>no</t>
        </is>
      </c>
      <c r="BK186">
        <f>IF(OR($H186&lt;&gt;"Human",$S186="",$J186="",$Y186="",$Z186=""),"",IF(EXACT(UPPER($J186),UPPER($Y186)),1,0))</f>
        <v/>
      </c>
      <c r="BL186" t="inlineStr">
        <is>
          <t>assumed - no rater record</t>
        </is>
      </c>
      <c r="BM186" t="n">
        <v>1</v>
      </c>
      <c r="BN186" t="inlineStr">
        <is>
          <t>Refinitiv / LSEG StreetEvents</t>
        </is>
      </c>
      <c r="BO186" t="inlineStr">
        <is>
          <t>licensed vendor</t>
        </is>
      </c>
      <c r="BP186" t="inlineStr">
        <is>
          <t>no</t>
        </is>
      </c>
      <c r="BQ186" t="inlineStr">
        <is>
          <t>no</t>
        </is>
      </c>
    </row>
    <row r="187">
      <c r="A187" s="100" t="inlineStr">
        <is>
          <t>Comcast Corporation</t>
        </is>
      </c>
      <c r="B187" s="116">
        <f>IF(A187="","",_xlfn.XLOOKUP(A187, Company_List!$A:$A, Company_List!$B:$B, ""))</f>
        <v/>
      </c>
      <c r="C187" s="99" t="n">
        <v>2025</v>
      </c>
      <c r="D187" s="103" t="inlineStr">
        <is>
          <t>Q4</t>
        </is>
      </c>
      <c r="E187" s="19" t="inlineStr">
        <is>
          <t>Transcript</t>
        </is>
      </c>
      <c r="F187" s="19" t="inlineStr">
        <is>
          <t>All</t>
        </is>
      </c>
      <c r="G187" s="143" t="inlineStr">
        <is>
          <t>Abdul</t>
        </is>
      </c>
      <c r="H187" s="103" t="inlineStr">
        <is>
          <t>Human</t>
        </is>
      </c>
      <c r="I187" s="145" t="n">
        <v>0.3</v>
      </c>
      <c r="J187" s="145">
        <f>IF(OR(I187="",Settings!$B$6=""),"",IF(I187&gt;Settings!$B$6,"BUY",IF(I187&lt;-Settings!$B$6,"SELL","HOLD")))</f>
        <v/>
      </c>
      <c r="K187" s="145" t="n">
        <v>33</v>
      </c>
      <c r="L187" s="125" t="n">
        <v>46051</v>
      </c>
      <c r="M187" s="125" t="n">
        <v>46050</v>
      </c>
      <c r="N187" s="147" t="n">
        <v>28.41</v>
      </c>
      <c r="O187" s="125" t="n">
        <v>46051</v>
      </c>
      <c r="P187" s="145" t="n">
        <v>27.63</v>
      </c>
      <c r="Q187" s="149">
        <f>IF(OR(N187="",P187=""),"",ROUND((P187-N187)/N187,4))</f>
        <v/>
      </c>
      <c r="R187" s="103">
        <f>IF(OR(N187="",P187=""),"",IF(Q187&gt;Settings!$B$3/100,"UP",IF(Q187&lt;-Settings!$B$3/100,"DOWN","FLAT")))</f>
        <v/>
      </c>
      <c r="S187" s="103">
        <f>IF(OR(N187="",P187="",J187=""),"",IF(OR(AND(J187="BUY",R187="UP"),AND(J187="SELL",R187="DOWN"),AND(J187="HOLD",R187="FLAT")),"YES","NO"))</f>
        <v/>
      </c>
      <c r="T187" s="99">
        <f>IF(J187="","",IF(J187="BUY",1,IF(J187="SELL",-1,0)))</f>
        <v/>
      </c>
      <c r="U187" s="149">
        <f>IFERROR(IF(OR(J187="",N187="",P187=""),"",IF(T187=0,0,T187*Q187-Settings!$B$4/10000-IF(T187&lt;0,Settings!$B$5/10000,0))),"")</f>
        <v/>
      </c>
      <c r="W187" s="21">
        <f>IF($K187="","",$K187*60)</f>
        <v/>
      </c>
      <c r="X187" s="91">
        <f>IF($A187="","",$A187&amp;"|"&amp;$C187&amp;"|"&amp;$D187)</f>
        <v/>
      </c>
      <c r="Y187" s="91">
        <f>IFERROR(IF($X187="","",INDEX(LLM_Data_Entry!$H$3:$H$548,MATCH($X187,INDEX(LLM_Data_Entry!$A$3:$A$548&amp;"|"&amp;LLM_Data_Entry!$C$3:$C$548&amp;"|"&amp;LLM_Data_Entry!$D$3:$D$548,0),0))),"")</f>
        <v/>
      </c>
      <c r="Z187" s="91">
        <f>IFERROR(IF($X187="","",INDEX(LLM_Data_Entry!$R$3:$R$548,MATCH($X187,INDEX(LLM_Data_Entry!$A$3:$A$548&amp;"|"&amp;LLM_Data_Entry!$C$3:$C$548&amp;"|"&amp;LLM_Data_Entry!$D$3:$D$548,0),0))),"")</f>
        <v/>
      </c>
      <c r="AB187" t="inlineStr">
        <is>
          <t>earnings calendar, seconded independently</t>
        </is>
      </c>
      <c r="AC187" t="inlineStr">
        <is>
          <t>CMCSA</t>
        </is>
      </c>
      <c r="AD187" t="inlineStr">
        <is>
          <t>2026-01-28</t>
        </is>
      </c>
      <c r="AE187" t="n">
        <v>27.706</v>
      </c>
      <c r="AF187" t="inlineStr">
        <is>
          <t>2026-01-29</t>
        </is>
      </c>
      <c r="AG187" t="n">
        <v>26.9453</v>
      </c>
      <c r="AH187" t="n">
        <v>-0.02745509297290409</v>
      </c>
      <c r="AI187" t="inlineStr">
        <is>
          <t>DOWN</t>
        </is>
      </c>
      <c r="AJ187" t="inlineStr">
        <is>
          <t>NO</t>
        </is>
      </c>
      <c r="AK187" t="n">
        <v>-0.028455</v>
      </c>
      <c r="AL187">
        <f>IF($A187="","",IFERROR(INDEX(Company_List!$G$3:$G$207,MATCH($A187,Company_List!$A$3:$A$207,0)),"unassigned"))</f>
        <v/>
      </c>
      <c r="AM187" t="inlineStr">
        <is>
          <t>Phase 3/Readings/Comcast/2025-Q4/CMCSA-2025-Q4-earnings-call-transcript-fool-com.html</t>
        </is>
      </c>
      <c r="AN187" t="inlineStr">
        <is>
          <t>https://www.fool.com/earnings/call-transcripts/2026/01/29/comcast-cmcsa-q4-2025-earnings-call-transcript/</t>
        </is>
      </c>
      <c r="AO187" t="inlineStr">
        <is>
          <t>manifest</t>
        </is>
      </c>
      <c r="AP187">
        <f>IF($A187="","",IF(COUNTIFS(LLM_Data_Entry!$A$3:$A$548,$A187)&gt;0,"YES","NO"))</f>
        <v/>
      </c>
      <c r="AQ187">
        <f>IF($A187="","",IF(COUNTIFS($A$3:$A187,$A187,$C$3:$C187,$C187,$D$3:$D187,$D187)=1,"YES","NO"))</f>
        <v/>
      </c>
      <c r="AR187">
        <f>IF($A187="","",IF(AND($C187&amp;"-"&amp;$D187&gt;=Settings!$B$19,$C187&amp;"-"&amp;$D187&lt;=Settings!$B$20),"IN","OUT"))</f>
        <v/>
      </c>
      <c r="AS187">
        <f>IF($A187="","",IF($F187="Financial Results","financials",IF($F187="Outlook/Guidance","guidance",IF($F187="Transcript Q&amp;A","qanda",IF($F187="","unrecorded",IF($E187="All","full",IF($E187="","unrecorded",LOWER($E187)&amp;" only")))))))</f>
        <v/>
      </c>
      <c r="AT187">
        <f>IF(AND(OR($J187="BUY",$J187="SELL"),ISNUMBER($U187)),$U187,"")</f>
        <v/>
      </c>
      <c r="AU187">
        <f>IF(AND(OR($J187="BUY",$J187="SELL"),ISNUMBER($AK187)),$AK187,"")</f>
        <v/>
      </c>
      <c r="AV187">
        <f>IF(ISNUMBER($AT187),ABS(IF(ISNUMBER($I187),$I187,0)-Settings!$B$24),"")</f>
        <v/>
      </c>
      <c r="AW187">
        <f>IF(ISNUMBER($AV187),$AV187*$AT187,"")</f>
        <v/>
      </c>
      <c r="AX187">
        <f>IF(ISNUMBER($AU187),ABS(IF(ISNUMBER($I187),$I187,0)-Settings!$B$24),"")</f>
        <v/>
      </c>
      <c r="AY187">
        <f>IF(ISNUMBER($AX187),$AX187*$AU187,"")</f>
        <v/>
      </c>
      <c r="AZ187">
        <f>IF($A187="","",IFERROR(INDEX(Company_List!$H$3:$H$207,MATCH($A187,Company_List!$A$3:$A$207,0)),"unassigned"))</f>
        <v/>
      </c>
      <c r="BC187">
        <f>IF($A187="","",IF(COUNTIFS($A$3:$A187,$A187,$C$3:$C187,$C187,$D$3:$D187,$D187,$G$3:$G187,$G187)=1,1,0))</f>
        <v/>
      </c>
      <c r="BG187" t="inlineStr">
        <is>
          <t>no</t>
        </is>
      </c>
      <c r="BK187">
        <f>IF(OR($H187&lt;&gt;"Human",$S187="",$J187="",$Y187="",$Z187=""),"",IF(EXACT(UPPER($J187),UPPER($Y187)),1,0))</f>
        <v/>
      </c>
      <c r="BL187" t="inlineStr">
        <is>
          <t>assumed - no rater record</t>
        </is>
      </c>
      <c r="BM187" t="n">
        <v>1</v>
      </c>
      <c r="BN187" t="inlineStr">
        <is>
          <t>The Motley Fool</t>
        </is>
      </c>
      <c r="BO187" t="inlineStr">
        <is>
          <t>free to read, copyright asserted</t>
        </is>
      </c>
      <c r="BP187" t="inlineStr">
        <is>
          <t>no</t>
        </is>
      </c>
      <c r="BQ187" t="inlineStr">
        <is>
          <t>yes</t>
        </is>
      </c>
    </row>
    <row r="188">
      <c r="A188" s="100" t="inlineStr">
        <is>
          <t>Comcast Corporation</t>
        </is>
      </c>
      <c r="B188" s="116">
        <f>IF(A188="","",_xlfn.XLOOKUP(A188, Company_List!$A:$A, Company_List!$B:$B, ""))</f>
        <v/>
      </c>
      <c r="C188" s="99" t="n">
        <v>2026</v>
      </c>
      <c r="D188" s="103" t="inlineStr">
        <is>
          <t>Q1</t>
        </is>
      </c>
      <c r="E188" s="19" t="inlineStr">
        <is>
          <t>Transcript</t>
        </is>
      </c>
      <c r="F188" s="19" t="inlineStr">
        <is>
          <t>All</t>
        </is>
      </c>
      <c r="G188" s="143" t="inlineStr">
        <is>
          <t>Abdul</t>
        </is>
      </c>
      <c r="H188" s="103" t="inlineStr">
        <is>
          <t>Human</t>
        </is>
      </c>
      <c r="I188" s="145" t="n">
        <v>-0.5</v>
      </c>
      <c r="J188" s="145">
        <f>IF(OR(I188="",Settings!$B$6=""),"",IF(I188&gt;Settings!$B$6,"BUY",IF(I188&lt;-Settings!$B$6,"SELL","HOLD")))</f>
        <v/>
      </c>
      <c r="K188" s="145" t="n">
        <v>40</v>
      </c>
      <c r="L188" s="125" t="n">
        <v>46135</v>
      </c>
      <c r="M188" s="125" t="n">
        <v>46134</v>
      </c>
      <c r="N188" s="147" t="n">
        <v>29.37</v>
      </c>
      <c r="O188" s="125" t="n">
        <v>46135</v>
      </c>
      <c r="P188" s="145" t="n">
        <v>30.5</v>
      </c>
      <c r="Q188" s="149">
        <f>IF(OR(N188="",P188=""),"",ROUND((P188-N188)/N188,4))</f>
        <v/>
      </c>
      <c r="R188" s="103">
        <f>IF(OR(N188="",P188=""),"",IF(Q188&gt;Settings!$B$3/100,"UP",IF(Q188&lt;-Settings!$B$3/100,"DOWN","FLAT")))</f>
        <v/>
      </c>
      <c r="S188" s="103">
        <f>IF(OR(N188="",P188="",J188=""),"",IF(OR(AND(J188="BUY",R188="UP"),AND(J188="SELL",R188="DOWN"),AND(J188="HOLD",R188="FLAT")),"YES","NO"))</f>
        <v/>
      </c>
      <c r="T188" s="99">
        <f>IF(J188="","",IF(J188="BUY",1,IF(J188="SELL",-1,0)))</f>
        <v/>
      </c>
      <c r="U188" s="149">
        <f>IFERROR(IF(OR(J188="",N188="",P188=""),"",IF(T188=0,0,T188*Q188-Settings!$B$4/10000-IF(T188&lt;0,Settings!$B$5/10000,0))),"")</f>
        <v/>
      </c>
      <c r="W188" s="21">
        <f>IF($K188="","",$K188*60)</f>
        <v/>
      </c>
      <c r="X188" s="91">
        <f>IF($A188="","",$A188&amp;"|"&amp;$C188&amp;"|"&amp;$D188)</f>
        <v/>
      </c>
      <c r="Y188" s="91">
        <f>IFERROR(IF($X188="","",INDEX(LLM_Data_Entry!$H$3:$H$548,MATCH($X188,INDEX(LLM_Data_Entry!$A$3:$A$548&amp;"|"&amp;LLM_Data_Entry!$C$3:$C$548&amp;"|"&amp;LLM_Data_Entry!$D$3:$D$548,0),0))),"")</f>
        <v/>
      </c>
      <c r="Z188" s="91">
        <f>IFERROR(IF($X188="","",INDEX(LLM_Data_Entry!$R$3:$R$548,MATCH($X188,INDEX(LLM_Data_Entry!$A$3:$A$548&amp;"|"&amp;LLM_Data_Entry!$C$3:$C$548&amp;"|"&amp;LLM_Data_Entry!$D$3:$D$548,0),0))),"")</f>
        <v/>
      </c>
      <c r="AB188" t="inlineStr">
        <is>
          <t>release date + stated time in the document (document)</t>
        </is>
      </c>
      <c r="AC188" t="inlineStr">
        <is>
          <t>CMCSA</t>
        </is>
      </c>
      <c r="AD188" t="inlineStr">
        <is>
          <t>2026-04-22</t>
        </is>
      </c>
      <c r="AE188" t="n">
        <v>28.9752</v>
      </c>
      <c r="AF188" t="inlineStr">
        <is>
          <t>2026-04-23</t>
        </is>
      </c>
      <c r="AG188" t="n">
        <v>30.09</v>
      </c>
      <c r="AH188" t="n">
        <v>0.03847460761580832</v>
      </c>
      <c r="AI188" t="inlineStr">
        <is>
          <t>UP</t>
        </is>
      </c>
      <c r="AJ188" t="inlineStr">
        <is>
          <t>NO</t>
        </is>
      </c>
      <c r="AK188" t="n">
        <v>-0.039475</v>
      </c>
      <c r="AL188">
        <f>IF($A188="","",IFERROR(INDEX(Company_List!$G$3:$G$207,MATCH($A188,Company_List!$A$3:$A$207,0)),"unassigned"))</f>
        <v/>
      </c>
      <c r="AM188" t="inlineStr">
        <is>
          <t>Phase 3/Readings/Comcast/CMCSA-USQ_Transcript_2026-04-23.pdf</t>
        </is>
      </c>
      <c r="AO188" t="inlineStr">
        <is>
          <t>unique filename match</t>
        </is>
      </c>
      <c r="AP188">
        <f>IF($A188="","",IF(COUNTIFS(LLM_Data_Entry!$A$3:$A$548,$A188)&gt;0,"YES","NO"))</f>
        <v/>
      </c>
      <c r="AQ188">
        <f>IF($A188="","",IF(COUNTIFS($A$3:$A188,$A188,$C$3:$C188,$C188,$D$3:$D188,$D188)=1,"YES","NO"))</f>
        <v/>
      </c>
      <c r="AR188">
        <f>IF($A188="","",IF(AND($C188&amp;"-"&amp;$D188&gt;=Settings!$B$19,$C188&amp;"-"&amp;$D188&lt;=Settings!$B$20),"IN","OUT"))</f>
        <v/>
      </c>
      <c r="AS188">
        <f>IF($A188="","",IF($F188="Financial Results","financials",IF($F188="Outlook/Guidance","guidance",IF($F188="Transcript Q&amp;A","qanda",IF($F188="","unrecorded",IF($E188="All","full",IF($E188="","unrecorded",LOWER($E188)&amp;" only")))))))</f>
        <v/>
      </c>
      <c r="AT188">
        <f>IF(AND(OR($J188="BUY",$J188="SELL"),ISNUMBER($U188)),$U188,"")</f>
        <v/>
      </c>
      <c r="AU188">
        <f>IF(AND(OR($J188="BUY",$J188="SELL"),ISNUMBER($AK188)),$AK188,"")</f>
        <v/>
      </c>
      <c r="AV188">
        <f>IF(ISNUMBER($AT188),ABS(IF(ISNUMBER($I188),$I188,0)-Settings!$B$24),"")</f>
        <v/>
      </c>
      <c r="AW188">
        <f>IF(ISNUMBER($AV188),$AV188*$AT188,"")</f>
        <v/>
      </c>
      <c r="AX188">
        <f>IF(ISNUMBER($AU188),ABS(IF(ISNUMBER($I188),$I188,0)-Settings!$B$24),"")</f>
        <v/>
      </c>
      <c r="AY188">
        <f>IF(ISNUMBER($AX188),$AX188*$AU188,"")</f>
        <v/>
      </c>
      <c r="AZ188">
        <f>IF($A188="","",IFERROR(INDEX(Company_List!$H$3:$H$207,MATCH($A188,Company_List!$A$3:$A$207,0)),"unassigned"))</f>
        <v/>
      </c>
      <c r="BC188">
        <f>IF($A188="","",IF(COUNTIFS($A$3:$A188,$A188,$C$3:$C188,$C188,$D$3:$D188,$D188,$G$3:$G188,$G188)=1,1,0))</f>
        <v/>
      </c>
      <c r="BG188" t="inlineStr">
        <is>
          <t>no</t>
        </is>
      </c>
      <c r="BK188">
        <f>IF(OR($H188&lt;&gt;"Human",$S188="",$J188="",$Y188="",$Z188=""),"",IF(EXACT(UPPER($J188),UPPER($Y188)),1,0))</f>
        <v/>
      </c>
      <c r="BL188" t="inlineStr">
        <is>
          <t>assumed - no rater record</t>
        </is>
      </c>
      <c r="BM188" t="n">
        <v>1</v>
      </c>
      <c r="BN188" t="inlineStr">
        <is>
          <t>Refinitiv / LSEG StreetEvents</t>
        </is>
      </c>
      <c r="BO188" t="inlineStr">
        <is>
          <t>licensed vendor</t>
        </is>
      </c>
      <c r="BP188" t="inlineStr">
        <is>
          <t>no</t>
        </is>
      </c>
      <c r="BQ188" t="inlineStr">
        <is>
          <t>no</t>
        </is>
      </c>
    </row>
    <row r="189">
      <c r="A189" s="100" t="inlineStr">
        <is>
          <t>Pinterest</t>
        </is>
      </c>
      <c r="B189" s="116">
        <f>IF(A189="","",_xlfn.XLOOKUP(A189, Company_List!$A:$A, Company_List!$B:$B, ""))</f>
        <v/>
      </c>
      <c r="C189" s="105" t="n">
        <v>2024</v>
      </c>
      <c r="D189" s="106" t="inlineStr">
        <is>
          <t>Q4</t>
        </is>
      </c>
      <c r="E189" s="98" t="inlineStr">
        <is>
          <t>Presentation</t>
        </is>
      </c>
      <c r="F189" s="98" t="inlineStr">
        <is>
          <t>All</t>
        </is>
      </c>
      <c r="G189" s="143" t="inlineStr">
        <is>
          <t>Meriem</t>
        </is>
      </c>
      <c r="H189" s="106" t="inlineStr">
        <is>
          <t>Human</t>
        </is>
      </c>
      <c r="I189" s="145" t="n">
        <v>0.5</v>
      </c>
      <c r="J189" s="145">
        <f>IF(OR(I189="",Settings!$B$6=""),"",IF(I189&gt;Settings!$B$6,"BUY",IF(I189&lt;-Settings!$B$6,"SELL","HOLD")))</f>
        <v/>
      </c>
      <c r="K189" s="145" t="n">
        <v>14</v>
      </c>
      <c r="L189" s="126" t="n">
        <v>45694</v>
      </c>
      <c r="M189" s="126" t="n">
        <v>45694</v>
      </c>
      <c r="N189" s="147" t="n">
        <v>33.59</v>
      </c>
      <c r="O189" s="126" t="n">
        <v>45695</v>
      </c>
      <c r="P189" s="145" t="n">
        <v>40.89</v>
      </c>
      <c r="Q189" s="150">
        <f>IF(OR(N189="",P189=""),"",ROUND((P189-N189)/N189,4))</f>
        <v/>
      </c>
      <c r="R189" s="106">
        <f>IF(OR(N189="",P189=""),"",IF(Q189&gt;Settings!$B$3/100,"UP",IF(Q189&lt;-Settings!$B$3/100,"DOWN","FLAT")))</f>
        <v/>
      </c>
      <c r="S189" s="106">
        <f>IF(OR(N189="",P189="",J189=""),"",IF(OR(AND(J189="BUY",R189="UP"),AND(J189="SELL",R189="DOWN"),AND(J189="HOLD",R189="FLAT")),"YES","NO"))</f>
        <v/>
      </c>
      <c r="T189" s="105">
        <f>IF(J189="","",IF(J189="BUY",1,IF(J189="SELL",-1,0)))</f>
        <v/>
      </c>
      <c r="U189" s="150">
        <f>IFERROR(IF(OR(J189="",N189="",P189=""),"",IF(T189=0,0,T189*Q189-Settings!$B$4/10000-IF(T189&lt;0,Settings!$B$5/10000,0))),"")</f>
        <v/>
      </c>
      <c r="V189" s="7" t="inlineStr">
        <is>
          <t>Strong revenue, user growth, expanding margins, and robust EBITDA suggest continued business momentum despite limited information from the presentation.</t>
        </is>
      </c>
      <c r="W189" s="21">
        <f>IF($K189="","",$K189*60)</f>
        <v/>
      </c>
      <c r="X189" s="91">
        <f>IF($A189="","",$A189&amp;"|"&amp;$C189&amp;"|"&amp;$D189)</f>
        <v/>
      </c>
      <c r="Y189" s="91">
        <f>IFERROR(IF($X189="","",INDEX(LLM_Data_Entry!$H$3:$H$548,MATCH($X189,INDEX(LLM_Data_Entry!$A$3:$A$548&amp;"|"&amp;LLM_Data_Entry!$C$3:$C$548&amp;"|"&amp;LLM_Data_Entry!$D$3:$D$548,0),0))),"")</f>
        <v/>
      </c>
      <c r="Z189" s="91">
        <f>IFERROR(IF($X189="","",INDEX(LLM_Data_Entry!$R$3:$R$548,MATCH($X189,INDEX(LLM_Data_Entry!$A$3:$A$548&amp;"|"&amp;LLM_Data_Entry!$C$3:$C$548&amp;"|"&amp;LLM_Data_Entry!$D$3:$D$548,0),0))),"")</f>
        <v/>
      </c>
      <c r="AB189" t="inlineStr">
        <is>
          <t>price signal — only this window shows an abnormal move</t>
        </is>
      </c>
      <c r="AC189" t="inlineStr">
        <is>
          <t>PINS</t>
        </is>
      </c>
      <c r="AD189" t="inlineStr">
        <is>
          <t>2025-02-06</t>
        </is>
      </c>
      <c r="AE189" t="n">
        <v>33.59</v>
      </c>
      <c r="AF189" t="inlineStr">
        <is>
          <t>2025-02-07</t>
        </is>
      </c>
      <c r="AG189" t="n">
        <v>40.89</v>
      </c>
      <c r="AH189" t="n">
        <v>0.2173265555224769</v>
      </c>
      <c r="AI189" t="inlineStr">
        <is>
          <t>UP</t>
        </is>
      </c>
      <c r="AJ189" t="inlineStr">
        <is>
          <t>YES</t>
        </is>
      </c>
      <c r="AK189" t="n">
        <v>0.216327</v>
      </c>
      <c r="AL189">
        <f>IF($A189="","",IFERROR(INDEX(Company_List!$G$3:$G$207,MATCH($A189,Company_List!$A$3:$A$207,0)),"unassigned"))</f>
        <v/>
      </c>
      <c r="AM189" t="inlineStr">
        <is>
          <t>Phase 3/Readings/Pinterest/Q4 2024 presentation.pdf</t>
        </is>
      </c>
      <c r="AO189" t="inlineStr">
        <is>
          <t>unique filename match</t>
        </is>
      </c>
      <c r="AP189">
        <f>IF($A189="","",IF(COUNTIFS(LLM_Data_Entry!$A$3:$A$548,$A189)&gt;0,"YES","NO"))</f>
        <v/>
      </c>
      <c r="AQ189">
        <f>IF($A189="","",IF(COUNTIFS($A$3:$A189,$A189,$C$3:$C189,$C189,$D$3:$D189,$D189)=1,"YES","NO"))</f>
        <v/>
      </c>
      <c r="AR189">
        <f>IF($A189="","",IF(AND($C189&amp;"-"&amp;$D189&gt;=Settings!$B$19,$C189&amp;"-"&amp;$D189&lt;=Settings!$B$20),"IN","OUT"))</f>
        <v/>
      </c>
      <c r="AS189">
        <f>IF($A189="","",IF($F189="Financial Results","financials",IF($F189="Outlook/Guidance","guidance",IF($F189="Transcript Q&amp;A","qanda",IF($F189="","unrecorded",IF($E189="All","full",IF($E189="","unrecorded",LOWER($E189)&amp;" only")))))))</f>
        <v/>
      </c>
      <c r="AT189">
        <f>IF(AND(OR($J189="BUY",$J189="SELL"),ISNUMBER($U189)),$U189,"")</f>
        <v/>
      </c>
      <c r="AU189">
        <f>IF(AND(OR($J189="BUY",$J189="SELL"),ISNUMBER($AK189)),$AK189,"")</f>
        <v/>
      </c>
      <c r="AV189">
        <f>IF(ISNUMBER($AT189),ABS(IF(ISNUMBER($I189),$I189,0)-Settings!$B$24),"")</f>
        <v/>
      </c>
      <c r="AW189">
        <f>IF(ISNUMBER($AV189),$AV189*$AT189,"")</f>
        <v/>
      </c>
      <c r="AX189">
        <f>IF(ISNUMBER($AU189),ABS(IF(ISNUMBER($I189),$I189,0)-Settings!$B$24),"")</f>
        <v/>
      </c>
      <c r="AY189">
        <f>IF(ISNUMBER($AX189),$AX189*$AU189,"")</f>
        <v/>
      </c>
      <c r="AZ189">
        <f>IF($A189="","",IFERROR(INDEX(Company_List!$H$3:$H$207,MATCH($A189,Company_List!$A$3:$A$207,0)),"unassigned"))</f>
        <v/>
      </c>
      <c r="BC189">
        <f>IF($A189="","",IF(COUNTIFS($A$3:$A189,$A189,$C$3:$C189,$C189,$D$3:$D189,$D189,$G$3:$G189,$G189)=1,1,0))</f>
        <v/>
      </c>
      <c r="BG189" t="inlineStr">
        <is>
          <t>no</t>
        </is>
      </c>
      <c r="BK189">
        <f>IF(OR($H189&lt;&gt;"Human",$S189="",$J189="",$Y189="",$Z189=""),"",IF(EXACT(UPPER($J189),UPPER($Y189)),1,0))</f>
        <v/>
      </c>
      <c r="BL189" t="inlineStr">
        <is>
          <t>assumed - no rater record</t>
        </is>
      </c>
      <c r="BM189" t="n">
        <v>1</v>
      </c>
      <c r="BN189" t="inlineStr">
        <is>
          <t>not publisher-identified</t>
        </is>
      </c>
      <c r="BO189" t="inlineStr">
        <is>
          <t>not publisher-identified</t>
        </is>
      </c>
      <c r="BP189" t="inlineStr">
        <is>
          <t>no</t>
        </is>
      </c>
      <c r="BQ189" t="inlineStr">
        <is>
          <t>no</t>
        </is>
      </c>
    </row>
    <row r="190">
      <c r="A190" s="100" t="inlineStr">
        <is>
          <t>Pinterest</t>
        </is>
      </c>
      <c r="B190" s="116">
        <f>IF(A190="","",_xlfn.XLOOKUP(A190, Company_List!$A:$A, Company_List!$B:$B, ""))</f>
        <v/>
      </c>
      <c r="C190" s="105" t="n">
        <v>2025</v>
      </c>
      <c r="D190" s="106" t="inlineStr">
        <is>
          <t>Q4</t>
        </is>
      </c>
      <c r="E190" s="98" t="inlineStr">
        <is>
          <t>Transcript</t>
        </is>
      </c>
      <c r="F190" s="98" t="inlineStr">
        <is>
          <t>Financial Results</t>
        </is>
      </c>
      <c r="G190" s="143" t="inlineStr">
        <is>
          <t>Meriem</t>
        </is>
      </c>
      <c r="H190" s="106" t="inlineStr">
        <is>
          <t>Human</t>
        </is>
      </c>
      <c r="I190" s="145" t="n">
        <v>-0.1</v>
      </c>
      <c r="J190" s="145">
        <f>IF(OR(I190="",Settings!$B$6=""),"",IF(I190&gt;Settings!$B$6,"BUY",IF(I190&lt;-Settings!$B$6,"SELL","HOLD")))</f>
        <v/>
      </c>
      <c r="K190" s="145" t="n">
        <v>25</v>
      </c>
      <c r="L190" s="126" t="n">
        <v>46065</v>
      </c>
      <c r="M190" s="126" t="n">
        <v>46065</v>
      </c>
      <c r="N190" s="147" t="n">
        <v>18.54</v>
      </c>
      <c r="O190" s="126" t="n">
        <v>46066</v>
      </c>
      <c r="P190" s="145" t="n">
        <v>14.33</v>
      </c>
      <c r="Q190" s="150">
        <f>IF(OR(N190="",P190=""),"",ROUND((P190-N190)/N190,4))</f>
        <v/>
      </c>
      <c r="R190" s="106">
        <f>IF(OR(N190="",P190=""),"",IF(Q190&gt;Settings!$B$3/100,"UP",IF(Q190&lt;-Settings!$B$3/100,"DOWN","FLAT")))</f>
        <v/>
      </c>
      <c r="S190" s="106">
        <f>IF(OR(N190="",P190="",J190=""),"",IF(OR(AND(J190="BUY",R190="UP"),AND(J190="SELL",R190="DOWN"),AND(J190="HOLD",R190="FLAT")),"YES","NO"))</f>
        <v/>
      </c>
      <c r="T190" s="105">
        <f>IF(J190="","",IF(J190="BUY",1,IF(J190="SELL",-1,0)))</f>
        <v/>
      </c>
      <c r="U190" s="150">
        <f>IFERROR(IF(OR(J190="",N190="",P190=""),"",IF(T190=0,0,T190*Q190-Settings!$B$4/10000-IF(T190&lt;0,Settings!$B$5/10000,0))),"")</f>
        <v/>
      </c>
      <c r="V190" s="7" t="inlineStr">
        <is>
          <t>Solid operational growth and AI progress were offset by weaker-than-expected revenue performance, competitive pressures, and macroeconomic uncertainty.</t>
        </is>
      </c>
      <c r="W190" s="21">
        <f>IF($K190="","",$K190*60)</f>
        <v/>
      </c>
      <c r="X190" s="91">
        <f>IF($A190="","",$A190&amp;"|"&amp;$C190&amp;"|"&amp;$D190)</f>
        <v/>
      </c>
      <c r="Y190" s="91">
        <f>IFERROR(IF($X190="","",INDEX(LLM_Data_Entry!$H$3:$H$548,MATCH($X190,INDEX(LLM_Data_Entry!$A$3:$A$548&amp;"|"&amp;LLM_Data_Entry!$C$3:$C$548&amp;"|"&amp;LLM_Data_Entry!$D$3:$D$548,0),0))),"")</f>
        <v/>
      </c>
      <c r="Z190" s="91">
        <f>IFERROR(IF($X190="","",INDEX(LLM_Data_Entry!$R$3:$R$548,MATCH($X190,INDEX(LLM_Data_Entry!$A$3:$A$548&amp;"|"&amp;LLM_Data_Entry!$C$3:$C$548&amp;"|"&amp;LLM_Data_Entry!$D$3:$D$548,0),0))),"")</f>
        <v/>
      </c>
      <c r="AB190" t="inlineStr">
        <is>
          <t>price signal — only this window shows an abnormal move</t>
        </is>
      </c>
      <c r="AC190" t="inlineStr">
        <is>
          <t>PINS</t>
        </is>
      </c>
      <c r="AD190" t="inlineStr">
        <is>
          <t>2026-02-12</t>
        </is>
      </c>
      <c r="AE190" t="n">
        <v>18.54</v>
      </c>
      <c r="AF190" t="inlineStr">
        <is>
          <t>2026-02-13</t>
        </is>
      </c>
      <c r="AG190" t="n">
        <v>14.33</v>
      </c>
      <c r="AH190" t="n">
        <v>-0.2270766328437631</v>
      </c>
      <c r="AI190" t="inlineStr">
        <is>
          <t>DOWN</t>
        </is>
      </c>
      <c r="AJ190" t="inlineStr">
        <is>
          <t>NO</t>
        </is>
      </c>
      <c r="AK190" t="n">
        <v>0</v>
      </c>
      <c r="AL190">
        <f>IF($A190="","",IFERROR(INDEX(Company_List!$G$3:$G$207,MATCH($A190,Company_List!$A$3:$A$207,0)),"unassigned"))</f>
        <v/>
      </c>
      <c r="AM190" t="inlineStr">
        <is>
          <t>Phase 3/Readings/Pinterest/PINS Q4 2025 Transcript .pdf</t>
        </is>
      </c>
      <c r="AO190" t="inlineStr">
        <is>
          <t>unique filename match</t>
        </is>
      </c>
      <c r="AP190">
        <f>IF($A190="","",IF(COUNTIFS(LLM_Data_Entry!$A$3:$A$548,$A190)&gt;0,"YES","NO"))</f>
        <v/>
      </c>
      <c r="AQ190">
        <f>IF($A190="","",IF(COUNTIFS($A$3:$A190,$A190,$C$3:$C190,$C190,$D$3:$D190,$D190)=1,"YES","NO"))</f>
        <v/>
      </c>
      <c r="AR190">
        <f>IF($A190="","",IF(AND($C190&amp;"-"&amp;$D190&gt;=Settings!$B$19,$C190&amp;"-"&amp;$D190&lt;=Settings!$B$20),"IN","OUT"))</f>
        <v/>
      </c>
      <c r="AS190">
        <f>IF($A190="","",IF($F190="Financial Results","financials",IF($F190="Outlook/Guidance","guidance",IF($F190="Transcript Q&amp;A","qanda",IF($F190="","unrecorded",IF($E190="All","full",IF($E190="","unrecorded",LOWER($E190)&amp;" only")))))))</f>
        <v/>
      </c>
      <c r="AT190">
        <f>IF(AND(OR($J190="BUY",$J190="SELL"),ISNUMBER($U190)),$U190,"")</f>
        <v/>
      </c>
      <c r="AU190">
        <f>IF(AND(OR($J190="BUY",$J190="SELL"),ISNUMBER($AK190)),$AK190,"")</f>
        <v/>
      </c>
      <c r="AV190">
        <f>IF(ISNUMBER($AT190),ABS(IF(ISNUMBER($I190),$I190,0)-Settings!$B$24),"")</f>
        <v/>
      </c>
      <c r="AW190">
        <f>IF(ISNUMBER($AV190),$AV190*$AT190,"")</f>
        <v/>
      </c>
      <c r="AX190">
        <f>IF(ISNUMBER($AU190),ABS(IF(ISNUMBER($I190),$I190,0)-Settings!$B$24),"")</f>
        <v/>
      </c>
      <c r="AY190">
        <f>IF(ISNUMBER($AX190),$AX190*$AU190,"")</f>
        <v/>
      </c>
      <c r="AZ190">
        <f>IF($A190="","",IFERROR(INDEX(Company_List!$H$3:$H$207,MATCH($A190,Company_List!$A$3:$A$207,0)),"unassigned"))</f>
        <v/>
      </c>
      <c r="BC190">
        <f>IF($A190="","",IF(COUNTIFS($A$3:$A190,$A190,$C$3:$C190,$C190,$D$3:$D190,$D190,$G$3:$G190,$G190)=1,1,0))</f>
        <v/>
      </c>
      <c r="BG190" t="inlineStr">
        <is>
          <t>no</t>
        </is>
      </c>
      <c r="BK190">
        <f>IF(OR($H190&lt;&gt;"Human",$S190="",$J190="",$Y190="",$Z190=""),"",IF(EXACT(UPPER($J190),UPPER($Y190)),1,0))</f>
        <v/>
      </c>
      <c r="BL190" t="inlineStr">
        <is>
          <t>assumed - no rater record</t>
        </is>
      </c>
      <c r="BM190" t="n">
        <v>1</v>
      </c>
      <c r="BN190" t="inlineStr">
        <is>
          <t>The Motley Fool</t>
        </is>
      </c>
      <c r="BO190" t="inlineStr">
        <is>
          <t>free to read, copyright asserted</t>
        </is>
      </c>
      <c r="BP190" t="inlineStr">
        <is>
          <t>no</t>
        </is>
      </c>
      <c r="BQ190" t="inlineStr">
        <is>
          <t>no</t>
        </is>
      </c>
    </row>
    <row r="191">
      <c r="A191" s="100" t="inlineStr">
        <is>
          <t>Pinterest</t>
        </is>
      </c>
      <c r="B191" s="116">
        <f>IF(A191="","",_xlfn.XLOOKUP(A191, Company_List!$A:$A, Company_List!$B:$B, ""))</f>
        <v/>
      </c>
      <c r="C191" s="105" t="n">
        <v>2026</v>
      </c>
      <c r="D191" s="106" t="inlineStr">
        <is>
          <t>Q1</t>
        </is>
      </c>
      <c r="E191" s="98" t="inlineStr">
        <is>
          <t>Transcript</t>
        </is>
      </c>
      <c r="F191" s="98" t="inlineStr">
        <is>
          <t>Transcript Q&amp;A</t>
        </is>
      </c>
      <c r="G191" s="143" t="inlineStr">
        <is>
          <t>Meriem</t>
        </is>
      </c>
      <c r="H191" s="106" t="inlineStr">
        <is>
          <t>Human</t>
        </is>
      </c>
      <c r="I191" s="145" t="n">
        <v>0.3</v>
      </c>
      <c r="J191" s="145">
        <f>IF(OR(I191="",Settings!$B$6=""),"",IF(I191&gt;Settings!$B$6,"BUY",IF(I191&lt;-Settings!$B$6,"SELL","HOLD")))</f>
        <v/>
      </c>
      <c r="K191" s="145" t="n">
        <v>35</v>
      </c>
      <c r="L191" s="126" t="n">
        <v>46146</v>
      </c>
      <c r="M191" s="126" t="n">
        <v>46146</v>
      </c>
      <c r="N191" s="147" t="n">
        <v>20.85</v>
      </c>
      <c r="O191" s="126" t="n">
        <v>46147</v>
      </c>
      <c r="P191" s="145" t="n">
        <v>24.71</v>
      </c>
      <c r="Q191" s="150">
        <f>IF(OR(N191="",P191=""),"",ROUND((P191-N191)/N191,4))</f>
        <v/>
      </c>
      <c r="R191" s="106">
        <f>IF(OR(N191="",P191=""),"",IF(Q191&gt;Settings!$B$3/100,"UP",IF(Q191&lt;-Settings!$B$3/100,"DOWN","FLAT")))</f>
        <v/>
      </c>
      <c r="S191" s="106">
        <f>IF(OR(N191="",P191="",J191=""),"",IF(OR(AND(J191="BUY",R191="UP"),AND(J191="SELL",R191="DOWN"),AND(J191="HOLD",R191="FLAT")),"YES","NO"))</f>
        <v/>
      </c>
      <c r="T191" s="105">
        <f>IF(J191="","",IF(J191="BUY",1,IF(J191="SELL",-1,0)))</f>
        <v/>
      </c>
      <c r="U191" s="150">
        <f>IFERROR(IF(OR(J191="",N191="",P191=""),"",IF(T191=0,0,T191*Q191-Settings!$B$4/10000-IF(T191&lt;0,Settings!$B$5/10000,0))),"")</f>
        <v/>
      </c>
      <c r="V191" s="7" t="inlineStr">
        <is>
          <t>Strong early-quarter performance and improving monetisation outweighed tariff risks and expectations of a softer following quarter.</t>
        </is>
      </c>
      <c r="W191" s="21">
        <f>IF($K191="","",$K191*60)</f>
        <v/>
      </c>
      <c r="X191" s="91">
        <f>IF($A191="","",$A191&amp;"|"&amp;$C191&amp;"|"&amp;$D191)</f>
        <v/>
      </c>
      <c r="Y191" s="91">
        <f>IFERROR(IF($X191="","",INDEX(LLM_Data_Entry!$H$3:$H$548,MATCH($X191,INDEX(LLM_Data_Entry!$A$3:$A$548&amp;"|"&amp;LLM_Data_Entry!$C$3:$C$548&amp;"|"&amp;LLM_Data_Entry!$D$3:$D$548,0),0))),"")</f>
        <v/>
      </c>
      <c r="Z191" s="91">
        <f>IFERROR(IF($X191="","",INDEX(LLM_Data_Entry!$R$3:$R$548,MATCH($X191,INDEX(LLM_Data_Entry!$A$3:$A$548&amp;"|"&amp;LLM_Data_Entry!$C$3:$C$548&amp;"|"&amp;LLM_Data_Entry!$D$3:$D$548,0),0))),"")</f>
        <v/>
      </c>
      <c r="AB191" t="inlineStr">
        <is>
          <t>price signal — only this window shows an abnormal move</t>
        </is>
      </c>
      <c r="AC191" t="inlineStr">
        <is>
          <t>PINS</t>
        </is>
      </c>
      <c r="AD191" t="inlineStr">
        <is>
          <t>2026-05-04</t>
        </is>
      </c>
      <c r="AE191" t="n">
        <v>20.85</v>
      </c>
      <c r="AF191" t="inlineStr">
        <is>
          <t>2026-05-05</t>
        </is>
      </c>
      <c r="AG191" t="n">
        <v>24.71</v>
      </c>
      <c r="AH191" t="n">
        <v>0.1851318465227819</v>
      </c>
      <c r="AI191" t="inlineStr">
        <is>
          <t>UP</t>
        </is>
      </c>
      <c r="AJ191" t="inlineStr">
        <is>
          <t>YES</t>
        </is>
      </c>
      <c r="AK191" t="n">
        <v>0.184132</v>
      </c>
      <c r="AL191">
        <f>IF($A191="","",IFERROR(INDEX(Company_List!$G$3:$G$207,MATCH($A191,Company_List!$A$3:$A$207,0)),"unassigned"))</f>
        <v/>
      </c>
      <c r="AM191" t="inlineStr">
        <is>
          <t>Phase 3/Readings/Pinterest/PINS Q1 2026 Transcript .pdf</t>
        </is>
      </c>
      <c r="AO191" t="inlineStr">
        <is>
          <t>unique filename match</t>
        </is>
      </c>
      <c r="AP191">
        <f>IF($A191="","",IF(COUNTIFS(LLM_Data_Entry!$A$3:$A$548,$A191)&gt;0,"YES","NO"))</f>
        <v/>
      </c>
      <c r="AQ191">
        <f>IF($A191="","",IF(COUNTIFS($A$3:$A191,$A191,$C$3:$C191,$C191,$D$3:$D191,$D191)=1,"YES","NO"))</f>
        <v/>
      </c>
      <c r="AR191">
        <f>IF($A191="","",IF(AND($C191&amp;"-"&amp;$D191&gt;=Settings!$B$19,$C191&amp;"-"&amp;$D191&lt;=Settings!$B$20),"IN","OUT"))</f>
        <v/>
      </c>
      <c r="AS191">
        <f>IF($A191="","",IF($F191="Financial Results","financials",IF($F191="Outlook/Guidance","guidance",IF($F191="Transcript Q&amp;A","qanda",IF($F191="","unrecorded",IF($E191="All","full",IF($E191="","unrecorded",LOWER($E191)&amp;" only")))))))</f>
        <v/>
      </c>
      <c r="AT191">
        <f>IF(AND(OR($J191="BUY",$J191="SELL"),ISNUMBER($U191)),$U191,"")</f>
        <v/>
      </c>
      <c r="AU191">
        <f>IF(AND(OR($J191="BUY",$J191="SELL"),ISNUMBER($AK191)),$AK191,"")</f>
        <v/>
      </c>
      <c r="AV191">
        <f>IF(ISNUMBER($AT191),ABS(IF(ISNUMBER($I191),$I191,0)-Settings!$B$24),"")</f>
        <v/>
      </c>
      <c r="AW191">
        <f>IF(ISNUMBER($AV191),$AV191*$AT191,"")</f>
        <v/>
      </c>
      <c r="AX191">
        <f>IF(ISNUMBER($AU191),ABS(IF(ISNUMBER($I191),$I191,0)-Settings!$B$24),"")</f>
        <v/>
      </c>
      <c r="AY191">
        <f>IF(ISNUMBER($AX191),$AX191*$AU191,"")</f>
        <v/>
      </c>
      <c r="AZ191">
        <f>IF($A191="","",IFERROR(INDEX(Company_List!$H$3:$H$207,MATCH($A191,Company_List!$A$3:$A$207,0)),"unassigned"))</f>
        <v/>
      </c>
      <c r="BC191">
        <f>IF($A191="","",IF(COUNTIFS($A$3:$A191,$A191,$C$3:$C191,$C191,$D$3:$D191,$D191,$G$3:$G191,$G191)=1,1,0))</f>
        <v/>
      </c>
      <c r="BG191" t="inlineStr">
        <is>
          <t>no</t>
        </is>
      </c>
      <c r="BK191">
        <f>IF(OR($H191&lt;&gt;"Human",$S191="",$J191="",$Y191="",$Z191=""),"",IF(EXACT(UPPER($J191),UPPER($Y191)),1,0))</f>
        <v/>
      </c>
      <c r="BL191" t="inlineStr">
        <is>
          <t>assumed - no rater record</t>
        </is>
      </c>
      <c r="BM191" t="n">
        <v>1</v>
      </c>
      <c r="BN191" t="inlineStr">
        <is>
          <t>The Motley Fool</t>
        </is>
      </c>
      <c r="BO191" t="inlineStr">
        <is>
          <t>free to read, copyright asserted</t>
        </is>
      </c>
      <c r="BP191" t="inlineStr">
        <is>
          <t>no</t>
        </is>
      </c>
      <c r="BQ191" t="inlineStr">
        <is>
          <t>no</t>
        </is>
      </c>
    </row>
    <row r="192">
      <c r="A192" s="100" t="inlineStr">
        <is>
          <t>Kraft Heinz</t>
        </is>
      </c>
      <c r="B192" s="116">
        <f>IF(A192="","",_xlfn.XLOOKUP(A192, Company_List!$A:$A, Company_List!$B:$B, ""))</f>
        <v/>
      </c>
      <c r="C192" s="105" t="n">
        <v>2024</v>
      </c>
      <c r="D192" s="106" t="inlineStr">
        <is>
          <t>Q4</t>
        </is>
      </c>
      <c r="E192" s="98" t="inlineStr">
        <is>
          <t>Press Release Document</t>
        </is>
      </c>
      <c r="F192" s="98" t="inlineStr">
        <is>
          <t>All</t>
        </is>
      </c>
      <c r="G192" s="143" t="inlineStr">
        <is>
          <t>Meriem</t>
        </is>
      </c>
      <c r="H192" s="106" t="inlineStr">
        <is>
          <t>Human</t>
        </is>
      </c>
      <c r="I192" s="145" t="n">
        <v>-0.5</v>
      </c>
      <c r="J192" s="145">
        <f>IF(OR(I192="",Settings!$B$6=""),"",IF(I192&gt;Settings!$B$6,"BUY",IF(I192&lt;-Settings!$B$6,"SELL","HOLD")))</f>
        <v/>
      </c>
      <c r="K192" s="145" t="n">
        <v>15</v>
      </c>
      <c r="L192" s="126" t="n">
        <v>45700</v>
      </c>
      <c r="M192" s="126" t="n">
        <v>45700</v>
      </c>
      <c r="N192" s="147" t="n">
        <v>28.62</v>
      </c>
      <c r="O192" s="126" t="n">
        <v>45701</v>
      </c>
      <c r="P192" s="145" t="n">
        <v>28.32</v>
      </c>
      <c r="Q192" s="150">
        <f>IF(OR(N192="",P192=""),"",ROUND((P192-N192)/N192,4))</f>
        <v/>
      </c>
      <c r="R192" s="106">
        <f>IF(OR(N192="",P192=""),"",IF(Q192&gt;Settings!$B$3/100,"UP",IF(Q192&lt;-Settings!$B$3/100,"DOWN","FLAT")))</f>
        <v/>
      </c>
      <c r="S192" s="106">
        <f>IF(OR(N192="",P192="",J192=""),"",IF(OR(AND(J192="BUY",R192="UP"),AND(J192="SELL",R192="DOWN"),AND(J192="HOLD",R192="FLAT")),"YES","NO"))</f>
        <v/>
      </c>
      <c r="T192" s="105">
        <f>IF(J192="","",IF(J192="BUY",1,IF(J192="SELL",-1,0)))</f>
        <v/>
      </c>
      <c r="U192" s="150">
        <f>IFERROR(IF(OR(J192="",N192="",P192=""),"",IF(T192=0,0,T192*Q192-Settings!$B$4/10000-IF(T192&lt;0,Settings!$B$5/10000,0))),"")</f>
        <v/>
      </c>
      <c r="V192" s="7" t="inlineStr">
        <is>
          <t>Declining sales, weaker operating income, disappointing results, and cautious 2025 guidance outweighed improvements in EPS and margins.</t>
        </is>
      </c>
      <c r="W192" s="21">
        <f>IF($K192="","",$K192*60)</f>
        <v/>
      </c>
      <c r="X192" s="91">
        <f>IF($A192="","",$A192&amp;"|"&amp;$C192&amp;"|"&amp;$D192)</f>
        <v/>
      </c>
      <c r="Y192" s="91">
        <f>IFERROR(IF($X192="","",INDEX(LLM_Data_Entry!$H$3:$H$548,MATCH($X192,INDEX(LLM_Data_Entry!$A$3:$A$548&amp;"|"&amp;LLM_Data_Entry!$C$3:$C$548&amp;"|"&amp;LLM_Data_Entry!$D$3:$D$548,0),0))),"")</f>
        <v/>
      </c>
      <c r="Z192" s="91">
        <f>IFERROR(IF($X192="","",INDEX(LLM_Data_Entry!$R$3:$R$548,MATCH($X192,INDEX(LLM_Data_Entry!$A$3:$A$548&amp;"|"&amp;LLM_Data_Entry!$C$3:$C$548&amp;"|"&amp;LLM_Data_Entry!$D$3:$D$548,0),0))),"")</f>
        <v/>
      </c>
      <c r="AB192" t="inlineStr">
        <is>
          <t>release date + stated time</t>
        </is>
      </c>
      <c r="AC192" t="inlineStr">
        <is>
          <t>KHC</t>
        </is>
      </c>
      <c r="AD192" t="inlineStr">
        <is>
          <t>2025-02-11</t>
        </is>
      </c>
      <c r="AE192" t="n">
        <v>26.9607</v>
      </c>
      <c r="AF192" t="inlineStr">
        <is>
          <t>2025-02-12</t>
        </is>
      </c>
      <c r="AG192" t="n">
        <v>25.0922</v>
      </c>
      <c r="AH192" t="n">
        <v>-0.06930362136701343</v>
      </c>
      <c r="AI192" t="inlineStr">
        <is>
          <t>DOWN</t>
        </is>
      </c>
      <c r="AJ192" t="inlineStr">
        <is>
          <t>YES</t>
        </is>
      </c>
      <c r="AK192" t="n">
        <v>0.068304</v>
      </c>
      <c r="AL192">
        <f>IF($A192="","",IFERROR(INDEX(Company_List!$G$3:$G$207,MATCH($A192,Company_List!$A$3:$A$207,0)),"unassigned"))</f>
        <v/>
      </c>
      <c r="AM192" t="inlineStr">
        <is>
          <t>Phase 3/Readings/Kraft Heinz/KHC Q4 2024 Results.pdf</t>
        </is>
      </c>
      <c r="AO192" t="inlineStr">
        <is>
          <t>unique filename match</t>
        </is>
      </c>
      <c r="AP192">
        <f>IF($A192="","",IF(COUNTIFS(LLM_Data_Entry!$A$3:$A$548,$A192)&gt;0,"YES","NO"))</f>
        <v/>
      </c>
      <c r="AQ192">
        <f>IF($A192="","",IF(COUNTIFS($A$3:$A192,$A192,$C$3:$C192,$C192,$D$3:$D192,$D192)=1,"YES","NO"))</f>
        <v/>
      </c>
      <c r="AR192">
        <f>IF($A192="","",IF(AND($C192&amp;"-"&amp;$D192&gt;=Settings!$B$19,$C192&amp;"-"&amp;$D192&lt;=Settings!$B$20),"IN","OUT"))</f>
        <v/>
      </c>
      <c r="AS192">
        <f>IF($A192="","",IF($F192="Financial Results","financials",IF($F192="Outlook/Guidance","guidance",IF($F192="Transcript Q&amp;A","qanda",IF($F192="","unrecorded",IF($E192="All","full",IF($E192="","unrecorded",LOWER($E192)&amp;" only")))))))</f>
        <v/>
      </c>
      <c r="AT192">
        <f>IF(AND(OR($J192="BUY",$J192="SELL"),ISNUMBER($U192)),$U192,"")</f>
        <v/>
      </c>
      <c r="AU192">
        <f>IF(AND(OR($J192="BUY",$J192="SELL"),ISNUMBER($AK192)),$AK192,"")</f>
        <v/>
      </c>
      <c r="AV192">
        <f>IF(ISNUMBER($AT192),ABS(IF(ISNUMBER($I192),$I192,0)-Settings!$B$24),"")</f>
        <v/>
      </c>
      <c r="AW192">
        <f>IF(ISNUMBER($AV192),$AV192*$AT192,"")</f>
        <v/>
      </c>
      <c r="AX192">
        <f>IF(ISNUMBER($AU192),ABS(IF(ISNUMBER($I192),$I192,0)-Settings!$B$24),"")</f>
        <v/>
      </c>
      <c r="AY192">
        <f>IF(ISNUMBER($AX192),$AX192*$AU192,"")</f>
        <v/>
      </c>
      <c r="AZ192">
        <f>IF($A192="","",IFERROR(INDEX(Company_List!$H$3:$H$207,MATCH($A192,Company_List!$A$3:$A$207,0)),"unassigned"))</f>
        <v/>
      </c>
      <c r="BC192">
        <f>IF($A192="","",IF(COUNTIFS($A$3:$A192,$A192,$C$3:$C192,$C192,$D$3:$D192,$D192,$G$3:$G192,$G192)=1,1,0))</f>
        <v/>
      </c>
      <c r="BG192" t="inlineStr">
        <is>
          <t>no</t>
        </is>
      </c>
      <c r="BK192">
        <f>IF(OR($H192&lt;&gt;"Human",$S192="",$J192="",$Y192="",$Z192=""),"",IF(EXACT(UPPER($J192),UPPER($Y192)),1,0))</f>
        <v/>
      </c>
      <c r="BL192" t="inlineStr">
        <is>
          <t>assumed - no rater record</t>
        </is>
      </c>
      <c r="BM192" t="n">
        <v>1</v>
      </c>
      <c r="BN192" t="inlineStr">
        <is>
          <t>not publisher-identified</t>
        </is>
      </c>
      <c r="BO192" t="inlineStr">
        <is>
          <t>not publisher-identified</t>
        </is>
      </c>
      <c r="BP192" t="inlineStr">
        <is>
          <t>no</t>
        </is>
      </c>
      <c r="BQ192" t="inlineStr">
        <is>
          <t>no</t>
        </is>
      </c>
    </row>
    <row r="193">
      <c r="A193" s="100" t="inlineStr">
        <is>
          <t>Kraft Heinz</t>
        </is>
      </c>
      <c r="B193" s="116">
        <f>IF(A193="","",_xlfn.XLOOKUP(A193, Company_List!$A:$A, Company_List!$B:$B, ""))</f>
        <v/>
      </c>
      <c r="C193" s="105" t="n">
        <v>2025</v>
      </c>
      <c r="D193" s="106" t="inlineStr">
        <is>
          <t>Q4</t>
        </is>
      </c>
      <c r="E193" s="98" t="inlineStr">
        <is>
          <t>Transcript</t>
        </is>
      </c>
      <c r="F193" s="98" t="inlineStr">
        <is>
          <t>Financial Results</t>
        </is>
      </c>
      <c r="G193" s="143" t="inlineStr">
        <is>
          <t>Meriem</t>
        </is>
      </c>
      <c r="H193" s="106" t="inlineStr">
        <is>
          <t>Human</t>
        </is>
      </c>
      <c r="I193" s="145" t="n">
        <v>-0.2</v>
      </c>
      <c r="J193" s="145">
        <f>IF(OR(I193="",Settings!$B$6=""),"",IF(I193&gt;Settings!$B$6,"BUY",IF(I193&lt;-Settings!$B$6,"SELL","HOLD")))</f>
        <v/>
      </c>
      <c r="K193" s="145" t="n">
        <v>19</v>
      </c>
      <c r="L193" s="126" t="n">
        <v>46064</v>
      </c>
      <c r="M193" s="126" t="n">
        <v>46064</v>
      </c>
      <c r="N193" s="147" t="n">
        <v>24.99</v>
      </c>
      <c r="O193" s="126" t="n">
        <v>46065</v>
      </c>
      <c r="P193" s="145" t="n">
        <v>24.47</v>
      </c>
      <c r="Q193" s="150">
        <f>IF(OR(N193="",P193=""),"",ROUND((P193-N193)/N193,4))</f>
        <v/>
      </c>
      <c r="R193" s="106">
        <f>IF(OR(N193="",P193=""),"",IF(Q193&gt;Settings!$B$3/100,"UP",IF(Q193&lt;-Settings!$B$3/100,"DOWN","FLAT")))</f>
        <v/>
      </c>
      <c r="S193" s="106">
        <f>IF(OR(N193="",P193="",J193=""),"",IF(OR(AND(J193="BUY",R193="UP"),AND(J193="SELL",R193="DOWN"),AND(J193="HOLD",R193="FLAT")),"YES","NO"))</f>
        <v/>
      </c>
      <c r="T193" s="105">
        <f>IF(J193="","",IF(J193="BUY",1,IF(J193="SELL",-1,0)))</f>
        <v/>
      </c>
      <c r="U193" s="150">
        <f>IFERROR(IF(OR(J193="",N193="",P193=""),"",IF(T193=0,0,T193*Q193-Settings!$B$4/10000-IF(T193&lt;0,Settings!$B$5/10000,0))),"")</f>
        <v/>
      </c>
      <c r="V193" s="7" t="inlineStr">
        <is>
          <t>Although current performance remained weak, management's increased investment strategy and focus on higher-return initiatives support a neutral outlook.</t>
        </is>
      </c>
      <c r="W193" s="21">
        <f>IF($K193="","",$K193*60)</f>
        <v/>
      </c>
      <c r="X193" s="91">
        <f>IF($A193="","",$A193&amp;"|"&amp;$C193&amp;"|"&amp;$D193)</f>
        <v/>
      </c>
      <c r="Y193" s="91">
        <f>IFERROR(IF($X193="","",INDEX(LLM_Data_Entry!$H$3:$H$548,MATCH($X193,INDEX(LLM_Data_Entry!$A$3:$A$548&amp;"|"&amp;LLM_Data_Entry!$C$3:$C$548&amp;"|"&amp;LLM_Data_Entry!$D$3:$D$548,0),0))),"")</f>
        <v/>
      </c>
      <c r="Z193" s="91">
        <f>IFERROR(IF($X193="","",INDEX(LLM_Data_Entry!$R$3:$R$548,MATCH($X193,INDEX(LLM_Data_Entry!$A$3:$A$548&amp;"|"&amp;LLM_Data_Entry!$C$3:$C$548&amp;"|"&amp;LLM_Data_Entry!$D$3:$D$548,0),0))),"")</f>
        <v/>
      </c>
      <c r="AB193" t="inlineStr">
        <is>
          <t>release date + stated time</t>
        </is>
      </c>
      <c r="AC193" t="inlineStr">
        <is>
          <t>KHC</t>
        </is>
      </c>
      <c r="AD193" t="inlineStr">
        <is>
          <t>2026-02-10</t>
        </is>
      </c>
      <c r="AE193" t="n">
        <v>24.053</v>
      </c>
      <c r="AF193" t="inlineStr">
        <is>
          <t>2026-02-11</t>
        </is>
      </c>
      <c r="AG193" t="n">
        <v>22.9904</v>
      </c>
      <c r="AH193" t="n">
        <v>-0.04417676864599556</v>
      </c>
      <c r="AI193" t="inlineStr">
        <is>
          <t>DOWN</t>
        </is>
      </c>
      <c r="AJ193" t="inlineStr">
        <is>
          <t>NO</t>
        </is>
      </c>
      <c r="AK193" t="n">
        <v>0</v>
      </c>
      <c r="AL193">
        <f>IF($A193="","",IFERROR(INDEX(Company_List!$G$3:$G$207,MATCH($A193,Company_List!$A$3:$A$207,0)),"unassigned"))</f>
        <v/>
      </c>
      <c r="AM193" t="inlineStr">
        <is>
          <t>Phase 3/Readings/Kraft Heinz/KHC Q4 2025 Earnings Call Transcript.pdf</t>
        </is>
      </c>
      <c r="AO193" t="inlineStr">
        <is>
          <t>unique filename match</t>
        </is>
      </c>
      <c r="AP193">
        <f>IF($A193="","",IF(COUNTIFS(LLM_Data_Entry!$A$3:$A$548,$A193)&gt;0,"YES","NO"))</f>
        <v/>
      </c>
      <c r="AQ193">
        <f>IF($A193="","",IF(COUNTIFS($A$3:$A193,$A193,$C$3:$C193,$C193,$D$3:$D193,$D193)=1,"YES","NO"))</f>
        <v/>
      </c>
      <c r="AR193">
        <f>IF($A193="","",IF(AND($C193&amp;"-"&amp;$D193&gt;=Settings!$B$19,$C193&amp;"-"&amp;$D193&lt;=Settings!$B$20),"IN","OUT"))</f>
        <v/>
      </c>
      <c r="AS193">
        <f>IF($A193="","",IF($F193="Financial Results","financials",IF($F193="Outlook/Guidance","guidance",IF($F193="Transcript Q&amp;A","qanda",IF($F193="","unrecorded",IF($E193="All","full",IF($E193="","unrecorded",LOWER($E193)&amp;" only")))))))</f>
        <v/>
      </c>
      <c r="AT193">
        <f>IF(AND(OR($J193="BUY",$J193="SELL"),ISNUMBER($U193)),$U193,"")</f>
        <v/>
      </c>
      <c r="AU193">
        <f>IF(AND(OR($J193="BUY",$J193="SELL"),ISNUMBER($AK193)),$AK193,"")</f>
        <v/>
      </c>
      <c r="AV193">
        <f>IF(ISNUMBER($AT193),ABS(IF(ISNUMBER($I193),$I193,0)-Settings!$B$24),"")</f>
        <v/>
      </c>
      <c r="AW193">
        <f>IF(ISNUMBER($AV193),$AV193*$AT193,"")</f>
        <v/>
      </c>
      <c r="AX193">
        <f>IF(ISNUMBER($AU193),ABS(IF(ISNUMBER($I193),$I193,0)-Settings!$B$24),"")</f>
        <v/>
      </c>
      <c r="AY193">
        <f>IF(ISNUMBER($AX193),$AX193*$AU193,"")</f>
        <v/>
      </c>
      <c r="AZ193">
        <f>IF($A193="","",IFERROR(INDEX(Company_List!$H$3:$H$207,MATCH($A193,Company_List!$A$3:$A$207,0)),"unassigned"))</f>
        <v/>
      </c>
      <c r="BC193">
        <f>IF($A193="","",IF(COUNTIFS($A$3:$A193,$A193,$C$3:$C193,$C193,$D$3:$D193,$D193,$G$3:$G193,$G193)=1,1,0))</f>
        <v/>
      </c>
      <c r="BG193" t="inlineStr">
        <is>
          <t>no</t>
        </is>
      </c>
      <c r="BK193">
        <f>IF(OR($H193&lt;&gt;"Human",$S193="",$J193="",$Y193="",$Z193=""),"",IF(EXACT(UPPER($J193),UPPER($Y193)),1,0))</f>
        <v/>
      </c>
      <c r="BL193" t="inlineStr">
        <is>
          <t>assumed - no rater record</t>
        </is>
      </c>
      <c r="BM193" t="n">
        <v>1</v>
      </c>
      <c r="BN193" t="inlineStr">
        <is>
          <t>The Motley Fool</t>
        </is>
      </c>
      <c r="BO193" t="inlineStr">
        <is>
          <t>free to read, copyright asserted</t>
        </is>
      </c>
      <c r="BP193" t="inlineStr">
        <is>
          <t>no</t>
        </is>
      </c>
      <c r="BQ193" t="inlineStr">
        <is>
          <t>no</t>
        </is>
      </c>
    </row>
    <row r="194">
      <c r="A194" s="100" t="inlineStr">
        <is>
          <t>Kraft Heinz</t>
        </is>
      </c>
      <c r="B194" s="116">
        <f>IF(A194="","",_xlfn.XLOOKUP(A194, Company_List!$A:$A, Company_List!$B:$B, ""))</f>
        <v/>
      </c>
      <c r="C194" s="105" t="n">
        <v>2026</v>
      </c>
      <c r="D194" s="106" t="inlineStr">
        <is>
          <t>Q1</t>
        </is>
      </c>
      <c r="E194" s="98" t="inlineStr">
        <is>
          <t>Transcript</t>
        </is>
      </c>
      <c r="F194" s="98" t="inlineStr">
        <is>
          <t>Transcript Q&amp;A</t>
        </is>
      </c>
      <c r="G194" s="143" t="inlineStr">
        <is>
          <t>Meriem</t>
        </is>
      </c>
      <c r="H194" s="106" t="inlineStr">
        <is>
          <t>Human</t>
        </is>
      </c>
      <c r="I194" s="145" t="n">
        <v>-0.2</v>
      </c>
      <c r="J194" s="145">
        <f>IF(OR(I194="",Settings!$B$6=""),"",IF(I194&gt;Settings!$B$6,"BUY",IF(I194&lt;-Settings!$B$6,"SELL","HOLD")))</f>
        <v/>
      </c>
      <c r="K194" s="145" t="n">
        <v>30</v>
      </c>
      <c r="L194" s="126" t="n">
        <v>46148</v>
      </c>
      <c r="M194" s="126" t="n">
        <v>46148</v>
      </c>
      <c r="N194" s="147" t="n">
        <v>23.07</v>
      </c>
      <c r="O194" s="126" t="n">
        <v>46149</v>
      </c>
      <c r="P194" s="145" t="n">
        <v>23.01</v>
      </c>
      <c r="Q194" s="150">
        <f>IF(OR(N194="",P194=""),"",ROUND((P194-N194)/N194,4))</f>
        <v/>
      </c>
      <c r="R194" s="106">
        <f>IF(OR(N194="",P194=""),"",IF(Q194&gt;Settings!$B$3/100,"UP",IF(Q194&lt;-Settings!$B$3/100,"DOWN","FLAT")))</f>
        <v/>
      </c>
      <c r="S194" s="106">
        <f>IF(OR(N194="",P194="",J194=""),"",IF(OR(AND(J194="BUY",R194="UP"),AND(J194="SELL",R194="DOWN"),AND(J194="HOLD",R194="FLAT")),"YES","NO"))</f>
        <v/>
      </c>
      <c r="T194" s="105">
        <f>IF(J194="","",IF(J194="BUY",1,IF(J194="SELL",-1,0)))</f>
        <v/>
      </c>
      <c r="U194" s="150">
        <f>IFERROR(IF(OR(J194="",N194="",P194=""),"",IF(T194=0,0,T194*Q194-Settings!$B$4/10000-IF(T194&lt;0,Settings!$B$5/10000,0))),"")</f>
        <v/>
      </c>
      <c r="V194" s="7" t="inlineStr">
        <is>
          <t>Ongoing revenue pressure and inflation risks were balanced by continued investment in growth initiatives and marketing, suggesting limited near-term upside.</t>
        </is>
      </c>
      <c r="W194" s="21">
        <f>IF($K194="","",$K194*60)</f>
        <v/>
      </c>
      <c r="X194" s="91">
        <f>IF($A194="","",$A194&amp;"|"&amp;$C194&amp;"|"&amp;$D194)</f>
        <v/>
      </c>
      <c r="Y194" s="91">
        <f>IFERROR(IF($X194="","",INDEX(LLM_Data_Entry!$H$3:$H$548,MATCH($X194,INDEX(LLM_Data_Entry!$A$3:$A$548&amp;"|"&amp;LLM_Data_Entry!$C$3:$C$548&amp;"|"&amp;LLM_Data_Entry!$D$3:$D$548,0),0))),"")</f>
        <v/>
      </c>
      <c r="Z194" s="91">
        <f>IFERROR(IF($X194="","",INDEX(LLM_Data_Entry!$R$3:$R$548,MATCH($X194,INDEX(LLM_Data_Entry!$A$3:$A$548&amp;"|"&amp;LLM_Data_Entry!$C$3:$C$548&amp;"|"&amp;LLM_Data_Entry!$D$3:$D$548,0),0))),"")</f>
        <v/>
      </c>
      <c r="AB194" t="inlineStr">
        <is>
          <t>release date + stated time</t>
        </is>
      </c>
      <c r="AC194" t="inlineStr">
        <is>
          <t>KHC</t>
        </is>
      </c>
      <c r="AD194" t="inlineStr">
        <is>
          <t>2026-05-05</t>
        </is>
      </c>
      <c r="AE194" t="n">
        <v>22.1388</v>
      </c>
      <c r="AF194" t="inlineStr">
        <is>
          <t>2026-05-06</t>
        </is>
      </c>
      <c r="AG194" t="n">
        <v>22.7575</v>
      </c>
      <c r="AH194" t="n">
        <v>0.0279503014617634</v>
      </c>
      <c r="AI194" t="inlineStr">
        <is>
          <t>UP</t>
        </is>
      </c>
      <c r="AJ194" t="inlineStr">
        <is>
          <t>NO</t>
        </is>
      </c>
      <c r="AK194" t="n">
        <v>0</v>
      </c>
      <c r="AL194">
        <f>IF($A194="","",IFERROR(INDEX(Company_List!$G$3:$G$207,MATCH($A194,Company_List!$A$3:$A$207,0)),"unassigned"))</f>
        <v/>
      </c>
      <c r="AM194" t="inlineStr">
        <is>
          <t>Phase 3/Readings/Kraft Heinz/KHC Q1 2026 Earnings Transcript.pdf</t>
        </is>
      </c>
      <c r="AO194" t="inlineStr">
        <is>
          <t>unique filename match</t>
        </is>
      </c>
      <c r="AP194">
        <f>IF($A194="","",IF(COUNTIFS(LLM_Data_Entry!$A$3:$A$548,$A194)&gt;0,"YES","NO"))</f>
        <v/>
      </c>
      <c r="AQ194">
        <f>IF($A194="","",IF(COUNTIFS($A$3:$A194,$A194,$C$3:$C194,$C194,$D$3:$D194,$D194)=1,"YES","NO"))</f>
        <v/>
      </c>
      <c r="AR194">
        <f>IF($A194="","",IF(AND($C194&amp;"-"&amp;$D194&gt;=Settings!$B$19,$C194&amp;"-"&amp;$D194&lt;=Settings!$B$20),"IN","OUT"))</f>
        <v/>
      </c>
      <c r="AS194">
        <f>IF($A194="","",IF($F194="Financial Results","financials",IF($F194="Outlook/Guidance","guidance",IF($F194="Transcript Q&amp;A","qanda",IF($F194="","unrecorded",IF($E194="All","full",IF($E194="","unrecorded",LOWER($E194)&amp;" only")))))))</f>
        <v/>
      </c>
      <c r="AT194">
        <f>IF(AND(OR($J194="BUY",$J194="SELL"),ISNUMBER($U194)),$U194,"")</f>
        <v/>
      </c>
      <c r="AU194">
        <f>IF(AND(OR($J194="BUY",$J194="SELL"),ISNUMBER($AK194)),$AK194,"")</f>
        <v/>
      </c>
      <c r="AV194">
        <f>IF(ISNUMBER($AT194),ABS(IF(ISNUMBER($I194),$I194,0)-Settings!$B$24),"")</f>
        <v/>
      </c>
      <c r="AW194">
        <f>IF(ISNUMBER($AV194),$AV194*$AT194,"")</f>
        <v/>
      </c>
      <c r="AX194">
        <f>IF(ISNUMBER($AU194),ABS(IF(ISNUMBER($I194),$I194,0)-Settings!$B$24),"")</f>
        <v/>
      </c>
      <c r="AY194">
        <f>IF(ISNUMBER($AX194),$AX194*$AU194,"")</f>
        <v/>
      </c>
      <c r="AZ194">
        <f>IF($A194="","",IFERROR(INDEX(Company_List!$H$3:$H$207,MATCH($A194,Company_List!$A$3:$A$207,0)),"unassigned"))</f>
        <v/>
      </c>
      <c r="BC194">
        <f>IF($A194="","",IF(COUNTIFS($A$3:$A194,$A194,$C$3:$C194,$C194,$D$3:$D194,$D194,$G$3:$G194,$G194)=1,1,0))</f>
        <v/>
      </c>
      <c r="BG194" t="inlineStr">
        <is>
          <t>no</t>
        </is>
      </c>
      <c r="BK194">
        <f>IF(OR($H194&lt;&gt;"Human",$S194="",$J194="",$Y194="",$Z194=""),"",IF(EXACT(UPPER($J194),UPPER($Y194)),1,0))</f>
        <v/>
      </c>
      <c r="BL194" t="inlineStr">
        <is>
          <t>assumed - no rater record</t>
        </is>
      </c>
      <c r="BM194" t="n">
        <v>1</v>
      </c>
      <c r="BN194" t="inlineStr">
        <is>
          <t>The Motley Fool</t>
        </is>
      </c>
      <c r="BO194" t="inlineStr">
        <is>
          <t>free to read, copyright asserted</t>
        </is>
      </c>
      <c r="BP194" t="inlineStr">
        <is>
          <t>no</t>
        </is>
      </c>
      <c r="BQ194" t="inlineStr">
        <is>
          <t>no</t>
        </is>
      </c>
    </row>
    <row r="195">
      <c r="A195" s="100" t="inlineStr">
        <is>
          <t>Linde</t>
        </is>
      </c>
      <c r="B195" s="116">
        <f>IF(A195="","",_xlfn.XLOOKUP(A195, Company_List!$A:$A, Company_List!$B:$B, ""))</f>
        <v/>
      </c>
      <c r="C195" s="105" t="n">
        <v>2025</v>
      </c>
      <c r="D195" s="106" t="inlineStr">
        <is>
          <t>Q2</t>
        </is>
      </c>
      <c r="E195" s="98" t="inlineStr">
        <is>
          <t>Presentation</t>
        </is>
      </c>
      <c r="F195" s="98" t="inlineStr">
        <is>
          <t>All</t>
        </is>
      </c>
      <c r="G195" s="143" t="inlineStr">
        <is>
          <t>Meriem</t>
        </is>
      </c>
      <c r="H195" s="106" t="inlineStr">
        <is>
          <t>Human</t>
        </is>
      </c>
      <c r="I195" s="145" t="n">
        <v>0.4</v>
      </c>
      <c r="J195" s="145">
        <f>IF(OR(I195="",Settings!$B$6=""),"",IF(I195&gt;Settings!$B$6,"BUY",IF(I195&lt;-Settings!$B$6,"SELL","HOLD")))</f>
        <v/>
      </c>
      <c r="K195" s="145" t="n">
        <v>35</v>
      </c>
      <c r="L195" s="126" t="n">
        <v>45870</v>
      </c>
      <c r="M195" s="126" t="n">
        <v>45870</v>
      </c>
      <c r="N195" s="147" t="n">
        <v>459.41</v>
      </c>
      <c r="O195" s="126" t="n">
        <v>45873</v>
      </c>
      <c r="P195" s="145" t="n">
        <v>459.86</v>
      </c>
      <c r="Q195" s="150">
        <f>IF(OR(N195="",P195=""),"",ROUND((P195-N195)/N195,4))</f>
        <v/>
      </c>
      <c r="R195" s="106">
        <f>IF(OR(N195="",P195=""),"",IF(Q195&gt;Settings!$B$3/100,"UP",IF(Q195&lt;-Settings!$B$3/100,"DOWN","FLAT")))</f>
        <v/>
      </c>
      <c r="S195" s="106">
        <f>IF(OR(N195="",P195="",J195=""),"",IF(OR(AND(J195="BUY",R195="UP"),AND(J195="SELL",R195="DOWN"),AND(J195="HOLD",R195="FLAT")),"YES","NO"))</f>
        <v/>
      </c>
      <c r="T195" s="105">
        <f>IF(J195="","",IF(J195="BUY",1,IF(J195="SELL",-1,0)))</f>
        <v/>
      </c>
      <c r="U195" s="150">
        <f>IFERROR(IF(OR(J195="",N195="",P195=""),"",IF(T195=0,0,T195*Q195-Settings!$B$4/10000-IF(T195&lt;0,Settings!$B$5/10000,0))),"")</f>
        <v/>
      </c>
      <c r="V195" s="7" t="inlineStr">
        <is>
          <t>Strong earnings growth, improving profitability, and higher EBITDA indicate resilient financial performance despite modest volume weakness.</t>
        </is>
      </c>
      <c r="W195" s="21">
        <f>IF($K195="","",$K195*60)</f>
        <v/>
      </c>
      <c r="X195" s="91">
        <f>IF($A195="","",$A195&amp;"|"&amp;$C195&amp;"|"&amp;$D195)</f>
        <v/>
      </c>
      <c r="Y195" s="91">
        <f>IFERROR(IF($X195="","",INDEX(LLM_Data_Entry!$H$3:$H$548,MATCH($X195,INDEX(LLM_Data_Entry!$A$3:$A$548&amp;"|"&amp;LLM_Data_Entry!$C$3:$C$548&amp;"|"&amp;LLM_Data_Entry!$D$3:$D$548,0),0))),"")</f>
        <v/>
      </c>
      <c r="Z195" s="91">
        <f>IFERROR(IF($X195="","",INDEX(LLM_Data_Entry!$R$3:$R$548,MATCH($X195,INDEX(LLM_Data_Entry!$A$3:$A$548&amp;"|"&amp;LLM_Data_Entry!$C$3:$C$548&amp;"|"&amp;LLM_Data_Entry!$D$3:$D$548,0),0))),"")</f>
        <v/>
      </c>
      <c r="AB195" t="inlineStr">
        <is>
          <t>release time published by the issuer</t>
        </is>
      </c>
      <c r="AC195" t="inlineStr">
        <is>
          <t>LIN</t>
        </is>
      </c>
      <c r="AD195" t="inlineStr">
        <is>
          <t>2025-07-31</t>
        </is>
      </c>
      <c r="AE195" t="n">
        <v>454.1467</v>
      </c>
      <c r="AF195" t="inlineStr">
        <is>
          <t>2025-08-01</t>
        </is>
      </c>
      <c r="AG195" t="n">
        <v>452.2424</v>
      </c>
      <c r="AH195" t="n">
        <v>-0.004193263791559401</v>
      </c>
      <c r="AI195" t="inlineStr">
        <is>
          <t>FLAT</t>
        </is>
      </c>
      <c r="AJ195" t="inlineStr">
        <is>
          <t>NO</t>
        </is>
      </c>
      <c r="AK195" t="n">
        <v>-0.005193</v>
      </c>
      <c r="AL195">
        <f>IF($A195="","",IFERROR(INDEX(Company_List!$G$3:$G$207,MATCH($A195,Company_List!$A$3:$A$207,0)),"unassigned"))</f>
        <v/>
      </c>
      <c r="AM195" t="inlineStr">
        <is>
          <t>Phase 3/Readings/Linde/2025-Q2/LIN-2025-Q2-earnings-presentation-linde-com.pdf</t>
        </is>
      </c>
      <c r="AN195" t="inlineStr">
        <is>
          <t>https://assets.linde.com/-/media/global/corporate/corporate/documents/investors/quarterly-earnings/linde2q25teleconferenceslides.pdf</t>
        </is>
      </c>
      <c r="AO195" t="inlineStr">
        <is>
          <t>manifest</t>
        </is>
      </c>
      <c r="AP195">
        <f>IF($A195="","",IF(COUNTIFS(LLM_Data_Entry!$A$3:$A$548,$A195)&gt;0,"YES","NO"))</f>
        <v/>
      </c>
      <c r="AQ195">
        <f>IF($A195="","",IF(COUNTIFS($A$3:$A195,$A195,$C$3:$C195,$C195,$D$3:$D195,$D195)=1,"YES","NO"))</f>
        <v/>
      </c>
      <c r="AR195">
        <f>IF($A195="","",IF(AND($C195&amp;"-"&amp;$D195&gt;=Settings!$B$19,$C195&amp;"-"&amp;$D195&lt;=Settings!$B$20),"IN","OUT"))</f>
        <v/>
      </c>
      <c r="AS195">
        <f>IF($A195="","",IF($F195="Financial Results","financials",IF($F195="Outlook/Guidance","guidance",IF($F195="Transcript Q&amp;A","qanda",IF($F195="","unrecorded",IF($E195="All","full",IF($E195="","unrecorded",LOWER($E195)&amp;" only")))))))</f>
        <v/>
      </c>
      <c r="AT195">
        <f>IF(AND(OR($J195="BUY",$J195="SELL"),ISNUMBER($U195)),$U195,"")</f>
        <v/>
      </c>
      <c r="AU195">
        <f>IF(AND(OR($J195="BUY",$J195="SELL"),ISNUMBER($AK195)),$AK195,"")</f>
        <v/>
      </c>
      <c r="AV195">
        <f>IF(ISNUMBER($AT195),ABS(IF(ISNUMBER($I195),$I195,0)-Settings!$B$24),"")</f>
        <v/>
      </c>
      <c r="AW195">
        <f>IF(ISNUMBER($AV195),$AV195*$AT195,"")</f>
        <v/>
      </c>
      <c r="AX195">
        <f>IF(ISNUMBER($AU195),ABS(IF(ISNUMBER($I195),$I195,0)-Settings!$B$24),"")</f>
        <v/>
      </c>
      <c r="AY195">
        <f>IF(ISNUMBER($AX195),$AX195*$AU195,"")</f>
        <v/>
      </c>
      <c r="AZ195">
        <f>IF($A195="","",IFERROR(INDEX(Company_List!$H$3:$H$207,MATCH($A195,Company_List!$A$3:$A$207,0)),"unassigned"))</f>
        <v/>
      </c>
      <c r="BC195">
        <f>IF($A195="","",IF(COUNTIFS($A$3:$A195,$A195,$C$3:$C195,$C195,$D$3:$D195,$D195,$G$3:$G195,$G195)=1,1,0))</f>
        <v/>
      </c>
      <c r="BG195" t="inlineStr">
        <is>
          <t>no</t>
        </is>
      </c>
      <c r="BK195">
        <f>IF(OR($H195&lt;&gt;"Human",$S195="",$J195="",$Y195="",$Z195=""),"",IF(EXACT(UPPER($J195),UPPER($Y195)),1,0))</f>
        <v/>
      </c>
      <c r="BL195" t="inlineStr">
        <is>
          <t>assumed - no rater record</t>
        </is>
      </c>
      <c r="BM195" t="n">
        <v>1</v>
      </c>
      <c r="BN195" t="inlineStr">
        <is>
          <t>not publisher-identified</t>
        </is>
      </c>
      <c r="BO195" t="inlineStr">
        <is>
          <t>not publisher-identified</t>
        </is>
      </c>
      <c r="BP195" t="inlineStr">
        <is>
          <t>no</t>
        </is>
      </c>
      <c r="BQ195" t="inlineStr">
        <is>
          <t>yes</t>
        </is>
      </c>
    </row>
    <row r="196">
      <c r="A196" s="100" t="inlineStr">
        <is>
          <t>Linde</t>
        </is>
      </c>
      <c r="B196" s="116">
        <f>IF(A196="","",_xlfn.XLOOKUP(A196, Company_List!$A:$A, Company_List!$B:$B, ""))</f>
        <v/>
      </c>
      <c r="C196" s="105" t="n">
        <v>2025</v>
      </c>
      <c r="D196" s="106" t="inlineStr">
        <is>
          <t>Q3</t>
        </is>
      </c>
      <c r="E196" s="98" t="inlineStr">
        <is>
          <t>Transcript</t>
        </is>
      </c>
      <c r="F196" s="98" t="inlineStr">
        <is>
          <t>Financial Results</t>
        </is>
      </c>
      <c r="G196" s="143" t="inlineStr">
        <is>
          <t>Meriem</t>
        </is>
      </c>
      <c r="H196" s="106" t="inlineStr">
        <is>
          <t>Human</t>
        </is>
      </c>
      <c r="I196" s="145" t="n">
        <v>0.2</v>
      </c>
      <c r="J196" s="145">
        <f>IF(OR(I196="",Settings!$B$6=""),"",IF(I196&gt;Settings!$B$6,"BUY",IF(I196&lt;-Settings!$B$6,"SELL","HOLD")))</f>
        <v/>
      </c>
      <c r="K196" s="145" t="n">
        <v>24</v>
      </c>
      <c r="L196" s="126" t="n">
        <v>45961</v>
      </c>
      <c r="M196" s="126" t="n">
        <v>45961</v>
      </c>
      <c r="N196" s="147" t="n">
        <v>418.3</v>
      </c>
      <c r="O196" s="126" t="n">
        <v>45964</v>
      </c>
      <c r="P196" s="145" t="n">
        <v>422.25</v>
      </c>
      <c r="Q196" s="150">
        <f>IF(OR(N196="",P196=""),"",ROUND((P196-N196)/N196,4))</f>
        <v/>
      </c>
      <c r="R196" s="106">
        <f>IF(OR(N196="",P196=""),"",IF(Q196&gt;Settings!$B$3/100,"UP",IF(Q196&lt;-Settings!$B$3/100,"DOWN","FLAT")))</f>
        <v/>
      </c>
      <c r="S196" s="106">
        <f>IF(OR(N196="",P196="",J196=""),"",IF(OR(AND(J196="BUY",R196="UP"),AND(J196="SELL",R196="DOWN"),AND(J196="HOLD",R196="FLAT")),"YES","NO"))</f>
        <v/>
      </c>
      <c r="T196" s="105">
        <f>IF(J196="","",IF(J196="BUY",1,IF(J196="SELL",-1,0)))</f>
        <v/>
      </c>
      <c r="U196" s="150">
        <f>IFERROR(IF(OR(J196="",N196="",P196=""),"",IF(T196=0,0,T196*Q196-Settings!$B$4/10000-IF(T196&lt;0,Settings!$B$5/10000,0))),"")</f>
        <v/>
      </c>
      <c r="V196" s="7" t="inlineStr">
        <is>
          <t>Continued earnings growth and cash generation were tempered by cautious management commentary and a challenging macroeconomic environment.</t>
        </is>
      </c>
      <c r="W196" s="21">
        <f>IF($K196="","",$K196*60)</f>
        <v/>
      </c>
      <c r="X196" s="91">
        <f>IF($A196="","",$A196&amp;"|"&amp;$C196&amp;"|"&amp;$D196)</f>
        <v/>
      </c>
      <c r="Y196" s="91">
        <f>IFERROR(IF($X196="","",INDEX(LLM_Data_Entry!$H$3:$H$548,MATCH($X196,INDEX(LLM_Data_Entry!$A$3:$A$548&amp;"|"&amp;LLM_Data_Entry!$C$3:$C$548&amp;"|"&amp;LLM_Data_Entry!$D$3:$D$548,0),0))),"")</f>
        <v/>
      </c>
      <c r="Z196" s="91">
        <f>IFERROR(IF($X196="","",INDEX(LLM_Data_Entry!$R$3:$R$548,MATCH($X196,INDEX(LLM_Data_Entry!$A$3:$A$548&amp;"|"&amp;LLM_Data_Entry!$C$3:$C$548&amp;"|"&amp;LLM_Data_Entry!$D$3:$D$548,0),0))),"")</f>
        <v/>
      </c>
      <c r="AB196" t="inlineStr">
        <is>
          <t>document date + price signal</t>
        </is>
      </c>
      <c r="AC196" t="inlineStr">
        <is>
          <t>LIN</t>
        </is>
      </c>
      <c r="AD196" t="inlineStr">
        <is>
          <t>2025-10-30</t>
        </is>
      </c>
      <c r="AE196" t="n">
        <v>425.5529</v>
      </c>
      <c r="AF196" t="inlineStr">
        <is>
          <t>2025-10-31</t>
        </is>
      </c>
      <c r="AG196" t="n">
        <v>420.6926</v>
      </c>
      <c r="AH196" t="n">
        <v>-0.01142098467691608</v>
      </c>
      <c r="AI196" t="inlineStr">
        <is>
          <t>FLAT</t>
        </is>
      </c>
      <c r="AJ196" t="inlineStr">
        <is>
          <t>YES</t>
        </is>
      </c>
      <c r="AK196" t="n">
        <v>0</v>
      </c>
      <c r="AL196">
        <f>IF($A196="","",IFERROR(INDEX(Company_List!$G$3:$G$207,MATCH($A196,Company_List!$A$3:$A$207,0)),"unassigned"))</f>
        <v/>
      </c>
      <c r="AM196" t="inlineStr">
        <is>
          <t>Phase 3/Readings/Linde/LIN Q3 2025 transcript.pdf</t>
        </is>
      </c>
      <c r="AO196" t="inlineStr">
        <is>
          <t>unique filename match</t>
        </is>
      </c>
      <c r="AP196">
        <f>IF($A196="","",IF(COUNTIFS(LLM_Data_Entry!$A$3:$A$548,$A196)&gt;0,"YES","NO"))</f>
        <v/>
      </c>
      <c r="AQ196">
        <f>IF($A196="","",IF(COUNTIFS($A$3:$A196,$A196,$C$3:$C196,$C196,$D$3:$D196,$D196)=1,"YES","NO"))</f>
        <v/>
      </c>
      <c r="AR196">
        <f>IF($A196="","",IF(AND($C196&amp;"-"&amp;$D196&gt;=Settings!$B$19,$C196&amp;"-"&amp;$D196&lt;=Settings!$B$20),"IN","OUT"))</f>
        <v/>
      </c>
      <c r="AS196">
        <f>IF($A196="","",IF($F196="Financial Results","financials",IF($F196="Outlook/Guidance","guidance",IF($F196="Transcript Q&amp;A","qanda",IF($F196="","unrecorded",IF($E196="All","full",IF($E196="","unrecorded",LOWER($E196)&amp;" only")))))))</f>
        <v/>
      </c>
      <c r="AT196">
        <f>IF(AND(OR($J196="BUY",$J196="SELL"),ISNUMBER($U196)),$U196,"")</f>
        <v/>
      </c>
      <c r="AU196">
        <f>IF(AND(OR($J196="BUY",$J196="SELL"),ISNUMBER($AK196)),$AK196,"")</f>
        <v/>
      </c>
      <c r="AV196">
        <f>IF(ISNUMBER($AT196),ABS(IF(ISNUMBER($I196),$I196,0)-Settings!$B$24),"")</f>
        <v/>
      </c>
      <c r="AW196">
        <f>IF(ISNUMBER($AV196),$AV196*$AT196,"")</f>
        <v/>
      </c>
      <c r="AX196">
        <f>IF(ISNUMBER($AU196),ABS(IF(ISNUMBER($I196),$I196,0)-Settings!$B$24),"")</f>
        <v/>
      </c>
      <c r="AY196">
        <f>IF(ISNUMBER($AX196),$AX196*$AU196,"")</f>
        <v/>
      </c>
      <c r="AZ196">
        <f>IF($A196="","",IFERROR(INDEX(Company_List!$H$3:$H$207,MATCH($A196,Company_List!$A$3:$A$207,0)),"unassigned"))</f>
        <v/>
      </c>
      <c r="BC196">
        <f>IF($A196="","",IF(COUNTIFS($A$3:$A196,$A196,$C$3:$C196,$C196,$D$3:$D196,$D196,$G$3:$G196,$G196)=1,1,0))</f>
        <v/>
      </c>
      <c r="BG196" t="inlineStr">
        <is>
          <t>no</t>
        </is>
      </c>
      <c r="BK196">
        <f>IF(OR($H196&lt;&gt;"Human",$S196="",$J196="",$Y196="",$Z196=""),"",IF(EXACT(UPPER($J196),UPPER($Y196)),1,0))</f>
        <v/>
      </c>
      <c r="BL196" t="inlineStr">
        <is>
          <t>assumed - no rater record</t>
        </is>
      </c>
      <c r="BM196" t="n">
        <v>1</v>
      </c>
      <c r="BN196" t="inlineStr">
        <is>
          <t>not publisher-identified</t>
        </is>
      </c>
      <c r="BO196" t="inlineStr">
        <is>
          <t>not publisher-identified</t>
        </is>
      </c>
      <c r="BP196" t="inlineStr">
        <is>
          <t>no</t>
        </is>
      </c>
      <c r="BQ196" t="inlineStr">
        <is>
          <t>no</t>
        </is>
      </c>
    </row>
    <row r="197">
      <c r="A197" s="100" t="inlineStr">
        <is>
          <t>Linde</t>
        </is>
      </c>
      <c r="B197" s="116">
        <f>IF(A197="","",_xlfn.XLOOKUP(A197, Company_List!$A:$A, Company_List!$B:$B, ""))</f>
        <v/>
      </c>
      <c r="C197" s="105" t="n">
        <v>2026</v>
      </c>
      <c r="D197" s="106" t="inlineStr">
        <is>
          <t>Q1</t>
        </is>
      </c>
      <c r="E197" s="98" t="inlineStr">
        <is>
          <t>Transcript</t>
        </is>
      </c>
      <c r="F197" s="98" t="inlineStr">
        <is>
          <t>Transcript Q&amp;A</t>
        </is>
      </c>
      <c r="G197" s="143" t="inlineStr">
        <is>
          <t>Meriem</t>
        </is>
      </c>
      <c r="H197" s="106" t="inlineStr">
        <is>
          <t>Human</t>
        </is>
      </c>
      <c r="I197" s="145" t="n">
        <v>0.1</v>
      </c>
      <c r="J197" s="145">
        <f>IF(OR(I197="",Settings!$B$6=""),"",IF(I197&gt;Settings!$B$6,"BUY",IF(I197&lt;-Settings!$B$6,"SELL","HOLD")))</f>
        <v/>
      </c>
      <c r="K197" s="145" t="n">
        <v>42</v>
      </c>
      <c r="L197" s="126" t="n">
        <v>46143</v>
      </c>
      <c r="M197" s="126" t="n">
        <v>46143</v>
      </c>
      <c r="N197" s="147" t="n">
        <v>507.92</v>
      </c>
      <c r="O197" s="126" t="n">
        <v>46146</v>
      </c>
      <c r="P197" s="145" t="n">
        <v>503.58</v>
      </c>
      <c r="Q197" s="150">
        <f>IF(OR(N197="",P197=""),"",ROUND((P197-N197)/N197,4))</f>
        <v/>
      </c>
      <c r="R197" s="106">
        <f>IF(OR(N197="",P197=""),"",IF(Q197&gt;Settings!$B$3/100,"UP",IF(Q197&lt;-Settings!$B$3/100,"DOWN","FLAT")))</f>
        <v/>
      </c>
      <c r="S197" s="106">
        <f>IF(OR(N197="",P197="",J197=""),"",IF(OR(AND(J197="BUY",R197="UP"),AND(J197="SELL",R197="DOWN"),AND(J197="HOLD",R197="FLAT")),"YES","NO"))</f>
        <v/>
      </c>
      <c r="T197" s="105">
        <f>IF(J197="","",IF(J197="BUY",1,IF(J197="SELL",-1,0)))</f>
        <v/>
      </c>
      <c r="U197" s="150">
        <f>IFERROR(IF(OR(J197="",N197="",P197=""),"",IF(T197=0,0,T197*Q197-Settings!$B$4/10000-IF(T197&lt;0,Settings!$B$5/10000,0))),"")</f>
        <v/>
      </c>
      <c r="V197" s="7" t="inlineStr">
        <is>
          <t>Mixed regional performance and cautious management outlook were partially offset by expected growth in electronics and improving conditions in the Americas.</t>
        </is>
      </c>
      <c r="W197" s="21">
        <f>IF($K197="","",$K197*60)</f>
        <v/>
      </c>
      <c r="X197" s="91">
        <f>IF($A197="","",$A197&amp;"|"&amp;$C197&amp;"|"&amp;$D197)</f>
        <v/>
      </c>
      <c r="Y197" s="91">
        <f>IFERROR(IF($X197="","",INDEX(LLM_Data_Entry!$H$3:$H$548,MATCH($X197,INDEX(LLM_Data_Entry!$A$3:$A$548&amp;"|"&amp;LLM_Data_Entry!$C$3:$C$548&amp;"|"&amp;LLM_Data_Entry!$D$3:$D$548,0),0))),"")</f>
        <v/>
      </c>
      <c r="Z197" s="91">
        <f>IFERROR(IF($X197="","",INDEX(LLM_Data_Entry!$R$3:$R$548,MATCH($X197,INDEX(LLM_Data_Entry!$A$3:$A$548&amp;"|"&amp;LLM_Data_Entry!$C$3:$C$548&amp;"|"&amp;LLM_Data_Entry!$D$3:$D$548,0),0))),"")</f>
        <v/>
      </c>
      <c r="AB197" t="inlineStr">
        <is>
          <t>release time published by the issuer</t>
        </is>
      </c>
      <c r="AC197" t="inlineStr">
        <is>
          <t>LIN</t>
        </is>
      </c>
      <c r="AD197" t="inlineStr">
        <is>
          <t>2026-04-30</t>
        </is>
      </c>
      <c r="AE197" t="n">
        <v>499.5603</v>
      </c>
      <c r="AF197" t="inlineStr">
        <is>
          <t>2026-05-01</t>
        </is>
      </c>
      <c r="AG197" t="n">
        <v>501.7733</v>
      </c>
      <c r="AH197" t="n">
        <v>0.004429800472402943</v>
      </c>
      <c r="AI197" t="inlineStr">
        <is>
          <t>FLAT</t>
        </is>
      </c>
      <c r="AJ197" t="inlineStr">
        <is>
          <t>YES</t>
        </is>
      </c>
      <c r="AK197" t="n">
        <v>0</v>
      </c>
      <c r="AL197">
        <f>IF($A197="","",IFERROR(INDEX(Company_List!$G$3:$G$207,MATCH($A197,Company_List!$A$3:$A$207,0)),"unassigned"))</f>
        <v/>
      </c>
      <c r="AM197" t="inlineStr">
        <is>
          <t>Phase 3/Readings/Linde/LIN Q1 2026 transcript.pdf</t>
        </is>
      </c>
      <c r="AO197" t="inlineStr">
        <is>
          <t>unique filename match</t>
        </is>
      </c>
      <c r="AP197">
        <f>IF($A197="","",IF(COUNTIFS(LLM_Data_Entry!$A$3:$A$548,$A197)&gt;0,"YES","NO"))</f>
        <v/>
      </c>
      <c r="AQ197">
        <f>IF($A197="","",IF(COUNTIFS($A$3:$A197,$A197,$C$3:$C197,$C197,$D$3:$D197,$D197)=1,"YES","NO"))</f>
        <v/>
      </c>
      <c r="AR197">
        <f>IF($A197="","",IF(AND($C197&amp;"-"&amp;$D197&gt;=Settings!$B$19,$C197&amp;"-"&amp;$D197&lt;=Settings!$B$20),"IN","OUT"))</f>
        <v/>
      </c>
      <c r="AS197">
        <f>IF($A197="","",IF($F197="Financial Results","financials",IF($F197="Outlook/Guidance","guidance",IF($F197="Transcript Q&amp;A","qanda",IF($F197="","unrecorded",IF($E197="All","full",IF($E197="","unrecorded",LOWER($E197)&amp;" only")))))))</f>
        <v/>
      </c>
      <c r="AT197">
        <f>IF(AND(OR($J197="BUY",$J197="SELL"),ISNUMBER($U197)),$U197,"")</f>
        <v/>
      </c>
      <c r="AU197">
        <f>IF(AND(OR($J197="BUY",$J197="SELL"),ISNUMBER($AK197)),$AK197,"")</f>
        <v/>
      </c>
      <c r="AV197">
        <f>IF(ISNUMBER($AT197),ABS(IF(ISNUMBER($I197),$I197,0)-Settings!$B$24),"")</f>
        <v/>
      </c>
      <c r="AW197">
        <f>IF(ISNUMBER($AV197),$AV197*$AT197,"")</f>
        <v/>
      </c>
      <c r="AX197">
        <f>IF(ISNUMBER($AU197),ABS(IF(ISNUMBER($I197),$I197,0)-Settings!$B$24),"")</f>
        <v/>
      </c>
      <c r="AY197">
        <f>IF(ISNUMBER($AX197),$AX197*$AU197,"")</f>
        <v/>
      </c>
      <c r="AZ197">
        <f>IF($A197="","",IFERROR(INDEX(Company_List!$H$3:$H$207,MATCH($A197,Company_List!$A$3:$A$207,0)),"unassigned"))</f>
        <v/>
      </c>
      <c r="BC197">
        <f>IF($A197="","",IF(COUNTIFS($A$3:$A197,$A197,$C$3:$C197,$C197,$D$3:$D197,$D197,$G$3:$G197,$G197)=1,1,0))</f>
        <v/>
      </c>
      <c r="BG197" t="inlineStr">
        <is>
          <t>no</t>
        </is>
      </c>
      <c r="BK197">
        <f>IF(OR($H197&lt;&gt;"Human",$S197="",$J197="",$Y197="",$Z197=""),"",IF(EXACT(UPPER($J197),UPPER($Y197)),1,0))</f>
        <v/>
      </c>
      <c r="BL197" t="inlineStr">
        <is>
          <t>assumed - no rater record</t>
        </is>
      </c>
      <c r="BM197" t="n">
        <v>1</v>
      </c>
      <c r="BN197" t="inlineStr">
        <is>
          <t>not publisher-identified</t>
        </is>
      </c>
      <c r="BO197" t="inlineStr">
        <is>
          <t>not publisher-identified</t>
        </is>
      </c>
      <c r="BP197" t="inlineStr">
        <is>
          <t>no</t>
        </is>
      </c>
      <c r="BQ197" t="inlineStr">
        <is>
          <t>no</t>
        </is>
      </c>
    </row>
    <row r="198">
      <c r="A198" s="100" t="inlineStr">
        <is>
          <t>Puma</t>
        </is>
      </c>
      <c r="B198" s="116">
        <f>IF(A198="","",_xlfn.XLOOKUP(A198, Company_List!$A:$A, Company_List!$B:$B, ""))</f>
        <v/>
      </c>
      <c r="C198" s="105" t="n">
        <v>2026</v>
      </c>
      <c r="D198" s="106" t="inlineStr">
        <is>
          <t>Q1</t>
        </is>
      </c>
      <c r="E198" s="98" t="inlineStr">
        <is>
          <t>Transcript</t>
        </is>
      </c>
      <c r="F198" s="98" t="inlineStr">
        <is>
          <t>All</t>
        </is>
      </c>
      <c r="G198" s="143" t="inlineStr">
        <is>
          <t>Anna</t>
        </is>
      </c>
      <c r="H198" s="106" t="inlineStr">
        <is>
          <t>Human</t>
        </is>
      </c>
      <c r="I198" s="145" t="n">
        <v>-0.4</v>
      </c>
      <c r="J198" s="145">
        <f>IF(OR(I198="",Settings!$B$6=""),"",IF(I198&gt;Settings!$B$6,"BUY",IF(I198&lt;-Settings!$B$6,"SELL","HOLD")))</f>
        <v/>
      </c>
      <c r="K198" s="145" t="n">
        <v>34</v>
      </c>
      <c r="L198" s="126" t="n">
        <v>46142</v>
      </c>
      <c r="M198" s="126" t="n">
        <v>46142</v>
      </c>
      <c r="N198" s="147" t="n">
        <v>25.98</v>
      </c>
      <c r="O198" s="126" t="n">
        <v>46146</v>
      </c>
      <c r="P198" s="145" t="n">
        <v>26.05</v>
      </c>
      <c r="Q198" s="150">
        <f>IF(OR(N198="",P198=""),"",ROUND((P198-N198)/N198,4))</f>
        <v/>
      </c>
      <c r="R198" s="106">
        <f>IF(OR(N198="",P198=""),"",IF(Q198&gt;Settings!$B$3/100,"UP",IF(Q198&lt;-Settings!$B$3/100,"DOWN","FLAT")))</f>
        <v/>
      </c>
      <c r="S198" s="106">
        <f>IF(OR(N198="",P198="",J198=""),"",IF(OR(AND(J198="BUY",R198="UP"),AND(J198="SELL",R198="DOWN"),AND(J198="HOLD",R198="FLAT")),"YES","NO"))</f>
        <v/>
      </c>
      <c r="T198" s="105">
        <f>IF(J198="","",IF(J198="BUY",1,IF(J198="SELL",-1,0)))</f>
        <v/>
      </c>
      <c r="U198" s="150">
        <f>IFERROR(IF(OR(J198="",N198="",P198=""),"",IF(T198=0,0,T198*Q198-Settings!$B$4/10000-IF(T198&lt;0,Settings!$B$5/10000,0))),"")</f>
        <v/>
      </c>
      <c r="W198" s="21">
        <f>IF($K198="","",$K198*60)</f>
        <v/>
      </c>
      <c r="X198" s="91">
        <f>IF($A198="","",$A198&amp;"|"&amp;$C198&amp;"|"&amp;$D198)</f>
        <v/>
      </c>
      <c r="Y198" s="91">
        <f>IFERROR(IF($X198="","",INDEX(LLM_Data_Entry!$H$3:$H$548,MATCH($X198,INDEX(LLM_Data_Entry!$A$3:$A$548&amp;"|"&amp;LLM_Data_Entry!$C$3:$C$548&amp;"|"&amp;LLM_Data_Entry!$D$3:$D$548,0),0))),"")</f>
        <v/>
      </c>
      <c r="Z198" s="91">
        <f>IFERROR(IF($X198="","",INDEX(LLM_Data_Entry!$R$3:$R$548,MATCH($X198,INDEX(LLM_Data_Entry!$A$3:$A$548&amp;"|"&amp;LLM_Data_Entry!$C$3:$C$548&amp;"|"&amp;LLM_Data_Entry!$D$3:$D$548,0),0))),"")</f>
        <v/>
      </c>
      <c r="AB198" t="inlineStr">
        <is>
          <t>earnings calendar, seconded by the issuer's habit</t>
        </is>
      </c>
      <c r="AC198" t="inlineStr">
        <is>
          <t>PUM.DE</t>
        </is>
      </c>
      <c r="AD198" t="inlineStr">
        <is>
          <t>2026-04-29</t>
        </is>
      </c>
      <c r="AE198" t="n">
        <v>24.68</v>
      </c>
      <c r="AF198" t="inlineStr">
        <is>
          <t>2026-04-30</t>
        </is>
      </c>
      <c r="AG198" t="n">
        <v>24.94</v>
      </c>
      <c r="AH198" t="n">
        <v>0.01053488654781195</v>
      </c>
      <c r="AI198" t="inlineStr">
        <is>
          <t>FLAT</t>
        </is>
      </c>
      <c r="AJ198" t="inlineStr">
        <is>
          <t>NO</t>
        </is>
      </c>
      <c r="AK198" t="n">
        <v>-0.011535</v>
      </c>
      <c r="AL198">
        <f>IF($A198="","",IFERROR(INDEX(Company_List!$G$3:$G$207,MATCH($A198,Company_List!$A$3:$A$207,0)),"unassigned"))</f>
        <v/>
      </c>
      <c r="AM198" t="inlineStr">
        <is>
          <t>Phase 3/Readings/Puma/Puma Q1 2026.pdf</t>
        </is>
      </c>
      <c r="AO198" t="inlineStr">
        <is>
          <t>unique filename match</t>
        </is>
      </c>
      <c r="AP198">
        <f>IF($A198="","",IF(COUNTIFS(LLM_Data_Entry!$A$3:$A$548,$A198)&gt;0,"YES","NO"))</f>
        <v/>
      </c>
      <c r="AQ198">
        <f>IF($A198="","",IF(COUNTIFS($A$3:$A198,$A198,$C$3:$C198,$C198,$D$3:$D198,$D198)=1,"YES","NO"))</f>
        <v/>
      </c>
      <c r="AR198">
        <f>IF($A198="","",IF(AND($C198&amp;"-"&amp;$D198&gt;=Settings!$B$19,$C198&amp;"-"&amp;$D198&lt;=Settings!$B$20),"IN","OUT"))</f>
        <v/>
      </c>
      <c r="AS198">
        <f>IF($A198="","",IF($F198="Financial Results","financials",IF($F198="Outlook/Guidance","guidance",IF($F198="Transcript Q&amp;A","qanda",IF($F198="","unrecorded",IF($E198="All","full",IF($E198="","unrecorded",LOWER($E198)&amp;" only")))))))</f>
        <v/>
      </c>
      <c r="AT198">
        <f>IF(AND(OR($J198="BUY",$J198="SELL"),ISNUMBER($U198)),$U198,"")</f>
        <v/>
      </c>
      <c r="AU198">
        <f>IF(AND(OR($J198="BUY",$J198="SELL"),ISNUMBER($AK198)),$AK198,"")</f>
        <v/>
      </c>
      <c r="AV198">
        <f>IF(ISNUMBER($AT198),ABS(IF(ISNUMBER($I198),$I198,0)-Settings!$B$24),"")</f>
        <v/>
      </c>
      <c r="AW198">
        <f>IF(ISNUMBER($AV198),$AV198*$AT198,"")</f>
        <v/>
      </c>
      <c r="AX198">
        <f>IF(ISNUMBER($AU198),ABS(IF(ISNUMBER($I198),$I198,0)-Settings!$B$24),"")</f>
        <v/>
      </c>
      <c r="AY198">
        <f>IF(ISNUMBER($AX198),$AX198*$AU198,"")</f>
        <v/>
      </c>
      <c r="AZ198">
        <f>IF($A198="","",IFERROR(INDEX(Company_List!$H$3:$H$207,MATCH($A198,Company_List!$A$3:$A$207,0)),"unassigned"))</f>
        <v/>
      </c>
      <c r="BC198">
        <f>IF($A198="","",IF(COUNTIFS($A$3:$A198,$A198,$C$3:$C198,$C198,$D$3:$D198,$D198,$G$3:$G198,$G198)=1,1,0))</f>
        <v/>
      </c>
      <c r="BG198" t="inlineStr">
        <is>
          <t>no</t>
        </is>
      </c>
      <c r="BK198">
        <f>IF(OR($H198&lt;&gt;"Human",$S198="",$J198="",$Y198="",$Z198=""),"",IF(EXACT(UPPER($J198),UPPER($Y198)),1,0))</f>
        <v/>
      </c>
      <c r="BL198" t="inlineStr">
        <is>
          <t>assumed - no rater record</t>
        </is>
      </c>
      <c r="BM198" t="n">
        <v>1</v>
      </c>
      <c r="BN198" t="inlineStr">
        <is>
          <t>not publisher-identified</t>
        </is>
      </c>
      <c r="BO198" t="inlineStr">
        <is>
          <t>not publisher-identified</t>
        </is>
      </c>
      <c r="BP198" t="inlineStr">
        <is>
          <t>no</t>
        </is>
      </c>
      <c r="BQ198" t="inlineStr">
        <is>
          <t>no</t>
        </is>
      </c>
    </row>
    <row r="199">
      <c r="A199" s="100" t="inlineStr">
        <is>
          <t>Puma</t>
        </is>
      </c>
      <c r="B199" s="116">
        <f>IF(A199="","",_xlfn.XLOOKUP(A199, Company_List!$A:$A, Company_List!$B:$B, ""))</f>
        <v/>
      </c>
      <c r="C199" s="105" t="n">
        <v>2025</v>
      </c>
      <c r="D199" s="106" t="inlineStr">
        <is>
          <t>Q3</t>
        </is>
      </c>
      <c r="E199" s="98" t="inlineStr">
        <is>
          <t>Transcript</t>
        </is>
      </c>
      <c r="F199" s="98" t="inlineStr">
        <is>
          <t>All</t>
        </is>
      </c>
      <c r="G199" s="143" t="inlineStr">
        <is>
          <t>Anna</t>
        </is>
      </c>
      <c r="H199" s="106" t="inlineStr">
        <is>
          <t>Human</t>
        </is>
      </c>
      <c r="I199" s="145" t="n">
        <v>-0.6</v>
      </c>
      <c r="J199" s="145">
        <f>IF(OR(I199="",Settings!$B$6=""),"",IF(I199&gt;Settings!$B$6,"BUY",IF(I199&lt;-Settings!$B$6,"SELL","HOLD")))</f>
        <v/>
      </c>
      <c r="K199" s="145" t="n">
        <v>30</v>
      </c>
      <c r="L199" s="126" t="n">
        <v>45960</v>
      </c>
      <c r="M199" s="126" t="n">
        <v>45959</v>
      </c>
      <c r="N199" s="147" t="n">
        <v>20.6</v>
      </c>
      <c r="O199" s="126" t="n">
        <v>45961</v>
      </c>
      <c r="P199" s="145" t="n">
        <v>18.85</v>
      </c>
      <c r="Q199" s="150">
        <f>IF(OR(N199="",P199=""),"",ROUND((P199-N199)/N199,4))</f>
        <v/>
      </c>
      <c r="R199" s="106">
        <f>IF(OR(N199="",P199=""),"",IF(Q199&gt;Settings!$B$3/100,"UP",IF(Q199&lt;-Settings!$B$3/100,"DOWN","FLAT")))</f>
        <v/>
      </c>
      <c r="S199" s="106">
        <f>IF(OR(N199="",P199="",J199=""),"",IF(OR(AND(J199="BUY",R199="UP"),AND(J199="SELL",R199="DOWN"),AND(J199="HOLD",R199="FLAT")),"YES","NO"))</f>
        <v/>
      </c>
      <c r="T199" s="105">
        <f>IF(J199="","",IF(J199="BUY",1,IF(J199="SELL",-1,0)))</f>
        <v/>
      </c>
      <c r="U199" s="150">
        <f>IFERROR(IF(OR(J199="",N199="",P199=""),"",IF(T199=0,0,T199*Q199-Settings!$B$4/10000-IF(T199&lt;0,Settings!$B$5/10000,0))),"")</f>
        <v/>
      </c>
      <c r="V199" s="7" t="inlineStr">
        <is>
          <t>used oct 29 for prior closing date bc earnings release occurred at 8am oct 30, so market had time to react on oct 30 to the news</t>
        </is>
      </c>
      <c r="W199" s="21">
        <f>IF($K199="","",$K199*60)</f>
        <v/>
      </c>
      <c r="X199" s="91">
        <f>IF($A199="","",$A199&amp;"|"&amp;$C199&amp;"|"&amp;$D199)</f>
        <v/>
      </c>
      <c r="Y199" s="91">
        <f>IFERROR(IF($X199="","",INDEX(LLM_Data_Entry!$H$3:$H$548,MATCH($X199,INDEX(LLM_Data_Entry!$A$3:$A$548&amp;"|"&amp;LLM_Data_Entry!$C$3:$C$548&amp;"|"&amp;LLM_Data_Entry!$D$3:$D$548,0),0))),"")</f>
        <v/>
      </c>
      <c r="Z199" s="91">
        <f>IFERROR(IF($X199="","",INDEX(LLM_Data_Entry!$R$3:$R$548,MATCH($X199,INDEX(LLM_Data_Entry!$A$3:$A$548&amp;"|"&amp;LLM_Data_Entry!$C$3:$C$548&amp;"|"&amp;LLM_Data_Entry!$D$3:$D$548,0),0))),"")</f>
        <v/>
      </c>
      <c r="AB199" t="inlineStr">
        <is>
          <t>recorded window spanned two sessions, closed to one</t>
        </is>
      </c>
      <c r="AC199" t="inlineStr">
        <is>
          <t>PUM.DE</t>
        </is>
      </c>
      <c r="AD199" t="inlineStr">
        <is>
          <t>2025-10-29</t>
        </is>
      </c>
      <c r="AE199" t="n">
        <v>20.6</v>
      </c>
      <c r="AF199" t="inlineStr">
        <is>
          <t>2025-10-30</t>
        </is>
      </c>
      <c r="AG199" t="n">
        <v>21.01</v>
      </c>
      <c r="AH199" t="n">
        <v>0.01990291262135923</v>
      </c>
      <c r="AI199" t="inlineStr">
        <is>
          <t>FLAT</t>
        </is>
      </c>
      <c r="AJ199" t="inlineStr">
        <is>
          <t>NO</t>
        </is>
      </c>
      <c r="AK199" t="n">
        <v>-0.020903</v>
      </c>
      <c r="AL199">
        <f>IF($A199="","",IFERROR(INDEX(Company_List!$G$3:$G$207,MATCH($A199,Company_List!$A$3:$A$207,0)),"unassigned"))</f>
        <v/>
      </c>
      <c r="AM199" t="inlineStr">
        <is>
          <t>Phase 3/Readings/Puma/Puma q3 2025.pdf</t>
        </is>
      </c>
      <c r="AO199" t="inlineStr">
        <is>
          <t>unique filename match</t>
        </is>
      </c>
      <c r="AP199">
        <f>IF($A199="","",IF(COUNTIFS(LLM_Data_Entry!$A$3:$A$548,$A199)&gt;0,"YES","NO"))</f>
        <v/>
      </c>
      <c r="AQ199">
        <f>IF($A199="","",IF(COUNTIFS($A$3:$A199,$A199,$C$3:$C199,$C199,$D$3:$D199,$D199)=1,"YES","NO"))</f>
        <v/>
      </c>
      <c r="AR199">
        <f>IF($A199="","",IF(AND($C199&amp;"-"&amp;$D199&gt;=Settings!$B$19,$C199&amp;"-"&amp;$D199&lt;=Settings!$B$20),"IN","OUT"))</f>
        <v/>
      </c>
      <c r="AS199">
        <f>IF($A199="","",IF($F199="Financial Results","financials",IF($F199="Outlook/Guidance","guidance",IF($F199="Transcript Q&amp;A","qanda",IF($F199="","unrecorded",IF($E199="All","full",IF($E199="","unrecorded",LOWER($E199)&amp;" only")))))))</f>
        <v/>
      </c>
      <c r="AT199">
        <f>IF(AND(OR($J199="BUY",$J199="SELL"),ISNUMBER($U199)),$U199,"")</f>
        <v/>
      </c>
      <c r="AU199">
        <f>IF(AND(OR($J199="BUY",$J199="SELL"),ISNUMBER($AK199)),$AK199,"")</f>
        <v/>
      </c>
      <c r="AV199">
        <f>IF(ISNUMBER($AT199),ABS(IF(ISNUMBER($I199),$I199,0)-Settings!$B$24),"")</f>
        <v/>
      </c>
      <c r="AW199">
        <f>IF(ISNUMBER($AV199),$AV199*$AT199,"")</f>
        <v/>
      </c>
      <c r="AX199">
        <f>IF(ISNUMBER($AU199),ABS(IF(ISNUMBER($I199),$I199,0)-Settings!$B$24),"")</f>
        <v/>
      </c>
      <c r="AY199">
        <f>IF(ISNUMBER($AX199),$AX199*$AU199,"")</f>
        <v/>
      </c>
      <c r="AZ199">
        <f>IF($A199="","",IFERROR(INDEX(Company_List!$H$3:$H$207,MATCH($A199,Company_List!$A$3:$A$207,0)),"unassigned"))</f>
        <v/>
      </c>
      <c r="BC199">
        <f>IF($A199="","",IF(COUNTIFS($A$3:$A199,$A199,$C$3:$C199,$C199,$D$3:$D199,$D199,$G$3:$G199,$G199)=1,1,0))</f>
        <v/>
      </c>
      <c r="BG199" t="inlineStr">
        <is>
          <t>no</t>
        </is>
      </c>
      <c r="BK199">
        <f>IF(OR($H199&lt;&gt;"Human",$S199="",$J199="",$Y199="",$Z199=""),"",IF(EXACT(UPPER($J199),UPPER($Y199)),1,0))</f>
        <v/>
      </c>
      <c r="BL199" t="inlineStr">
        <is>
          <t>assumed - no rater record</t>
        </is>
      </c>
      <c r="BM199" t="n">
        <v>1</v>
      </c>
      <c r="BN199" t="inlineStr">
        <is>
          <t>not publisher-identified</t>
        </is>
      </c>
      <c r="BO199" t="inlineStr">
        <is>
          <t>not publisher-identified</t>
        </is>
      </c>
      <c r="BP199" t="inlineStr">
        <is>
          <t>no</t>
        </is>
      </c>
      <c r="BQ199" t="inlineStr">
        <is>
          <t>no</t>
        </is>
      </c>
    </row>
    <row r="200">
      <c r="A200" s="100" t="inlineStr">
        <is>
          <t>Puma</t>
        </is>
      </c>
      <c r="B200" s="116">
        <f>IF(A200="","",_xlfn.XLOOKUP(A200, Company_List!$A:$A, Company_List!$B:$B, ""))</f>
        <v/>
      </c>
      <c r="C200" s="105" t="n">
        <v>2025</v>
      </c>
      <c r="D200" s="106" t="inlineStr">
        <is>
          <t>Q1</t>
        </is>
      </c>
      <c r="E200" s="98" t="inlineStr">
        <is>
          <t>Transcript</t>
        </is>
      </c>
      <c r="F200" s="98" t="inlineStr">
        <is>
          <t>All</t>
        </is>
      </c>
      <c r="G200" s="143" t="inlineStr">
        <is>
          <t>Anna</t>
        </is>
      </c>
      <c r="H200" s="106" t="inlineStr">
        <is>
          <t>Human</t>
        </is>
      </c>
      <c r="I200" s="145" t="n">
        <v>0.1</v>
      </c>
      <c r="J200" s="145">
        <f>IF(OR(I200="",Settings!$B$6=""),"",IF(I200&gt;Settings!$B$6,"BUY",IF(I200&lt;-Settings!$B$6,"SELL","HOLD")))</f>
        <v/>
      </c>
      <c r="K200" s="145" t="n">
        <v>32</v>
      </c>
      <c r="L200" s="126" t="n">
        <v>45785</v>
      </c>
      <c r="M200" s="126" t="n">
        <v>45784</v>
      </c>
      <c r="N200" s="147" t="n">
        <v>23.37</v>
      </c>
      <c r="O200" s="126" t="n">
        <v>45786</v>
      </c>
      <c r="P200" s="145" t="n">
        <v>24.94</v>
      </c>
      <c r="Q200" s="150">
        <f>IF(OR(N200="",P200=""),"",ROUND((P200-N200)/N200,4))</f>
        <v/>
      </c>
      <c r="R200" s="106">
        <f>IF(OR(N200="",P200=""),"",IF(Q200&gt;Settings!$B$3/100,"UP",IF(Q200&lt;-Settings!$B$3/100,"DOWN","FLAT")))</f>
        <v/>
      </c>
      <c r="S200" s="106">
        <f>IF(OR(N200="",P200="",J200=""),"",IF(OR(AND(J200="BUY",R200="UP"),AND(J200="SELL",R200="DOWN"),AND(J200="HOLD",R200="FLAT")),"YES","NO"))</f>
        <v/>
      </c>
      <c r="T200" s="105">
        <f>IF(J200="","",IF(J200="BUY",1,IF(J200="SELL",-1,0)))</f>
        <v/>
      </c>
      <c r="U200" s="150">
        <f>IFERROR(IF(OR(J200="",N200="",P200=""),"",IF(T200=0,0,T200*Q200-Settings!$B$4/10000-IF(T200&lt;0,Settings!$B$5/10000,0))),"")</f>
        <v/>
      </c>
      <c r="V200" s="7" t="inlineStr">
        <is>
          <t>used may 7 for prior closing date bc earnings release occurred at 8am may 8, so market had time to react on may 8 to the news</t>
        </is>
      </c>
      <c r="W200" s="21">
        <f>IF($K200="","",$K200*60)</f>
        <v/>
      </c>
      <c r="X200" s="91">
        <f>IF($A200="","",$A200&amp;"|"&amp;$C200&amp;"|"&amp;$D200)</f>
        <v/>
      </c>
      <c r="Y200" s="91">
        <f>IFERROR(IF($X200="","",INDEX(LLM_Data_Entry!$H$3:$H$548,MATCH($X200,INDEX(LLM_Data_Entry!$A$3:$A$548&amp;"|"&amp;LLM_Data_Entry!$C$3:$C$548&amp;"|"&amp;LLM_Data_Entry!$D$3:$D$548,0),0))),"")</f>
        <v/>
      </c>
      <c r="Z200" s="91">
        <f>IFERROR(IF($X200="","",INDEX(LLM_Data_Entry!$R$3:$R$548,MATCH($X200,INDEX(LLM_Data_Entry!$A$3:$A$548&amp;"|"&amp;LLM_Data_Entry!$C$3:$C$548&amp;"|"&amp;LLM_Data_Entry!$D$3:$D$548,0),0))),"")</f>
        <v/>
      </c>
      <c r="AB200" t="inlineStr">
        <is>
          <t>recorded window spanned two sessions, closed to one</t>
        </is>
      </c>
      <c r="AC200" t="inlineStr">
        <is>
          <t>PUM.DE</t>
        </is>
      </c>
      <c r="AD200" t="inlineStr">
        <is>
          <t>2025-05-07</t>
        </is>
      </c>
      <c r="AE200" t="n">
        <v>22.759</v>
      </c>
      <c r="AF200" t="inlineStr">
        <is>
          <t>2025-05-08</t>
        </is>
      </c>
      <c r="AG200" t="n">
        <v>23.7815</v>
      </c>
      <c r="AH200" t="n">
        <v>0.04492938783083154</v>
      </c>
      <c r="AI200" t="inlineStr">
        <is>
          <t>UP</t>
        </is>
      </c>
      <c r="AJ200" t="inlineStr">
        <is>
          <t>NO</t>
        </is>
      </c>
      <c r="AK200" t="n">
        <v>0</v>
      </c>
      <c r="AL200">
        <f>IF($A200="","",IFERROR(INDEX(Company_List!$G$3:$G$207,MATCH($A200,Company_List!$A$3:$A$207,0)),"unassigned"))</f>
        <v/>
      </c>
      <c r="AM200" t="inlineStr">
        <is>
          <t>Phase 3/Readings/Puma/puma-q1-2025-transcript_website.pdf</t>
        </is>
      </c>
      <c r="AO200" t="inlineStr">
        <is>
          <t>unique filename match</t>
        </is>
      </c>
      <c r="AP200">
        <f>IF($A200="","",IF(COUNTIFS(LLM_Data_Entry!$A$3:$A$548,$A200)&gt;0,"YES","NO"))</f>
        <v/>
      </c>
      <c r="AQ200">
        <f>IF($A200="","",IF(COUNTIFS($A$3:$A200,$A200,$C$3:$C200,$C200,$D$3:$D200,$D200)=1,"YES","NO"))</f>
        <v/>
      </c>
      <c r="AR200">
        <f>IF($A200="","",IF(AND($C200&amp;"-"&amp;$D200&gt;=Settings!$B$19,$C200&amp;"-"&amp;$D200&lt;=Settings!$B$20),"IN","OUT"))</f>
        <v/>
      </c>
      <c r="AS200">
        <f>IF($A200="","",IF($F200="Financial Results","financials",IF($F200="Outlook/Guidance","guidance",IF($F200="Transcript Q&amp;A","qanda",IF($F200="","unrecorded",IF($E200="All","full",IF($E200="","unrecorded",LOWER($E200)&amp;" only")))))))</f>
        <v/>
      </c>
      <c r="AT200">
        <f>IF(AND(OR($J200="BUY",$J200="SELL"),ISNUMBER($U200)),$U200,"")</f>
        <v/>
      </c>
      <c r="AU200">
        <f>IF(AND(OR($J200="BUY",$J200="SELL"),ISNUMBER($AK200)),$AK200,"")</f>
        <v/>
      </c>
      <c r="AV200">
        <f>IF(ISNUMBER($AT200),ABS(IF(ISNUMBER($I200),$I200,0)-Settings!$B$24),"")</f>
        <v/>
      </c>
      <c r="AW200">
        <f>IF(ISNUMBER($AV200),$AV200*$AT200,"")</f>
        <v/>
      </c>
      <c r="AX200">
        <f>IF(ISNUMBER($AU200),ABS(IF(ISNUMBER($I200),$I200,0)-Settings!$B$24),"")</f>
        <v/>
      </c>
      <c r="AY200">
        <f>IF(ISNUMBER($AX200),$AX200*$AU200,"")</f>
        <v/>
      </c>
      <c r="AZ200">
        <f>IF($A200="","",IFERROR(INDEX(Company_List!$H$3:$H$207,MATCH($A200,Company_List!$A$3:$A$207,0)),"unassigned"))</f>
        <v/>
      </c>
      <c r="BC200">
        <f>IF($A200="","",IF(COUNTIFS($A$3:$A200,$A200,$C$3:$C200,$C200,$D$3:$D200,$D200,$G$3:$G200,$G200)=1,1,0))</f>
        <v/>
      </c>
      <c r="BG200" t="inlineStr">
        <is>
          <t>no</t>
        </is>
      </c>
      <c r="BK200">
        <f>IF(OR($H200&lt;&gt;"Human",$S200="",$J200="",$Y200="",$Z200=""),"",IF(EXACT(UPPER($J200),UPPER($Y200)),1,0))</f>
        <v/>
      </c>
      <c r="BL200" t="inlineStr">
        <is>
          <t>assumed - no rater record</t>
        </is>
      </c>
      <c r="BM200" t="n">
        <v>1</v>
      </c>
      <c r="BN200" t="inlineStr">
        <is>
          <t>not publisher-identified</t>
        </is>
      </c>
      <c r="BO200" t="inlineStr">
        <is>
          <t>not publisher-identified</t>
        </is>
      </c>
      <c r="BP200" t="inlineStr">
        <is>
          <t>no</t>
        </is>
      </c>
      <c r="BQ200" t="inlineStr">
        <is>
          <t>no</t>
        </is>
      </c>
    </row>
    <row r="201">
      <c r="A201" s="100" t="inlineStr">
        <is>
          <t>Puma</t>
        </is>
      </c>
      <c r="B201" s="116">
        <f>IF(A201="","",_xlfn.XLOOKUP(A201, Company_List!$A:$A, Company_List!$B:$B, ""))</f>
        <v/>
      </c>
      <c r="C201" s="105" t="n">
        <v>2025</v>
      </c>
      <c r="D201" s="106" t="inlineStr">
        <is>
          <t>Q4</t>
        </is>
      </c>
      <c r="E201" s="109" t="inlineStr">
        <is>
          <t>Transcript</t>
        </is>
      </c>
      <c r="F201" s="109" t="inlineStr">
        <is>
          <t>All</t>
        </is>
      </c>
      <c r="G201" s="143" t="inlineStr">
        <is>
          <t>Anna</t>
        </is>
      </c>
      <c r="H201" s="106" t="inlineStr">
        <is>
          <t>Human</t>
        </is>
      </c>
      <c r="I201" s="145" t="n">
        <v>0.4</v>
      </c>
      <c r="J201" s="145">
        <f>IF(OR(I201="",Settings!$B$6=""),"",IF(I201&gt;Settings!$B$6,"BUY",IF(I201&lt;-Settings!$B$6,"SELL","HOLD")))</f>
        <v/>
      </c>
      <c r="K201" s="145" t="n">
        <v>33</v>
      </c>
      <c r="L201" s="126" t="n">
        <v>46079</v>
      </c>
      <c r="M201" s="126" t="n">
        <v>46078</v>
      </c>
      <c r="N201" s="147" t="n">
        <v>22.61</v>
      </c>
      <c r="O201" s="126" t="n">
        <v>46080</v>
      </c>
      <c r="P201" s="145" t="n">
        <v>24.68</v>
      </c>
      <c r="Q201" s="150">
        <f>IF(OR(N201="",P201=""),"",ROUND((P201-N201)/N201,4))</f>
        <v/>
      </c>
      <c r="R201" s="106">
        <f>IF(OR(N201="",P201=""),"",IF(Q201&gt;Settings!$B$3/100,"UP",IF(Q201&lt;-Settings!$B$3/100,"DOWN","FLAT")))</f>
        <v/>
      </c>
      <c r="S201" s="106">
        <f>IF(OR(N201="",P201="",J201=""),"",IF(OR(AND(J201="BUY",R201="UP"),AND(J201="SELL",R201="DOWN"),AND(J201="HOLD",R201="FLAT")),"YES","NO"))</f>
        <v/>
      </c>
      <c r="T201" s="105">
        <f>IF(J201="","",IF(J201="BUY",1,IF(J201="SELL",-1,0)))</f>
        <v/>
      </c>
      <c r="U201" s="150">
        <f>IFERROR(IF(OR(J201="",N201="",P201=""),"",IF(T201=0,0,T201*Q201-Settings!$B$4/10000-IF(T201&lt;0,Settings!$B$5/10000,0))),"")</f>
        <v/>
      </c>
      <c r="V201" s="7" t="inlineStr">
        <is>
          <t>used feb 25 for prior closing date bc earnings release occurred at 9am feb 26 so market had time to react on feb 26 to the news</t>
        </is>
      </c>
      <c r="W201" s="21">
        <f>IF($K201="","",$K201*60)</f>
        <v/>
      </c>
      <c r="X201" s="91">
        <f>IF($A201="","",$A201&amp;"|"&amp;$C201&amp;"|"&amp;$D201)</f>
        <v/>
      </c>
      <c r="Y201" s="91">
        <f>IFERROR(IF($X201="","",INDEX(LLM_Data_Entry!$H$3:$H$548,MATCH($X201,INDEX(LLM_Data_Entry!$A$3:$A$548&amp;"|"&amp;LLM_Data_Entry!$C$3:$C$548&amp;"|"&amp;LLM_Data_Entry!$D$3:$D$548,0),0))),"")</f>
        <v/>
      </c>
      <c r="Z201" s="91">
        <f>IFERROR(IF($X201="","",INDEX(LLM_Data_Entry!$R$3:$R$548,MATCH($X201,INDEX(LLM_Data_Entry!$A$3:$A$548&amp;"|"&amp;LLM_Data_Entry!$C$3:$C$548&amp;"|"&amp;LLM_Data_Entry!$D$3:$D$548,0),0))),"")</f>
        <v/>
      </c>
      <c r="AB201" t="inlineStr">
        <is>
          <t>recorded window spanned two sessions, closed to one</t>
        </is>
      </c>
      <c r="AC201" t="inlineStr">
        <is>
          <t>PUM.DE</t>
        </is>
      </c>
      <c r="AD201" t="inlineStr">
        <is>
          <t>2026-02-25</t>
        </is>
      </c>
      <c r="AE201" t="n">
        <v>22.61</v>
      </c>
      <c r="AF201" t="inlineStr">
        <is>
          <t>2026-02-26</t>
        </is>
      </c>
      <c r="AG201" t="n">
        <v>22.61</v>
      </c>
      <c r="AH201" t="n">
        <v>0</v>
      </c>
      <c r="AI201" t="inlineStr">
        <is>
          <t>FLAT</t>
        </is>
      </c>
      <c r="AJ201" t="inlineStr">
        <is>
          <t>NO</t>
        </is>
      </c>
      <c r="AK201" t="n">
        <v>-0.001</v>
      </c>
      <c r="AL201">
        <f>IF($A201="","",IFERROR(INDEX(Company_List!$G$3:$G$207,MATCH($A201,Company_List!$A$3:$A$207,0)),"unassigned"))</f>
        <v/>
      </c>
      <c r="AM201" t="inlineStr">
        <is>
          <t>Phase 3/Readings/Puma/puma-q4-fy-2025-transcript_website.pdf</t>
        </is>
      </c>
      <c r="AO201" t="inlineStr">
        <is>
          <t>unique filename match</t>
        </is>
      </c>
      <c r="AP201">
        <f>IF($A201="","",IF(COUNTIFS(LLM_Data_Entry!$A$3:$A$548,$A201)&gt;0,"YES","NO"))</f>
        <v/>
      </c>
      <c r="AQ201">
        <f>IF($A201="","",IF(COUNTIFS($A$3:$A201,$A201,$C$3:$C201,$C201,$D$3:$D201,$D201)=1,"YES","NO"))</f>
        <v/>
      </c>
      <c r="AR201">
        <f>IF($A201="","",IF(AND($C201&amp;"-"&amp;$D201&gt;=Settings!$B$19,$C201&amp;"-"&amp;$D201&lt;=Settings!$B$20),"IN","OUT"))</f>
        <v/>
      </c>
      <c r="AS201">
        <f>IF($A201="","",IF($F201="Financial Results","financials",IF($F201="Outlook/Guidance","guidance",IF($F201="Transcript Q&amp;A","qanda",IF($F201="","unrecorded",IF($E201="All","full",IF($E201="","unrecorded",LOWER($E201)&amp;" only")))))))</f>
        <v/>
      </c>
      <c r="AT201">
        <f>IF(AND(OR($J201="BUY",$J201="SELL"),ISNUMBER($U201)),$U201,"")</f>
        <v/>
      </c>
      <c r="AU201">
        <f>IF(AND(OR($J201="BUY",$J201="SELL"),ISNUMBER($AK201)),$AK201,"")</f>
        <v/>
      </c>
      <c r="AV201">
        <f>IF(ISNUMBER($AT201),ABS(IF(ISNUMBER($I201),$I201,0)-Settings!$B$24),"")</f>
        <v/>
      </c>
      <c r="AW201">
        <f>IF(ISNUMBER($AV201),$AV201*$AT201,"")</f>
        <v/>
      </c>
      <c r="AX201">
        <f>IF(ISNUMBER($AU201),ABS(IF(ISNUMBER($I201),$I201,0)-Settings!$B$24),"")</f>
        <v/>
      </c>
      <c r="AY201">
        <f>IF(ISNUMBER($AX201),$AX201*$AU201,"")</f>
        <v/>
      </c>
      <c r="AZ201">
        <f>IF($A201="","",IFERROR(INDEX(Company_List!$H$3:$H$207,MATCH($A201,Company_List!$A$3:$A$207,0)),"unassigned"))</f>
        <v/>
      </c>
      <c r="BC201">
        <f>IF($A201="","",IF(COUNTIFS($A$3:$A201,$A201,$C$3:$C201,$C201,$D$3:$D201,$D201,$G$3:$G201,$G201)=1,1,0))</f>
        <v/>
      </c>
      <c r="BG201" t="inlineStr">
        <is>
          <t>no</t>
        </is>
      </c>
      <c r="BK201">
        <f>IF(OR($H201&lt;&gt;"Human",$S201="",$J201="",$Y201="",$Z201=""),"",IF(EXACT(UPPER($J201),UPPER($Y201)),1,0))</f>
        <v/>
      </c>
      <c r="BL201" t="inlineStr">
        <is>
          <t>assumed - no rater record</t>
        </is>
      </c>
      <c r="BM201" t="n">
        <v>1</v>
      </c>
      <c r="BN201" t="inlineStr">
        <is>
          <t>not publisher-identified</t>
        </is>
      </c>
      <c r="BO201" t="inlineStr">
        <is>
          <t>not publisher-identified</t>
        </is>
      </c>
      <c r="BP201" t="inlineStr">
        <is>
          <t>no</t>
        </is>
      </c>
      <c r="BQ201" t="inlineStr">
        <is>
          <t>no</t>
        </is>
      </c>
    </row>
    <row r="202">
      <c r="A202" s="115" t="inlineStr">
        <is>
          <t>Colgate-Palmolive</t>
        </is>
      </c>
      <c r="B202" s="116">
        <f>IF(A202="","",_xlfn.XLOOKUP(A202, Company_List!$A:$A, Company_List!$B:$B, ""))</f>
        <v/>
      </c>
      <c r="C202" s="143" t="n">
        <v>2026</v>
      </c>
      <c r="D202" s="143" t="inlineStr">
        <is>
          <t>Q2</t>
        </is>
      </c>
      <c r="E202" s="98" t="inlineStr">
        <is>
          <t>Press Release Document</t>
        </is>
      </c>
      <c r="F202" s="98" t="inlineStr">
        <is>
          <t>All</t>
        </is>
      </c>
      <c r="G202" s="143" t="inlineStr">
        <is>
          <t>Anna</t>
        </is>
      </c>
      <c r="H202" s="106" t="inlineStr">
        <is>
          <t>Human</t>
        </is>
      </c>
      <c r="I202" s="145" t="n">
        <v>0.4</v>
      </c>
      <c r="J202" s="145">
        <f>IF(OR(I202="",Settings!$B$6=""),"",IF(I202&gt;Settings!$B$6,"BUY",IF(I202&lt;-Settings!$B$6,"SELL","HOLD")))</f>
        <v/>
      </c>
      <c r="K202" s="145" t="n">
        <v>15</v>
      </c>
      <c r="L202" s="123" t="n">
        <v>46234</v>
      </c>
      <c r="M202" s="140" t="n">
        <v>46233</v>
      </c>
      <c r="N202" s="147" t="n">
        <v>91.59999999999999</v>
      </c>
      <c r="O202" s="140" t="n">
        <v>46237</v>
      </c>
      <c r="P202" s="145" t="n">
        <v>92.39</v>
      </c>
      <c r="Q202" s="150">
        <f>IF(OR(N202="",P202=""),"",ROUND((P202-N202)/N202,4))</f>
        <v/>
      </c>
      <c r="R202" s="106">
        <f>IF(OR(N202="",P202=""),"",IF(Q202&gt;Settings!$B$3/100,"UP",IF(Q202&lt;-Settings!$B$3/100,"DOWN","FLAT")))</f>
        <v/>
      </c>
      <c r="S202" s="106">
        <f>IF(OR(N202="",P202="",J202=""),"",IF(OR(AND(J202="BUY",R202="UP"),AND(J202="SELL",R202="DOWN"),AND(J202="HOLD",R202="FLAT")),"YES","NO"))</f>
        <v/>
      </c>
      <c r="T202" s="105">
        <f>IF(J202="","",IF(J202="BUY",1,IF(J202="SELL",-1,0)))</f>
        <v/>
      </c>
      <c r="U202" s="150">
        <f>IFERROR(IF(OR(J202="",N202="",P202=""),"",IF(T202=0,0,T202*Q202-Settings!$B$4/10000-IF(T202&lt;0,Settings!$B$5/10000,0))),"")</f>
        <v/>
      </c>
      <c r="W202" s="21">
        <f>IF($K202="","",$K202*60)</f>
        <v/>
      </c>
      <c r="X202" s="91">
        <f>IF($A202="","",$A202&amp;"|"&amp;$C202&amp;"|"&amp;$D202)</f>
        <v/>
      </c>
      <c r="Y202" s="91">
        <f>IFERROR(IF($X202="","",INDEX(LLM_Data_Entry!$H$3:$H$548,MATCH($X202,INDEX(LLM_Data_Entry!$A$3:$A$548&amp;"|"&amp;LLM_Data_Entry!$C$3:$C$548&amp;"|"&amp;LLM_Data_Entry!$D$3:$D$548,0),0))),"")</f>
        <v/>
      </c>
      <c r="Z202" s="91">
        <f>IFERROR(IF($X202="","",INDEX(LLM_Data_Entry!$R$3:$R$548,MATCH($X202,INDEX(LLM_Data_Entry!$A$3:$A$548&amp;"|"&amp;LLM_Data_Entry!$C$3:$C$548&amp;"|"&amp;LLM_Data_Entry!$D$3:$D$548,0),0))),"")</f>
        <v/>
      </c>
      <c r="AB202" t="inlineStr">
        <is>
          <t>recorded window spanned two sessions, closed to one</t>
        </is>
      </c>
      <c r="AC202" t="inlineStr">
        <is>
          <t>CL</t>
        </is>
      </c>
      <c r="AD202" t="inlineStr">
        <is>
          <t>2026-07-30</t>
        </is>
      </c>
      <c r="AE202" t="n">
        <v>91.59999999999999</v>
      </c>
      <c r="AF202" t="inlineStr">
        <is>
          <t>2026-07-31</t>
        </is>
      </c>
      <c r="AG202" t="n">
        <v>90.84999999999999</v>
      </c>
      <c r="AH202" t="n">
        <v>-0.008187773104536375</v>
      </c>
      <c r="AI202" t="inlineStr">
        <is>
          <t>FLAT</t>
        </is>
      </c>
      <c r="AJ202" t="inlineStr">
        <is>
          <t>NO</t>
        </is>
      </c>
      <c r="AK202" t="n">
        <v>-0.009188</v>
      </c>
      <c r="AL202">
        <f>IF($A202="","",IFERROR(INDEX(Company_List!$G$3:$G$207,MATCH($A202,Company_List!$A$3:$A$207,0)),"unassigned"))</f>
        <v/>
      </c>
      <c r="AM202" t="inlineStr">
        <is>
          <t>Phase 3/Readings/Colgate Palmolive/CP 2Q 2026 Press Release - Final.pdf</t>
        </is>
      </c>
      <c r="AO202" t="inlineStr">
        <is>
          <t>unique filename match</t>
        </is>
      </c>
      <c r="AP202">
        <f>IF($A202="","",IF(COUNTIFS(LLM_Data_Entry!$A$3:$A$548,$A202)&gt;0,"YES","NO"))</f>
        <v/>
      </c>
      <c r="AQ202">
        <f>IF($A202="","",IF(COUNTIFS($A$3:$A202,$A202,$C$3:$C202,$C202,$D$3:$D202,$D202)=1,"YES","NO"))</f>
        <v/>
      </c>
      <c r="AR202">
        <f>IF($A202="","",IF(AND($C202&amp;"-"&amp;$D202&gt;=Settings!$B$19,$C202&amp;"-"&amp;$D202&lt;=Settings!$B$20),"IN","OUT"))</f>
        <v/>
      </c>
      <c r="AS202">
        <f>IF($A202="","",IF($F202="Financial Results","financials",IF($F202="Outlook/Guidance","guidance",IF($F202="Transcript Q&amp;A","qanda",IF($F202="","unrecorded",IF($E202="All","full",IF($E202="","unrecorded",LOWER($E202)&amp;" only")))))))</f>
        <v/>
      </c>
      <c r="AT202">
        <f>IF(AND(OR($J202="BUY",$J202="SELL"),ISNUMBER($U202)),$U202,"")</f>
        <v/>
      </c>
      <c r="AU202">
        <f>IF(AND(OR($J202="BUY",$J202="SELL"),ISNUMBER($AK202)),$AK202,"")</f>
        <v/>
      </c>
      <c r="AV202">
        <f>IF(ISNUMBER($AT202),ABS(IF(ISNUMBER($I202),$I202,0)-Settings!$B$24),"")</f>
        <v/>
      </c>
      <c r="AW202">
        <f>IF(ISNUMBER($AV202),$AV202*$AT202,"")</f>
        <v/>
      </c>
      <c r="AX202">
        <f>IF(ISNUMBER($AU202),ABS(IF(ISNUMBER($I202),$I202,0)-Settings!$B$24),"")</f>
        <v/>
      </c>
      <c r="AY202">
        <f>IF(ISNUMBER($AX202),$AX202*$AU202,"")</f>
        <v/>
      </c>
      <c r="AZ202">
        <f>IF($A202="","",IFERROR(INDEX(Company_List!$H$3:$H$207,MATCH($A202,Company_List!$A$3:$A$207,0)),"unassigned"))</f>
        <v/>
      </c>
      <c r="BC202">
        <f>IF($A202="","",IF(COUNTIFS($A$3:$A202,$A202,$C$3:$C202,$C202,$D$3:$D202,$D202,$G$3:$G202,$G202)=1,1,0))</f>
        <v/>
      </c>
      <c r="BG202" t="inlineStr">
        <is>
          <t>no</t>
        </is>
      </c>
      <c r="BK202">
        <f>IF(OR($H202&lt;&gt;"Human",$S202="",$J202="",$Y202="",$Z202=""),"",IF(EXACT(UPPER($J202),UPPER($Y202)),1,0))</f>
        <v/>
      </c>
      <c r="BL202" t="inlineStr">
        <is>
          <t>assumed - no rater record</t>
        </is>
      </c>
      <c r="BM202" t="n">
        <v>1</v>
      </c>
      <c r="BN202" t="inlineStr">
        <is>
          <t>not publisher-identified</t>
        </is>
      </c>
      <c r="BO202" t="inlineStr">
        <is>
          <t>not publisher-identified</t>
        </is>
      </c>
      <c r="BP202" t="inlineStr">
        <is>
          <t>no</t>
        </is>
      </c>
      <c r="BQ202" t="inlineStr">
        <is>
          <t>no</t>
        </is>
      </c>
    </row>
    <row r="203">
      <c r="A203" s="115" t="inlineStr">
        <is>
          <t>Colgate-Palmolive</t>
        </is>
      </c>
      <c r="B203" s="116">
        <f>IF(A203="","",_xlfn.XLOOKUP(A203, Company_List!$A:$A, Company_List!$B:$B, ""))</f>
        <v/>
      </c>
      <c r="C203" s="143" t="n">
        <v>2026</v>
      </c>
      <c r="D203" s="143" t="inlineStr">
        <is>
          <t>Q1</t>
        </is>
      </c>
      <c r="E203" s="98" t="inlineStr">
        <is>
          <t>Press Release Document</t>
        </is>
      </c>
      <c r="F203" s="98" t="inlineStr">
        <is>
          <t>All</t>
        </is>
      </c>
      <c r="G203" s="143" t="inlineStr">
        <is>
          <t>Anna</t>
        </is>
      </c>
      <c r="H203" s="106" t="inlineStr">
        <is>
          <t>Human</t>
        </is>
      </c>
      <c r="I203" s="145" t="n">
        <v>0.2</v>
      </c>
      <c r="J203" s="145">
        <f>IF(OR(I203="",Settings!$B$6=""),"",IF(I203&gt;Settings!$B$6,"BUY",IF(I203&lt;-Settings!$B$6,"SELL","HOLD")))</f>
        <v/>
      </c>
      <c r="K203" s="145" t="n">
        <v>13</v>
      </c>
      <c r="L203" s="125" t="n">
        <v>46143</v>
      </c>
      <c r="M203" s="140" t="n">
        <v>46142</v>
      </c>
      <c r="N203" s="147" t="n">
        <v>85.36</v>
      </c>
      <c r="O203" s="140" t="n">
        <v>46146</v>
      </c>
      <c r="P203" s="145" t="n">
        <v>85.91</v>
      </c>
      <c r="Q203" s="150">
        <f>IF(OR(N203="",P203=""),"",ROUND((P203-N203)/N203,4))</f>
        <v/>
      </c>
      <c r="R203" s="106">
        <f>IF(OR(N203="",P203=""),"",IF(Q203&gt;Settings!$B$3/100,"UP",IF(Q203&lt;-Settings!$B$3/100,"DOWN","FLAT")))</f>
        <v/>
      </c>
      <c r="S203" s="106">
        <f>IF(OR(N203="",P203="",J203=""),"",IF(OR(AND(J203="BUY",R203="UP"),AND(J203="SELL",R203="DOWN"),AND(J203="HOLD",R203="FLAT")),"YES","NO"))</f>
        <v/>
      </c>
      <c r="T203" s="105">
        <f>IF(J203="","",IF(J203="BUY",1,IF(J203="SELL",-1,0)))</f>
        <v/>
      </c>
      <c r="U203" s="150">
        <f>IFERROR(IF(OR(J203="",N203="",P203=""),"",IF(T203=0,0,T203*Q203-Settings!$B$4/10000-IF(T203&lt;0,Settings!$B$5/10000,0))),"")</f>
        <v/>
      </c>
      <c r="W203" s="21">
        <f>IF($K203="","",$K203*60)</f>
        <v/>
      </c>
      <c r="X203" s="91">
        <f>IF($A203="","",$A203&amp;"|"&amp;$C203&amp;"|"&amp;$D203)</f>
        <v/>
      </c>
      <c r="Y203" s="91">
        <f>IFERROR(IF($X203="","",INDEX(LLM_Data_Entry!$H$3:$H$548,MATCH($X203,INDEX(LLM_Data_Entry!$A$3:$A$548&amp;"|"&amp;LLM_Data_Entry!$C$3:$C$548&amp;"|"&amp;LLM_Data_Entry!$D$3:$D$548,0),0))),"")</f>
        <v/>
      </c>
      <c r="Z203" s="91">
        <f>IFERROR(IF($X203="","",INDEX(LLM_Data_Entry!$R$3:$R$548,MATCH($X203,INDEX(LLM_Data_Entry!$A$3:$A$548&amp;"|"&amp;LLM_Data_Entry!$C$3:$C$548&amp;"|"&amp;LLM_Data_Entry!$D$3:$D$548,0),0))),"")</f>
        <v/>
      </c>
      <c r="AB203" t="inlineStr">
        <is>
          <t>recorded window spanned two sessions, closed to one</t>
        </is>
      </c>
      <c r="AC203" t="inlineStr">
        <is>
          <t>CL</t>
        </is>
      </c>
      <c r="AD203" t="inlineStr">
        <is>
          <t>2026-04-30</t>
        </is>
      </c>
      <c r="AE203" t="n">
        <v>84.8734</v>
      </c>
      <c r="AF203" t="inlineStr">
        <is>
          <t>2026-05-01</t>
        </is>
      </c>
      <c r="AG203" t="n">
        <v>87.6674</v>
      </c>
      <c r="AH203" t="n">
        <v>0.03291933245240548</v>
      </c>
      <c r="AI203" t="inlineStr">
        <is>
          <t>UP</t>
        </is>
      </c>
      <c r="AJ203" t="inlineStr">
        <is>
          <t>NO</t>
        </is>
      </c>
      <c r="AK203" t="n">
        <v>0</v>
      </c>
      <c r="AL203">
        <f>IF($A203="","",IFERROR(INDEX(Company_List!$G$3:$G$207,MATCH($A203,Company_List!$A$3:$A$207,0)),"unassigned"))</f>
        <v/>
      </c>
      <c r="AM203" t="inlineStr">
        <is>
          <t>Phase 3/Readings/Colgate Palmolive/CP 1Q 2026 Press Release - Final.pdf</t>
        </is>
      </c>
      <c r="AO203" t="inlineStr">
        <is>
          <t>unique filename match</t>
        </is>
      </c>
      <c r="AP203">
        <f>IF($A203="","",IF(COUNTIFS(LLM_Data_Entry!$A$3:$A$548,$A203)&gt;0,"YES","NO"))</f>
        <v/>
      </c>
      <c r="AQ203">
        <f>IF($A203="","",IF(COUNTIFS($A$3:$A203,$A203,$C$3:$C203,$C203,$D$3:$D203,$D203)=1,"YES","NO"))</f>
        <v/>
      </c>
      <c r="AR203">
        <f>IF($A203="","",IF(AND($C203&amp;"-"&amp;$D203&gt;=Settings!$B$19,$C203&amp;"-"&amp;$D203&lt;=Settings!$B$20),"IN","OUT"))</f>
        <v/>
      </c>
      <c r="AS203">
        <f>IF($A203="","",IF($F203="Financial Results","financials",IF($F203="Outlook/Guidance","guidance",IF($F203="Transcript Q&amp;A","qanda",IF($F203="","unrecorded",IF($E203="All","full",IF($E203="","unrecorded",LOWER($E203)&amp;" only")))))))</f>
        <v/>
      </c>
      <c r="AT203">
        <f>IF(AND(OR($J203="BUY",$J203="SELL"),ISNUMBER($U203)),$U203,"")</f>
        <v/>
      </c>
      <c r="AU203">
        <f>IF(AND(OR($J203="BUY",$J203="SELL"),ISNUMBER($AK203)),$AK203,"")</f>
        <v/>
      </c>
      <c r="AV203">
        <f>IF(ISNUMBER($AT203),ABS(IF(ISNUMBER($I203),$I203,0)-Settings!$B$24),"")</f>
        <v/>
      </c>
      <c r="AW203">
        <f>IF(ISNUMBER($AV203),$AV203*$AT203,"")</f>
        <v/>
      </c>
      <c r="AX203">
        <f>IF(ISNUMBER($AU203),ABS(IF(ISNUMBER($I203),$I203,0)-Settings!$B$24),"")</f>
        <v/>
      </c>
      <c r="AY203">
        <f>IF(ISNUMBER($AX203),$AX203*$AU203,"")</f>
        <v/>
      </c>
      <c r="AZ203">
        <f>IF($A203="","",IFERROR(INDEX(Company_List!$H$3:$H$207,MATCH($A203,Company_List!$A$3:$A$207,0)),"unassigned"))</f>
        <v/>
      </c>
      <c r="BC203">
        <f>IF($A203="","",IF(COUNTIFS($A$3:$A203,$A203,$C$3:$C203,$C203,$D$3:$D203,$D203,$G$3:$G203,$G203)=1,1,0))</f>
        <v/>
      </c>
      <c r="BG203" t="inlineStr">
        <is>
          <t>no</t>
        </is>
      </c>
      <c r="BK203">
        <f>IF(OR($H203&lt;&gt;"Human",$S203="",$J203="",$Y203="",$Z203=""),"",IF(EXACT(UPPER($J203),UPPER($Y203)),1,0))</f>
        <v/>
      </c>
      <c r="BL203" t="inlineStr">
        <is>
          <t>assumed - no rater record</t>
        </is>
      </c>
      <c r="BM203" t="n">
        <v>1</v>
      </c>
      <c r="BN203" t="inlineStr">
        <is>
          <t>not publisher-identified</t>
        </is>
      </c>
      <c r="BO203" t="inlineStr">
        <is>
          <t>not publisher-identified</t>
        </is>
      </c>
      <c r="BP203" t="inlineStr">
        <is>
          <t>no</t>
        </is>
      </c>
      <c r="BQ203" t="inlineStr">
        <is>
          <t>no</t>
        </is>
      </c>
    </row>
    <row r="204">
      <c r="A204" s="115" t="inlineStr">
        <is>
          <t>Colgate-Palmolive</t>
        </is>
      </c>
      <c r="B204" s="116">
        <f>IF(A204="","",_xlfn.XLOOKUP(A204, Company_List!$A:$A, Company_List!$B:$B, ""))</f>
        <v/>
      </c>
      <c r="C204" s="143" t="n">
        <v>2025</v>
      </c>
      <c r="D204" s="143" t="inlineStr">
        <is>
          <t>Q4</t>
        </is>
      </c>
      <c r="E204" s="98" t="inlineStr">
        <is>
          <t>Press Release Document</t>
        </is>
      </c>
      <c r="F204" s="98" t="inlineStr">
        <is>
          <t>All</t>
        </is>
      </c>
      <c r="G204" s="143" t="inlineStr">
        <is>
          <t>Anna</t>
        </is>
      </c>
      <c r="H204" s="106" t="inlineStr">
        <is>
          <t>Human</t>
        </is>
      </c>
      <c r="I204" s="145" t="n">
        <v>0.2</v>
      </c>
      <c r="J204" s="145">
        <f>IF(OR(I204="",Settings!$B$6=""),"",IF(I204&gt;Settings!$B$6,"BUY",IF(I204&lt;-Settings!$B$6,"SELL","HOLD")))</f>
        <v/>
      </c>
      <c r="K204" s="145" t="n">
        <v>14</v>
      </c>
      <c r="L204" s="125" t="n">
        <v>46052</v>
      </c>
      <c r="M204" s="140" t="n">
        <v>46051</v>
      </c>
      <c r="N204" s="147" t="n">
        <v>85.23999999999999</v>
      </c>
      <c r="O204" s="140" t="n">
        <v>46055</v>
      </c>
      <c r="P204" s="145" t="n">
        <v>90.55</v>
      </c>
      <c r="Q204" s="150">
        <f>IF(OR(N204="",P204=""),"",ROUND((P204-N204)/N204,4))</f>
        <v/>
      </c>
      <c r="R204" s="106">
        <f>IF(OR(N204="",P204=""),"",IF(Q204&gt;Settings!$B$3/100,"UP",IF(Q204&lt;-Settings!$B$3/100,"DOWN","FLAT")))</f>
        <v/>
      </c>
      <c r="S204" s="106">
        <f>IF(OR(N204="",P204="",J204=""),"",IF(OR(AND(J204="BUY",R204="UP"),AND(J204="SELL",R204="DOWN"),AND(J204="HOLD",R204="FLAT")),"YES","NO"))</f>
        <v/>
      </c>
      <c r="T204" s="105">
        <f>IF(J204="","",IF(J204="BUY",1,IF(J204="SELL",-1,0)))</f>
        <v/>
      </c>
      <c r="U204" s="150">
        <f>IFERROR(IF(OR(J204="",N204="",P204=""),"",IF(T204=0,0,T204*Q204-Settings!$B$4/10000-IF(T204&lt;0,Settings!$B$5/10000,0))),"")</f>
        <v/>
      </c>
      <c r="W204" s="21">
        <f>IF($K204="","",$K204*60)</f>
        <v/>
      </c>
      <c r="X204" s="91">
        <f>IF($A204="","",$A204&amp;"|"&amp;$C204&amp;"|"&amp;$D204)</f>
        <v/>
      </c>
      <c r="Y204" s="91">
        <f>IFERROR(IF($X204="","",INDEX(LLM_Data_Entry!$H$3:$H$548,MATCH($X204,INDEX(LLM_Data_Entry!$A$3:$A$548&amp;"|"&amp;LLM_Data_Entry!$C$3:$C$548&amp;"|"&amp;LLM_Data_Entry!$D$3:$D$548,0),0))),"")</f>
        <v/>
      </c>
      <c r="Z204" s="91">
        <f>IFERROR(IF($X204="","",INDEX(LLM_Data_Entry!$R$3:$R$548,MATCH($X204,INDEX(LLM_Data_Entry!$A$3:$A$548&amp;"|"&amp;LLM_Data_Entry!$C$3:$C$548&amp;"|"&amp;LLM_Data_Entry!$D$3:$D$548,0),0))),"")</f>
        <v/>
      </c>
      <c r="AB204" t="inlineStr">
        <is>
          <t>recorded window spanned two sessions, closed to one</t>
        </is>
      </c>
      <c r="AC204" t="inlineStr">
        <is>
          <t>CL</t>
        </is>
      </c>
      <c r="AD204" t="inlineStr">
        <is>
          <t>2026-01-29</t>
        </is>
      </c>
      <c r="AE204" t="n">
        <v>84.2306</v>
      </c>
      <c r="AF204" t="inlineStr">
        <is>
          <t>2026-01-30</t>
        </is>
      </c>
      <c r="AG204" t="n">
        <v>87.6497</v>
      </c>
      <c r="AH204" t="n">
        <v>0.04059116407398446</v>
      </c>
      <c r="AI204" t="inlineStr">
        <is>
          <t>UP</t>
        </is>
      </c>
      <c r="AJ204" t="inlineStr">
        <is>
          <t>NO</t>
        </is>
      </c>
      <c r="AK204" t="n">
        <v>0</v>
      </c>
      <c r="AL204">
        <f>IF($A204="","",IFERROR(INDEX(Company_List!$G$3:$G$207,MATCH($A204,Company_List!$A$3:$A$207,0)),"unassigned"))</f>
        <v/>
      </c>
      <c r="AM204" t="inlineStr">
        <is>
          <t>Phase 3/Readings/Colgate Palmolive/CP 4Q &amp; FY 2025 Press Release - Final.pdf</t>
        </is>
      </c>
      <c r="AO204" t="inlineStr">
        <is>
          <t>unique filename match</t>
        </is>
      </c>
      <c r="AP204">
        <f>IF($A204="","",IF(COUNTIFS(LLM_Data_Entry!$A$3:$A$548,$A204)&gt;0,"YES","NO"))</f>
        <v/>
      </c>
      <c r="AQ204">
        <f>IF($A204="","",IF(COUNTIFS($A$3:$A204,$A204,$C$3:$C204,$C204,$D$3:$D204,$D204)=1,"YES","NO"))</f>
        <v/>
      </c>
      <c r="AR204">
        <f>IF($A204="","",IF(AND($C204&amp;"-"&amp;$D204&gt;=Settings!$B$19,$C204&amp;"-"&amp;$D204&lt;=Settings!$B$20),"IN","OUT"))</f>
        <v/>
      </c>
      <c r="AS204">
        <f>IF($A204="","",IF($F204="Financial Results","financials",IF($F204="Outlook/Guidance","guidance",IF($F204="Transcript Q&amp;A","qanda",IF($F204="","unrecorded",IF($E204="All","full",IF($E204="","unrecorded",LOWER($E204)&amp;" only")))))))</f>
        <v/>
      </c>
      <c r="AT204">
        <f>IF(AND(OR($J204="BUY",$J204="SELL"),ISNUMBER($U204)),$U204,"")</f>
        <v/>
      </c>
      <c r="AU204">
        <f>IF(AND(OR($J204="BUY",$J204="SELL"),ISNUMBER($AK204)),$AK204,"")</f>
        <v/>
      </c>
      <c r="AV204">
        <f>IF(ISNUMBER($AT204),ABS(IF(ISNUMBER($I204),$I204,0)-Settings!$B$24),"")</f>
        <v/>
      </c>
      <c r="AW204">
        <f>IF(ISNUMBER($AV204),$AV204*$AT204,"")</f>
        <v/>
      </c>
      <c r="AX204">
        <f>IF(ISNUMBER($AU204),ABS(IF(ISNUMBER($I204),$I204,0)-Settings!$B$24),"")</f>
        <v/>
      </c>
      <c r="AY204">
        <f>IF(ISNUMBER($AX204),$AX204*$AU204,"")</f>
        <v/>
      </c>
      <c r="AZ204">
        <f>IF($A204="","",IFERROR(INDEX(Company_List!$H$3:$H$207,MATCH($A204,Company_List!$A$3:$A$207,0)),"unassigned"))</f>
        <v/>
      </c>
      <c r="BC204">
        <f>IF($A204="","",IF(COUNTIFS($A$3:$A204,$A204,$C$3:$C204,$C204,$D$3:$D204,$D204,$G$3:$G204,$G204)=1,1,0))</f>
        <v/>
      </c>
      <c r="BG204" t="inlineStr">
        <is>
          <t>no</t>
        </is>
      </c>
      <c r="BK204">
        <f>IF(OR($H204&lt;&gt;"Human",$S204="",$J204="",$Y204="",$Z204=""),"",IF(EXACT(UPPER($J204),UPPER($Y204)),1,0))</f>
        <v/>
      </c>
      <c r="BL204" t="inlineStr">
        <is>
          <t>assumed - no rater record</t>
        </is>
      </c>
      <c r="BM204" t="n">
        <v>1</v>
      </c>
      <c r="BN204" t="inlineStr">
        <is>
          <t>not publisher-identified</t>
        </is>
      </c>
      <c r="BO204" t="inlineStr">
        <is>
          <t>not publisher-identified</t>
        </is>
      </c>
      <c r="BP204" t="inlineStr">
        <is>
          <t>no</t>
        </is>
      </c>
      <c r="BQ204" t="inlineStr">
        <is>
          <t>no</t>
        </is>
      </c>
    </row>
    <row r="205">
      <c r="A205" s="115" t="inlineStr">
        <is>
          <t>Colgate-Palmolive</t>
        </is>
      </c>
      <c r="B205" s="116">
        <f>IF(A205="","",_xlfn.XLOOKUP(A205, Company_List!$A:$A, Company_List!$B:$B, ""))</f>
        <v/>
      </c>
      <c r="C205" s="143" t="n">
        <v>2025</v>
      </c>
      <c r="D205" s="143" t="inlineStr">
        <is>
          <t>Q3</t>
        </is>
      </c>
      <c r="E205" s="98" t="inlineStr">
        <is>
          <t>Press Release Document</t>
        </is>
      </c>
      <c r="F205" s="98" t="inlineStr">
        <is>
          <t>All</t>
        </is>
      </c>
      <c r="G205" s="143" t="inlineStr">
        <is>
          <t>Anna</t>
        </is>
      </c>
      <c r="H205" s="106" t="inlineStr">
        <is>
          <t>Human</t>
        </is>
      </c>
      <c r="I205" s="145" t="n">
        <v>0.1</v>
      </c>
      <c r="J205" s="145">
        <f>IF(OR(I205="",Settings!$B$6=""),"",IF(I205&gt;Settings!$B$6,"BUY",IF(I205&lt;-Settings!$B$6,"SELL","HOLD")))</f>
        <v/>
      </c>
      <c r="K205" s="145" t="n">
        <v>13</v>
      </c>
      <c r="L205" s="125" t="n">
        <v>45961</v>
      </c>
      <c r="M205" s="140" t="n">
        <v>45960</v>
      </c>
      <c r="N205" s="147" t="n">
        <v>76.51000000000001</v>
      </c>
      <c r="O205" s="140" t="n">
        <v>45964</v>
      </c>
      <c r="P205" s="145" t="n">
        <v>76.56999999999999</v>
      </c>
      <c r="Q205" s="150">
        <f>IF(OR(N205="",P205=""),"",ROUND((P205-N205)/N205,4))</f>
        <v/>
      </c>
      <c r="R205" s="106">
        <f>IF(OR(N205="",P205=""),"",IF(Q205&gt;Settings!$B$3/100,"UP",IF(Q205&lt;-Settings!$B$3/100,"DOWN","FLAT")))</f>
        <v/>
      </c>
      <c r="S205" s="106">
        <f>IF(OR(N205="",P205="",J205=""),"",IF(OR(AND(J205="BUY",R205="UP"),AND(J205="SELL",R205="DOWN"),AND(J205="HOLD",R205="FLAT")),"YES","NO"))</f>
        <v/>
      </c>
      <c r="T205" s="105">
        <f>IF(J205="","",IF(J205="BUY",1,IF(J205="SELL",-1,0)))</f>
        <v/>
      </c>
      <c r="U205" s="150">
        <f>IFERROR(IF(OR(J205="",N205="",P205=""),"",IF(T205=0,0,T205*Q205-Settings!$B$4/10000-IF(T205&lt;0,Settings!$B$5/10000,0))),"")</f>
        <v/>
      </c>
      <c r="W205" s="21">
        <f>IF($K205="","",$K205*60)</f>
        <v/>
      </c>
      <c r="X205" s="91">
        <f>IF($A205="","",$A205&amp;"|"&amp;$C205&amp;"|"&amp;$D205)</f>
        <v/>
      </c>
      <c r="Y205" s="91">
        <f>IFERROR(IF($X205="","",INDEX(LLM_Data_Entry!$H$3:$H$548,MATCH($X205,INDEX(LLM_Data_Entry!$A$3:$A$548&amp;"|"&amp;LLM_Data_Entry!$C$3:$C$548&amp;"|"&amp;LLM_Data_Entry!$D$3:$D$548,0),0))),"")</f>
        <v/>
      </c>
      <c r="Z205" s="91">
        <f>IFERROR(IF($X205="","",INDEX(LLM_Data_Entry!$R$3:$R$548,MATCH($X205,INDEX(LLM_Data_Entry!$A$3:$A$548&amp;"|"&amp;LLM_Data_Entry!$C$3:$C$548&amp;"|"&amp;LLM_Data_Entry!$D$3:$D$548,0),0))),"")</f>
        <v/>
      </c>
      <c r="AB205" t="inlineStr">
        <is>
          <t>recorded window spanned two sessions, closed to one</t>
        </is>
      </c>
      <c r="AC205" t="inlineStr">
        <is>
          <t>CL</t>
        </is>
      </c>
      <c r="AD205" t="inlineStr">
        <is>
          <t>2025-10-30</t>
        </is>
      </c>
      <c r="AE205" t="n">
        <v>75.1439</v>
      </c>
      <c r="AF205" t="inlineStr">
        <is>
          <t>2025-10-31</t>
        </is>
      </c>
      <c r="AG205" t="n">
        <v>74.20099999999999</v>
      </c>
      <c r="AH205" t="n">
        <v>-0.0125473927771357</v>
      </c>
      <c r="AI205" t="inlineStr">
        <is>
          <t>FLAT</t>
        </is>
      </c>
      <c r="AJ205" t="inlineStr">
        <is>
          <t>YES</t>
        </is>
      </c>
      <c r="AK205" t="n">
        <v>0</v>
      </c>
      <c r="AL205">
        <f>IF($A205="","",IFERROR(INDEX(Company_List!$G$3:$G$207,MATCH($A205,Company_List!$A$3:$A$207,0)),"unassigned"))</f>
        <v/>
      </c>
      <c r="AM205" t="inlineStr">
        <is>
          <t>Phase 3/Readings/Colgate Palmolive/CP 3Q 2025 Press Release - Final.pdf</t>
        </is>
      </c>
      <c r="AO205" t="inlineStr">
        <is>
          <t>unique filename match</t>
        </is>
      </c>
      <c r="AP205">
        <f>IF($A205="","",IF(COUNTIFS(LLM_Data_Entry!$A$3:$A$548,$A205)&gt;0,"YES","NO"))</f>
        <v/>
      </c>
      <c r="AQ205">
        <f>IF($A205="","",IF(COUNTIFS($A$3:$A205,$A205,$C$3:$C205,$C205,$D$3:$D205,$D205)=1,"YES","NO"))</f>
        <v/>
      </c>
      <c r="AR205">
        <f>IF($A205="","",IF(AND($C205&amp;"-"&amp;$D205&gt;=Settings!$B$19,$C205&amp;"-"&amp;$D205&lt;=Settings!$B$20),"IN","OUT"))</f>
        <v/>
      </c>
      <c r="AS205">
        <f>IF($A205="","",IF($F205="Financial Results","financials",IF($F205="Outlook/Guidance","guidance",IF($F205="Transcript Q&amp;A","qanda",IF($F205="","unrecorded",IF($E205="All","full",IF($E205="","unrecorded",LOWER($E205)&amp;" only")))))))</f>
        <v/>
      </c>
      <c r="AT205">
        <f>IF(AND(OR($J205="BUY",$J205="SELL"),ISNUMBER($U205)),$U205,"")</f>
        <v/>
      </c>
      <c r="AU205">
        <f>IF(AND(OR($J205="BUY",$J205="SELL"),ISNUMBER($AK205)),$AK205,"")</f>
        <v/>
      </c>
      <c r="AV205">
        <f>IF(ISNUMBER($AT205),ABS(IF(ISNUMBER($I205),$I205,0)-Settings!$B$24),"")</f>
        <v/>
      </c>
      <c r="AW205">
        <f>IF(ISNUMBER($AV205),$AV205*$AT205,"")</f>
        <v/>
      </c>
      <c r="AX205">
        <f>IF(ISNUMBER($AU205),ABS(IF(ISNUMBER($I205),$I205,0)-Settings!$B$24),"")</f>
        <v/>
      </c>
      <c r="AY205">
        <f>IF(ISNUMBER($AX205),$AX205*$AU205,"")</f>
        <v/>
      </c>
      <c r="AZ205">
        <f>IF($A205="","",IFERROR(INDEX(Company_List!$H$3:$H$207,MATCH($A205,Company_List!$A$3:$A$207,0)),"unassigned"))</f>
        <v/>
      </c>
      <c r="BC205">
        <f>IF($A205="","",IF(COUNTIFS($A$3:$A205,$A205,$C$3:$C205,$C205,$D$3:$D205,$D205,$G$3:$G205,$G205)=1,1,0))</f>
        <v/>
      </c>
      <c r="BG205" t="inlineStr">
        <is>
          <t>no</t>
        </is>
      </c>
      <c r="BK205">
        <f>IF(OR($H205&lt;&gt;"Human",$S205="",$J205="",$Y205="",$Z205=""),"",IF(EXACT(UPPER($J205),UPPER($Y205)),1,0))</f>
        <v/>
      </c>
      <c r="BL205" t="inlineStr">
        <is>
          <t>assumed - no rater record</t>
        </is>
      </c>
      <c r="BM205" t="n">
        <v>1</v>
      </c>
      <c r="BN205" t="inlineStr">
        <is>
          <t>not publisher-identified</t>
        </is>
      </c>
      <c r="BO205" t="inlineStr">
        <is>
          <t>not publisher-identified</t>
        </is>
      </c>
      <c r="BP205" t="inlineStr">
        <is>
          <t>no</t>
        </is>
      </c>
      <c r="BQ205" t="inlineStr">
        <is>
          <t>no</t>
        </is>
      </c>
    </row>
    <row r="206">
      <c r="A206" s="115" t="inlineStr">
        <is>
          <t>Lenovo</t>
        </is>
      </c>
      <c r="B206" s="116">
        <f>IF(A206="","",_xlfn.XLOOKUP(A206, Company_List!$A:$A, Company_List!$B:$B, ""))</f>
        <v/>
      </c>
      <c r="C206" s="143" t="n">
        <v>2026</v>
      </c>
      <c r="D206" s="143" t="inlineStr">
        <is>
          <t>Q4</t>
        </is>
      </c>
      <c r="E206" s="98" t="inlineStr">
        <is>
          <t>Presentation</t>
        </is>
      </c>
      <c r="F206" s="98" t="inlineStr">
        <is>
          <t>All</t>
        </is>
      </c>
      <c r="G206" s="143" t="inlineStr">
        <is>
          <t>Anna</t>
        </is>
      </c>
      <c r="H206" s="106" t="inlineStr">
        <is>
          <t>Human</t>
        </is>
      </c>
      <c r="I206" s="145" t="n">
        <v>0.7</v>
      </c>
      <c r="J206" s="145">
        <f>IF(OR(I206="",Settings!$B$6=""),"",IF(I206&gt;Settings!$B$6,"BUY",IF(I206&lt;-Settings!$B$6,"SELL","HOLD")))</f>
        <v/>
      </c>
      <c r="K206" s="145" t="n">
        <v>21</v>
      </c>
      <c r="L206" s="125" t="n">
        <v>46164</v>
      </c>
      <c r="M206" s="140" t="n">
        <v>46164</v>
      </c>
      <c r="N206" s="147" t="n">
        <v>40.17</v>
      </c>
      <c r="O206" s="140" t="n">
        <v>46168</v>
      </c>
      <c r="P206" s="145" t="n">
        <v>47.01</v>
      </c>
      <c r="Q206" s="150">
        <f>IF(OR(N206="",P206=""),"",ROUND((P206-N206)/N206,4))</f>
        <v/>
      </c>
      <c r="R206" s="106">
        <f>IF(OR(N206="",P206=""),"",IF(Q206&gt;Settings!$B$3/100,"UP",IF(Q206&lt;-Settings!$B$3/100,"DOWN","FLAT")))</f>
        <v/>
      </c>
      <c r="S206" s="106">
        <f>IF(OR(N206="",P206="",J206=""),"",IF(OR(AND(J206="BUY",R206="UP"),AND(J206="SELL",R206="DOWN"),AND(J206="HOLD",R206="FLAT")),"YES","NO"))</f>
        <v/>
      </c>
      <c r="T206" s="105">
        <f>IF(J206="","",IF(J206="BUY",1,IF(J206="SELL",-1,0)))</f>
        <v/>
      </c>
      <c r="U206" s="150">
        <f>IFERROR(IF(OR(J206="",N206="",P206=""),"",IF(T206=0,0,T206*Q206-Settings!$B$4/10000-IF(T206&lt;0,Settings!$B$5/10000,0))),"")</f>
        <v/>
      </c>
      <c r="W206" s="21">
        <f>IF($K206="","",$K206*60)</f>
        <v/>
      </c>
      <c r="X206" s="91">
        <f>IF($A206="","",$A206&amp;"|"&amp;$C206&amp;"|"&amp;$D206)</f>
        <v/>
      </c>
      <c r="Y206" s="91">
        <f>IFERROR(IF($X206="","",INDEX(LLM_Data_Entry!$H$3:$H$548,MATCH($X206,INDEX(LLM_Data_Entry!$A$3:$A$548&amp;"|"&amp;LLM_Data_Entry!$C$3:$C$548&amp;"|"&amp;LLM_Data_Entry!$D$3:$D$548,0),0))),"")</f>
        <v/>
      </c>
      <c r="Z206" s="91">
        <f>IFERROR(IF($X206="","",INDEX(LLM_Data_Entry!$R$3:$R$548,MATCH($X206,INDEX(LLM_Data_Entry!$A$3:$A$548&amp;"|"&amp;LLM_Data_Entry!$C$3:$C$548&amp;"|"&amp;LLM_Data_Entry!$D$3:$D$548,0),0))),"")</f>
        <v/>
      </c>
      <c r="AB206" t="inlineStr">
        <is>
          <t>repriced on the issuer's primary listing</t>
        </is>
      </c>
      <c r="AC206" t="inlineStr">
        <is>
          <t>0992.HK</t>
        </is>
      </c>
      <c r="AD206" t="inlineStr">
        <is>
          <t>2026-05-21</t>
        </is>
      </c>
      <c r="AE206" t="n">
        <v>12.9739</v>
      </c>
      <c r="AF206" t="inlineStr">
        <is>
          <t>2026-05-22</t>
        </is>
      </c>
      <c r="AG206" t="n">
        <v>13.6053</v>
      </c>
      <c r="AH206" t="n">
        <v>0.04866921306796387</v>
      </c>
      <c r="AI206" t="inlineStr">
        <is>
          <t>UP</t>
        </is>
      </c>
      <c r="AJ206" t="inlineStr">
        <is>
          <t>YES</t>
        </is>
      </c>
      <c r="AK206" t="n">
        <v>0.047669</v>
      </c>
      <c r="AL206">
        <f>IF($A206="","",IFERROR(INDEX(Company_List!$G$3:$G$207,MATCH($A206,Company_List!$A$3:$A$207,0)),"unassigned"))</f>
        <v/>
      </c>
      <c r="AM206" t="inlineStr">
        <is>
          <t>Phase 3/Readings/Lenovo/presentation_2526_q4.pdf</t>
        </is>
      </c>
      <c r="AO206" t="inlineStr">
        <is>
          <t>unique filename match</t>
        </is>
      </c>
      <c r="AP206">
        <f>IF($A206="","",IF(COUNTIFS(LLM_Data_Entry!$A$3:$A$548,$A206)&gt;0,"YES","NO"))</f>
        <v/>
      </c>
      <c r="AQ206">
        <f>IF($A206="","",IF(COUNTIFS($A$3:$A206,$A206,$C$3:$C206,$C206,$D$3:$D206,$D206)=1,"YES","NO"))</f>
        <v/>
      </c>
      <c r="AR206">
        <f>IF($A206="","",IF(AND($C206&amp;"-"&amp;$D206&gt;=Settings!$B$19,$C206&amp;"-"&amp;$D206&lt;=Settings!$B$20),"IN","OUT"))</f>
        <v/>
      </c>
      <c r="AS206">
        <f>IF($A206="","",IF($F206="Financial Results","financials",IF($F206="Outlook/Guidance","guidance",IF($F206="Transcript Q&amp;A","qanda",IF($F206="","unrecorded",IF($E206="All","full",IF($E206="","unrecorded",LOWER($E206)&amp;" only")))))))</f>
        <v/>
      </c>
      <c r="AT206">
        <f>IF(AND(OR($J206="BUY",$J206="SELL"),ISNUMBER($U206)),$U206,"")</f>
        <v/>
      </c>
      <c r="AU206">
        <f>IF(AND(OR($J206="BUY",$J206="SELL"),ISNUMBER($AK206)),$AK206,"")</f>
        <v/>
      </c>
      <c r="AV206">
        <f>IF(ISNUMBER($AT206),ABS(IF(ISNUMBER($I206),$I206,0)-Settings!$B$24),"")</f>
        <v/>
      </c>
      <c r="AW206">
        <f>IF(ISNUMBER($AV206),$AV206*$AT206,"")</f>
        <v/>
      </c>
      <c r="AX206">
        <f>IF(ISNUMBER($AU206),ABS(IF(ISNUMBER($I206),$I206,0)-Settings!$B$24),"")</f>
        <v/>
      </c>
      <c r="AY206">
        <f>IF(ISNUMBER($AX206),$AX206*$AU206,"")</f>
        <v/>
      </c>
      <c r="AZ206">
        <f>IF($A206="","",IFERROR(INDEX(Company_List!$H$3:$H$207,MATCH($A206,Company_List!$A$3:$A$207,0)),"unassigned"))</f>
        <v/>
      </c>
      <c r="BC206">
        <f>IF($A206="","",IF(COUNTIFS($A$3:$A206,$A206,$C$3:$C206,$C206,$D$3:$D206,$D206,$G$3:$G206,$G206)=1,1,0))</f>
        <v/>
      </c>
      <c r="BG206" t="inlineStr">
        <is>
          <t>no</t>
        </is>
      </c>
      <c r="BK206">
        <f>IF(OR($H206&lt;&gt;"Human",$S206="",$J206="",$Y206="",$Z206=""),"",IF(EXACT(UPPER($J206),UPPER($Y206)),1,0))</f>
        <v/>
      </c>
      <c r="BL206" t="inlineStr">
        <is>
          <t>assumed - no rater record</t>
        </is>
      </c>
      <c r="BM206" t="n">
        <v>1</v>
      </c>
      <c r="BN206" t="inlineStr">
        <is>
          <t>not publisher-identified</t>
        </is>
      </c>
      <c r="BO206" t="inlineStr">
        <is>
          <t>not publisher-identified</t>
        </is>
      </c>
      <c r="BP206" t="inlineStr">
        <is>
          <t>no</t>
        </is>
      </c>
      <c r="BQ206" t="inlineStr">
        <is>
          <t>no</t>
        </is>
      </c>
    </row>
    <row r="207">
      <c r="A207" s="115" t="inlineStr">
        <is>
          <t>Lenovo</t>
        </is>
      </c>
      <c r="B207" s="116">
        <f>IF(A207="","",_xlfn.XLOOKUP(A207, Company_List!$A:$A, Company_List!$B:$B, ""))</f>
        <v/>
      </c>
      <c r="C207" s="143" t="n">
        <v>2026</v>
      </c>
      <c r="D207" s="143" t="inlineStr">
        <is>
          <t>Q3</t>
        </is>
      </c>
      <c r="E207" s="98" t="inlineStr">
        <is>
          <t>Presentation</t>
        </is>
      </c>
      <c r="F207" s="98" t="inlineStr">
        <is>
          <t>All</t>
        </is>
      </c>
      <c r="G207" s="143" t="inlineStr">
        <is>
          <t>Anna</t>
        </is>
      </c>
      <c r="H207" s="106" t="inlineStr">
        <is>
          <t>Human</t>
        </is>
      </c>
      <c r="I207" s="145" t="n">
        <v>0.7</v>
      </c>
      <c r="J207" s="145">
        <f>IF(OR(I207="",Settings!$B$6=""),"",IF(I207&gt;Settings!$B$6,"BUY",IF(I207&lt;-Settings!$B$6,"SELL","HOLD")))</f>
        <v/>
      </c>
      <c r="K207" s="145" t="n">
        <v>22</v>
      </c>
      <c r="L207" s="125" t="n">
        <v>46065</v>
      </c>
      <c r="M207" s="140" t="n">
        <v>46065</v>
      </c>
      <c r="N207" s="147" t="n">
        <v>22.96</v>
      </c>
      <c r="O207" s="140" t="n">
        <v>46066</v>
      </c>
      <c r="P207" s="145" t="n">
        <v>23.55</v>
      </c>
      <c r="Q207" s="150">
        <f>IF(OR(N207="",P207=""),"",ROUND((P207-N207)/N207,4))</f>
        <v/>
      </c>
      <c r="R207" s="106">
        <f>IF(OR(N207="",P207=""),"",IF(Q207&gt;Settings!$B$3/100,"UP",IF(Q207&lt;-Settings!$B$3/100,"DOWN","FLAT")))</f>
        <v/>
      </c>
      <c r="S207" s="106">
        <f>IF(OR(N207="",P207="",J207=""),"",IF(OR(AND(J207="BUY",R207="UP"),AND(J207="SELL",R207="DOWN"),AND(J207="HOLD",R207="FLAT")),"YES","NO"))</f>
        <v/>
      </c>
      <c r="T207" s="105">
        <f>IF(J207="","",IF(J207="BUY",1,IF(J207="SELL",-1,0)))</f>
        <v/>
      </c>
      <c r="U207" s="150">
        <f>IFERROR(IF(OR(J207="",N207="",P207=""),"",IF(T207=0,0,T207*Q207-Settings!$B$4/10000-IF(T207&lt;0,Settings!$B$5/10000,0))),"")</f>
        <v/>
      </c>
      <c r="W207" s="21">
        <f>IF($K207="","",$K207*60)</f>
        <v/>
      </c>
      <c r="X207" s="91">
        <f>IF($A207="","",$A207&amp;"|"&amp;$C207&amp;"|"&amp;$D207)</f>
        <v/>
      </c>
      <c r="Y207" s="91">
        <f>IFERROR(IF($X207="","",INDEX(LLM_Data_Entry!$H$3:$H$548,MATCH($X207,INDEX(LLM_Data_Entry!$A$3:$A$548&amp;"|"&amp;LLM_Data_Entry!$C$3:$C$548&amp;"|"&amp;LLM_Data_Entry!$D$3:$D$548,0),0))),"")</f>
        <v/>
      </c>
      <c r="Z207" s="91">
        <f>IFERROR(IF($X207="","",INDEX(LLM_Data_Entry!$R$3:$R$548,MATCH($X207,INDEX(LLM_Data_Entry!$A$3:$A$548&amp;"|"&amp;LLM_Data_Entry!$C$3:$C$548&amp;"|"&amp;LLM_Data_Entry!$D$3:$D$548,0),0))),"")</f>
        <v/>
      </c>
      <c r="AB207" t="inlineStr">
        <is>
          <t>the exchange's own publication timestamp</t>
        </is>
      </c>
      <c r="AC207" t="inlineStr">
        <is>
          <t>0992.HK</t>
        </is>
      </c>
      <c r="AD207" t="inlineStr">
        <is>
          <t>2026-02-11</t>
        </is>
      </c>
      <c r="AE207" t="n">
        <v>9.303699999999999</v>
      </c>
      <c r="AF207" t="inlineStr">
        <is>
          <t>2026-02-12</t>
        </is>
      </c>
      <c r="AG207" t="n">
        <v>9.274100000000001</v>
      </c>
      <c r="AH207" t="n">
        <v>-0.003181284256710995</v>
      </c>
      <c r="AI207" t="inlineStr">
        <is>
          <t>FLAT</t>
        </is>
      </c>
      <c r="AJ207" t="inlineStr">
        <is>
          <t>NO</t>
        </is>
      </c>
      <c r="AK207" t="n">
        <v>-0.004181</v>
      </c>
      <c r="AL207">
        <f>IF($A207="","",IFERROR(INDEX(Company_List!$G$3:$G$207,MATCH($A207,Company_List!$A$3:$A$207,0)),"unassigned"))</f>
        <v/>
      </c>
      <c r="AM207" t="inlineStr">
        <is>
          <t>Phase 3/Readings/Lenovo/presentation_2526_q3.pdf</t>
        </is>
      </c>
      <c r="AO207" t="inlineStr">
        <is>
          <t>unique filename match</t>
        </is>
      </c>
      <c r="AP207">
        <f>IF($A207="","",IF(COUNTIFS(LLM_Data_Entry!$A$3:$A$548,$A207)&gt;0,"YES","NO"))</f>
        <v/>
      </c>
      <c r="AQ207">
        <f>IF($A207="","",IF(COUNTIFS($A$3:$A207,$A207,$C$3:$C207,$C207,$D$3:$D207,$D207)=1,"YES","NO"))</f>
        <v/>
      </c>
      <c r="AR207">
        <f>IF($A207="","",IF(AND($C207&amp;"-"&amp;$D207&gt;=Settings!$B$19,$C207&amp;"-"&amp;$D207&lt;=Settings!$B$20),"IN","OUT"))</f>
        <v/>
      </c>
      <c r="AS207">
        <f>IF($A207="","",IF($F207="Financial Results","financials",IF($F207="Outlook/Guidance","guidance",IF($F207="Transcript Q&amp;A","qanda",IF($F207="","unrecorded",IF($E207="All","full",IF($E207="","unrecorded",LOWER($E207)&amp;" only")))))))</f>
        <v/>
      </c>
      <c r="AT207">
        <f>IF(AND(OR($J207="BUY",$J207="SELL"),ISNUMBER($U207)),$U207,"")</f>
        <v/>
      </c>
      <c r="AU207">
        <f>IF(AND(OR($J207="BUY",$J207="SELL"),ISNUMBER($AK207)),$AK207,"")</f>
        <v/>
      </c>
      <c r="AV207">
        <f>IF(ISNUMBER($AT207),ABS(IF(ISNUMBER($I207),$I207,0)-Settings!$B$24),"")</f>
        <v/>
      </c>
      <c r="AW207">
        <f>IF(ISNUMBER($AV207),$AV207*$AT207,"")</f>
        <v/>
      </c>
      <c r="AX207">
        <f>IF(ISNUMBER($AU207),ABS(IF(ISNUMBER($I207),$I207,0)-Settings!$B$24),"")</f>
        <v/>
      </c>
      <c r="AY207">
        <f>IF(ISNUMBER($AX207),$AX207*$AU207,"")</f>
        <v/>
      </c>
      <c r="AZ207">
        <f>IF($A207="","",IFERROR(INDEX(Company_List!$H$3:$H$207,MATCH($A207,Company_List!$A$3:$A$207,0)),"unassigned"))</f>
        <v/>
      </c>
      <c r="BC207">
        <f>IF($A207="","",IF(COUNTIFS($A$3:$A207,$A207,$C$3:$C207,$C207,$D$3:$D207,$D207,$G$3:$G207,$G207)=1,1,0))</f>
        <v/>
      </c>
      <c r="BG207" t="inlineStr">
        <is>
          <t>no</t>
        </is>
      </c>
      <c r="BK207">
        <f>IF(OR($H207&lt;&gt;"Human",$S207="",$J207="",$Y207="",$Z207=""),"",IF(EXACT(UPPER($J207),UPPER($Y207)),1,0))</f>
        <v/>
      </c>
      <c r="BL207" t="inlineStr">
        <is>
          <t>assumed - no rater record</t>
        </is>
      </c>
      <c r="BM207" t="n">
        <v>1</v>
      </c>
      <c r="BN207" t="inlineStr">
        <is>
          <t>not publisher-identified</t>
        </is>
      </c>
      <c r="BO207" t="inlineStr">
        <is>
          <t>not publisher-identified</t>
        </is>
      </c>
      <c r="BP207" t="inlineStr">
        <is>
          <t>no</t>
        </is>
      </c>
      <c r="BQ207" t="inlineStr">
        <is>
          <t>no</t>
        </is>
      </c>
    </row>
    <row r="208">
      <c r="A208" s="115" t="inlineStr">
        <is>
          <t>Lenovo</t>
        </is>
      </c>
      <c r="B208" s="116">
        <f>IF(A208="","",_xlfn.XLOOKUP(A208, Company_List!$A:$A, Company_List!$B:$B, ""))</f>
        <v/>
      </c>
      <c r="C208" s="143" t="n">
        <v>2026</v>
      </c>
      <c r="D208" s="143" t="inlineStr">
        <is>
          <t>Q2</t>
        </is>
      </c>
      <c r="E208" s="98" t="inlineStr">
        <is>
          <t>Presentation</t>
        </is>
      </c>
      <c r="F208" s="98" t="inlineStr">
        <is>
          <t>All</t>
        </is>
      </c>
      <c r="G208" s="143" t="inlineStr">
        <is>
          <t>Anna</t>
        </is>
      </c>
      <c r="H208" s="106" t="inlineStr">
        <is>
          <t>Human</t>
        </is>
      </c>
      <c r="I208" s="145" t="n">
        <v>0.6</v>
      </c>
      <c r="J208" s="145">
        <f>IF(OR(I208="",Settings!$B$6=""),"",IF(I208&gt;Settings!$B$6,"BUY",IF(I208&lt;-Settings!$B$6,"SELL","HOLD")))</f>
        <v/>
      </c>
      <c r="K208" s="145" t="n">
        <v>25</v>
      </c>
      <c r="L208" s="125" t="n">
        <v>45981</v>
      </c>
      <c r="M208" s="140" t="n">
        <v>45981</v>
      </c>
      <c r="N208" s="147" t="n">
        <v>24.2</v>
      </c>
      <c r="O208" s="140" t="n">
        <v>45982</v>
      </c>
      <c r="P208" s="145" t="n">
        <v>23.9</v>
      </c>
      <c r="Q208" s="150">
        <f>IF(OR(N208="",P208=""),"",ROUND((P208-N208)/N208,4))</f>
        <v/>
      </c>
      <c r="R208" s="106">
        <f>IF(OR(N208="",P208=""),"",IF(Q208&gt;Settings!$B$3/100,"UP",IF(Q208&lt;-Settings!$B$3/100,"DOWN","FLAT")))</f>
        <v/>
      </c>
      <c r="S208" s="106">
        <f>IF(OR(N208="",P208="",J208=""),"",IF(OR(AND(J208="BUY",R208="UP"),AND(J208="SELL",R208="DOWN"),AND(J208="HOLD",R208="FLAT")),"YES","NO"))</f>
        <v/>
      </c>
      <c r="T208" s="105">
        <f>IF(J208="","",IF(J208="BUY",1,IF(J208="SELL",-1,0)))</f>
        <v/>
      </c>
      <c r="U208" s="150">
        <f>IFERROR(IF(OR(J208="",N208="",P208=""),"",IF(T208=0,0,T208*Q208-Settings!$B$4/10000-IF(T208&lt;0,Settings!$B$5/10000,0))),"")</f>
        <v/>
      </c>
      <c r="W208" s="21">
        <f>IF($K208="","",$K208*60)</f>
        <v/>
      </c>
      <c r="X208" s="91">
        <f>IF($A208="","",$A208&amp;"|"&amp;$C208&amp;"|"&amp;$D208)</f>
        <v/>
      </c>
      <c r="Y208" s="91">
        <f>IFERROR(IF($X208="","",INDEX(LLM_Data_Entry!$H$3:$H$548,MATCH($X208,INDEX(LLM_Data_Entry!$A$3:$A$548&amp;"|"&amp;LLM_Data_Entry!$C$3:$C$548&amp;"|"&amp;LLM_Data_Entry!$D$3:$D$548,0),0))),"")</f>
        <v/>
      </c>
      <c r="Z208" s="91">
        <f>IFERROR(IF($X208="","",INDEX(LLM_Data_Entry!$R$3:$R$548,MATCH($X208,INDEX(LLM_Data_Entry!$A$3:$A$548&amp;"|"&amp;LLM_Data_Entry!$C$3:$C$548&amp;"|"&amp;LLM_Data_Entry!$D$3:$D$548,0),0))),"")</f>
        <v/>
      </c>
      <c r="AB208" t="inlineStr">
        <is>
          <t>repriced on the issuer's primary listing</t>
        </is>
      </c>
      <c r="AC208" t="inlineStr">
        <is>
          <t>0992.HK</t>
        </is>
      </c>
      <c r="AD208" t="inlineStr">
        <is>
          <t>2025-11-19</t>
        </is>
      </c>
      <c r="AE208" t="n">
        <v>9.4186</v>
      </c>
      <c r="AF208" t="inlineStr">
        <is>
          <t>2025-11-20</t>
        </is>
      </c>
      <c r="AG208" t="n">
        <v>9.6533</v>
      </c>
      <c r="AH208" t="n">
        <v>0.02492208009193885</v>
      </c>
      <c r="AI208" t="inlineStr">
        <is>
          <t>UP</t>
        </is>
      </c>
      <c r="AJ208" t="inlineStr">
        <is>
          <t>YES</t>
        </is>
      </c>
      <c r="AK208" t="n">
        <v>0.023922</v>
      </c>
      <c r="AL208">
        <f>IF($A208="","",IFERROR(INDEX(Company_List!$G$3:$G$207,MATCH($A208,Company_List!$A$3:$A$207,0)),"unassigned"))</f>
        <v/>
      </c>
      <c r="AM208" t="inlineStr">
        <is>
          <t>Phase 3/Readings/Lenovo/presentation_2526_q2.pdf</t>
        </is>
      </c>
      <c r="AO208" t="inlineStr">
        <is>
          <t>unique filename match</t>
        </is>
      </c>
      <c r="AP208">
        <f>IF($A208="","",IF(COUNTIFS(LLM_Data_Entry!$A$3:$A$548,$A208)&gt;0,"YES","NO"))</f>
        <v/>
      </c>
      <c r="AQ208">
        <f>IF($A208="","",IF(COUNTIFS($A$3:$A208,$A208,$C$3:$C208,$C208,$D$3:$D208,$D208)=1,"YES","NO"))</f>
        <v/>
      </c>
      <c r="AR208">
        <f>IF($A208="","",IF(AND($C208&amp;"-"&amp;$D208&gt;=Settings!$B$19,$C208&amp;"-"&amp;$D208&lt;=Settings!$B$20),"IN","OUT"))</f>
        <v/>
      </c>
      <c r="AS208">
        <f>IF($A208="","",IF($F208="Financial Results","financials",IF($F208="Outlook/Guidance","guidance",IF($F208="Transcript Q&amp;A","qanda",IF($F208="","unrecorded",IF($E208="All","full",IF($E208="","unrecorded",LOWER($E208)&amp;" only")))))))</f>
        <v/>
      </c>
      <c r="AT208">
        <f>IF(AND(OR($J208="BUY",$J208="SELL"),ISNUMBER($U208)),$U208,"")</f>
        <v/>
      </c>
      <c r="AU208">
        <f>IF(AND(OR($J208="BUY",$J208="SELL"),ISNUMBER($AK208)),$AK208,"")</f>
        <v/>
      </c>
      <c r="AV208">
        <f>IF(ISNUMBER($AT208),ABS(IF(ISNUMBER($I208),$I208,0)-Settings!$B$24),"")</f>
        <v/>
      </c>
      <c r="AW208">
        <f>IF(ISNUMBER($AV208),$AV208*$AT208,"")</f>
        <v/>
      </c>
      <c r="AX208">
        <f>IF(ISNUMBER($AU208),ABS(IF(ISNUMBER($I208),$I208,0)-Settings!$B$24),"")</f>
        <v/>
      </c>
      <c r="AY208">
        <f>IF(ISNUMBER($AX208),$AX208*$AU208,"")</f>
        <v/>
      </c>
      <c r="AZ208">
        <f>IF($A208="","",IFERROR(INDEX(Company_List!$H$3:$H$207,MATCH($A208,Company_List!$A$3:$A$207,0)),"unassigned"))</f>
        <v/>
      </c>
      <c r="BC208">
        <f>IF($A208="","",IF(COUNTIFS($A$3:$A208,$A208,$C$3:$C208,$C208,$D$3:$D208,$D208,$G$3:$G208,$G208)=1,1,0))</f>
        <v/>
      </c>
      <c r="BG208" t="inlineStr">
        <is>
          <t>no</t>
        </is>
      </c>
      <c r="BK208">
        <f>IF(OR($H208&lt;&gt;"Human",$S208="",$J208="",$Y208="",$Z208=""),"",IF(EXACT(UPPER($J208),UPPER($Y208)),1,0))</f>
        <v/>
      </c>
      <c r="BL208" t="inlineStr">
        <is>
          <t>assumed - no rater record</t>
        </is>
      </c>
      <c r="BM208" t="n">
        <v>1</v>
      </c>
      <c r="BN208" t="inlineStr">
        <is>
          <t>not publisher-identified</t>
        </is>
      </c>
      <c r="BO208" t="inlineStr">
        <is>
          <t>not publisher-identified</t>
        </is>
      </c>
      <c r="BP208" t="inlineStr">
        <is>
          <t>no</t>
        </is>
      </c>
      <c r="BQ208" t="inlineStr">
        <is>
          <t>no</t>
        </is>
      </c>
    </row>
    <row r="209">
      <c r="A209" s="115" t="inlineStr">
        <is>
          <t>Lenovo</t>
        </is>
      </c>
      <c r="B209" s="116">
        <f>IF(A209="","",_xlfn.XLOOKUP(A209, Company_List!$A:$A, Company_List!$B:$B, ""))</f>
        <v/>
      </c>
      <c r="C209" s="143" t="n">
        <v>2026</v>
      </c>
      <c r="D209" s="143" t="inlineStr">
        <is>
          <t>Q1</t>
        </is>
      </c>
      <c r="E209" s="98" t="inlineStr">
        <is>
          <t>Presentation</t>
        </is>
      </c>
      <c r="F209" s="98" t="inlineStr">
        <is>
          <t>All</t>
        </is>
      </c>
      <c r="G209" s="143" t="inlineStr">
        <is>
          <t>Anna</t>
        </is>
      </c>
      <c r="H209" s="106" t="inlineStr">
        <is>
          <t>Human</t>
        </is>
      </c>
      <c r="I209" s="145" t="n">
        <v>0.6</v>
      </c>
      <c r="J209" s="145">
        <f>IF(OR(I209="",Settings!$B$6=""),"",IF(I209&gt;Settings!$B$6,"BUY",IF(I209&lt;-Settings!$B$6,"SELL","HOLD")))</f>
        <v/>
      </c>
      <c r="K209" s="145" t="n">
        <v>24</v>
      </c>
      <c r="L209" s="125" t="n">
        <v>45883</v>
      </c>
      <c r="M209" s="140" t="n">
        <v>45883</v>
      </c>
      <c r="N209" s="147" t="n">
        <v>27.4</v>
      </c>
      <c r="O209" s="140" t="n">
        <v>45884</v>
      </c>
      <c r="P209" s="145" t="n">
        <v>28.75</v>
      </c>
      <c r="Q209" s="150">
        <f>IF(OR(N209="",P209=""),"",ROUND((P209-N209)/N209,4))</f>
        <v/>
      </c>
      <c r="R209" s="106">
        <f>IF(OR(N209="",P209=""),"",IF(Q209&gt;Settings!$B$3/100,"UP",IF(Q209&lt;-Settings!$B$3/100,"DOWN","FLAT")))</f>
        <v/>
      </c>
      <c r="S209" s="106">
        <f>IF(OR(N209="",P209="",J209=""),"",IF(OR(AND(J209="BUY",R209="UP"),AND(J209="SELL",R209="DOWN"),AND(J209="HOLD",R209="FLAT")),"YES","NO"))</f>
        <v/>
      </c>
      <c r="T209" s="105">
        <f>IF(J209="","",IF(J209="BUY",1,IF(J209="SELL",-1,0)))</f>
        <v/>
      </c>
      <c r="U209" s="150">
        <f>IFERROR(IF(OR(J209="",N209="",P209=""),"",IF(T209=0,0,T209*Q209-Settings!$B$4/10000-IF(T209&lt;0,Settings!$B$5/10000,0))),"")</f>
        <v/>
      </c>
      <c r="W209" s="21">
        <f>IF($K209="","",$K209*60)</f>
        <v/>
      </c>
      <c r="X209" s="91">
        <f>IF($A209="","",$A209&amp;"|"&amp;$C209&amp;"|"&amp;$D209)</f>
        <v/>
      </c>
      <c r="Y209" s="91">
        <f>IFERROR(IF($X209="","",INDEX(LLM_Data_Entry!$H$3:$H$548,MATCH($X209,INDEX(LLM_Data_Entry!$A$3:$A$548&amp;"|"&amp;LLM_Data_Entry!$C$3:$C$548&amp;"|"&amp;LLM_Data_Entry!$D$3:$D$548,0),0))),"")</f>
        <v/>
      </c>
      <c r="Z209" s="91">
        <f>IFERROR(IF($X209="","",INDEX(LLM_Data_Entry!$R$3:$R$548,MATCH($X209,INDEX(LLM_Data_Entry!$A$3:$A$548&amp;"|"&amp;LLM_Data_Entry!$C$3:$C$548&amp;"|"&amp;LLM_Data_Entry!$D$3:$D$548,0),0))),"")</f>
        <v/>
      </c>
      <c r="AB209" t="inlineStr">
        <is>
          <t>repriced on the issuer's primary listing</t>
        </is>
      </c>
      <c r="AC209" t="inlineStr">
        <is>
          <t>0992.HK</t>
        </is>
      </c>
      <c r="AD209" t="inlineStr">
        <is>
          <t>2025-08-13</t>
        </is>
      </c>
      <c r="AE209" t="n">
        <v>11.2671</v>
      </c>
      <c r="AF209" t="inlineStr">
        <is>
          <t>2025-08-14</t>
        </is>
      </c>
      <c r="AG209" t="n">
        <v>11.2671</v>
      </c>
      <c r="AH209" t="n">
        <v>-5.457992439665133e-08</v>
      </c>
      <c r="AI209" t="inlineStr">
        <is>
          <t>FLAT</t>
        </is>
      </c>
      <c r="AJ209" t="inlineStr">
        <is>
          <t>NO</t>
        </is>
      </c>
      <c r="AK209" t="n">
        <v>-0.001</v>
      </c>
      <c r="AL209">
        <f>IF($A209="","",IFERROR(INDEX(Company_List!$G$3:$G$207,MATCH($A209,Company_List!$A$3:$A$207,0)),"unassigned"))</f>
        <v/>
      </c>
      <c r="AM209" t="inlineStr">
        <is>
          <t>Phase 3/Readings/Lenovo/presentation_2526_q1.pdf</t>
        </is>
      </c>
      <c r="AO209" t="inlineStr">
        <is>
          <t>unique filename match</t>
        </is>
      </c>
      <c r="AP209">
        <f>IF($A209="","",IF(COUNTIFS(LLM_Data_Entry!$A$3:$A$548,$A209)&gt;0,"YES","NO"))</f>
        <v/>
      </c>
      <c r="AQ209">
        <f>IF($A209="","",IF(COUNTIFS($A$3:$A209,$A209,$C$3:$C209,$C209,$D$3:$D209,$D209)=1,"YES","NO"))</f>
        <v/>
      </c>
      <c r="AR209">
        <f>IF($A209="","",IF(AND($C209&amp;"-"&amp;$D209&gt;=Settings!$B$19,$C209&amp;"-"&amp;$D209&lt;=Settings!$B$20),"IN","OUT"))</f>
        <v/>
      </c>
      <c r="AS209">
        <f>IF($A209="","",IF($F209="Financial Results","financials",IF($F209="Outlook/Guidance","guidance",IF($F209="Transcript Q&amp;A","qanda",IF($F209="","unrecorded",IF($E209="All","full",IF($E209="","unrecorded",LOWER($E209)&amp;" only")))))))</f>
        <v/>
      </c>
      <c r="AT209">
        <f>IF(AND(OR($J209="BUY",$J209="SELL"),ISNUMBER($U209)),$U209,"")</f>
        <v/>
      </c>
      <c r="AU209">
        <f>IF(AND(OR($J209="BUY",$J209="SELL"),ISNUMBER($AK209)),$AK209,"")</f>
        <v/>
      </c>
      <c r="AV209">
        <f>IF(ISNUMBER($AT209),ABS(IF(ISNUMBER($I209),$I209,0)-Settings!$B$24),"")</f>
        <v/>
      </c>
      <c r="AW209">
        <f>IF(ISNUMBER($AV209),$AV209*$AT209,"")</f>
        <v/>
      </c>
      <c r="AX209">
        <f>IF(ISNUMBER($AU209),ABS(IF(ISNUMBER($I209),$I209,0)-Settings!$B$24),"")</f>
        <v/>
      </c>
      <c r="AY209">
        <f>IF(ISNUMBER($AX209),$AX209*$AU209,"")</f>
        <v/>
      </c>
      <c r="AZ209">
        <f>IF($A209="","",IFERROR(INDEX(Company_List!$H$3:$H$207,MATCH($A209,Company_List!$A$3:$A$207,0)),"unassigned"))</f>
        <v/>
      </c>
      <c r="BC209">
        <f>IF($A209="","",IF(COUNTIFS($A$3:$A209,$A209,$C$3:$C209,$C209,$D$3:$D209,$D209,$G$3:$G209,$G209)=1,1,0))</f>
        <v/>
      </c>
      <c r="BG209" t="inlineStr">
        <is>
          <t>no</t>
        </is>
      </c>
      <c r="BK209">
        <f>IF(OR($H209&lt;&gt;"Human",$S209="",$J209="",$Y209="",$Z209=""),"",IF(EXACT(UPPER($J209),UPPER($Y209)),1,0))</f>
        <v/>
      </c>
      <c r="BL209" t="inlineStr">
        <is>
          <t>assumed - no rater record</t>
        </is>
      </c>
      <c r="BM209" t="n">
        <v>1</v>
      </c>
      <c r="BN209" t="inlineStr">
        <is>
          <t>not publisher-identified</t>
        </is>
      </c>
      <c r="BO209" t="inlineStr">
        <is>
          <t>not publisher-identified</t>
        </is>
      </c>
      <c r="BP209" t="inlineStr">
        <is>
          <t>no</t>
        </is>
      </c>
      <c r="BQ209" t="inlineStr">
        <is>
          <t>no</t>
        </is>
      </c>
    </row>
    <row r="210">
      <c r="A210" s="115" t="inlineStr">
        <is>
          <t>Spotify</t>
        </is>
      </c>
      <c r="B210" s="116">
        <f>IF(A210="","",_xlfn.XLOOKUP(A210, Company_List!$A:$A, Company_List!$B:$B, ""))</f>
        <v/>
      </c>
      <c r="C210" s="143" t="n">
        <v>2026</v>
      </c>
      <c r="D210" s="143" t="inlineStr">
        <is>
          <t>Q1</t>
        </is>
      </c>
      <c r="E210" s="98" t="inlineStr">
        <is>
          <t>Presentation</t>
        </is>
      </c>
      <c r="F210" s="98" t="inlineStr">
        <is>
          <t>All</t>
        </is>
      </c>
      <c r="G210" s="143" t="inlineStr">
        <is>
          <t>Anna</t>
        </is>
      </c>
      <c r="H210" s="106" t="inlineStr">
        <is>
          <t>Human</t>
        </is>
      </c>
      <c r="I210" s="145" t="n">
        <v>0.3</v>
      </c>
      <c r="J210" s="145">
        <f>IF(OR(I210="",Settings!$B$6=""),"",IF(I210&gt;Settings!$B$6,"BUY",IF(I210&lt;-Settings!$B$6,"SELL","HOLD")))</f>
        <v/>
      </c>
      <c r="K210" s="145" t="n">
        <v>22</v>
      </c>
      <c r="L210" s="125" t="n">
        <v>46140</v>
      </c>
      <c r="M210" s="140" t="n">
        <v>46139</v>
      </c>
      <c r="N210" s="147" t="n">
        <v>495.82</v>
      </c>
      <c r="O210" s="140" t="n">
        <v>46141</v>
      </c>
      <c r="P210" s="145" t="n">
        <v>434.15</v>
      </c>
      <c r="Q210" s="150">
        <f>IF(OR(N210="",P210=""),"",ROUND((P210-N210)/N210,4))</f>
        <v/>
      </c>
      <c r="R210" s="106">
        <f>IF(OR(N210="",P210=""),"",IF(Q210&gt;Settings!$B$3/100,"UP",IF(Q210&lt;-Settings!$B$3/100,"DOWN","FLAT")))</f>
        <v/>
      </c>
      <c r="S210" s="106">
        <f>IF(OR(N210="",P210="",J210=""),"",IF(OR(AND(J210="BUY",R210="UP"),AND(J210="SELL",R210="DOWN"),AND(J210="HOLD",R210="FLAT")),"YES","NO"))</f>
        <v/>
      </c>
      <c r="T210" s="105">
        <f>IF(J210="","",IF(J210="BUY",1,IF(J210="SELL",-1,0)))</f>
        <v/>
      </c>
      <c r="U210" s="150">
        <f>IFERROR(IF(OR(J210="",N210="",P210=""),"",IF(T210=0,0,T210*Q210-Settings!$B$4/10000-IF(T210&lt;0,Settings!$B$5/10000,0))),"")</f>
        <v/>
      </c>
      <c r="W210" s="21">
        <f>IF($K210="","",$K210*60)</f>
        <v/>
      </c>
      <c r="X210" s="91">
        <f>IF($A210="","",$A210&amp;"|"&amp;$C210&amp;"|"&amp;$D210)</f>
        <v/>
      </c>
      <c r="Y210" s="91">
        <f>IFERROR(IF($X210="","",INDEX(LLM_Data_Entry!$H$3:$H$548,MATCH($X210,INDEX(LLM_Data_Entry!$A$3:$A$548&amp;"|"&amp;LLM_Data_Entry!$C$3:$C$548&amp;"|"&amp;LLM_Data_Entry!$D$3:$D$548,0),0))),"")</f>
        <v/>
      </c>
      <c r="Z210" s="91">
        <f>IFERROR(IF($X210="","",INDEX(LLM_Data_Entry!$R$3:$R$548,MATCH($X210,INDEX(LLM_Data_Entry!$A$3:$A$548&amp;"|"&amp;LLM_Data_Entry!$C$3:$C$548&amp;"|"&amp;LLM_Data_Entry!$D$3:$D$548,0),0))),"")</f>
        <v/>
      </c>
      <c r="AB210" t="inlineStr">
        <is>
          <t>recorded window spanned two sessions, closed to one</t>
        </is>
      </c>
      <c r="AC210" t="inlineStr">
        <is>
          <t>SPOT</t>
        </is>
      </c>
      <c r="AD210" t="inlineStr">
        <is>
          <t>2026-04-27</t>
        </is>
      </c>
      <c r="AE210" t="n">
        <v>495.82</v>
      </c>
      <c r="AF210" t="inlineStr">
        <is>
          <t>2026-04-28</t>
        </is>
      </c>
      <c r="AG210" t="n">
        <v>445</v>
      </c>
      <c r="AH210" t="n">
        <v>-0.1024968865364886</v>
      </c>
      <c r="AI210" t="inlineStr">
        <is>
          <t>DOWN</t>
        </is>
      </c>
      <c r="AJ210" t="inlineStr">
        <is>
          <t>NO</t>
        </is>
      </c>
      <c r="AK210" t="n">
        <v>-0.103497</v>
      </c>
      <c r="AL210">
        <f>IF($A210="","",IFERROR(INDEX(Company_List!$G$3:$G$207,MATCH($A210,Company_List!$A$3:$A$207,0)),"unassigned"))</f>
        <v/>
      </c>
      <c r="AM210" t="inlineStr">
        <is>
          <t>Phase 3/Readings/Spotify/Q1-2026-Shareholder-Deck-FINAL-2.pdf</t>
        </is>
      </c>
      <c r="AO210" t="inlineStr">
        <is>
          <t>unique filename match</t>
        </is>
      </c>
      <c r="AP210">
        <f>IF($A210="","",IF(COUNTIFS(LLM_Data_Entry!$A$3:$A$548,$A210)&gt;0,"YES","NO"))</f>
        <v/>
      </c>
      <c r="AQ210">
        <f>IF($A210="","",IF(COUNTIFS($A$3:$A210,$A210,$C$3:$C210,$C210,$D$3:$D210,$D210)=1,"YES","NO"))</f>
        <v/>
      </c>
      <c r="AR210">
        <f>IF($A210="","",IF(AND($C210&amp;"-"&amp;$D210&gt;=Settings!$B$19,$C210&amp;"-"&amp;$D210&lt;=Settings!$B$20),"IN","OUT"))</f>
        <v/>
      </c>
      <c r="AS210">
        <f>IF($A210="","",IF($F210="Financial Results","financials",IF($F210="Outlook/Guidance","guidance",IF($F210="Transcript Q&amp;A","qanda",IF($F210="","unrecorded",IF($E210="All","full",IF($E210="","unrecorded",LOWER($E210)&amp;" only")))))))</f>
        <v/>
      </c>
      <c r="AT210">
        <f>IF(AND(OR($J210="BUY",$J210="SELL"),ISNUMBER($U210)),$U210,"")</f>
        <v/>
      </c>
      <c r="AU210">
        <f>IF(AND(OR($J210="BUY",$J210="SELL"),ISNUMBER($AK210)),$AK210,"")</f>
        <v/>
      </c>
      <c r="AV210">
        <f>IF(ISNUMBER($AT210),ABS(IF(ISNUMBER($I210),$I210,0)-Settings!$B$24),"")</f>
        <v/>
      </c>
      <c r="AW210">
        <f>IF(ISNUMBER($AV210),$AV210*$AT210,"")</f>
        <v/>
      </c>
      <c r="AX210">
        <f>IF(ISNUMBER($AU210),ABS(IF(ISNUMBER($I210),$I210,0)-Settings!$B$24),"")</f>
        <v/>
      </c>
      <c r="AY210">
        <f>IF(ISNUMBER($AX210),$AX210*$AU210,"")</f>
        <v/>
      </c>
      <c r="AZ210">
        <f>IF($A210="","",IFERROR(INDEX(Company_List!$H$3:$H$207,MATCH($A210,Company_List!$A$3:$A$207,0)),"unassigned"))</f>
        <v/>
      </c>
      <c r="BC210">
        <f>IF($A210="","",IF(COUNTIFS($A$3:$A210,$A210,$C$3:$C210,$C210,$D$3:$D210,$D210,$G$3:$G210,$G210)=1,1,0))</f>
        <v/>
      </c>
      <c r="BG210" t="inlineStr">
        <is>
          <t>no</t>
        </is>
      </c>
      <c r="BK210">
        <f>IF(OR($H210&lt;&gt;"Human",$S210="",$J210="",$Y210="",$Z210=""),"",IF(EXACT(UPPER($J210),UPPER($Y210)),1,0))</f>
        <v/>
      </c>
      <c r="BL210" t="inlineStr">
        <is>
          <t>assumed - no rater record</t>
        </is>
      </c>
      <c r="BM210" t="n">
        <v>1</v>
      </c>
      <c r="BN210" t="inlineStr">
        <is>
          <t>not publisher-identified</t>
        </is>
      </c>
      <c r="BO210" t="inlineStr">
        <is>
          <t>not publisher-identified</t>
        </is>
      </c>
      <c r="BP210" t="inlineStr">
        <is>
          <t>no</t>
        </is>
      </c>
      <c r="BQ210" t="inlineStr">
        <is>
          <t>no</t>
        </is>
      </c>
    </row>
    <row r="211">
      <c r="A211" s="115" t="inlineStr">
        <is>
          <t>Spotify</t>
        </is>
      </c>
      <c r="B211" s="116">
        <f>IF(A211="","",_xlfn.XLOOKUP(A211, Company_List!$A:$A, Company_List!$B:$B, ""))</f>
        <v/>
      </c>
      <c r="C211" s="143" t="n">
        <v>2025</v>
      </c>
      <c r="D211" s="143" t="inlineStr">
        <is>
          <t>Q4</t>
        </is>
      </c>
      <c r="E211" s="98" t="inlineStr">
        <is>
          <t>Presentation</t>
        </is>
      </c>
      <c r="F211" s="98" t="inlineStr">
        <is>
          <t>All</t>
        </is>
      </c>
      <c r="G211" s="143" t="inlineStr">
        <is>
          <t>Anna</t>
        </is>
      </c>
      <c r="H211" s="106" t="inlineStr">
        <is>
          <t>Human</t>
        </is>
      </c>
      <c r="I211" s="145" t="n">
        <v>0.6</v>
      </c>
      <c r="J211" s="145">
        <f>IF(OR(I211="",Settings!$B$6=""),"",IF(I211&gt;Settings!$B$6,"BUY",IF(I211&lt;-Settings!$B$6,"SELL","HOLD")))</f>
        <v/>
      </c>
      <c r="K211" s="145" t="n">
        <v>23</v>
      </c>
      <c r="L211" s="125" t="n">
        <v>45698</v>
      </c>
      <c r="M211" s="140" t="n">
        <v>45695</v>
      </c>
      <c r="N211" s="147" t="n">
        <v>622.99</v>
      </c>
      <c r="O211" s="140" t="n">
        <v>45699</v>
      </c>
      <c r="P211" s="145" t="n">
        <v>628</v>
      </c>
      <c r="Q211" s="150">
        <f>IF(OR(N211="",P211=""),"",ROUND((P211-N211)/N211,4))</f>
        <v/>
      </c>
      <c r="R211" s="106">
        <f>IF(OR(N211="",P211=""),"",IF(Q211&gt;Settings!$B$3/100,"UP",IF(Q211&lt;-Settings!$B$3/100,"DOWN","FLAT")))</f>
        <v/>
      </c>
      <c r="S211" s="106">
        <f>IF(OR(N211="",P211="",J211=""),"",IF(OR(AND(J211="BUY",R211="UP"),AND(J211="SELL",R211="DOWN"),AND(J211="HOLD",R211="FLAT")),"YES","NO"))</f>
        <v/>
      </c>
      <c r="T211" s="105">
        <f>IF(J211="","",IF(J211="BUY",1,IF(J211="SELL",-1,0)))</f>
        <v/>
      </c>
      <c r="U211" s="150">
        <f>IFERROR(IF(OR(J211="",N211="",P211=""),"",IF(T211=0,0,T211*Q211-Settings!$B$4/10000-IF(T211&lt;0,Settings!$B$5/10000,0))),"")</f>
        <v/>
      </c>
      <c r="W211" s="21">
        <f>IF($K211="","",$K211*60)</f>
        <v/>
      </c>
      <c r="X211" s="91">
        <f>IF($A211="","",$A211&amp;"|"&amp;$C211&amp;"|"&amp;$D211)</f>
        <v/>
      </c>
      <c r="Y211" s="91">
        <f>IFERROR(IF($X211="","",INDEX(LLM_Data_Entry!$H$3:$H$548,MATCH($X211,INDEX(LLM_Data_Entry!$A$3:$A$548&amp;"|"&amp;LLM_Data_Entry!$C$3:$C$548&amp;"|"&amp;LLM_Data_Entry!$D$3:$D$548,0),0))),"")</f>
        <v/>
      </c>
      <c r="Z211" s="91">
        <f>IFERROR(IF($X211="","",INDEX(LLM_Data_Entry!$R$3:$R$548,MATCH($X211,INDEX(LLM_Data_Entry!$A$3:$A$548&amp;"|"&amp;LLM_Data_Entry!$C$3:$C$548&amp;"|"&amp;LLM_Data_Entry!$D$3:$D$548,0),0))),"")</f>
        <v/>
      </c>
      <c r="AB211" t="inlineStr">
        <is>
          <t>recorded price identified against every pulled series</t>
        </is>
      </c>
      <c r="AC211" t="inlineStr">
        <is>
          <t>SPOT</t>
        </is>
      </c>
      <c r="AD211" t="inlineStr">
        <is>
          <t>2026-02-09</t>
        </is>
      </c>
      <c r="AE211" t="n">
        <v>414.84</v>
      </c>
      <c r="AF211" t="inlineStr">
        <is>
          <t>2026-02-10</t>
        </is>
      </c>
      <c r="AG211" t="n">
        <v>462.78</v>
      </c>
      <c r="AH211" t="n">
        <v>0.1155626349008064</v>
      </c>
      <c r="AI211" t="inlineStr">
        <is>
          <t>UP</t>
        </is>
      </c>
      <c r="AJ211" t="inlineStr">
        <is>
          <t>YES</t>
        </is>
      </c>
      <c r="AK211" t="n">
        <v>0.114563</v>
      </c>
      <c r="AL211">
        <f>IF($A211="","",IFERROR(INDEX(Company_List!$G$3:$G$207,MATCH($A211,Company_List!$A$3:$A$207,0)),"unassigned"))</f>
        <v/>
      </c>
      <c r="AM211" t="inlineStr">
        <is>
          <t>Phase 3/Readings/Spotify/Q4-2025-Shareholder-Deck-FINAL.pdf</t>
        </is>
      </c>
      <c r="AO211" t="inlineStr">
        <is>
          <t>unique filename match</t>
        </is>
      </c>
      <c r="AP211">
        <f>IF($A211="","",IF(COUNTIFS(LLM_Data_Entry!$A$3:$A$548,$A211)&gt;0,"YES","NO"))</f>
        <v/>
      </c>
      <c r="AQ211">
        <f>IF($A211="","",IF(COUNTIFS($A$3:$A211,$A211,$C$3:$C211,$C211,$D$3:$D211,$D211)=1,"YES","NO"))</f>
        <v/>
      </c>
      <c r="AR211">
        <f>IF($A211="","",IF(AND($C211&amp;"-"&amp;$D211&gt;=Settings!$B$19,$C211&amp;"-"&amp;$D211&lt;=Settings!$B$20),"IN","OUT"))</f>
        <v/>
      </c>
      <c r="AS211">
        <f>IF($A211="","",IF($F211="Financial Results","financials",IF($F211="Outlook/Guidance","guidance",IF($F211="Transcript Q&amp;A","qanda",IF($F211="","unrecorded",IF($E211="All","full",IF($E211="","unrecorded",LOWER($E211)&amp;" only")))))))</f>
        <v/>
      </c>
      <c r="AT211">
        <f>IF(AND(OR($J211="BUY",$J211="SELL"),ISNUMBER($U211)),$U211,"")</f>
        <v/>
      </c>
      <c r="AU211">
        <f>IF(AND(OR($J211="BUY",$J211="SELL"),ISNUMBER($AK211)),$AK211,"")</f>
        <v/>
      </c>
      <c r="AV211">
        <f>IF(ISNUMBER($AT211),ABS(IF(ISNUMBER($I211),$I211,0)-Settings!$B$24),"")</f>
        <v/>
      </c>
      <c r="AW211">
        <f>IF(ISNUMBER($AV211),$AV211*$AT211,"")</f>
        <v/>
      </c>
      <c r="AX211">
        <f>IF(ISNUMBER($AU211),ABS(IF(ISNUMBER($I211),$I211,0)-Settings!$B$24),"")</f>
        <v/>
      </c>
      <c r="AY211">
        <f>IF(ISNUMBER($AX211),$AX211*$AU211,"")</f>
        <v/>
      </c>
      <c r="AZ211">
        <f>IF($A211="","",IFERROR(INDEX(Company_List!$H$3:$H$207,MATCH($A211,Company_List!$A$3:$A$207,0)),"unassigned"))</f>
        <v/>
      </c>
      <c r="BC211">
        <f>IF($A211="","",IF(COUNTIFS($A$3:$A211,$A211,$C$3:$C211,$C211,$D$3:$D211,$D211,$G$3:$G211,$G211)=1,1,0))</f>
        <v/>
      </c>
      <c r="BG211" t="inlineStr">
        <is>
          <t>no</t>
        </is>
      </c>
      <c r="BK211">
        <f>IF(OR($H211&lt;&gt;"Human",$S211="",$J211="",$Y211="",$Z211=""),"",IF(EXACT(UPPER($J211),UPPER($Y211)),1,0))</f>
        <v/>
      </c>
      <c r="BL211" t="inlineStr">
        <is>
          <t>assumed - no rater record</t>
        </is>
      </c>
      <c r="BM211" t="n">
        <v>1</v>
      </c>
      <c r="BN211" t="inlineStr">
        <is>
          <t>not publisher-identified</t>
        </is>
      </c>
      <c r="BO211" t="inlineStr">
        <is>
          <t>not publisher-identified</t>
        </is>
      </c>
      <c r="BP211" t="inlineStr">
        <is>
          <t>no</t>
        </is>
      </c>
      <c r="BQ211" t="inlineStr">
        <is>
          <t>no</t>
        </is>
      </c>
    </row>
    <row r="212">
      <c r="A212" s="115" t="inlineStr">
        <is>
          <t>Spotify</t>
        </is>
      </c>
      <c r="B212" s="116">
        <f>IF(A212="","",_xlfn.XLOOKUP(A212, Company_List!$A:$A, Company_List!$B:$B, ""))</f>
        <v/>
      </c>
      <c r="C212" s="143" t="n">
        <v>2025</v>
      </c>
      <c r="D212" s="143" t="inlineStr">
        <is>
          <t>Q3</t>
        </is>
      </c>
      <c r="E212" s="98" t="inlineStr">
        <is>
          <t>Presentation</t>
        </is>
      </c>
      <c r="F212" s="98" t="inlineStr">
        <is>
          <t>All</t>
        </is>
      </c>
      <c r="G212" s="143" t="inlineStr">
        <is>
          <t>Anna</t>
        </is>
      </c>
      <c r="H212" s="106" t="inlineStr">
        <is>
          <t>Human</t>
        </is>
      </c>
      <c r="I212" s="145" t="n">
        <v>0.5</v>
      </c>
      <c r="J212" s="145">
        <f>IF(OR(I212="",Settings!$B$6=""),"",IF(I212&gt;Settings!$B$6,"BUY",IF(I212&lt;-Settings!$B$6,"SELL","HOLD")))</f>
        <v/>
      </c>
      <c r="K212" s="145" t="n">
        <v>22</v>
      </c>
      <c r="L212" s="125" t="n">
        <v>45965</v>
      </c>
      <c r="M212" s="126" t="n">
        <v>45964</v>
      </c>
      <c r="N212" s="147" t="n">
        <v>644.09</v>
      </c>
      <c r="O212" s="140" t="n">
        <v>45788</v>
      </c>
      <c r="P212" s="145" t="n">
        <v>626</v>
      </c>
      <c r="Q212" s="150">
        <f>IF(OR(N212="",P212=""),"",ROUND((P212-N212)/N212,4))</f>
        <v/>
      </c>
      <c r="R212" s="106">
        <f>IF(OR(N212="",P212=""),"",IF(Q212&gt;Settings!$B$3/100,"UP",IF(Q212&lt;-Settings!$B$3/100,"DOWN","FLAT")))</f>
        <v/>
      </c>
      <c r="S212" s="106">
        <f>IF(OR(N212="",P212="",J212=""),"",IF(OR(AND(J212="BUY",R212="UP"),AND(J212="SELL",R212="DOWN"),AND(J212="HOLD",R212="FLAT")),"YES","NO"))</f>
        <v/>
      </c>
      <c r="T212" s="105">
        <f>IF(J212="","",IF(J212="BUY",1,IF(J212="SELL",-1,0)))</f>
        <v/>
      </c>
      <c r="U212" s="150">
        <f>IFERROR(IF(OR(J212="",N212="",P212=""),"",IF(T212=0,0,T212*Q212-Settings!$B$4/10000-IF(T212&lt;0,Settings!$B$5/10000,0))),"")</f>
        <v/>
      </c>
      <c r="W212" s="21">
        <f>IF($K212="","",$K212*60)</f>
        <v/>
      </c>
      <c r="X212" s="91">
        <f>IF($A212="","",$A212&amp;"|"&amp;$C212&amp;"|"&amp;$D212)</f>
        <v/>
      </c>
      <c r="Y212" s="91">
        <f>IFERROR(IF($X212="","",INDEX(LLM_Data_Entry!$H$3:$H$548,MATCH($X212,INDEX(LLM_Data_Entry!$A$3:$A$548&amp;"|"&amp;LLM_Data_Entry!$C$3:$C$548&amp;"|"&amp;LLM_Data_Entry!$D$3:$D$548,0),0))),"")</f>
        <v/>
      </c>
      <c r="Z212" s="91">
        <f>IFERROR(IF($X212="","",INDEX(LLM_Data_Entry!$R$3:$R$548,MATCH($X212,INDEX(LLM_Data_Entry!$A$3:$A$548&amp;"|"&amp;LLM_Data_Entry!$C$3:$C$548&amp;"|"&amp;LLM_Data_Entry!$D$3:$D$548,0),0))),"")</f>
        <v/>
      </c>
      <c r="AB212" t="inlineStr">
        <is>
          <t>recorded window spanned two sessions, closed to one</t>
        </is>
      </c>
      <c r="AC212" t="inlineStr">
        <is>
          <t>SPOT</t>
        </is>
      </c>
      <c r="AD212" t="inlineStr">
        <is>
          <t>2025-11-03</t>
        </is>
      </c>
      <c r="AE212" t="n">
        <v>644.09</v>
      </c>
      <c r="AF212" t="inlineStr">
        <is>
          <t>2025-11-04</t>
        </is>
      </c>
      <c r="AG212" t="n">
        <v>625.1799999999999</v>
      </c>
      <c r="AH212" t="n">
        <v>-0.02935930259326931</v>
      </c>
      <c r="AI212" t="inlineStr">
        <is>
          <t>DOWN</t>
        </is>
      </c>
      <c r="AJ212" t="inlineStr">
        <is>
          <t>NO</t>
        </is>
      </c>
      <c r="AK212" t="n">
        <v>-0.030359</v>
      </c>
      <c r="AL212">
        <f>IF($A212="","",IFERROR(INDEX(Company_List!$G$3:$G$207,MATCH($A212,Company_List!$A$3:$A$207,0)),"unassigned"))</f>
        <v/>
      </c>
      <c r="AM212" t="inlineStr">
        <is>
          <t>Phase 3/Readings/Spotify/Q3-2025-Shareholder-Deck-FINAL.pdf</t>
        </is>
      </c>
      <c r="AO212" t="inlineStr">
        <is>
          <t>unique filename match</t>
        </is>
      </c>
      <c r="AP212">
        <f>IF($A212="","",IF(COUNTIFS(LLM_Data_Entry!$A$3:$A$548,$A212)&gt;0,"YES","NO"))</f>
        <v/>
      </c>
      <c r="AQ212">
        <f>IF($A212="","",IF(COUNTIFS($A$3:$A212,$A212,$C$3:$C212,$C212,$D$3:$D212,$D212)=1,"YES","NO"))</f>
        <v/>
      </c>
      <c r="AR212">
        <f>IF($A212="","",IF(AND($C212&amp;"-"&amp;$D212&gt;=Settings!$B$19,$C212&amp;"-"&amp;$D212&lt;=Settings!$B$20),"IN","OUT"))</f>
        <v/>
      </c>
      <c r="AS212">
        <f>IF($A212="","",IF($F212="Financial Results","financials",IF($F212="Outlook/Guidance","guidance",IF($F212="Transcript Q&amp;A","qanda",IF($F212="","unrecorded",IF($E212="All","full",IF($E212="","unrecorded",LOWER($E212)&amp;" only")))))))</f>
        <v/>
      </c>
      <c r="AT212">
        <f>IF(AND(OR($J212="BUY",$J212="SELL"),ISNUMBER($U212)),$U212,"")</f>
        <v/>
      </c>
      <c r="AU212">
        <f>IF(AND(OR($J212="BUY",$J212="SELL"),ISNUMBER($AK212)),$AK212,"")</f>
        <v/>
      </c>
      <c r="AV212">
        <f>IF(ISNUMBER($AT212),ABS(IF(ISNUMBER($I212),$I212,0)-Settings!$B$24),"")</f>
        <v/>
      </c>
      <c r="AW212">
        <f>IF(ISNUMBER($AV212),$AV212*$AT212,"")</f>
        <v/>
      </c>
      <c r="AX212">
        <f>IF(ISNUMBER($AU212),ABS(IF(ISNUMBER($I212),$I212,0)-Settings!$B$24),"")</f>
        <v/>
      </c>
      <c r="AY212">
        <f>IF(ISNUMBER($AX212),$AX212*$AU212,"")</f>
        <v/>
      </c>
      <c r="AZ212">
        <f>IF($A212="","",IFERROR(INDEX(Company_List!$H$3:$H$207,MATCH($A212,Company_List!$A$3:$A$207,0)),"unassigned"))</f>
        <v/>
      </c>
      <c r="BC212">
        <f>IF($A212="","",IF(COUNTIFS($A$3:$A212,$A212,$C$3:$C212,$C212,$D$3:$D212,$D212,$G$3:$G212,$G212)=1,1,0))</f>
        <v/>
      </c>
      <c r="BG212" t="inlineStr">
        <is>
          <t>no</t>
        </is>
      </c>
      <c r="BK212">
        <f>IF(OR($H212&lt;&gt;"Human",$S212="",$J212="",$Y212="",$Z212=""),"",IF(EXACT(UPPER($J212),UPPER($Y212)),1,0))</f>
        <v/>
      </c>
      <c r="BL212" t="inlineStr">
        <is>
          <t>assumed - no rater record</t>
        </is>
      </c>
      <c r="BM212" t="n">
        <v>1</v>
      </c>
      <c r="BN212" t="inlineStr">
        <is>
          <t>not publisher-identified</t>
        </is>
      </c>
      <c r="BO212" t="inlineStr">
        <is>
          <t>not publisher-identified</t>
        </is>
      </c>
      <c r="BP212" t="inlineStr">
        <is>
          <t>no</t>
        </is>
      </c>
      <c r="BQ212" t="inlineStr">
        <is>
          <t>no</t>
        </is>
      </c>
    </row>
    <row r="213">
      <c r="A213" s="115" t="inlineStr">
        <is>
          <t>Spotify</t>
        </is>
      </c>
      <c r="B213" s="116">
        <f>IF(A213="","",_xlfn.XLOOKUP(A213, Company_List!$A:$A, Company_List!$B:$B, ""))</f>
        <v/>
      </c>
      <c r="C213" s="143" t="n">
        <v>2025</v>
      </c>
      <c r="D213" s="143" t="inlineStr">
        <is>
          <t>Q2</t>
        </is>
      </c>
      <c r="E213" s="98" t="inlineStr">
        <is>
          <t>Presentation</t>
        </is>
      </c>
      <c r="F213" s="98" t="inlineStr">
        <is>
          <t>All</t>
        </is>
      </c>
      <c r="G213" s="143" t="inlineStr">
        <is>
          <t>Anna</t>
        </is>
      </c>
      <c r="H213" s="106" t="inlineStr">
        <is>
          <t>Human</t>
        </is>
      </c>
      <c r="I213" s="145" t="n">
        <v>0.4</v>
      </c>
      <c r="J213" s="145">
        <f>IF(OR(I213="",Settings!$B$6=""),"",IF(I213&gt;Settings!$B$6,"BUY",IF(I213&lt;-Settings!$B$6,"SELL","HOLD")))</f>
        <v/>
      </c>
      <c r="K213" s="145" t="n">
        <v>20</v>
      </c>
      <c r="L213" s="125" t="n">
        <v>45867</v>
      </c>
      <c r="M213" s="126" t="n">
        <v>45866</v>
      </c>
      <c r="N213" s="145" t="n">
        <v>700.98</v>
      </c>
      <c r="O213" s="126" t="n">
        <v>45868</v>
      </c>
      <c r="P213" s="145" t="n">
        <v>623</v>
      </c>
      <c r="Q213" s="150">
        <f>IF(OR(N213="",P213=""),"",ROUND((P213-N213)/N213,4))</f>
        <v/>
      </c>
      <c r="R213" s="106">
        <f>IF(OR(N213="",P213=""),"",IF(Q213&gt;Settings!$B$3/100,"UP",IF(Q213&lt;-Settings!$B$3/100,"DOWN","FLAT")))</f>
        <v/>
      </c>
      <c r="S213" s="106">
        <f>IF(OR(N213="",P213="",J213=""),"",IF(OR(AND(J213="BUY",R213="UP"),AND(J213="SELL",R213="DOWN"),AND(J213="HOLD",R213="FLAT")),"YES","NO"))</f>
        <v/>
      </c>
      <c r="T213" s="105">
        <f>IF(J213="","",IF(J213="BUY",1,IF(J213="SELL",-1,0)))</f>
        <v/>
      </c>
      <c r="U213" s="150">
        <f>IFERROR(IF(OR(J213="",N213="",P213=""),"",IF(T213=0,0,T213*Q213-Settings!$B$4/10000-IF(T213&lt;0,Settings!$B$5/10000,0))),"")</f>
        <v/>
      </c>
      <c r="W213" s="21">
        <f>IF($K213="","",$K213*60)</f>
        <v/>
      </c>
      <c r="X213" s="91">
        <f>IF($A213="","",$A213&amp;"|"&amp;$C213&amp;"|"&amp;$D213)</f>
        <v/>
      </c>
      <c r="Y213" s="91">
        <f>IFERROR(IF($X213="","",INDEX(LLM_Data_Entry!$H$3:$H$548,MATCH($X213,INDEX(LLM_Data_Entry!$A$3:$A$548&amp;"|"&amp;LLM_Data_Entry!$C$3:$C$548&amp;"|"&amp;LLM_Data_Entry!$D$3:$D$548,0),0))),"")</f>
        <v/>
      </c>
      <c r="Z213" s="91">
        <f>IFERROR(IF($X213="","",INDEX(LLM_Data_Entry!$R$3:$R$548,MATCH($X213,INDEX(LLM_Data_Entry!$A$3:$A$548&amp;"|"&amp;LLM_Data_Entry!$C$3:$C$548&amp;"|"&amp;LLM_Data_Entry!$D$3:$D$548,0),0))),"")</f>
        <v/>
      </c>
      <c r="AB213" t="inlineStr">
        <is>
          <t>recorded window spanned two sessions, closed to one</t>
        </is>
      </c>
      <c r="AC213" t="inlineStr">
        <is>
          <t>SPOT</t>
        </is>
      </c>
      <c r="AD213" t="inlineStr">
        <is>
          <t>2025-07-28</t>
        </is>
      </c>
      <c r="AE213" t="n">
        <v>700.98</v>
      </c>
      <c r="AF213" t="inlineStr">
        <is>
          <t>2025-07-29</t>
        </is>
      </c>
      <c r="AG213" t="n">
        <v>657.53</v>
      </c>
      <c r="AH213" t="n">
        <v>-0.06198458192771774</v>
      </c>
      <c r="AI213" t="inlineStr">
        <is>
          <t>DOWN</t>
        </is>
      </c>
      <c r="AJ213" t="inlineStr">
        <is>
          <t>NO</t>
        </is>
      </c>
      <c r="AK213" t="n">
        <v>-0.062985</v>
      </c>
      <c r="AL213">
        <f>IF($A213="","",IFERROR(INDEX(Company_List!$G$3:$G$207,MATCH($A213,Company_List!$A$3:$A$207,0)),"unassigned"))</f>
        <v/>
      </c>
      <c r="AM213" t="inlineStr">
        <is>
          <t>Phase 3/Readings/Spotify/Q2-2025-Shareholder-Deck-FINAL.pdf</t>
        </is>
      </c>
      <c r="AO213" t="inlineStr">
        <is>
          <t>unique filename match</t>
        </is>
      </c>
      <c r="AP213">
        <f>IF($A213="","",IF(COUNTIFS(LLM_Data_Entry!$A$3:$A$548,$A213)&gt;0,"YES","NO"))</f>
        <v/>
      </c>
      <c r="AQ213">
        <f>IF($A213="","",IF(COUNTIFS($A$3:$A213,$A213,$C$3:$C213,$C213,$D$3:$D213,$D213)=1,"YES","NO"))</f>
        <v/>
      </c>
      <c r="AR213">
        <f>IF($A213="","",IF(AND($C213&amp;"-"&amp;$D213&gt;=Settings!$B$19,$C213&amp;"-"&amp;$D213&lt;=Settings!$B$20),"IN","OUT"))</f>
        <v/>
      </c>
      <c r="AS213">
        <f>IF($A213="","",IF($F213="Financial Results","financials",IF($F213="Outlook/Guidance","guidance",IF($F213="Transcript Q&amp;A","qanda",IF($F213="","unrecorded",IF($E213="All","full",IF($E213="","unrecorded",LOWER($E213)&amp;" only")))))))</f>
        <v/>
      </c>
      <c r="AT213">
        <f>IF(AND(OR($J213="BUY",$J213="SELL"),ISNUMBER($U213)),$U213,"")</f>
        <v/>
      </c>
      <c r="AU213">
        <f>IF(AND(OR($J213="BUY",$J213="SELL"),ISNUMBER($AK213)),$AK213,"")</f>
        <v/>
      </c>
      <c r="AV213">
        <f>IF(ISNUMBER($AT213),ABS(IF(ISNUMBER($I213),$I213,0)-Settings!$B$24),"")</f>
        <v/>
      </c>
      <c r="AW213">
        <f>IF(ISNUMBER($AV213),$AV213*$AT213,"")</f>
        <v/>
      </c>
      <c r="AX213">
        <f>IF(ISNUMBER($AU213),ABS(IF(ISNUMBER($I213),$I213,0)-Settings!$B$24),"")</f>
        <v/>
      </c>
      <c r="AY213">
        <f>IF(ISNUMBER($AX213),$AX213*$AU213,"")</f>
        <v/>
      </c>
      <c r="AZ213">
        <f>IF($A213="","",IFERROR(INDEX(Company_List!$H$3:$H$207,MATCH($A213,Company_List!$A$3:$A$207,0)),"unassigned"))</f>
        <v/>
      </c>
      <c r="BC213">
        <f>IF($A213="","",IF(COUNTIFS($A$3:$A213,$A213,$C$3:$C213,$C213,$D$3:$D213,$D213,$G$3:$G213,$G213)=1,1,0))</f>
        <v/>
      </c>
      <c r="BG213" t="inlineStr">
        <is>
          <t>no</t>
        </is>
      </c>
      <c r="BK213">
        <f>IF(OR($H213&lt;&gt;"Human",$S213="",$J213="",$Y213="",$Z213=""),"",IF(EXACT(UPPER($J213),UPPER($Y213)),1,0))</f>
        <v/>
      </c>
      <c r="BL213" t="inlineStr">
        <is>
          <t>assumed - no rater record</t>
        </is>
      </c>
      <c r="BM213" t="n">
        <v>1</v>
      </c>
      <c r="BN213" t="inlineStr">
        <is>
          <t>not publisher-identified</t>
        </is>
      </c>
      <c r="BO213" t="inlineStr">
        <is>
          <t>not publisher-identified</t>
        </is>
      </c>
      <c r="BP213" t="inlineStr">
        <is>
          <t>no</t>
        </is>
      </c>
      <c r="BQ213" t="inlineStr">
        <is>
          <t>no</t>
        </is>
      </c>
    </row>
    <row r="214">
      <c r="A214" s="115" t="inlineStr">
        <is>
          <t>Chipotle</t>
        </is>
      </c>
      <c r="B214" s="116">
        <f>IF(A214="","",_xlfn.XLOOKUP(A214, Company_List!$A:$A, Company_List!$B:$B, ""))</f>
        <v/>
      </c>
      <c r="C214" s="143" t="n">
        <v>2025</v>
      </c>
      <c r="D214" s="143" t="inlineStr">
        <is>
          <t>Q4</t>
        </is>
      </c>
      <c r="E214" s="98" t="inlineStr">
        <is>
          <t>Press Release Document</t>
        </is>
      </c>
      <c r="F214" s="98" t="inlineStr">
        <is>
          <t>All</t>
        </is>
      </c>
      <c r="G214" s="143" t="inlineStr">
        <is>
          <t>Anna</t>
        </is>
      </c>
      <c r="H214" s="106" t="inlineStr">
        <is>
          <t>Human</t>
        </is>
      </c>
      <c r="I214" s="145" t="n">
        <v>-0.2</v>
      </c>
      <c r="J214" s="145">
        <f>IF(OR(I214="",Settings!$B$6=""),"",IF(I214&gt;Settings!$B$6,"BUY",IF(I214&lt;-Settings!$B$6,"SELL","HOLD")))</f>
        <v/>
      </c>
      <c r="K214" s="145" t="n">
        <v>19</v>
      </c>
      <c r="L214" s="125" t="n">
        <v>46056</v>
      </c>
      <c r="M214" s="140" t="n">
        <v>46056</v>
      </c>
      <c r="N214" s="147" t="n">
        <v>39.17</v>
      </c>
      <c r="O214" s="140" t="n">
        <v>46057</v>
      </c>
      <c r="P214" s="145" t="n">
        <v>37.72</v>
      </c>
      <c r="Q214" s="150">
        <f>IF(OR(N214="",P214=""),"",ROUND((P214-N214)/N214,4))</f>
        <v/>
      </c>
      <c r="R214" s="106">
        <f>IF(OR(N214="",P214=""),"",IF(Q214&gt;Settings!$B$3/100,"UP",IF(Q214&lt;-Settings!$B$3/100,"DOWN","FLAT")))</f>
        <v/>
      </c>
      <c r="S214" s="106">
        <f>IF(OR(N214="",P214="",J214=""),"",IF(OR(AND(J214="BUY",R214="UP"),AND(J214="SELL",R214="DOWN"),AND(J214="HOLD",R214="FLAT")),"YES","NO"))</f>
        <v/>
      </c>
      <c r="T214" s="105">
        <f>IF(J214="","",IF(J214="BUY",1,IF(J214="SELL",-1,0)))</f>
        <v/>
      </c>
      <c r="U214" s="150">
        <f>IFERROR(IF(OR(J214="",N214="",P214=""),"",IF(T214=0,0,T214*Q214-Settings!$B$4/10000-IF(T214&lt;0,Settings!$B$5/10000,0))),"")</f>
        <v/>
      </c>
      <c r="W214" s="21">
        <f>IF($K214="","",$K214*60)</f>
        <v/>
      </c>
      <c r="X214" s="91">
        <f>IF($A214="","",$A214&amp;"|"&amp;$C214&amp;"|"&amp;$D214)</f>
        <v/>
      </c>
      <c r="Y214" s="91">
        <f>IFERROR(IF($X214="","",INDEX(LLM_Data_Entry!$H$3:$H$548,MATCH($X214,INDEX(LLM_Data_Entry!$A$3:$A$548&amp;"|"&amp;LLM_Data_Entry!$C$3:$C$548&amp;"|"&amp;LLM_Data_Entry!$D$3:$D$548,0),0))),"")</f>
        <v/>
      </c>
      <c r="Z214" s="91">
        <f>IFERROR(IF($X214="","",INDEX(LLM_Data_Entry!$R$3:$R$548,MATCH($X214,INDEX(LLM_Data_Entry!$A$3:$A$548&amp;"|"&amp;LLM_Data_Entry!$C$3:$C$548&amp;"|"&amp;LLM_Data_Entry!$D$3:$D$548,0),0))),"")</f>
        <v/>
      </c>
      <c r="AB214" t="inlineStr">
        <is>
          <t>price signal — only this window shows an abnormal move</t>
        </is>
      </c>
      <c r="AC214" t="inlineStr">
        <is>
          <t>CMG</t>
        </is>
      </c>
      <c r="AD214" t="inlineStr">
        <is>
          <t>2026-02-03</t>
        </is>
      </c>
      <c r="AE214" t="n">
        <v>39.17</v>
      </c>
      <c r="AF214" t="inlineStr">
        <is>
          <t>2026-02-04</t>
        </is>
      </c>
      <c r="AG214" t="n">
        <v>37.72</v>
      </c>
      <c r="AH214" t="n">
        <v>-0.03701805141782229</v>
      </c>
      <c r="AI214" t="inlineStr">
        <is>
          <t>DOWN</t>
        </is>
      </c>
      <c r="AJ214" t="inlineStr">
        <is>
          <t>NO</t>
        </is>
      </c>
      <c r="AK214" t="n">
        <v>0</v>
      </c>
      <c r="AL214">
        <f>IF($A214="","",IFERROR(INDEX(Company_List!$G$3:$G$207,MATCH($A214,Company_List!$A$3:$A$207,0)),"unassigned"))</f>
        <v/>
      </c>
      <c r="AM214" t="inlineStr">
        <is>
          <t>Phase 3/Readings/Chipotle/2026-02-03-CHIPOTLE-ANNOUNCES-FOURTH-QUARTER-AND-FULL-YEAR-2025-RESULTS-IR.pdf</t>
        </is>
      </c>
      <c r="AO214" t="inlineStr">
        <is>
          <t>unique filename match</t>
        </is>
      </c>
      <c r="AP214">
        <f>IF($A214="","",IF(COUNTIFS(LLM_Data_Entry!$A$3:$A$548,$A214)&gt;0,"YES","NO"))</f>
        <v/>
      </c>
      <c r="AQ214">
        <f>IF($A214="","",IF(COUNTIFS($A$3:$A214,$A214,$C$3:$C214,$C214,$D$3:$D214,$D214)=1,"YES","NO"))</f>
        <v/>
      </c>
      <c r="AR214">
        <f>IF($A214="","",IF(AND($C214&amp;"-"&amp;$D214&gt;=Settings!$B$19,$C214&amp;"-"&amp;$D214&lt;=Settings!$B$20),"IN","OUT"))</f>
        <v/>
      </c>
      <c r="AS214">
        <f>IF($A214="","",IF($F214="Financial Results","financials",IF($F214="Outlook/Guidance","guidance",IF($F214="Transcript Q&amp;A","qanda",IF($F214="","unrecorded",IF($E214="All","full",IF($E214="","unrecorded",LOWER($E214)&amp;" only")))))))</f>
        <v/>
      </c>
      <c r="AT214">
        <f>IF(AND(OR($J214="BUY",$J214="SELL"),ISNUMBER($U214)),$U214,"")</f>
        <v/>
      </c>
      <c r="AU214">
        <f>IF(AND(OR($J214="BUY",$J214="SELL"),ISNUMBER($AK214)),$AK214,"")</f>
        <v/>
      </c>
      <c r="AV214">
        <f>IF(ISNUMBER($AT214),ABS(IF(ISNUMBER($I214),$I214,0)-Settings!$B$24),"")</f>
        <v/>
      </c>
      <c r="AW214">
        <f>IF(ISNUMBER($AV214),$AV214*$AT214,"")</f>
        <v/>
      </c>
      <c r="AX214">
        <f>IF(ISNUMBER($AU214),ABS(IF(ISNUMBER($I214),$I214,0)-Settings!$B$24),"")</f>
        <v/>
      </c>
      <c r="AY214">
        <f>IF(ISNUMBER($AX214),$AX214*$AU214,"")</f>
        <v/>
      </c>
      <c r="AZ214">
        <f>IF($A214="","",IFERROR(INDEX(Company_List!$H$3:$H$207,MATCH($A214,Company_List!$A$3:$A$207,0)),"unassigned"))</f>
        <v/>
      </c>
      <c r="BC214">
        <f>IF($A214="","",IF(COUNTIFS($A$3:$A214,$A214,$C$3:$C214,$C214,$D$3:$D214,$D214,$G$3:$G214,$G214)=1,1,0))</f>
        <v/>
      </c>
      <c r="BG214" t="inlineStr">
        <is>
          <t>no</t>
        </is>
      </c>
      <c r="BK214">
        <f>IF(OR($H214&lt;&gt;"Human",$S214="",$J214="",$Y214="",$Z214=""),"",IF(EXACT(UPPER($J214),UPPER($Y214)),1,0))</f>
        <v/>
      </c>
      <c r="BL214" t="inlineStr">
        <is>
          <t>assumed - no rater record</t>
        </is>
      </c>
      <c r="BM214" t="n">
        <v>1</v>
      </c>
      <c r="BN214" t="inlineStr">
        <is>
          <t>not publisher-identified</t>
        </is>
      </c>
      <c r="BO214" t="inlineStr">
        <is>
          <t>not publisher-identified</t>
        </is>
      </c>
      <c r="BP214" t="inlineStr">
        <is>
          <t>no</t>
        </is>
      </c>
      <c r="BQ214" t="inlineStr">
        <is>
          <t>no</t>
        </is>
      </c>
    </row>
    <row r="215">
      <c r="A215" s="115" t="inlineStr">
        <is>
          <t>Chipotle</t>
        </is>
      </c>
      <c r="B215" s="116">
        <f>IF(A215="","",_xlfn.XLOOKUP(A215, Company_List!$A:$A, Company_List!$B:$B, ""))</f>
        <v/>
      </c>
      <c r="C215" s="143" t="n">
        <v>2025</v>
      </c>
      <c r="D215" s="143" t="inlineStr">
        <is>
          <t>Q3</t>
        </is>
      </c>
      <c r="E215" s="98" t="inlineStr">
        <is>
          <t>Press Release Document</t>
        </is>
      </c>
      <c r="F215" s="98" t="inlineStr">
        <is>
          <t>All</t>
        </is>
      </c>
      <c r="G215" s="143" t="inlineStr">
        <is>
          <t>Anna</t>
        </is>
      </c>
      <c r="H215" s="106" t="inlineStr">
        <is>
          <t>Human</t>
        </is>
      </c>
      <c r="I215" s="145" t="n">
        <v>-0.1</v>
      </c>
      <c r="J215" s="145">
        <f>IF(OR(I215="",Settings!$B$6=""),"",IF(I215&gt;Settings!$B$6,"BUY",IF(I215&lt;-Settings!$B$6,"SELL","HOLD")))</f>
        <v/>
      </c>
      <c r="K215" s="145" t="n">
        <v>18</v>
      </c>
      <c r="L215" s="125" t="n">
        <v>45959</v>
      </c>
      <c r="M215" s="126" t="n">
        <v>45959</v>
      </c>
      <c r="N215" s="147" t="n">
        <v>39.76</v>
      </c>
      <c r="O215" s="126" t="n">
        <v>45960</v>
      </c>
      <c r="P215" s="145" t="n">
        <v>31.27</v>
      </c>
      <c r="Q215" s="150">
        <f>IF(OR(N215="",P215=""),"",ROUND((P215-N215)/N215,4))</f>
        <v/>
      </c>
      <c r="R215" s="106">
        <f>IF(OR(N215="",P215=""),"",IF(Q215&gt;Settings!$B$3/100,"UP",IF(Q215&lt;-Settings!$B$3/100,"DOWN","FLAT")))</f>
        <v/>
      </c>
      <c r="S215" s="106">
        <f>IF(OR(N215="",P215="",J215=""),"",IF(OR(AND(J215="BUY",R215="UP"),AND(J215="SELL",R215="DOWN"),AND(J215="HOLD",R215="FLAT")),"YES","NO"))</f>
        <v/>
      </c>
      <c r="T215" s="105">
        <f>IF(J215="","",IF(J215="BUY",1,IF(J215="SELL",-1,0)))</f>
        <v/>
      </c>
      <c r="U215" s="150">
        <f>IFERROR(IF(OR(J215="",N215="",P215=""),"",IF(T215=0,0,T215*Q215-Settings!$B$4/10000-IF(T215&lt;0,Settings!$B$5/10000,0))),"")</f>
        <v/>
      </c>
      <c r="W215" s="21">
        <f>IF($K215="","",$K215*60)</f>
        <v/>
      </c>
      <c r="X215" s="91">
        <f>IF($A215="","",$A215&amp;"|"&amp;$C215&amp;"|"&amp;$D215)</f>
        <v/>
      </c>
      <c r="Y215" s="91">
        <f>IFERROR(IF($X215="","",INDEX(LLM_Data_Entry!$H$3:$H$548,MATCH($X215,INDEX(LLM_Data_Entry!$A$3:$A$548&amp;"|"&amp;LLM_Data_Entry!$C$3:$C$548&amp;"|"&amp;LLM_Data_Entry!$D$3:$D$548,0),0))),"")</f>
        <v/>
      </c>
      <c r="Z215" s="91">
        <f>IFERROR(IF($X215="","",INDEX(LLM_Data_Entry!$R$3:$R$548,MATCH($X215,INDEX(LLM_Data_Entry!$A$3:$A$548&amp;"|"&amp;LLM_Data_Entry!$C$3:$C$548&amp;"|"&amp;LLM_Data_Entry!$D$3:$D$548,0),0))),"")</f>
        <v/>
      </c>
      <c r="AB215" t="inlineStr">
        <is>
          <t>price signal — both moved; this one dominates</t>
        </is>
      </c>
      <c r="AC215" t="inlineStr">
        <is>
          <t>CMG</t>
        </is>
      </c>
      <c r="AD215" t="inlineStr">
        <is>
          <t>2025-10-29</t>
        </is>
      </c>
      <c r="AE215" t="n">
        <v>39.76</v>
      </c>
      <c r="AF215" t="inlineStr">
        <is>
          <t>2025-10-30</t>
        </is>
      </c>
      <c r="AG215" t="n">
        <v>31.27</v>
      </c>
      <c r="AH215" t="n">
        <v>-0.213531147561929</v>
      </c>
      <c r="AI215" t="inlineStr">
        <is>
          <t>DOWN</t>
        </is>
      </c>
      <c r="AJ215" t="inlineStr">
        <is>
          <t>NO</t>
        </is>
      </c>
      <c r="AK215" t="n">
        <v>0</v>
      </c>
      <c r="AL215">
        <f>IF($A215="","",IFERROR(INDEX(Company_List!$G$3:$G$207,MATCH($A215,Company_List!$A$3:$A$207,0)),"unassigned"))</f>
        <v/>
      </c>
      <c r="AM215" t="inlineStr">
        <is>
          <t>Phase 3/Readings/Chipotle/2025-Q3/CMG-2025-Q3-press-release-SEC-EX-99-1.htm</t>
        </is>
      </c>
      <c r="AN215" t="inlineStr">
        <is>
          <t>https://www.sec.gov/Archives/edgar/data/1058090/000105809025000086/cmg-20251029xex991.htm</t>
        </is>
      </c>
      <c r="AO215" t="inlineStr">
        <is>
          <t>manifest</t>
        </is>
      </c>
      <c r="AP215">
        <f>IF($A215="","",IF(COUNTIFS(LLM_Data_Entry!$A$3:$A$548,$A215)&gt;0,"YES","NO"))</f>
        <v/>
      </c>
      <c r="AQ215">
        <f>IF($A215="","",IF(COUNTIFS($A$3:$A215,$A215,$C$3:$C215,$C215,$D$3:$D215,$D215)=1,"YES","NO"))</f>
        <v/>
      </c>
      <c r="AR215">
        <f>IF($A215="","",IF(AND($C215&amp;"-"&amp;$D215&gt;=Settings!$B$19,$C215&amp;"-"&amp;$D215&lt;=Settings!$B$20),"IN","OUT"))</f>
        <v/>
      </c>
      <c r="AS215">
        <f>IF($A215="","",IF($F215="Financial Results","financials",IF($F215="Outlook/Guidance","guidance",IF($F215="Transcript Q&amp;A","qanda",IF($F215="","unrecorded",IF($E215="All","full",IF($E215="","unrecorded",LOWER($E215)&amp;" only")))))))</f>
        <v/>
      </c>
      <c r="AT215">
        <f>IF(AND(OR($J215="BUY",$J215="SELL"),ISNUMBER($U215)),$U215,"")</f>
        <v/>
      </c>
      <c r="AU215">
        <f>IF(AND(OR($J215="BUY",$J215="SELL"),ISNUMBER($AK215)),$AK215,"")</f>
        <v/>
      </c>
      <c r="AV215">
        <f>IF(ISNUMBER($AT215),ABS(IF(ISNUMBER($I215),$I215,0)-Settings!$B$24),"")</f>
        <v/>
      </c>
      <c r="AW215">
        <f>IF(ISNUMBER($AV215),$AV215*$AT215,"")</f>
        <v/>
      </c>
      <c r="AX215">
        <f>IF(ISNUMBER($AU215),ABS(IF(ISNUMBER($I215),$I215,0)-Settings!$B$24),"")</f>
        <v/>
      </c>
      <c r="AY215">
        <f>IF(ISNUMBER($AX215),$AX215*$AU215,"")</f>
        <v/>
      </c>
      <c r="AZ215">
        <f>IF($A215="","",IFERROR(INDEX(Company_List!$H$3:$H$207,MATCH($A215,Company_List!$A$3:$A$207,0)),"unassigned"))</f>
        <v/>
      </c>
      <c r="BC215">
        <f>IF($A215="","",IF(COUNTIFS($A$3:$A215,$A215,$C$3:$C215,$C215,$D$3:$D215,$D215,$G$3:$G215,$G215)=1,1,0))</f>
        <v/>
      </c>
      <c r="BG215" t="inlineStr">
        <is>
          <t>no</t>
        </is>
      </c>
      <c r="BK215">
        <f>IF(OR($H215&lt;&gt;"Human",$S215="",$J215="",$Y215="",$Z215=""),"",IF(EXACT(UPPER($J215),UPPER($Y215)),1,0))</f>
        <v/>
      </c>
      <c r="BL215" t="inlineStr">
        <is>
          <t>assumed - no rater record</t>
        </is>
      </c>
      <c r="BM215" t="n">
        <v>1</v>
      </c>
      <c r="BN215" t="inlineStr">
        <is>
          <t>not publisher-identified</t>
        </is>
      </c>
      <c r="BO215" t="inlineStr">
        <is>
          <t>not publisher-identified</t>
        </is>
      </c>
      <c r="BP215" t="inlineStr">
        <is>
          <t>no</t>
        </is>
      </c>
      <c r="BQ215" t="inlineStr">
        <is>
          <t>yes</t>
        </is>
      </c>
    </row>
    <row r="216">
      <c r="A216" s="115" t="inlineStr">
        <is>
          <t>Chipotle</t>
        </is>
      </c>
      <c r="B216" s="116">
        <f>IF(A216="","",_xlfn.XLOOKUP(A216, Company_List!$A:$A, Company_List!$B:$B, ""))</f>
        <v/>
      </c>
      <c r="C216" s="143" t="n">
        <v>2025</v>
      </c>
      <c r="D216" s="143" t="inlineStr">
        <is>
          <t>Q2</t>
        </is>
      </c>
      <c r="E216" s="98" t="inlineStr">
        <is>
          <t>Press Release Document</t>
        </is>
      </c>
      <c r="F216" s="98" t="inlineStr">
        <is>
          <t>All</t>
        </is>
      </c>
      <c r="G216" s="143" t="inlineStr">
        <is>
          <t>Anna</t>
        </is>
      </c>
      <c r="H216" s="106" t="inlineStr">
        <is>
          <t>Human</t>
        </is>
      </c>
      <c r="I216" s="145" t="n">
        <v>-0.4</v>
      </c>
      <c r="J216" s="145">
        <f>IF(OR(I216="",Settings!$B$6=""),"",IF(I216&gt;Settings!$B$6,"BUY",IF(I216&lt;-Settings!$B$6,"SELL","HOLD")))</f>
        <v/>
      </c>
      <c r="K216" s="145" t="n">
        <v>10</v>
      </c>
      <c r="L216" s="125" t="n">
        <v>45861</v>
      </c>
      <c r="M216" s="126" t="n">
        <v>45861</v>
      </c>
      <c r="N216" s="147" t="n">
        <v>52.78</v>
      </c>
      <c r="O216" s="126" t="n">
        <v>45862</v>
      </c>
      <c r="P216" s="145" t="n">
        <v>46.2</v>
      </c>
      <c r="Q216" s="150">
        <f>IF(OR(N216="",P216=""),"",ROUND((P216-N216)/N216,4))</f>
        <v/>
      </c>
      <c r="R216" s="106">
        <f>IF(OR(N216="",P216=""),"",IF(Q216&gt;Settings!$B$3/100,"UP",IF(Q216&lt;-Settings!$B$3/100,"DOWN","FLAT")))</f>
        <v/>
      </c>
      <c r="S216" s="106">
        <f>IF(OR(N216="",P216="",J216=""),"",IF(OR(AND(J216="BUY",R216="UP"),AND(J216="SELL",R216="DOWN"),AND(J216="HOLD",R216="FLAT")),"YES","NO"))</f>
        <v/>
      </c>
      <c r="T216" s="105">
        <f>IF(J216="","",IF(J216="BUY",1,IF(J216="SELL",-1,0)))</f>
        <v/>
      </c>
      <c r="U216" s="150">
        <f>IFERROR(IF(OR(J216="",N216="",P216=""),"",IF(T216=0,0,T216*Q216-Settings!$B$4/10000-IF(T216&lt;0,Settings!$B$5/10000,0))),"")</f>
        <v/>
      </c>
      <c r="W216" s="21">
        <f>IF($K216="","",$K216*60)</f>
        <v/>
      </c>
      <c r="X216" s="91">
        <f>IF($A216="","",$A216&amp;"|"&amp;$C216&amp;"|"&amp;$D216)</f>
        <v/>
      </c>
      <c r="Y216" s="91">
        <f>IFERROR(IF($X216="","",INDEX(LLM_Data_Entry!$H$3:$H$548,MATCH($X216,INDEX(LLM_Data_Entry!$A$3:$A$548&amp;"|"&amp;LLM_Data_Entry!$C$3:$C$548&amp;"|"&amp;LLM_Data_Entry!$D$3:$D$548,0),0))),"")</f>
        <v/>
      </c>
      <c r="Z216" s="91">
        <f>IFERROR(IF($X216="","",INDEX(LLM_Data_Entry!$R$3:$R$548,MATCH($X216,INDEX(LLM_Data_Entry!$A$3:$A$548&amp;"|"&amp;LLM_Data_Entry!$C$3:$C$548&amp;"|"&amp;LLM_Data_Entry!$D$3:$D$548,0),0))),"")</f>
        <v/>
      </c>
      <c r="AB216" t="inlineStr">
        <is>
          <t>price signal — only this window shows an abnormal move</t>
        </is>
      </c>
      <c r="AC216" t="inlineStr">
        <is>
          <t>CMG</t>
        </is>
      </c>
      <c r="AD216" t="inlineStr">
        <is>
          <t>2025-07-23</t>
        </is>
      </c>
      <c r="AE216" t="n">
        <v>52.78</v>
      </c>
      <c r="AF216" t="inlineStr">
        <is>
          <t>2025-07-24</t>
        </is>
      </c>
      <c r="AG216" t="n">
        <v>46.2</v>
      </c>
      <c r="AH216" t="n">
        <v>-0.12466839948216</v>
      </c>
      <c r="AI216" t="inlineStr">
        <is>
          <t>DOWN</t>
        </is>
      </c>
      <c r="AJ216" t="inlineStr">
        <is>
          <t>YES</t>
        </is>
      </c>
      <c r="AK216" t="n">
        <v>0.123668</v>
      </c>
      <c r="AL216">
        <f>IF($A216="","",IFERROR(INDEX(Company_List!$G$3:$G$207,MATCH($A216,Company_List!$A$3:$A$207,0)),"unassigned"))</f>
        <v/>
      </c>
      <c r="AM216" t="inlineStr">
        <is>
          <t>Phase 3/Readings/Chipotle/2025-Q2/CMG-2025-Q2-press-release-SEC-EX-99-1.htm</t>
        </is>
      </c>
      <c r="AN216" t="inlineStr">
        <is>
          <t>https://www.sec.gov/Archives/edgar/data/1058090/000105809025000055/cmg-20250723xex991.htm</t>
        </is>
      </c>
      <c r="AO216" t="inlineStr">
        <is>
          <t>manifest</t>
        </is>
      </c>
      <c r="AP216">
        <f>IF($A216="","",IF(COUNTIFS(LLM_Data_Entry!$A$3:$A$548,$A216)&gt;0,"YES","NO"))</f>
        <v/>
      </c>
      <c r="AQ216">
        <f>IF($A216="","",IF(COUNTIFS($A$3:$A216,$A216,$C$3:$C216,$C216,$D$3:$D216,$D216)=1,"YES","NO"))</f>
        <v/>
      </c>
      <c r="AR216">
        <f>IF($A216="","",IF(AND($C216&amp;"-"&amp;$D216&gt;=Settings!$B$19,$C216&amp;"-"&amp;$D216&lt;=Settings!$B$20),"IN","OUT"))</f>
        <v/>
      </c>
      <c r="AS216">
        <f>IF($A216="","",IF($F216="Financial Results","financials",IF($F216="Outlook/Guidance","guidance",IF($F216="Transcript Q&amp;A","qanda",IF($F216="","unrecorded",IF($E216="All","full",IF($E216="","unrecorded",LOWER($E216)&amp;" only")))))))</f>
        <v/>
      </c>
      <c r="AT216">
        <f>IF(AND(OR($J216="BUY",$J216="SELL"),ISNUMBER($U216)),$U216,"")</f>
        <v/>
      </c>
      <c r="AU216">
        <f>IF(AND(OR($J216="BUY",$J216="SELL"),ISNUMBER($AK216)),$AK216,"")</f>
        <v/>
      </c>
      <c r="AV216">
        <f>IF(ISNUMBER($AT216),ABS(IF(ISNUMBER($I216),$I216,0)-Settings!$B$24),"")</f>
        <v/>
      </c>
      <c r="AW216">
        <f>IF(ISNUMBER($AV216),$AV216*$AT216,"")</f>
        <v/>
      </c>
      <c r="AX216">
        <f>IF(ISNUMBER($AU216),ABS(IF(ISNUMBER($I216),$I216,0)-Settings!$B$24),"")</f>
        <v/>
      </c>
      <c r="AY216">
        <f>IF(ISNUMBER($AX216),$AX216*$AU216,"")</f>
        <v/>
      </c>
      <c r="AZ216">
        <f>IF($A216="","",IFERROR(INDEX(Company_List!$H$3:$H$207,MATCH($A216,Company_List!$A$3:$A$207,0)),"unassigned"))</f>
        <v/>
      </c>
      <c r="BC216">
        <f>IF($A216="","",IF(COUNTIFS($A$3:$A216,$A216,$C$3:$C216,$C216,$D$3:$D216,$D216,$G$3:$G216,$G216)=1,1,0))</f>
        <v/>
      </c>
      <c r="BG216" t="inlineStr">
        <is>
          <t>no</t>
        </is>
      </c>
      <c r="BK216">
        <f>IF(OR($H216&lt;&gt;"Human",$S216="",$J216="",$Y216="",$Z216=""),"",IF(EXACT(UPPER($J216),UPPER($Y216)),1,0))</f>
        <v/>
      </c>
      <c r="BL216" t="inlineStr">
        <is>
          <t>assumed - no rater record</t>
        </is>
      </c>
      <c r="BM216" t="n">
        <v>1</v>
      </c>
      <c r="BN216" t="inlineStr">
        <is>
          <t>not publisher-identified</t>
        </is>
      </c>
      <c r="BO216" t="inlineStr">
        <is>
          <t>not publisher-identified</t>
        </is>
      </c>
      <c r="BP216" t="inlineStr">
        <is>
          <t>no</t>
        </is>
      </c>
      <c r="BQ216" t="inlineStr">
        <is>
          <t>yes</t>
        </is>
      </c>
    </row>
    <row r="217">
      <c r="A217" s="115" t="inlineStr">
        <is>
          <t>Chipotle</t>
        </is>
      </c>
      <c r="B217" s="116">
        <f>IF(A217="","",_xlfn.XLOOKUP(A217, Company_List!$A:$A, Company_List!$B:$B, ""))</f>
        <v/>
      </c>
      <c r="C217" s="143" t="n">
        <v>2025</v>
      </c>
      <c r="D217" s="143" t="inlineStr">
        <is>
          <t>Q1</t>
        </is>
      </c>
      <c r="E217" s="98" t="inlineStr">
        <is>
          <t>Press Release Document</t>
        </is>
      </c>
      <c r="F217" s="98" t="inlineStr">
        <is>
          <t>All</t>
        </is>
      </c>
      <c r="G217" s="143" t="inlineStr">
        <is>
          <t>Anna</t>
        </is>
      </c>
      <c r="H217" s="106" t="inlineStr">
        <is>
          <t>Human</t>
        </is>
      </c>
      <c r="I217" s="145" t="n">
        <v>-0.2</v>
      </c>
      <c r="J217" s="145">
        <f>IF(OR(I217="",Settings!$B$6=""),"",IF(I217&gt;Settings!$B$6,"BUY",IF(I217&lt;-Settings!$B$6,"SELL","HOLD")))</f>
        <v/>
      </c>
      <c r="K217" s="145" t="n">
        <v>12</v>
      </c>
      <c r="L217" s="125" t="n">
        <v>45770</v>
      </c>
      <c r="M217" s="126" t="n">
        <v>45770</v>
      </c>
      <c r="N217" s="147" t="n">
        <v>48.76</v>
      </c>
      <c r="O217" s="126" t="n">
        <v>45771</v>
      </c>
      <c r="P217" s="145" t="n">
        <v>49.2</v>
      </c>
      <c r="Q217" s="150">
        <f>IF(OR(N217="",P217=""),"",ROUND((P217-N217)/N217,4))</f>
        <v/>
      </c>
      <c r="R217" s="106">
        <f>IF(OR(N217="",P217=""),"",IF(Q217&gt;Settings!$B$3/100,"UP",IF(Q217&lt;-Settings!$B$3/100,"DOWN","FLAT")))</f>
        <v/>
      </c>
      <c r="S217" s="106">
        <f>IF(OR(N217="",P217="",J217=""),"",IF(OR(AND(J217="BUY",R217="UP"),AND(J217="SELL",R217="DOWN"),AND(J217="HOLD",R217="FLAT")),"YES","NO"))</f>
        <v/>
      </c>
      <c r="T217" s="105">
        <f>IF(J217="","",IF(J217="BUY",1,IF(J217="SELL",-1,0)))</f>
        <v/>
      </c>
      <c r="U217" s="150">
        <f>IFERROR(IF(OR(J217="",N217="",P217=""),"",IF(T217=0,0,T217*Q217-Settings!$B$4/10000-IF(T217&lt;0,Settings!$B$5/10000,0))),"")</f>
        <v/>
      </c>
      <c r="W217" s="21">
        <f>IF($K217="","",$K217*60)</f>
        <v/>
      </c>
      <c r="X217" s="91">
        <f>IF($A217="","",$A217&amp;"|"&amp;$C217&amp;"|"&amp;$D217)</f>
        <v/>
      </c>
      <c r="Y217" s="91">
        <f>IFERROR(IF($X217="","",INDEX(LLM_Data_Entry!$H$3:$H$548,MATCH($X217,INDEX(LLM_Data_Entry!$A$3:$A$548&amp;"|"&amp;LLM_Data_Entry!$C$3:$C$548&amp;"|"&amp;LLM_Data_Entry!$D$3:$D$548,0),0))),"")</f>
        <v/>
      </c>
      <c r="Z217" s="91">
        <f>IFERROR(IF($X217="","",INDEX(LLM_Data_Entry!$R$3:$R$548,MATCH($X217,INDEX(LLM_Data_Entry!$A$3:$A$548&amp;"|"&amp;LLM_Data_Entry!$C$3:$C$548&amp;"|"&amp;LLM_Data_Entry!$D$3:$D$548,0),0))),"")</f>
        <v/>
      </c>
      <c r="AB217" t="inlineStr">
        <is>
          <t>price signal</t>
        </is>
      </c>
      <c r="AC217" t="inlineStr">
        <is>
          <t>CMG</t>
        </is>
      </c>
      <c r="AD217" t="inlineStr">
        <is>
          <t>2025-04-22</t>
        </is>
      </c>
      <c r="AE217" t="n">
        <v>47.1</v>
      </c>
      <c r="AF217" t="inlineStr">
        <is>
          <t>2025-04-23</t>
        </is>
      </c>
      <c r="AG217" t="n">
        <v>48.87</v>
      </c>
      <c r="AH217" t="n">
        <v>0.03757964066155588</v>
      </c>
      <c r="AI217" t="inlineStr">
        <is>
          <t>UP</t>
        </is>
      </c>
      <c r="AJ217" t="inlineStr">
        <is>
          <t>NO</t>
        </is>
      </c>
      <c r="AK217" t="n">
        <v>0</v>
      </c>
      <c r="AL217">
        <f>IF($A217="","",IFERROR(INDEX(Company_List!$G$3:$G$207,MATCH($A217,Company_List!$A$3:$A$207,0)),"unassigned"))</f>
        <v/>
      </c>
      <c r="AM217" t="inlineStr">
        <is>
          <t>Phase 3/Readings/Chipotle/2025-Q1/CMG-2025-Q1-press-release-SEC-EX-99-1.htm</t>
        </is>
      </c>
      <c r="AN217" t="inlineStr">
        <is>
          <t>https://www.sec.gov/Archives/edgar/data/1058090/000105809025000028/cmg-20250423xex991.htm</t>
        </is>
      </c>
      <c r="AO217" t="inlineStr">
        <is>
          <t>manifest</t>
        </is>
      </c>
      <c r="AP217">
        <f>IF($A217="","",IF(COUNTIFS(LLM_Data_Entry!$A$3:$A$548,$A217)&gt;0,"YES","NO"))</f>
        <v/>
      </c>
      <c r="AQ217">
        <f>IF($A217="","",IF(COUNTIFS($A$3:$A217,$A217,$C$3:$C217,$C217,$D$3:$D217,$D217)=1,"YES","NO"))</f>
        <v/>
      </c>
      <c r="AR217">
        <f>IF($A217="","",IF(AND($C217&amp;"-"&amp;$D217&gt;=Settings!$B$19,$C217&amp;"-"&amp;$D217&lt;=Settings!$B$20),"IN","OUT"))</f>
        <v/>
      </c>
      <c r="AS217">
        <f>IF($A217="","",IF($F217="Financial Results","financials",IF($F217="Outlook/Guidance","guidance",IF($F217="Transcript Q&amp;A","qanda",IF($F217="","unrecorded",IF($E217="All","full",IF($E217="","unrecorded",LOWER($E217)&amp;" only")))))))</f>
        <v/>
      </c>
      <c r="AT217">
        <f>IF(AND(OR($J217="BUY",$J217="SELL"),ISNUMBER($U217)),$U217,"")</f>
        <v/>
      </c>
      <c r="AU217">
        <f>IF(AND(OR($J217="BUY",$J217="SELL"),ISNUMBER($AK217)),$AK217,"")</f>
        <v/>
      </c>
      <c r="AV217">
        <f>IF(ISNUMBER($AT217),ABS(IF(ISNUMBER($I217),$I217,0)-Settings!$B$24),"")</f>
        <v/>
      </c>
      <c r="AW217">
        <f>IF(ISNUMBER($AV217),$AV217*$AT217,"")</f>
        <v/>
      </c>
      <c r="AX217">
        <f>IF(ISNUMBER($AU217),ABS(IF(ISNUMBER($I217),$I217,0)-Settings!$B$24),"")</f>
        <v/>
      </c>
      <c r="AY217">
        <f>IF(ISNUMBER($AX217),$AX217*$AU217,"")</f>
        <v/>
      </c>
      <c r="AZ217">
        <f>IF($A217="","",IFERROR(INDEX(Company_List!$H$3:$H$207,MATCH($A217,Company_List!$A$3:$A$207,0)),"unassigned"))</f>
        <v/>
      </c>
      <c r="BC217">
        <f>IF($A217="","",IF(COUNTIFS($A$3:$A217,$A217,$C$3:$C217,$C217,$D$3:$D217,$D217,$G$3:$G217,$G217)=1,1,0))</f>
        <v/>
      </c>
      <c r="BG217" t="inlineStr">
        <is>
          <t>no</t>
        </is>
      </c>
      <c r="BK217">
        <f>IF(OR($H217&lt;&gt;"Human",$S217="",$J217="",$Y217="",$Z217=""),"",IF(EXACT(UPPER($J217),UPPER($Y217)),1,0))</f>
        <v/>
      </c>
      <c r="BL217" t="inlineStr">
        <is>
          <t>assumed - no rater record</t>
        </is>
      </c>
      <c r="BM217" t="n">
        <v>1</v>
      </c>
      <c r="BN217" t="inlineStr">
        <is>
          <t>not publisher-identified</t>
        </is>
      </c>
      <c r="BO217" t="inlineStr">
        <is>
          <t>not publisher-identified</t>
        </is>
      </c>
      <c r="BP217" t="inlineStr">
        <is>
          <t>no</t>
        </is>
      </c>
      <c r="BQ217" t="inlineStr">
        <is>
          <t>yes</t>
        </is>
      </c>
    </row>
    <row r="218">
      <c r="A218" s="115" t="inlineStr">
        <is>
          <t>Heineken</t>
        </is>
      </c>
      <c r="B218" s="116">
        <f>IF(A218="","",_xlfn.XLOOKUP(A218, Company_List!$A:$A, Company_List!$B:$B, ""))</f>
        <v/>
      </c>
      <c r="C218" s="143" t="n">
        <v>2025</v>
      </c>
      <c r="D218" s="143" t="inlineStr">
        <is>
          <t>Q3</t>
        </is>
      </c>
      <c r="E218" s="98" t="inlineStr">
        <is>
          <t>Presentation</t>
        </is>
      </c>
      <c r="F218" s="98" t="inlineStr">
        <is>
          <t>All</t>
        </is>
      </c>
      <c r="G218" s="143" t="inlineStr">
        <is>
          <t>Anna</t>
        </is>
      </c>
      <c r="H218" s="106" t="inlineStr">
        <is>
          <t>Human</t>
        </is>
      </c>
      <c r="I218" s="145" t="n">
        <v>-0.3</v>
      </c>
      <c r="J218" s="145">
        <f>IF(OR(I218="",Settings!$B$6=""),"",IF(I218&gt;Settings!$B$6,"BUY",IF(I218&lt;-Settings!$B$6,"SELL","HOLD")))</f>
        <v/>
      </c>
      <c r="K218" s="145" t="n">
        <v>10</v>
      </c>
      <c r="L218" s="125" t="n">
        <v>45952</v>
      </c>
      <c r="M218" s="126" t="n">
        <v>45951</v>
      </c>
      <c r="N218" s="147" t="n">
        <v>70.16</v>
      </c>
      <c r="O218" s="140" t="n">
        <v>45953</v>
      </c>
      <c r="P218" s="145" t="n">
        <v>71.12</v>
      </c>
      <c r="Q218" s="150">
        <f>IF(OR(N218="",P218=""),"",ROUND((P218-N218)/N218,4))</f>
        <v/>
      </c>
      <c r="R218" s="106">
        <f>IF(OR(N218="",P218=""),"",IF(Q218&gt;Settings!$B$3/100,"UP",IF(Q218&lt;-Settings!$B$3/100,"DOWN","FLAT")))</f>
        <v/>
      </c>
      <c r="S218" s="106">
        <f>IF(OR(N218="",P218="",J218=""),"",IF(OR(AND(J218="BUY",R218="UP"),AND(J218="SELL",R218="DOWN"),AND(J218="HOLD",R218="FLAT")),"YES","NO"))</f>
        <v/>
      </c>
      <c r="T218" s="105">
        <f>IF(J218="","",IF(J218="BUY",1,IF(J218="SELL",-1,0)))</f>
        <v/>
      </c>
      <c r="U218" s="150">
        <f>IFERROR(IF(OR(J218="",N218="",P218=""),"",IF(T218=0,0,T218*Q218-Settings!$B$4/10000-IF(T218&lt;0,Settings!$B$5/10000,0))),"")</f>
        <v/>
      </c>
      <c r="W218" s="21">
        <f>IF($K218="","",$K218*60)</f>
        <v/>
      </c>
      <c r="X218" s="91">
        <f>IF($A218="","",$A218&amp;"|"&amp;$C218&amp;"|"&amp;$D218)</f>
        <v/>
      </c>
      <c r="Y218" s="91">
        <f>IFERROR(IF($X218="","",INDEX(LLM_Data_Entry!$H$3:$H$548,MATCH($X218,INDEX(LLM_Data_Entry!$A$3:$A$548&amp;"|"&amp;LLM_Data_Entry!$C$3:$C$548&amp;"|"&amp;LLM_Data_Entry!$D$3:$D$548,0),0))),"")</f>
        <v/>
      </c>
      <c r="Z218" s="91">
        <f>IFERROR(IF($X218="","",INDEX(LLM_Data_Entry!$R$3:$R$548,MATCH($X218,INDEX(LLM_Data_Entry!$A$3:$A$548&amp;"|"&amp;LLM_Data_Entry!$C$3:$C$548&amp;"|"&amp;LLM_Data_Entry!$D$3:$D$548,0),0))),"")</f>
        <v/>
      </c>
      <c r="AB218" t="inlineStr">
        <is>
          <t>recorded price identified against every pulled series</t>
        </is>
      </c>
      <c r="AC218" t="inlineStr">
        <is>
          <t>HEIA.AS</t>
        </is>
      </c>
      <c r="AD218" t="inlineStr">
        <is>
          <t>2025-10-21</t>
        </is>
      </c>
      <c r="AE218" t="n">
        <v>69.48139999999999</v>
      </c>
      <c r="AF218" t="inlineStr">
        <is>
          <t>2025-10-22</t>
        </is>
      </c>
      <c r="AG218" t="n">
        <v>68.7486</v>
      </c>
      <c r="AH218" t="n">
        <v>-0.01054740485912891</v>
      </c>
      <c r="AI218" t="inlineStr">
        <is>
          <t>FLAT</t>
        </is>
      </c>
      <c r="AJ218" t="inlineStr">
        <is>
          <t>NO</t>
        </is>
      </c>
      <c r="AK218" t="n">
        <v>0.009547</v>
      </c>
      <c r="AL218">
        <f>IF($A218="","",IFERROR(INDEX(Company_List!$G$3:$G$207,MATCH($A218,Company_List!$A$3:$A$207,0)),"unassigned"))</f>
        <v/>
      </c>
      <c r="AM218" t="inlineStr">
        <is>
          <t>Phase 3/Readings/Heineken/heineken-q3-2025-trading-update-presentation-vF.pdf</t>
        </is>
      </c>
      <c r="AO218" t="inlineStr">
        <is>
          <t>unique filename match</t>
        </is>
      </c>
      <c r="AP218">
        <f>IF($A218="","",IF(COUNTIFS(LLM_Data_Entry!$A$3:$A$548,$A218)&gt;0,"YES","NO"))</f>
        <v/>
      </c>
      <c r="AQ218">
        <f>IF($A218="","",IF(COUNTIFS($A$3:$A218,$A218,$C$3:$C218,$C218,$D$3:$D218,$D218)=1,"YES","NO"))</f>
        <v/>
      </c>
      <c r="AR218">
        <f>IF($A218="","",IF(AND($C218&amp;"-"&amp;$D218&gt;=Settings!$B$19,$C218&amp;"-"&amp;$D218&lt;=Settings!$B$20),"IN","OUT"))</f>
        <v/>
      </c>
      <c r="AS218">
        <f>IF($A218="","",IF($F218="Financial Results","financials",IF($F218="Outlook/Guidance","guidance",IF($F218="Transcript Q&amp;A","qanda",IF($F218="","unrecorded",IF($E218="All","full",IF($E218="","unrecorded",LOWER($E218)&amp;" only")))))))</f>
        <v/>
      </c>
      <c r="AT218">
        <f>IF(AND(OR($J218="BUY",$J218="SELL"),ISNUMBER($U218)),$U218,"")</f>
        <v/>
      </c>
      <c r="AU218">
        <f>IF(AND(OR($J218="BUY",$J218="SELL"),ISNUMBER($AK218)),$AK218,"")</f>
        <v/>
      </c>
      <c r="AV218">
        <f>IF(ISNUMBER($AT218),ABS(IF(ISNUMBER($I218),$I218,0)-Settings!$B$24),"")</f>
        <v/>
      </c>
      <c r="AW218">
        <f>IF(ISNUMBER($AV218),$AV218*$AT218,"")</f>
        <v/>
      </c>
      <c r="AX218">
        <f>IF(ISNUMBER($AU218),ABS(IF(ISNUMBER($I218),$I218,0)-Settings!$B$24),"")</f>
        <v/>
      </c>
      <c r="AY218">
        <f>IF(ISNUMBER($AX218),$AX218*$AU218,"")</f>
        <v/>
      </c>
      <c r="AZ218">
        <f>IF($A218="","",IFERROR(INDEX(Company_List!$H$3:$H$207,MATCH($A218,Company_List!$A$3:$A$207,0)),"unassigned"))</f>
        <v/>
      </c>
      <c r="BC218">
        <f>IF($A218="","",IF(COUNTIFS($A$3:$A218,$A218,$C$3:$C218,$C218,$D$3:$D218,$D218,$G$3:$G218,$G218)=1,1,0))</f>
        <v/>
      </c>
      <c r="BG218" t="inlineStr">
        <is>
          <t>no</t>
        </is>
      </c>
      <c r="BK218">
        <f>IF(OR($H218&lt;&gt;"Human",$S218="",$J218="",$Y218="",$Z218=""),"",IF(EXACT(UPPER($J218),UPPER($Y218)),1,0))</f>
        <v/>
      </c>
      <c r="BL218" t="inlineStr">
        <is>
          <t>assumed - no rater record</t>
        </is>
      </c>
      <c r="BM218" t="n">
        <v>1</v>
      </c>
      <c r="BN218" t="inlineStr">
        <is>
          <t>not publisher-identified</t>
        </is>
      </c>
      <c r="BO218" t="inlineStr">
        <is>
          <t>not publisher-identified</t>
        </is>
      </c>
      <c r="BP218" t="inlineStr">
        <is>
          <t>no</t>
        </is>
      </c>
      <c r="BQ218" t="inlineStr">
        <is>
          <t>no</t>
        </is>
      </c>
    </row>
    <row r="219">
      <c r="A219" s="115" t="inlineStr">
        <is>
          <t>Heineken</t>
        </is>
      </c>
      <c r="B219" s="116">
        <f>IF(A219="","",_xlfn.XLOOKUP(A219, Company_List!$A:$A, Company_List!$B:$B, ""))</f>
        <v/>
      </c>
      <c r="C219" s="143" t="n">
        <v>2024</v>
      </c>
      <c r="D219" s="143" t="inlineStr">
        <is>
          <t>Q3</t>
        </is>
      </c>
      <c r="E219" s="98" t="inlineStr">
        <is>
          <t>Presentation</t>
        </is>
      </c>
      <c r="F219" s="98" t="inlineStr">
        <is>
          <t>All</t>
        </is>
      </c>
      <c r="G219" s="143" t="inlineStr">
        <is>
          <t>Anna</t>
        </is>
      </c>
      <c r="H219" s="106" t="inlineStr">
        <is>
          <t>Human</t>
        </is>
      </c>
      <c r="I219" s="145" t="n">
        <v>0.5</v>
      </c>
      <c r="J219" s="145">
        <f>IF(OR(I219="",Settings!$B$6=""),"",IF(I219&gt;Settings!$B$6,"BUY",IF(I219&lt;-Settings!$B$6,"SELL","HOLD")))</f>
        <v/>
      </c>
      <c r="K219" s="145" t="n">
        <v>10</v>
      </c>
      <c r="L219" s="125" t="n">
        <v>45588</v>
      </c>
      <c r="M219" s="140" t="n">
        <v>45587</v>
      </c>
      <c r="N219" s="147" t="n">
        <v>76.98</v>
      </c>
      <c r="O219" s="140" t="n">
        <v>45589</v>
      </c>
      <c r="P219" s="145" t="n">
        <v>79.18000000000001</v>
      </c>
      <c r="Q219" s="150">
        <f>IF(OR(N219="",P219=""),"",ROUND((P219-N219)/N219,4))</f>
        <v/>
      </c>
      <c r="R219" s="106">
        <f>IF(OR(N219="",P219=""),"",IF(Q219&gt;Settings!$B$3/100,"UP",IF(Q219&lt;-Settings!$B$3/100,"DOWN","FLAT")))</f>
        <v/>
      </c>
      <c r="S219" s="106">
        <f>IF(OR(N219="",P219="",J219=""),"",IF(OR(AND(J219="BUY",R219="UP"),AND(J219="SELL",R219="DOWN"),AND(J219="HOLD",R219="FLAT")),"YES","NO"))</f>
        <v/>
      </c>
      <c r="T219" s="105">
        <f>IF(J219="","",IF(J219="BUY",1,IF(J219="SELL",-1,0)))</f>
        <v/>
      </c>
      <c r="U219" s="150">
        <f>IFERROR(IF(OR(J219="",N219="",P219=""),"",IF(T219=0,0,T219*Q219-Settings!$B$4/10000-IF(T219&lt;0,Settings!$B$5/10000,0))),"")</f>
        <v/>
      </c>
      <c r="W219" s="21">
        <f>IF($K219="","",$K219*60)</f>
        <v/>
      </c>
      <c r="X219" s="91">
        <f>IF($A219="","",$A219&amp;"|"&amp;$C219&amp;"|"&amp;$D219)</f>
        <v/>
      </c>
      <c r="Y219" s="91">
        <f>IFERROR(IF($X219="","",INDEX(LLM_Data_Entry!$H$3:$H$548,MATCH($X219,INDEX(LLM_Data_Entry!$A$3:$A$548&amp;"|"&amp;LLM_Data_Entry!$C$3:$C$548&amp;"|"&amp;LLM_Data_Entry!$D$3:$D$548,0),0))),"")</f>
        <v/>
      </c>
      <c r="Z219" s="91">
        <f>IFERROR(IF($X219="","",INDEX(LLM_Data_Entry!$R$3:$R$548,MATCH($X219,INDEX(LLM_Data_Entry!$A$3:$A$548&amp;"|"&amp;LLM_Data_Entry!$C$3:$C$548&amp;"|"&amp;LLM_Data_Entry!$D$3:$D$548,0),0))),"")</f>
        <v/>
      </c>
      <c r="AB219" t="inlineStr">
        <is>
          <t>recorded price identified against every pulled series</t>
        </is>
      </c>
      <c r="AC219" t="inlineStr">
        <is>
          <t>HEIA.AS</t>
        </is>
      </c>
      <c r="AD219" t="inlineStr">
        <is>
          <t>2024-10-22</t>
        </is>
      </c>
      <c r="AE219" t="n">
        <v>74.32940000000001</v>
      </c>
      <c r="AF219" t="inlineStr">
        <is>
          <t>2024-10-23</t>
        </is>
      </c>
      <c r="AG219" t="n">
        <v>74.7929</v>
      </c>
      <c r="AH219" t="n">
        <v>0.006235368989053385</v>
      </c>
      <c r="AI219" t="inlineStr">
        <is>
          <t>FLAT</t>
        </is>
      </c>
      <c r="AJ219" t="inlineStr">
        <is>
          <t>NO</t>
        </is>
      </c>
      <c r="AK219" t="n">
        <v>0.005235</v>
      </c>
      <c r="AL219">
        <f>IF($A219="","",IFERROR(INDEX(Company_List!$G$3:$G$207,MATCH($A219,Company_List!$A$3:$A$207,0)),"unassigned"))</f>
        <v/>
      </c>
      <c r="AM219" t="inlineStr">
        <is>
          <t>Phase 3/Readings/Heineken/q3-2024-trading-update-presentation_FINAL.pdf</t>
        </is>
      </c>
      <c r="AO219" t="inlineStr">
        <is>
          <t>unique filename match</t>
        </is>
      </c>
      <c r="AP219">
        <f>IF($A219="","",IF(COUNTIFS(LLM_Data_Entry!$A$3:$A$548,$A219)&gt;0,"YES","NO"))</f>
        <v/>
      </c>
      <c r="AQ219">
        <f>IF($A219="","",IF(COUNTIFS($A$3:$A219,$A219,$C$3:$C219,$C219,$D$3:$D219,$D219)=1,"YES","NO"))</f>
        <v/>
      </c>
      <c r="AR219">
        <f>IF($A219="","",IF(AND($C219&amp;"-"&amp;$D219&gt;=Settings!$B$19,$C219&amp;"-"&amp;$D219&lt;=Settings!$B$20),"IN","OUT"))</f>
        <v/>
      </c>
      <c r="AS219">
        <f>IF($A219="","",IF($F219="Financial Results","financials",IF($F219="Outlook/Guidance","guidance",IF($F219="Transcript Q&amp;A","qanda",IF($F219="","unrecorded",IF($E219="All","full",IF($E219="","unrecorded",LOWER($E219)&amp;" only")))))))</f>
        <v/>
      </c>
      <c r="AT219">
        <f>IF(AND(OR($J219="BUY",$J219="SELL"),ISNUMBER($U219)),$U219,"")</f>
        <v/>
      </c>
      <c r="AU219">
        <f>IF(AND(OR($J219="BUY",$J219="SELL"),ISNUMBER($AK219)),$AK219,"")</f>
        <v/>
      </c>
      <c r="AV219">
        <f>IF(ISNUMBER($AT219),ABS(IF(ISNUMBER($I219),$I219,0)-Settings!$B$24),"")</f>
        <v/>
      </c>
      <c r="AW219">
        <f>IF(ISNUMBER($AV219),$AV219*$AT219,"")</f>
        <v/>
      </c>
      <c r="AX219">
        <f>IF(ISNUMBER($AU219),ABS(IF(ISNUMBER($I219),$I219,0)-Settings!$B$24),"")</f>
        <v/>
      </c>
      <c r="AY219">
        <f>IF(ISNUMBER($AX219),$AX219*$AU219,"")</f>
        <v/>
      </c>
      <c r="AZ219">
        <f>IF($A219="","",IFERROR(INDEX(Company_List!$H$3:$H$207,MATCH($A219,Company_List!$A$3:$A$207,0)),"unassigned"))</f>
        <v/>
      </c>
      <c r="BC219">
        <f>IF($A219="","",IF(COUNTIFS($A$3:$A219,$A219,$C$3:$C219,$C219,$D$3:$D219,$D219,$G$3:$G219,$G219)=1,1,0))</f>
        <v/>
      </c>
      <c r="BG219" t="inlineStr">
        <is>
          <t>no</t>
        </is>
      </c>
      <c r="BK219">
        <f>IF(OR($H219&lt;&gt;"Human",$S219="",$J219="",$Y219="",$Z219=""),"",IF(EXACT(UPPER($J219),UPPER($Y219)),1,0))</f>
        <v/>
      </c>
      <c r="BL219" t="inlineStr">
        <is>
          <t>assumed - no rater record</t>
        </is>
      </c>
      <c r="BM219" t="n">
        <v>1</v>
      </c>
      <c r="BN219" t="inlineStr">
        <is>
          <t>not publisher-identified</t>
        </is>
      </c>
      <c r="BO219" t="inlineStr">
        <is>
          <t>not publisher-identified</t>
        </is>
      </c>
      <c r="BP219" t="inlineStr">
        <is>
          <t>no</t>
        </is>
      </c>
      <c r="BQ219" t="inlineStr">
        <is>
          <t>no</t>
        </is>
      </c>
    </row>
    <row r="220">
      <c r="A220" s="115" t="inlineStr">
        <is>
          <t>Heineken</t>
        </is>
      </c>
      <c r="B220" s="116">
        <f>IF(A220="","",_xlfn.XLOOKUP(A220, Company_List!$A:$A, Company_List!$B:$B, ""))</f>
        <v/>
      </c>
      <c r="C220" s="143" t="n">
        <v>2024</v>
      </c>
      <c r="D220" s="143" t="inlineStr">
        <is>
          <t>Q2</t>
        </is>
      </c>
      <c r="E220" s="98" t="inlineStr">
        <is>
          <t>Presentation</t>
        </is>
      </c>
      <c r="F220" s="98" t="inlineStr">
        <is>
          <t>All</t>
        </is>
      </c>
      <c r="G220" s="143" t="inlineStr">
        <is>
          <t>Anna</t>
        </is>
      </c>
      <c r="H220" s="106" t="inlineStr">
        <is>
          <t>Human</t>
        </is>
      </c>
      <c r="I220" s="145" t="n">
        <v>0.5</v>
      </c>
      <c r="J220" s="145">
        <f>IF(OR(I220="",Settings!$B$6=""),"",IF(I220&gt;Settings!$B$6,"BUY",IF(I220&lt;-Settings!$B$6,"SELL","HOLD")))</f>
        <v/>
      </c>
      <c r="K220" s="145" t="n">
        <v>11</v>
      </c>
      <c r="L220" s="125" t="n">
        <v>45502</v>
      </c>
      <c r="M220" s="126" t="n">
        <v>45499</v>
      </c>
      <c r="N220" s="147" t="n">
        <v>90.7</v>
      </c>
      <c r="O220" s="126" t="n">
        <v>45503</v>
      </c>
      <c r="P220" s="145" t="n">
        <v>82.22</v>
      </c>
      <c r="Q220" s="150">
        <f>IF(OR(N220="",P220=""),"",ROUND((P220-N220)/N220,4))</f>
        <v/>
      </c>
      <c r="R220" s="106">
        <f>IF(OR(N220="",P220=""),"",IF(Q220&gt;Settings!$B$3/100,"UP",IF(Q220&lt;-Settings!$B$3/100,"DOWN","FLAT")))</f>
        <v/>
      </c>
      <c r="S220" s="106">
        <f>IF(OR(N220="",P220="",J220=""),"",IF(OR(AND(J220="BUY",R220="UP"),AND(J220="SELL",R220="DOWN"),AND(J220="HOLD",R220="FLAT")),"YES","NO"))</f>
        <v/>
      </c>
      <c r="T220" s="105">
        <f>IF(J220="","",IF(J220="BUY",1,IF(J220="SELL",-1,0)))</f>
        <v/>
      </c>
      <c r="U220" s="150">
        <f>IFERROR(IF(OR(J220="",N220="",P220=""),"",IF(T220=0,0,T220*Q220-Settings!$B$4/10000-IF(T220&lt;0,Settings!$B$5/10000,0))),"")</f>
        <v/>
      </c>
      <c r="W220" s="21">
        <f>IF($K220="","",$K220*60)</f>
        <v/>
      </c>
      <c r="X220" s="91">
        <f>IF($A220="","",$A220&amp;"|"&amp;$C220&amp;"|"&amp;$D220)</f>
        <v/>
      </c>
      <c r="Y220" s="91">
        <f>IFERROR(IF($X220="","",INDEX(LLM_Data_Entry!$H$3:$H$548,MATCH($X220,INDEX(LLM_Data_Entry!$A$3:$A$548&amp;"|"&amp;LLM_Data_Entry!$C$3:$C$548&amp;"|"&amp;LLM_Data_Entry!$D$3:$D$548,0),0))),"")</f>
        <v/>
      </c>
      <c r="Z220" s="91">
        <f>IFERROR(IF($X220="","",INDEX(LLM_Data_Entry!$R$3:$R$548,MATCH($X220,INDEX(LLM_Data_Entry!$A$3:$A$548&amp;"|"&amp;LLM_Data_Entry!$C$3:$C$548&amp;"|"&amp;LLM_Data_Entry!$D$3:$D$548,0),0))),"")</f>
        <v/>
      </c>
      <c r="AB220" t="inlineStr">
        <is>
          <t>recorded price identified against every pulled series</t>
        </is>
      </c>
      <c r="AC220" t="inlineStr">
        <is>
          <t>HEIA.AS</t>
        </is>
      </c>
      <c r="AD220" t="inlineStr">
        <is>
          <t>2024-07-26</t>
        </is>
      </c>
      <c r="AE220" t="n">
        <v>86.8399</v>
      </c>
      <c r="AF220" t="inlineStr">
        <is>
          <t>2024-07-29</t>
        </is>
      </c>
      <c r="AG220" t="n">
        <v>81.9187</v>
      </c>
      <c r="AH220" t="n">
        <v>-0.05667035369371357</v>
      </c>
      <c r="AI220" t="inlineStr">
        <is>
          <t>DOWN</t>
        </is>
      </c>
      <c r="AJ220" t="inlineStr">
        <is>
          <t>NO</t>
        </is>
      </c>
      <c r="AK220" t="n">
        <v>-0.05767</v>
      </c>
      <c r="AL220">
        <f>IF($A220="","",IFERROR(INDEX(Company_List!$G$3:$G$207,MATCH($A220,Company_List!$A$3:$A$207,0)),"unassigned"))</f>
        <v/>
      </c>
      <c r="AM220" t="inlineStr">
        <is>
          <t>Phase 3/Readings/Heineken/2024-Q2/HEINY-2024-Q2-earnings-presentation-HeinekenIR.pdf</t>
        </is>
      </c>
      <c r="AN220" t="inlineStr">
        <is>
          <t>Heineken N.V. investor relations, supplied by the group (original filename hy-24-results-presentation.pdf)</t>
        </is>
      </c>
      <c r="AO220" t="inlineStr">
        <is>
          <t>manifest</t>
        </is>
      </c>
      <c r="AP220">
        <f>IF($A220="","",IF(COUNTIFS(LLM_Data_Entry!$A$3:$A$548,$A220)&gt;0,"YES","NO"))</f>
        <v/>
      </c>
      <c r="AQ220">
        <f>IF($A220="","",IF(COUNTIFS($A$3:$A220,$A220,$C$3:$C220,$C220,$D$3:$D220,$D220)=1,"YES","NO"))</f>
        <v/>
      </c>
      <c r="AR220">
        <f>IF($A220="","",IF(AND($C220&amp;"-"&amp;$D220&gt;=Settings!$B$19,$C220&amp;"-"&amp;$D220&lt;=Settings!$B$20),"IN","OUT"))</f>
        <v/>
      </c>
      <c r="AS220">
        <f>IF($A220="","",IF($F220="Financial Results","financials",IF($F220="Outlook/Guidance","guidance",IF($F220="Transcript Q&amp;A","qanda",IF($F220="","unrecorded",IF($E220="All","full",IF($E220="","unrecorded",LOWER($E220)&amp;" only")))))))</f>
        <v/>
      </c>
      <c r="AT220">
        <f>IF(AND(OR($J220="BUY",$J220="SELL"),ISNUMBER($U220)),$U220,"")</f>
        <v/>
      </c>
      <c r="AU220">
        <f>IF(AND(OR($J220="BUY",$J220="SELL"),ISNUMBER($AK220)),$AK220,"")</f>
        <v/>
      </c>
      <c r="AV220">
        <f>IF(ISNUMBER($AT220),ABS(IF(ISNUMBER($I220),$I220,0)-Settings!$B$24),"")</f>
        <v/>
      </c>
      <c r="AW220">
        <f>IF(ISNUMBER($AV220),$AV220*$AT220,"")</f>
        <v/>
      </c>
      <c r="AX220">
        <f>IF(ISNUMBER($AU220),ABS(IF(ISNUMBER($I220),$I220,0)-Settings!$B$24),"")</f>
        <v/>
      </c>
      <c r="AY220">
        <f>IF(ISNUMBER($AX220),$AX220*$AU220,"")</f>
        <v/>
      </c>
      <c r="AZ220">
        <f>IF($A220="","",IFERROR(INDEX(Company_List!$H$3:$H$207,MATCH($A220,Company_List!$A$3:$A$207,0)),"unassigned"))</f>
        <v/>
      </c>
      <c r="BC220">
        <f>IF($A220="","",IF(COUNTIFS($A$3:$A220,$A220,$C$3:$C220,$C220,$D$3:$D220,$D220,$G$3:$G220,$G220)=1,1,0))</f>
        <v/>
      </c>
      <c r="BG220" t="inlineStr">
        <is>
          <t>no</t>
        </is>
      </c>
      <c r="BK220">
        <f>IF(OR($H220&lt;&gt;"Human",$S220="",$J220="",$Y220="",$Z220=""),"",IF(EXACT(UPPER($J220),UPPER($Y220)),1,0))</f>
        <v/>
      </c>
      <c r="BL220" t="inlineStr">
        <is>
          <t>assumed - no rater record</t>
        </is>
      </c>
      <c r="BM220" t="n">
        <v>1</v>
      </c>
      <c r="BN220" t="inlineStr">
        <is>
          <t>not publisher-identified</t>
        </is>
      </c>
      <c r="BO220" t="inlineStr">
        <is>
          <t>not publisher-identified</t>
        </is>
      </c>
      <c r="BP220" t="inlineStr">
        <is>
          <t>no</t>
        </is>
      </c>
      <c r="BQ220" t="inlineStr">
        <is>
          <t>yes</t>
        </is>
      </c>
    </row>
    <row r="221">
      <c r="A221" s="115" t="inlineStr">
        <is>
          <t>Heineken</t>
        </is>
      </c>
      <c r="B221" s="116">
        <f>IF(A221="","",_xlfn.XLOOKUP(A221, Company_List!$A:$A, Company_List!$B:$B, ""))</f>
        <v/>
      </c>
      <c r="C221" s="143" t="n">
        <v>2024</v>
      </c>
      <c r="D221" s="143" t="inlineStr">
        <is>
          <t>Q1</t>
        </is>
      </c>
      <c r="E221" s="98" t="inlineStr">
        <is>
          <t>Presentation</t>
        </is>
      </c>
      <c r="F221" s="98" t="inlineStr">
        <is>
          <t>All</t>
        </is>
      </c>
      <c r="G221" s="143" t="inlineStr">
        <is>
          <t>Anna</t>
        </is>
      </c>
      <c r="H221" s="106" t="inlineStr">
        <is>
          <t>Human</t>
        </is>
      </c>
      <c r="I221" s="145" t="n">
        <v>0.5</v>
      </c>
      <c r="J221" s="145">
        <f>IF(OR(I221="",Settings!$B$6=""),"",IF(I221&gt;Settings!$B$6,"BUY",IF(I221&lt;-Settings!$B$6,"SELL","HOLD")))</f>
        <v/>
      </c>
      <c r="K221" s="145" t="n">
        <v>9</v>
      </c>
      <c r="L221" s="125" t="n">
        <v>45406</v>
      </c>
      <c r="M221" s="140" t="n">
        <v>45405</v>
      </c>
      <c r="N221" s="147" t="n">
        <v>90.68000000000001</v>
      </c>
      <c r="O221" s="140" t="n">
        <v>45407</v>
      </c>
      <c r="P221" s="145" t="n">
        <v>93</v>
      </c>
      <c r="Q221" s="150">
        <f>IF(OR(N221="",P221=""),"",ROUND((P221-N221)/N221,4))</f>
        <v/>
      </c>
      <c r="R221" s="106">
        <f>IF(OR(N221="",P221=""),"",IF(Q221&gt;Settings!$B$3/100,"UP",IF(Q221&lt;-Settings!$B$3/100,"DOWN","FLAT")))</f>
        <v/>
      </c>
      <c r="S221" s="106">
        <f>IF(OR(N221="",P221="",J221=""),"",IF(OR(AND(J221="BUY",R221="UP"),AND(J221="SELL",R221="DOWN"),AND(J221="HOLD",R221="FLAT")),"YES","NO"))</f>
        <v/>
      </c>
      <c r="T221" s="105">
        <f>IF(J221="","",IF(J221="BUY",1,IF(J221="SELL",-1,0)))</f>
        <v/>
      </c>
      <c r="U221" s="150">
        <f>IFERROR(IF(OR(J221="",N221="",P221=""),"",IF(T221=0,0,T221*Q221-Settings!$B$4/10000-IF(T221&lt;0,Settings!$B$5/10000,0))),"")</f>
        <v/>
      </c>
      <c r="W221" s="21">
        <f>IF($K221="","",$K221*60)</f>
        <v/>
      </c>
      <c r="X221" s="91">
        <f>IF($A221="","",$A221&amp;"|"&amp;$C221&amp;"|"&amp;$D221)</f>
        <v/>
      </c>
      <c r="Y221" s="91">
        <f>IFERROR(IF($X221="","",INDEX(LLM_Data_Entry!$H$3:$H$548,MATCH($X221,INDEX(LLM_Data_Entry!$A$3:$A$548&amp;"|"&amp;LLM_Data_Entry!$C$3:$C$548&amp;"|"&amp;LLM_Data_Entry!$D$3:$D$548,0),0))),"")</f>
        <v/>
      </c>
      <c r="Z221" s="91">
        <f>IFERROR(IF($X221="","",INDEX(LLM_Data_Entry!$R$3:$R$548,MATCH($X221,INDEX(LLM_Data_Entry!$A$3:$A$548&amp;"|"&amp;LLM_Data_Entry!$C$3:$C$548&amp;"|"&amp;LLM_Data_Entry!$D$3:$D$548,0),0))),"")</f>
        <v/>
      </c>
      <c r="AB221" t="inlineStr">
        <is>
          <t>recorded price identified against every pulled series</t>
        </is>
      </c>
      <c r="AC221" t="inlineStr">
        <is>
          <t>HEIA.AS</t>
        </is>
      </c>
      <c r="AD221" t="inlineStr">
        <is>
          <t>2024-04-23</t>
        </is>
      </c>
      <c r="AE221" t="n">
        <v>85.8329</v>
      </c>
      <c r="AF221" t="inlineStr">
        <is>
          <t>2024-04-24</t>
        </is>
      </c>
      <c r="AG221" t="n">
        <v>86.628</v>
      </c>
      <c r="AH221" t="n">
        <v>0.009263224297611681</v>
      </c>
      <c r="AI221" t="inlineStr">
        <is>
          <t>FLAT</t>
        </is>
      </c>
      <c r="AJ221" t="inlineStr">
        <is>
          <t>NO</t>
        </is>
      </c>
      <c r="AK221" t="n">
        <v>0.008263</v>
      </c>
      <c r="AL221">
        <f>IF($A221="","",IFERROR(INDEX(Company_List!$G$3:$G$207,MATCH($A221,Company_List!$A$3:$A$207,0)),"unassigned"))</f>
        <v/>
      </c>
      <c r="AM221" t="inlineStr">
        <is>
          <t>Phase 3/Readings/Heineken/heineken-nv-1Q24-trading-update-presentation.pdf</t>
        </is>
      </c>
      <c r="AO221" t="inlineStr">
        <is>
          <t>unique filename match</t>
        </is>
      </c>
      <c r="AP221">
        <f>IF($A221="","",IF(COUNTIFS(LLM_Data_Entry!$A$3:$A$548,$A221)&gt;0,"YES","NO"))</f>
        <v/>
      </c>
      <c r="AQ221">
        <f>IF($A221="","",IF(COUNTIFS($A$3:$A221,$A221,$C$3:$C221,$C221,$D$3:$D221,$D221)=1,"YES","NO"))</f>
        <v/>
      </c>
      <c r="AR221">
        <f>IF($A221="","",IF(AND($C221&amp;"-"&amp;$D221&gt;=Settings!$B$19,$C221&amp;"-"&amp;$D221&lt;=Settings!$B$20),"IN","OUT"))</f>
        <v/>
      </c>
      <c r="AS221">
        <f>IF($A221="","",IF($F221="Financial Results","financials",IF($F221="Outlook/Guidance","guidance",IF($F221="Transcript Q&amp;A","qanda",IF($F221="","unrecorded",IF($E221="All","full",IF($E221="","unrecorded",LOWER($E221)&amp;" only")))))))</f>
        <v/>
      </c>
      <c r="AT221">
        <f>IF(AND(OR($J221="BUY",$J221="SELL"),ISNUMBER($U221)),$U221,"")</f>
        <v/>
      </c>
      <c r="AU221">
        <f>IF(AND(OR($J221="BUY",$J221="SELL"),ISNUMBER($AK221)),$AK221,"")</f>
        <v/>
      </c>
      <c r="AV221">
        <f>IF(ISNUMBER($AT221),ABS(IF(ISNUMBER($I221),$I221,0)-Settings!$B$24),"")</f>
        <v/>
      </c>
      <c r="AW221">
        <f>IF(ISNUMBER($AV221),$AV221*$AT221,"")</f>
        <v/>
      </c>
      <c r="AX221">
        <f>IF(ISNUMBER($AU221),ABS(IF(ISNUMBER($I221),$I221,0)-Settings!$B$24),"")</f>
        <v/>
      </c>
      <c r="AY221">
        <f>IF(ISNUMBER($AX221),$AX221*$AU221,"")</f>
        <v/>
      </c>
      <c r="AZ221">
        <f>IF($A221="","",IFERROR(INDEX(Company_List!$H$3:$H$207,MATCH($A221,Company_List!$A$3:$A$207,0)),"unassigned"))</f>
        <v/>
      </c>
      <c r="BC221">
        <f>IF($A221="","",IF(COUNTIFS($A$3:$A221,$A221,$C$3:$C221,$C221,$D$3:$D221,$D221,$G$3:$G221,$G221)=1,1,0))</f>
        <v/>
      </c>
      <c r="BG221" t="inlineStr">
        <is>
          <t>no</t>
        </is>
      </c>
      <c r="BK221">
        <f>IF(OR($H221&lt;&gt;"Human",$S221="",$J221="",$Y221="",$Z221=""),"",IF(EXACT(UPPER($J221),UPPER($Y221)),1,0))</f>
        <v/>
      </c>
      <c r="BL221" t="inlineStr">
        <is>
          <t>assumed - no rater record</t>
        </is>
      </c>
      <c r="BM221" t="n">
        <v>1</v>
      </c>
      <c r="BN221" t="inlineStr">
        <is>
          <t>not publisher-identified</t>
        </is>
      </c>
      <c r="BO221" t="inlineStr">
        <is>
          <t>not publisher-identified</t>
        </is>
      </c>
      <c r="BP221" t="inlineStr">
        <is>
          <t>no</t>
        </is>
      </c>
      <c r="BQ221" t="inlineStr">
        <is>
          <t>no</t>
        </is>
      </c>
    </row>
    <row r="222">
      <c r="A222" s="115" t="inlineStr">
        <is>
          <t>Datadog</t>
        </is>
      </c>
      <c r="B222" s="116">
        <f>IF(A222="","",_xlfn.XLOOKUP(A222, Company_List!$A:$A, Company_List!$B:$B, ""))</f>
        <v/>
      </c>
      <c r="C222" s="143" t="n">
        <v>2026</v>
      </c>
      <c r="D222" s="143" t="inlineStr">
        <is>
          <t>Q1</t>
        </is>
      </c>
      <c r="E222" s="98" t="inlineStr">
        <is>
          <t>Press Release Document</t>
        </is>
      </c>
      <c r="F222" s="98" t="inlineStr">
        <is>
          <t>All</t>
        </is>
      </c>
      <c r="G222" s="143" t="inlineStr">
        <is>
          <t>Anna</t>
        </is>
      </c>
      <c r="H222" s="106" t="inlineStr">
        <is>
          <t>Human</t>
        </is>
      </c>
      <c r="I222" s="145" t="n">
        <v>0.6</v>
      </c>
      <c r="J222" s="145">
        <f>IF(OR(I222="",Settings!$B$6=""),"",IF(I222&gt;Settings!$B$6,"BUY",IF(I222&lt;-Settings!$B$6,"SELL","HOLD")))</f>
        <v/>
      </c>
      <c r="K222" s="145" t="n">
        <v>10</v>
      </c>
      <c r="L222" s="125" t="n">
        <v>46149</v>
      </c>
      <c r="M222" s="140" t="n">
        <v>46148</v>
      </c>
      <c r="N222" s="147" t="n">
        <v>143.71</v>
      </c>
      <c r="O222" s="140" t="n">
        <v>46150</v>
      </c>
      <c r="P222" s="145" t="n">
        <v>185.5</v>
      </c>
      <c r="Q222" s="150">
        <f>IF(OR(N222="",P222=""),"",ROUND((P222-N222)/N222,4))</f>
        <v/>
      </c>
      <c r="R222" s="106">
        <f>IF(OR(N222="",P222=""),"",IF(Q222&gt;Settings!$B$3/100,"UP",IF(Q222&lt;-Settings!$B$3/100,"DOWN","FLAT")))</f>
        <v/>
      </c>
      <c r="S222" s="106">
        <f>IF(OR(N222="",P222="",J222=""),"",IF(OR(AND(J222="BUY",R222="UP"),AND(J222="SELL",R222="DOWN"),AND(J222="HOLD",R222="FLAT")),"YES","NO"))</f>
        <v/>
      </c>
      <c r="T222" s="105">
        <f>IF(J222="","",IF(J222="BUY",1,IF(J222="SELL",-1,0)))</f>
        <v/>
      </c>
      <c r="U222" s="150">
        <f>IFERROR(IF(OR(J222="",N222="",P222=""),"",IF(T222=0,0,T222*Q222-Settings!$B$4/10000-IF(T222&lt;0,Settings!$B$5/10000,0))),"")</f>
        <v/>
      </c>
      <c r="W222" s="21">
        <f>IF($K222="","",$K222*60)</f>
        <v/>
      </c>
      <c r="X222" s="91">
        <f>IF($A222="","",$A222&amp;"|"&amp;$C222&amp;"|"&amp;$D222)</f>
        <v/>
      </c>
      <c r="Y222" s="91">
        <f>IFERROR(IF($X222="","",INDEX(LLM_Data_Entry!$H$3:$H$548,MATCH($X222,INDEX(LLM_Data_Entry!$A$3:$A$548&amp;"|"&amp;LLM_Data_Entry!$C$3:$C$548&amp;"|"&amp;LLM_Data_Entry!$D$3:$D$548,0),0))),"")</f>
        <v/>
      </c>
      <c r="Z222" s="91">
        <f>IFERROR(IF($X222="","",INDEX(LLM_Data_Entry!$R$3:$R$548,MATCH($X222,INDEX(LLM_Data_Entry!$A$3:$A$548&amp;"|"&amp;LLM_Data_Entry!$C$3:$C$548&amp;"|"&amp;LLM_Data_Entry!$D$3:$D$548,0),0))),"")</f>
        <v/>
      </c>
      <c r="AB222" t="inlineStr">
        <is>
          <t>recorded window spanned two sessions, closed to one</t>
        </is>
      </c>
      <c r="AC222" t="inlineStr">
        <is>
          <t>DDOG</t>
        </is>
      </c>
      <c r="AD222" t="inlineStr">
        <is>
          <t>2026-05-06</t>
        </is>
      </c>
      <c r="AE222" t="n">
        <v>143.71</v>
      </c>
      <c r="AF222" t="inlineStr">
        <is>
          <t>2026-05-07</t>
        </is>
      </c>
      <c r="AG222" t="n">
        <v>187.99</v>
      </c>
      <c r="AH222" t="n">
        <v>0.3081204915674384</v>
      </c>
      <c r="AI222" t="inlineStr">
        <is>
          <t>UP</t>
        </is>
      </c>
      <c r="AJ222" t="inlineStr">
        <is>
          <t>YES</t>
        </is>
      </c>
      <c r="AK222" t="n">
        <v>0.30712</v>
      </c>
      <c r="AL222">
        <f>IF($A222="","",IFERROR(INDEX(Company_List!$G$3:$G$207,MATCH($A222,Company_List!$A$3:$A$207,0)),"unassigned"))</f>
        <v/>
      </c>
      <c r="AM222" t="inlineStr">
        <is>
          <t>Phase 3/Readings/Datadog/2026-Q1/DDOG-2026-Q1-press-release-SEC-EX-99-1.htm</t>
        </is>
      </c>
      <c r="AN222" t="inlineStr">
        <is>
          <t>https://www.sec.gov/Archives/edgar/data/1561550/000162828026031677/ex-991x20260331x8k.htm</t>
        </is>
      </c>
      <c r="AO222" t="inlineStr">
        <is>
          <t>manifest</t>
        </is>
      </c>
      <c r="AP222">
        <f>IF($A222="","",IF(COUNTIFS(LLM_Data_Entry!$A$3:$A$548,$A222)&gt;0,"YES","NO"))</f>
        <v/>
      </c>
      <c r="AQ222">
        <f>IF($A222="","",IF(COUNTIFS($A$3:$A222,$A222,$C$3:$C222,$C222,$D$3:$D222,$D222)=1,"YES","NO"))</f>
        <v/>
      </c>
      <c r="AR222">
        <f>IF($A222="","",IF(AND($C222&amp;"-"&amp;$D222&gt;=Settings!$B$19,$C222&amp;"-"&amp;$D222&lt;=Settings!$B$20),"IN","OUT"))</f>
        <v/>
      </c>
      <c r="AS222">
        <f>IF($A222="","",IF($F222="Financial Results","financials",IF($F222="Outlook/Guidance","guidance",IF($F222="Transcript Q&amp;A","qanda",IF($F222="","unrecorded",IF($E222="All","full",IF($E222="","unrecorded",LOWER($E222)&amp;" only")))))))</f>
        <v/>
      </c>
      <c r="AT222">
        <f>IF(AND(OR($J222="BUY",$J222="SELL"),ISNUMBER($U222)),$U222,"")</f>
        <v/>
      </c>
      <c r="AU222">
        <f>IF(AND(OR($J222="BUY",$J222="SELL"),ISNUMBER($AK222)),$AK222,"")</f>
        <v/>
      </c>
      <c r="AV222">
        <f>IF(ISNUMBER($AT222),ABS(IF(ISNUMBER($I222),$I222,0)-Settings!$B$24),"")</f>
        <v/>
      </c>
      <c r="AW222">
        <f>IF(ISNUMBER($AV222),$AV222*$AT222,"")</f>
        <v/>
      </c>
      <c r="AX222">
        <f>IF(ISNUMBER($AU222),ABS(IF(ISNUMBER($I222),$I222,0)-Settings!$B$24),"")</f>
        <v/>
      </c>
      <c r="AY222">
        <f>IF(ISNUMBER($AX222),$AX222*$AU222,"")</f>
        <v/>
      </c>
      <c r="AZ222">
        <f>IF($A222="","",IFERROR(INDEX(Company_List!$H$3:$H$207,MATCH($A222,Company_List!$A$3:$A$207,0)),"unassigned"))</f>
        <v/>
      </c>
      <c r="BC222">
        <f>IF($A222="","",IF(COUNTIFS($A$3:$A222,$A222,$C$3:$C222,$C222,$D$3:$D222,$D222,$G$3:$G222,$G222)=1,1,0))</f>
        <v/>
      </c>
      <c r="BG222" t="inlineStr">
        <is>
          <t>no</t>
        </is>
      </c>
      <c r="BK222">
        <f>IF(OR($H222&lt;&gt;"Human",$S222="",$J222="",$Y222="",$Z222=""),"",IF(EXACT(UPPER($J222),UPPER($Y222)),1,0))</f>
        <v/>
      </c>
      <c r="BL222" t="inlineStr">
        <is>
          <t>assumed - no rater record</t>
        </is>
      </c>
      <c r="BM222" t="n">
        <v>1</v>
      </c>
      <c r="BN222" t="inlineStr">
        <is>
          <t>not publisher-identified</t>
        </is>
      </c>
      <c r="BO222" t="inlineStr">
        <is>
          <t>not publisher-identified</t>
        </is>
      </c>
      <c r="BP222" t="inlineStr">
        <is>
          <t>no</t>
        </is>
      </c>
      <c r="BQ222" t="inlineStr">
        <is>
          <t>yes</t>
        </is>
      </c>
    </row>
    <row r="223">
      <c r="A223" s="115" t="inlineStr">
        <is>
          <t>Datadog</t>
        </is>
      </c>
      <c r="B223" s="116">
        <f>IF(A223="","",_xlfn.XLOOKUP(A223, Company_List!$A:$A, Company_List!$B:$B, ""))</f>
        <v/>
      </c>
      <c r="C223" s="143" t="n">
        <v>2025</v>
      </c>
      <c r="D223" s="143" t="inlineStr">
        <is>
          <t>Q3</t>
        </is>
      </c>
      <c r="E223" s="98" t="inlineStr">
        <is>
          <t>Press Release Document</t>
        </is>
      </c>
      <c r="F223" s="98" t="inlineStr">
        <is>
          <t>All</t>
        </is>
      </c>
      <c r="G223" s="143" t="inlineStr">
        <is>
          <t>Anna</t>
        </is>
      </c>
      <c r="H223" s="106" t="inlineStr">
        <is>
          <t>Human</t>
        </is>
      </c>
      <c r="I223" s="145" t="n">
        <v>0.4</v>
      </c>
      <c r="J223" s="145">
        <f>IF(OR(I223="",Settings!$B$6=""),"",IF(I223&gt;Settings!$B$6,"BUY",IF(I223&lt;-Settings!$B$6,"SELL","HOLD")))</f>
        <v/>
      </c>
      <c r="K223" s="145" t="n">
        <v>9</v>
      </c>
      <c r="L223" s="125" t="n">
        <v>45967</v>
      </c>
      <c r="M223" s="140" t="n">
        <v>45966</v>
      </c>
      <c r="N223" s="147" t="n">
        <v>154.98</v>
      </c>
      <c r="O223" s="140" t="n">
        <v>45968</v>
      </c>
      <c r="P223" s="145" t="n">
        <v>184.29</v>
      </c>
      <c r="Q223" s="150">
        <f>IF(OR(N223="",P223=""),"",ROUND((P223-N223)/N223,4))</f>
        <v/>
      </c>
      <c r="R223" s="106">
        <f>IF(OR(N223="",P223=""),"",IF(Q223&gt;Settings!$B$3/100,"UP",IF(Q223&lt;-Settings!$B$3/100,"DOWN","FLAT")))</f>
        <v/>
      </c>
      <c r="S223" s="106">
        <f>IF(OR(N223="",P223="",J223=""),"",IF(OR(AND(J223="BUY",R223="UP"),AND(J223="SELL",R223="DOWN"),AND(J223="HOLD",R223="FLAT")),"YES","NO"))</f>
        <v/>
      </c>
      <c r="T223" s="105">
        <f>IF(J223="","",IF(J223="BUY",1,IF(J223="SELL",-1,0)))</f>
        <v/>
      </c>
      <c r="U223" s="150">
        <f>IFERROR(IF(OR(J223="",N223="",P223=""),"",IF(T223=0,0,T223*Q223-Settings!$B$4/10000-IF(T223&lt;0,Settings!$B$5/10000,0))),"")</f>
        <v/>
      </c>
      <c r="W223" s="21">
        <f>IF($K223="","",$K223*60)</f>
        <v/>
      </c>
      <c r="X223" s="91">
        <f>IF($A223="","",$A223&amp;"|"&amp;$C223&amp;"|"&amp;$D223)</f>
        <v/>
      </c>
      <c r="Y223" s="91">
        <f>IFERROR(IF($X223="","",INDEX(LLM_Data_Entry!$H$3:$H$548,MATCH($X223,INDEX(LLM_Data_Entry!$A$3:$A$548&amp;"|"&amp;LLM_Data_Entry!$C$3:$C$548&amp;"|"&amp;LLM_Data_Entry!$D$3:$D$548,0),0))),"")</f>
        <v/>
      </c>
      <c r="Z223" s="91">
        <f>IFERROR(IF($X223="","",INDEX(LLM_Data_Entry!$R$3:$R$548,MATCH($X223,INDEX(LLM_Data_Entry!$A$3:$A$548&amp;"|"&amp;LLM_Data_Entry!$C$3:$C$548&amp;"|"&amp;LLM_Data_Entry!$D$3:$D$548,0),0))),"")</f>
        <v/>
      </c>
      <c r="AB223" t="inlineStr">
        <is>
          <t>recorded window spanned two sessions, closed to one</t>
        </is>
      </c>
      <c r="AC223" t="inlineStr">
        <is>
          <t>DDOG</t>
        </is>
      </c>
      <c r="AD223" t="inlineStr">
        <is>
          <t>2025-11-05</t>
        </is>
      </c>
      <c r="AE223" t="n">
        <v>154.98</v>
      </c>
      <c r="AF223" t="inlineStr">
        <is>
          <t>2025-11-06</t>
        </is>
      </c>
      <c r="AG223" t="n">
        <v>178.89</v>
      </c>
      <c r="AH223" t="n">
        <v>0.1542779946903598</v>
      </c>
      <c r="AI223" t="inlineStr">
        <is>
          <t>UP</t>
        </is>
      </c>
      <c r="AJ223" t="inlineStr">
        <is>
          <t>YES</t>
        </is>
      </c>
      <c r="AK223" t="n">
        <v>0.153278</v>
      </c>
      <c r="AL223">
        <f>IF($A223="","",IFERROR(INDEX(Company_List!$G$3:$G$207,MATCH($A223,Company_List!$A$3:$A$207,0)),"unassigned"))</f>
        <v/>
      </c>
      <c r="AM223" t="inlineStr">
        <is>
          <t>Phase 3/Readings/Datadog/2025-Q3/DDOG-2025-Q3-press-release-SEC-EX-99-1.htm</t>
        </is>
      </c>
      <c r="AN223" t="inlineStr">
        <is>
          <t>https://www.sec.gov/Archives/edgar/data/1561550/000156155025000310/ex-991x20250930x8k.htm</t>
        </is>
      </c>
      <c r="AO223" t="inlineStr">
        <is>
          <t>manifest</t>
        </is>
      </c>
      <c r="AP223">
        <f>IF($A223="","",IF(COUNTIFS(LLM_Data_Entry!$A$3:$A$548,$A223)&gt;0,"YES","NO"))</f>
        <v/>
      </c>
      <c r="AQ223">
        <f>IF($A223="","",IF(COUNTIFS($A$3:$A223,$A223,$C$3:$C223,$C223,$D$3:$D223,$D223)=1,"YES","NO"))</f>
        <v/>
      </c>
      <c r="AR223">
        <f>IF($A223="","",IF(AND($C223&amp;"-"&amp;$D223&gt;=Settings!$B$19,$C223&amp;"-"&amp;$D223&lt;=Settings!$B$20),"IN","OUT"))</f>
        <v/>
      </c>
      <c r="AS223">
        <f>IF($A223="","",IF($F223="Financial Results","financials",IF($F223="Outlook/Guidance","guidance",IF($F223="Transcript Q&amp;A","qanda",IF($F223="","unrecorded",IF($E223="All","full",IF($E223="","unrecorded",LOWER($E223)&amp;" only")))))))</f>
        <v/>
      </c>
      <c r="AT223">
        <f>IF(AND(OR($J223="BUY",$J223="SELL"),ISNUMBER($U223)),$U223,"")</f>
        <v/>
      </c>
      <c r="AU223">
        <f>IF(AND(OR($J223="BUY",$J223="SELL"),ISNUMBER($AK223)),$AK223,"")</f>
        <v/>
      </c>
      <c r="AV223">
        <f>IF(ISNUMBER($AT223),ABS(IF(ISNUMBER($I223),$I223,0)-Settings!$B$24),"")</f>
        <v/>
      </c>
      <c r="AW223">
        <f>IF(ISNUMBER($AV223),$AV223*$AT223,"")</f>
        <v/>
      </c>
      <c r="AX223">
        <f>IF(ISNUMBER($AU223),ABS(IF(ISNUMBER($I223),$I223,0)-Settings!$B$24),"")</f>
        <v/>
      </c>
      <c r="AY223">
        <f>IF(ISNUMBER($AX223),$AX223*$AU223,"")</f>
        <v/>
      </c>
      <c r="AZ223">
        <f>IF($A223="","",IFERROR(INDEX(Company_List!$H$3:$H$207,MATCH($A223,Company_List!$A$3:$A$207,0)),"unassigned"))</f>
        <v/>
      </c>
      <c r="BC223">
        <f>IF($A223="","",IF(COUNTIFS($A$3:$A223,$A223,$C$3:$C223,$C223,$D$3:$D223,$D223,$G$3:$G223,$G223)=1,1,0))</f>
        <v/>
      </c>
      <c r="BG223" t="inlineStr">
        <is>
          <t>no</t>
        </is>
      </c>
      <c r="BK223">
        <f>IF(OR($H223&lt;&gt;"Human",$S223="",$J223="",$Y223="",$Z223=""),"",IF(EXACT(UPPER($J223),UPPER($Y223)),1,0))</f>
        <v/>
      </c>
      <c r="BL223" t="inlineStr">
        <is>
          <t>assumed - no rater record</t>
        </is>
      </c>
      <c r="BM223" t="n">
        <v>1</v>
      </c>
      <c r="BN223" t="inlineStr">
        <is>
          <t>not publisher-identified</t>
        </is>
      </c>
      <c r="BO223" t="inlineStr">
        <is>
          <t>not publisher-identified</t>
        </is>
      </c>
      <c r="BP223" t="inlineStr">
        <is>
          <t>no</t>
        </is>
      </c>
      <c r="BQ223" t="inlineStr">
        <is>
          <t>yes</t>
        </is>
      </c>
    </row>
    <row r="224">
      <c r="A224" s="115" t="inlineStr">
        <is>
          <t>Datadog</t>
        </is>
      </c>
      <c r="B224" s="116">
        <f>IF(A224="","",_xlfn.XLOOKUP(A224, Company_List!$A:$A, Company_List!$B:$B, ""))</f>
        <v/>
      </c>
      <c r="C224" s="143" t="n">
        <v>2025</v>
      </c>
      <c r="D224" s="143" t="inlineStr">
        <is>
          <t>Q4</t>
        </is>
      </c>
      <c r="E224" s="98" t="inlineStr">
        <is>
          <t>Transcript</t>
        </is>
      </c>
      <c r="F224" s="98" t="inlineStr">
        <is>
          <t>All</t>
        </is>
      </c>
      <c r="G224" s="143" t="inlineStr">
        <is>
          <t>Anna</t>
        </is>
      </c>
      <c r="H224" s="106" t="inlineStr">
        <is>
          <t>Human</t>
        </is>
      </c>
      <c r="I224" s="145" t="n">
        <v>0.4</v>
      </c>
      <c r="J224" s="145">
        <f>IF(OR(I224="",Settings!$B$6=""),"",IF(I224&gt;Settings!$B$6,"BUY",IF(I224&lt;-Settings!$B$6,"SELL","HOLD")))</f>
        <v/>
      </c>
      <c r="K224" s="145" t="n">
        <v>28</v>
      </c>
      <c r="L224" s="125" t="n">
        <v>46063</v>
      </c>
      <c r="M224" s="140" t="n">
        <v>46062</v>
      </c>
      <c r="N224" s="147" t="n">
        <v>114.01</v>
      </c>
      <c r="O224" s="140" t="n">
        <v>46064</v>
      </c>
      <c r="P224" s="145" t="n">
        <v>131.16</v>
      </c>
      <c r="Q224" s="150">
        <f>IF(OR(N224="",P224=""),"",ROUND((P224-N224)/N224,4))</f>
        <v/>
      </c>
      <c r="R224" s="106">
        <f>IF(OR(N224="",P224=""),"",IF(Q224&gt;Settings!$B$3/100,"UP",IF(Q224&lt;-Settings!$B$3/100,"DOWN","FLAT")))</f>
        <v/>
      </c>
      <c r="S224" s="106">
        <f>IF(OR(N224="",P224="",J224=""),"",IF(OR(AND(J224="BUY",R224="UP"),AND(J224="SELL",R224="DOWN"),AND(J224="HOLD",R224="FLAT")),"YES","NO"))</f>
        <v/>
      </c>
      <c r="T224" s="105">
        <f>IF(J224="","",IF(J224="BUY",1,IF(J224="SELL",-1,0)))</f>
        <v/>
      </c>
      <c r="U224" s="150">
        <f>IFERROR(IF(OR(J224="",N224="",P224=""),"",IF(T224=0,0,T224*Q224-Settings!$B$4/10000-IF(T224&lt;0,Settings!$B$5/10000,0))),"")</f>
        <v/>
      </c>
      <c r="W224" s="21">
        <f>IF($K224="","",$K224*60)</f>
        <v/>
      </c>
      <c r="X224" s="91">
        <f>IF($A224="","",$A224&amp;"|"&amp;$C224&amp;"|"&amp;$D224)</f>
        <v/>
      </c>
      <c r="Y224" s="91">
        <f>IFERROR(IF($X224="","",INDEX(LLM_Data_Entry!$H$3:$H$548,MATCH($X224,INDEX(LLM_Data_Entry!$A$3:$A$548&amp;"|"&amp;LLM_Data_Entry!$C$3:$C$548&amp;"|"&amp;LLM_Data_Entry!$D$3:$D$548,0),0))),"")</f>
        <v/>
      </c>
      <c r="Z224" s="91">
        <f>IFERROR(IF($X224="","",INDEX(LLM_Data_Entry!$R$3:$R$548,MATCH($X224,INDEX(LLM_Data_Entry!$A$3:$A$548&amp;"|"&amp;LLM_Data_Entry!$C$3:$C$548&amp;"|"&amp;LLM_Data_Entry!$D$3:$D$548,0),0))),"")</f>
        <v/>
      </c>
      <c r="AB224" t="inlineStr">
        <is>
          <t>recorded window spanned two sessions, closed to one</t>
        </is>
      </c>
      <c r="AC224" t="inlineStr">
        <is>
          <t>DDOG</t>
        </is>
      </c>
      <c r="AD224" t="inlineStr">
        <is>
          <t>2026-02-09</t>
        </is>
      </c>
      <c r="AE224" t="n">
        <v>114.01</v>
      </c>
      <c r="AF224" t="inlineStr">
        <is>
          <t>2026-02-10</t>
        </is>
      </c>
      <c r="AG224" t="n">
        <v>124.175</v>
      </c>
      <c r="AH224" t="n">
        <v>0.08915885292239538</v>
      </c>
      <c r="AI224" t="inlineStr">
        <is>
          <t>UP</t>
        </is>
      </c>
      <c r="AJ224" t="inlineStr">
        <is>
          <t>YES</t>
        </is>
      </c>
      <c r="AK224" t="n">
        <v>0.088159</v>
      </c>
      <c r="AL224">
        <f>IF($A224="","",IFERROR(INDEX(Company_List!$G$3:$G$207,MATCH($A224,Company_List!$A$3:$A$207,0)),"unassigned"))</f>
        <v/>
      </c>
      <c r="AM224" t="inlineStr">
        <is>
          <t>Phase 3/Readings/Datadog/Datadog, Inc., Q4 2025 Earnings Call, Feb 10, 2026.pdf</t>
        </is>
      </c>
      <c r="AO224" t="inlineStr">
        <is>
          <t>unique filename match</t>
        </is>
      </c>
      <c r="AP224">
        <f>IF($A224="","",IF(COUNTIFS(LLM_Data_Entry!$A$3:$A$548,$A224)&gt;0,"YES","NO"))</f>
        <v/>
      </c>
      <c r="AQ224">
        <f>IF($A224="","",IF(COUNTIFS($A$3:$A224,$A224,$C$3:$C224,$C224,$D$3:$D224,$D224)=1,"YES","NO"))</f>
        <v/>
      </c>
      <c r="AR224">
        <f>IF($A224="","",IF(AND($C224&amp;"-"&amp;$D224&gt;=Settings!$B$19,$C224&amp;"-"&amp;$D224&lt;=Settings!$B$20),"IN","OUT"))</f>
        <v/>
      </c>
      <c r="AS224">
        <f>IF($A224="","",IF($F224="Financial Results","financials",IF($F224="Outlook/Guidance","guidance",IF($F224="Transcript Q&amp;A","qanda",IF($F224="","unrecorded",IF($E224="All","full",IF($E224="","unrecorded",LOWER($E224)&amp;" only")))))))</f>
        <v/>
      </c>
      <c r="AT224">
        <f>IF(AND(OR($J224="BUY",$J224="SELL"),ISNUMBER($U224)),$U224,"")</f>
        <v/>
      </c>
      <c r="AU224">
        <f>IF(AND(OR($J224="BUY",$J224="SELL"),ISNUMBER($AK224)),$AK224,"")</f>
        <v/>
      </c>
      <c r="AV224">
        <f>IF(ISNUMBER($AT224),ABS(IF(ISNUMBER($I224),$I224,0)-Settings!$B$24),"")</f>
        <v/>
      </c>
      <c r="AW224">
        <f>IF(ISNUMBER($AV224),$AV224*$AT224,"")</f>
        <v/>
      </c>
      <c r="AX224">
        <f>IF(ISNUMBER($AU224),ABS(IF(ISNUMBER($I224),$I224,0)-Settings!$B$24),"")</f>
        <v/>
      </c>
      <c r="AY224">
        <f>IF(ISNUMBER($AX224),$AX224*$AU224,"")</f>
        <v/>
      </c>
      <c r="AZ224">
        <f>IF($A224="","",IFERROR(INDEX(Company_List!$H$3:$H$207,MATCH($A224,Company_List!$A$3:$A$207,0)),"unassigned"))</f>
        <v/>
      </c>
      <c r="BC224">
        <f>IF($A224="","",IF(COUNTIFS($A$3:$A224,$A224,$C$3:$C224,$C224,$D$3:$D224,$D224,$G$3:$G224,$G224)=1,1,0))</f>
        <v/>
      </c>
      <c r="BG224" t="inlineStr">
        <is>
          <t>no</t>
        </is>
      </c>
      <c r="BK224">
        <f>IF(OR($H224&lt;&gt;"Human",$S224="",$J224="",$Y224="",$Z224=""),"",IF(EXACT(UPPER($J224),UPPER($Y224)),1,0))</f>
        <v/>
      </c>
      <c r="BL224" t="inlineStr">
        <is>
          <t>assumed - no rater record</t>
        </is>
      </c>
      <c r="BM224" t="n">
        <v>1</v>
      </c>
      <c r="BN224" t="inlineStr">
        <is>
          <t>S&amp;P Global Market Intelligence (Capital IQ)</t>
        </is>
      </c>
      <c r="BO224" t="inlineStr">
        <is>
          <t>licensed vendor</t>
        </is>
      </c>
      <c r="BP224" t="inlineStr">
        <is>
          <t>no</t>
        </is>
      </c>
      <c r="BQ224" t="inlineStr">
        <is>
          <t>no</t>
        </is>
      </c>
    </row>
    <row r="225">
      <c r="A225" s="115" t="inlineStr">
        <is>
          <t>Datadog</t>
        </is>
      </c>
      <c r="B225" s="116">
        <f>IF(A225="","",_xlfn.XLOOKUP(A225, Company_List!$A:$A, Company_List!$B:$B, ""))</f>
        <v/>
      </c>
      <c r="C225" s="143" t="n">
        <v>2025</v>
      </c>
      <c r="D225" s="143" t="inlineStr">
        <is>
          <t>Q2</t>
        </is>
      </c>
      <c r="E225" s="98" t="inlineStr">
        <is>
          <t>Press Release Document</t>
        </is>
      </c>
      <c r="F225" s="98" t="inlineStr">
        <is>
          <t>All</t>
        </is>
      </c>
      <c r="G225" s="143" t="inlineStr">
        <is>
          <t>Anna</t>
        </is>
      </c>
      <c r="H225" s="106" t="inlineStr">
        <is>
          <t>Human</t>
        </is>
      </c>
      <c r="I225" s="145" t="n">
        <v>0.4</v>
      </c>
      <c r="J225" s="145">
        <f>IF(OR(I225="",Settings!$B$6=""),"",IF(I225&gt;Settings!$B$6,"BUY",IF(I225&lt;-Settings!$B$6,"SELL","HOLD")))</f>
        <v/>
      </c>
      <c r="K225" s="145" t="n">
        <v>5</v>
      </c>
      <c r="L225" s="123" t="n">
        <v>45876</v>
      </c>
      <c r="M225" s="140" t="n">
        <v>45875</v>
      </c>
      <c r="N225" s="147" t="n">
        <v>136.96</v>
      </c>
      <c r="O225" s="140" t="n">
        <v>45877</v>
      </c>
      <c r="P225" s="145" t="n">
        <v>136.59</v>
      </c>
      <c r="Q225" s="150">
        <f>IF(OR(N225="",P225=""),"",ROUND((P225-N225)/N225,4))</f>
        <v/>
      </c>
      <c r="R225" s="106">
        <f>IF(OR(N225="",P225=""),"",IF(Q225&gt;Settings!$B$3/100,"UP",IF(Q225&lt;-Settings!$B$3/100,"DOWN","FLAT")))</f>
        <v/>
      </c>
      <c r="S225" s="106">
        <f>IF(OR(N225="",P225="",J225=""),"",IF(OR(AND(J225="BUY",R225="UP"),AND(J225="SELL",R225="DOWN"),AND(J225="HOLD",R225="FLAT")),"YES","NO"))</f>
        <v/>
      </c>
      <c r="T225" s="105">
        <f>IF(J225="","",IF(J225="BUY",1,IF(J225="SELL",-1,0)))</f>
        <v/>
      </c>
      <c r="U225" s="150">
        <f>IFERROR(IF(OR(J225="",N225="",P225=""),"",IF(T225=0,0,T225*Q225-Settings!$B$4/10000-IF(T225&lt;0,Settings!$B$5/10000,0))),"")</f>
        <v/>
      </c>
      <c r="W225" s="21">
        <f>IF($K225="","",$K225*60)</f>
        <v/>
      </c>
      <c r="X225" s="91">
        <f>IF($A225="","",$A225&amp;"|"&amp;$C225&amp;"|"&amp;$D225)</f>
        <v/>
      </c>
      <c r="Y225" s="91">
        <f>IFERROR(IF($X225="","",INDEX(LLM_Data_Entry!$H$3:$H$548,MATCH($X225,INDEX(LLM_Data_Entry!$A$3:$A$548&amp;"|"&amp;LLM_Data_Entry!$C$3:$C$548&amp;"|"&amp;LLM_Data_Entry!$D$3:$D$548,0),0))),"")</f>
        <v/>
      </c>
      <c r="Z225" s="91">
        <f>IFERROR(IF($X225="","",INDEX(LLM_Data_Entry!$R$3:$R$548,MATCH($X225,INDEX(LLM_Data_Entry!$A$3:$A$548&amp;"|"&amp;LLM_Data_Entry!$C$3:$C$548&amp;"|"&amp;LLM_Data_Entry!$D$3:$D$548,0),0))),"")</f>
        <v/>
      </c>
      <c r="AB225" t="inlineStr">
        <is>
          <t>recorded window spanned two sessions, closed to one</t>
        </is>
      </c>
      <c r="AC225" t="inlineStr">
        <is>
          <t>DDOG</t>
        </is>
      </c>
      <c r="AD225" t="inlineStr">
        <is>
          <t>2025-08-06</t>
        </is>
      </c>
      <c r="AE225" t="n">
        <v>136.96</v>
      </c>
      <c r="AF225" t="inlineStr">
        <is>
          <t>2025-08-07</t>
        </is>
      </c>
      <c r="AG225" t="n">
        <v>147.75</v>
      </c>
      <c r="AH225" t="n">
        <v>0.07878207103187437</v>
      </c>
      <c r="AI225" t="inlineStr">
        <is>
          <t>UP</t>
        </is>
      </c>
      <c r="AJ225" t="inlineStr">
        <is>
          <t>YES</t>
        </is>
      </c>
      <c r="AK225" t="n">
        <v>0.077782</v>
      </c>
      <c r="AL225">
        <f>IF($A225="","",IFERROR(INDEX(Company_List!$G$3:$G$207,MATCH($A225,Company_List!$A$3:$A$207,0)),"unassigned"))</f>
        <v/>
      </c>
      <c r="AM225" t="inlineStr">
        <is>
          <t>Phase 3/Readings/Datadog/2025-Q2/DDOG-2025-Q2-press-release-SEC-EX-99-1.htm</t>
        </is>
      </c>
      <c r="AN225" t="inlineStr">
        <is>
          <t>https://www.sec.gov/Archives/edgar/data/1561550/000156155025000216/ex-991x20250630x8k.htm</t>
        </is>
      </c>
      <c r="AO225" t="inlineStr">
        <is>
          <t>manifest</t>
        </is>
      </c>
      <c r="AP225">
        <f>IF($A225="","",IF(COUNTIFS(LLM_Data_Entry!$A$3:$A$548,$A225)&gt;0,"YES","NO"))</f>
        <v/>
      </c>
      <c r="AQ225">
        <f>IF($A225="","",IF(COUNTIFS($A$3:$A225,$A225,$C$3:$C225,$C225,$D$3:$D225,$D225)=1,"YES","NO"))</f>
        <v/>
      </c>
      <c r="AR225">
        <f>IF($A225="","",IF(AND($C225&amp;"-"&amp;$D225&gt;=Settings!$B$19,$C225&amp;"-"&amp;$D225&lt;=Settings!$B$20),"IN","OUT"))</f>
        <v/>
      </c>
      <c r="AS225">
        <f>IF($A225="","",IF($F225="Financial Results","financials",IF($F225="Outlook/Guidance","guidance",IF($F225="Transcript Q&amp;A","qanda",IF($F225="","unrecorded",IF($E225="All","full",IF($E225="","unrecorded",LOWER($E225)&amp;" only")))))))</f>
        <v/>
      </c>
      <c r="AT225">
        <f>IF(AND(OR($J225="BUY",$J225="SELL"),ISNUMBER($U225)),$U225,"")</f>
        <v/>
      </c>
      <c r="AU225">
        <f>IF(AND(OR($J225="BUY",$J225="SELL"),ISNUMBER($AK225)),$AK225,"")</f>
        <v/>
      </c>
      <c r="AV225">
        <f>IF(ISNUMBER($AT225),ABS(IF(ISNUMBER($I225),$I225,0)-Settings!$B$24),"")</f>
        <v/>
      </c>
      <c r="AW225">
        <f>IF(ISNUMBER($AV225),$AV225*$AT225,"")</f>
        <v/>
      </c>
      <c r="AX225">
        <f>IF(ISNUMBER($AU225),ABS(IF(ISNUMBER($I225),$I225,0)-Settings!$B$24),"")</f>
        <v/>
      </c>
      <c r="AY225">
        <f>IF(ISNUMBER($AX225),$AX225*$AU225,"")</f>
        <v/>
      </c>
      <c r="AZ225">
        <f>IF($A225="","",IFERROR(INDEX(Company_List!$H$3:$H$207,MATCH($A225,Company_List!$A$3:$A$207,0)),"unassigned"))</f>
        <v/>
      </c>
      <c r="BC225">
        <f>IF($A225="","",IF(COUNTIFS($A$3:$A225,$A225,$C$3:$C225,$C225,$D$3:$D225,$D225,$G$3:$G225,$G225)=1,1,0))</f>
        <v/>
      </c>
      <c r="BG225" t="inlineStr">
        <is>
          <t>no</t>
        </is>
      </c>
      <c r="BK225">
        <f>IF(OR($H225&lt;&gt;"Human",$S225="",$J225="",$Y225="",$Z225=""),"",IF(EXACT(UPPER($J225),UPPER($Y225)),1,0))</f>
        <v/>
      </c>
      <c r="BL225" t="inlineStr">
        <is>
          <t>assumed - no rater record</t>
        </is>
      </c>
      <c r="BM225" t="n">
        <v>1</v>
      </c>
      <c r="BN225" t="inlineStr">
        <is>
          <t>not publisher-identified</t>
        </is>
      </c>
      <c r="BO225" t="inlineStr">
        <is>
          <t>not publisher-identified</t>
        </is>
      </c>
      <c r="BP225" t="inlineStr">
        <is>
          <t>no</t>
        </is>
      </c>
      <c r="BQ225" t="inlineStr">
        <is>
          <t>yes</t>
        </is>
      </c>
    </row>
    <row r="226">
      <c r="A226" s="115" t="inlineStr">
        <is>
          <t>eBay</t>
        </is>
      </c>
      <c r="B226" s="116">
        <f>IF(A226="","",_xlfn.XLOOKUP(A226, Company_List!$A:$A, Company_List!$B:$B, ""))</f>
        <v/>
      </c>
      <c r="C226" s="143" t="n">
        <v>2025</v>
      </c>
      <c r="D226" s="143" t="inlineStr">
        <is>
          <t>Q1</t>
        </is>
      </c>
      <c r="E226" s="98" t="inlineStr">
        <is>
          <t>Presentation</t>
        </is>
      </c>
      <c r="F226" s="98" t="inlineStr">
        <is>
          <t>All</t>
        </is>
      </c>
      <c r="G226" s="143" t="inlineStr">
        <is>
          <t>Anna</t>
        </is>
      </c>
      <c r="H226" s="106" t="inlineStr">
        <is>
          <t>Human</t>
        </is>
      </c>
      <c r="I226" s="145" t="n">
        <v>0.3</v>
      </c>
      <c r="J226" s="145">
        <f>IF(OR(I226="",Settings!$B$6=""),"",IF(I226&gt;Settings!$B$6,"BUY",IF(I226&lt;-Settings!$B$6,"SELL","HOLD")))</f>
        <v/>
      </c>
      <c r="K226" s="145" t="n">
        <v>12</v>
      </c>
      <c r="L226" s="125" t="n">
        <v>45777</v>
      </c>
      <c r="M226" s="140" t="n">
        <v>45777</v>
      </c>
      <c r="N226" s="147" t="n">
        <v>68.16</v>
      </c>
      <c r="O226" s="140" t="n">
        <v>45778</v>
      </c>
      <c r="P226" s="145" t="n">
        <v>70.05</v>
      </c>
      <c r="Q226" s="150">
        <f>IF(OR(N226="",P226=""),"",ROUND((P226-N226)/N226,4))</f>
        <v/>
      </c>
      <c r="R226" s="106">
        <f>IF(OR(N226="",P226=""),"",IF(Q226&gt;Settings!$B$3/100,"UP",IF(Q226&lt;-Settings!$B$3/100,"DOWN","FLAT")))</f>
        <v/>
      </c>
      <c r="S226" s="106">
        <f>IF(OR(N226="",P226="",J226=""),"",IF(OR(AND(J226="BUY",R226="UP"),AND(J226="SELL",R226="DOWN"),AND(J226="HOLD",R226="FLAT")),"YES","NO"))</f>
        <v/>
      </c>
      <c r="T226" s="105">
        <f>IF(J226="","",IF(J226="BUY",1,IF(J226="SELL",-1,0)))</f>
        <v/>
      </c>
      <c r="U226" s="150">
        <f>IFERROR(IF(OR(J226="",N226="",P226=""),"",IF(T226=0,0,T226*Q226-Settings!$B$4/10000-IF(T226&lt;0,Settings!$B$5/10000,0))),"")</f>
        <v/>
      </c>
      <c r="W226" s="21">
        <f>IF($K226="","",$K226*60)</f>
        <v/>
      </c>
      <c r="X226" s="91">
        <f>IF($A226="","",$A226&amp;"|"&amp;$C226&amp;"|"&amp;$D226)</f>
        <v/>
      </c>
      <c r="Y226" s="91">
        <f>IFERROR(IF($X226="","",INDEX(LLM_Data_Entry!$H$3:$H$548,MATCH($X226,INDEX(LLM_Data_Entry!$A$3:$A$548&amp;"|"&amp;LLM_Data_Entry!$C$3:$C$548&amp;"|"&amp;LLM_Data_Entry!$D$3:$D$548,0),0))),"")</f>
        <v/>
      </c>
      <c r="Z226" s="91">
        <f>IFERROR(IF($X226="","",INDEX(LLM_Data_Entry!$R$3:$R$548,MATCH($X226,INDEX(LLM_Data_Entry!$A$3:$A$548&amp;"|"&amp;LLM_Data_Entry!$C$3:$C$548&amp;"|"&amp;LLM_Data_Entry!$D$3:$D$548,0),0))),"")</f>
        <v/>
      </c>
      <c r="AB226" t="inlineStr">
        <is>
          <t>price signal — only this window shows an abnormal move</t>
        </is>
      </c>
      <c r="AC226" t="inlineStr">
        <is>
          <t>EBAY</t>
        </is>
      </c>
      <c r="AD226" t="inlineStr">
        <is>
          <t>2025-04-30</t>
        </is>
      </c>
      <c r="AE226" t="n">
        <v>67.0277</v>
      </c>
      <c r="AF226" t="inlineStr">
        <is>
          <t>2025-05-01</t>
        </is>
      </c>
      <c r="AG226" t="n">
        <v>68.88630000000001</v>
      </c>
      <c r="AH226" t="n">
        <v>0.02772886625758397</v>
      </c>
      <c r="AI226" t="inlineStr">
        <is>
          <t>UP</t>
        </is>
      </c>
      <c r="AJ226" t="inlineStr">
        <is>
          <t>YES</t>
        </is>
      </c>
      <c r="AK226" t="n">
        <v>0.026729</v>
      </c>
      <c r="AL226">
        <f>IF($A226="","",IFERROR(INDEX(Company_List!$G$3:$G$207,MATCH($A226,Company_List!$A$3:$A$207,0)),"unassigned"))</f>
        <v/>
      </c>
      <c r="AM226" t="inlineStr">
        <is>
          <t>Phase 3/Readings/eBay/2025_Q1_eBay_Earnings_Deck_FINAL.pdf</t>
        </is>
      </c>
      <c r="AO226" t="inlineStr">
        <is>
          <t>unique filename match</t>
        </is>
      </c>
      <c r="AP226">
        <f>IF($A226="","",IF(COUNTIFS(LLM_Data_Entry!$A$3:$A$548,$A226)&gt;0,"YES","NO"))</f>
        <v/>
      </c>
      <c r="AQ226">
        <f>IF($A226="","",IF(COUNTIFS($A$3:$A226,$A226,$C$3:$C226,$C226,$D$3:$D226,$D226)=1,"YES","NO"))</f>
        <v/>
      </c>
      <c r="AR226">
        <f>IF($A226="","",IF(AND($C226&amp;"-"&amp;$D226&gt;=Settings!$B$19,$C226&amp;"-"&amp;$D226&lt;=Settings!$B$20),"IN","OUT"))</f>
        <v/>
      </c>
      <c r="AS226">
        <f>IF($A226="","",IF($F226="Financial Results","financials",IF($F226="Outlook/Guidance","guidance",IF($F226="Transcript Q&amp;A","qanda",IF($F226="","unrecorded",IF($E226="All","full",IF($E226="","unrecorded",LOWER($E226)&amp;" only")))))))</f>
        <v/>
      </c>
      <c r="AT226">
        <f>IF(AND(OR($J226="BUY",$J226="SELL"),ISNUMBER($U226)),$U226,"")</f>
        <v/>
      </c>
      <c r="AU226">
        <f>IF(AND(OR($J226="BUY",$J226="SELL"),ISNUMBER($AK226)),$AK226,"")</f>
        <v/>
      </c>
      <c r="AV226">
        <f>IF(ISNUMBER($AT226),ABS(IF(ISNUMBER($I226),$I226,0)-Settings!$B$24),"")</f>
        <v/>
      </c>
      <c r="AW226">
        <f>IF(ISNUMBER($AV226),$AV226*$AT226,"")</f>
        <v/>
      </c>
      <c r="AX226">
        <f>IF(ISNUMBER($AU226),ABS(IF(ISNUMBER($I226),$I226,0)-Settings!$B$24),"")</f>
        <v/>
      </c>
      <c r="AY226">
        <f>IF(ISNUMBER($AX226),$AX226*$AU226,"")</f>
        <v/>
      </c>
      <c r="AZ226">
        <f>IF($A226="","",IFERROR(INDEX(Company_List!$H$3:$H$207,MATCH($A226,Company_List!$A$3:$A$207,0)),"unassigned"))</f>
        <v/>
      </c>
      <c r="BC226">
        <f>IF($A226="","",IF(COUNTIFS($A$3:$A226,$A226,$C$3:$C226,$C226,$D$3:$D226,$D226,$G$3:$G226,$G226)=1,1,0))</f>
        <v/>
      </c>
      <c r="BG226" t="inlineStr">
        <is>
          <t>no</t>
        </is>
      </c>
      <c r="BK226">
        <f>IF(OR($H226&lt;&gt;"Human",$S226="",$J226="",$Y226="",$Z226=""),"",IF(EXACT(UPPER($J226),UPPER($Y226)),1,0))</f>
        <v/>
      </c>
      <c r="BL226" t="inlineStr">
        <is>
          <t>assumed - no rater record</t>
        </is>
      </c>
      <c r="BM226" t="n">
        <v>1</v>
      </c>
      <c r="BN226" t="inlineStr">
        <is>
          <t>not publisher-identified</t>
        </is>
      </c>
      <c r="BO226" t="inlineStr">
        <is>
          <t>not publisher-identified</t>
        </is>
      </c>
      <c r="BP226" t="inlineStr">
        <is>
          <t>no</t>
        </is>
      </c>
      <c r="BQ226" t="inlineStr">
        <is>
          <t>no</t>
        </is>
      </c>
    </row>
    <row r="227">
      <c r="A227" s="115" t="inlineStr">
        <is>
          <t>eBay</t>
        </is>
      </c>
      <c r="B227" s="116">
        <f>IF(A227="","",_xlfn.XLOOKUP(A227, Company_List!$A:$A, Company_List!$B:$B, ""))</f>
        <v/>
      </c>
      <c r="C227" s="143" t="n">
        <v>2026</v>
      </c>
      <c r="D227" s="143" t="inlineStr">
        <is>
          <t>Q1</t>
        </is>
      </c>
      <c r="E227" s="98" t="inlineStr">
        <is>
          <t>Press Release Document</t>
        </is>
      </c>
      <c r="F227" s="98" t="inlineStr">
        <is>
          <t>All</t>
        </is>
      </c>
      <c r="G227" s="143" t="inlineStr">
        <is>
          <t>Anna</t>
        </is>
      </c>
      <c r="H227" s="106" t="inlineStr">
        <is>
          <t>Human</t>
        </is>
      </c>
      <c r="I227" s="145" t="n">
        <v>0.7</v>
      </c>
      <c r="J227" s="145">
        <f>IF(OR(I227="",Settings!$B$6=""),"",IF(I227&gt;Settings!$B$6,"BUY",IF(I227&lt;-Settings!$B$6,"SELL","HOLD")))</f>
        <v/>
      </c>
      <c r="K227" s="145" t="n">
        <v>10</v>
      </c>
      <c r="L227" s="125" t="n">
        <v>46141</v>
      </c>
      <c r="M227" s="140" t="n">
        <v>46141</v>
      </c>
      <c r="N227" s="147" t="n">
        <v>103.5</v>
      </c>
      <c r="O227" s="140" t="n">
        <v>46142</v>
      </c>
      <c r="P227" s="145" t="n">
        <v>100.07</v>
      </c>
      <c r="Q227" s="150">
        <f>IF(OR(N227="",P227=""),"",ROUND((P227-N227)/N227,4))</f>
        <v/>
      </c>
      <c r="R227" s="106">
        <f>IF(OR(N227="",P227=""),"",IF(Q227&gt;Settings!$B$3/100,"UP",IF(Q227&lt;-Settings!$B$3/100,"DOWN","FLAT")))</f>
        <v/>
      </c>
      <c r="S227" s="106">
        <f>IF(OR(N227="",P227="",J227=""),"",IF(OR(AND(J227="BUY",R227="UP"),AND(J227="SELL",R227="DOWN"),AND(J227="HOLD",R227="FLAT")),"YES","NO"))</f>
        <v/>
      </c>
      <c r="T227" s="105">
        <f>IF(J227="","",IF(J227="BUY",1,IF(J227="SELL",-1,0)))</f>
        <v/>
      </c>
      <c r="U227" s="150">
        <f>IFERROR(IF(OR(J227="",N227="",P227=""),"",IF(T227=0,0,T227*Q227-Settings!$B$4/10000-IF(T227&lt;0,Settings!$B$5/10000,0))),"")</f>
        <v/>
      </c>
      <c r="W227" s="21">
        <f>IF($K227="","",$K227*60)</f>
        <v/>
      </c>
      <c r="X227" s="91">
        <f>IF($A227="","",$A227&amp;"|"&amp;$C227&amp;"|"&amp;$D227)</f>
        <v/>
      </c>
      <c r="Y227" s="91">
        <f>IFERROR(IF($X227="","",INDEX(LLM_Data_Entry!$H$3:$H$548,MATCH($X227,INDEX(LLM_Data_Entry!$A$3:$A$548&amp;"|"&amp;LLM_Data_Entry!$C$3:$C$548&amp;"|"&amp;LLM_Data_Entry!$D$3:$D$548,0),0))),"")</f>
        <v/>
      </c>
      <c r="Z227" s="91">
        <f>IFERROR(IF($X227="","",INDEX(LLM_Data_Entry!$R$3:$R$548,MATCH($X227,INDEX(LLM_Data_Entry!$A$3:$A$548&amp;"|"&amp;LLM_Data_Entry!$C$3:$C$548&amp;"|"&amp;LLM_Data_Entry!$D$3:$D$548,0),0))),"")</f>
        <v/>
      </c>
      <c r="AB227" t="inlineStr">
        <is>
          <t>price signal, re-derived — only this window shows an abnormal move</t>
        </is>
      </c>
      <c r="AC227" t="inlineStr">
        <is>
          <t>EBAY</t>
        </is>
      </c>
      <c r="AD227" t="inlineStr">
        <is>
          <t>2026-04-29</t>
        </is>
      </c>
      <c r="AE227" t="n">
        <v>103.5031</v>
      </c>
      <c r="AF227" t="inlineStr">
        <is>
          <t>2026-04-30</t>
        </is>
      </c>
      <c r="AG227" t="n">
        <v>99.7933</v>
      </c>
      <c r="AH227" t="n">
        <v>-0.03584163152060018</v>
      </c>
      <c r="AI227" t="inlineStr">
        <is>
          <t>DOWN</t>
        </is>
      </c>
      <c r="AJ227" t="inlineStr">
        <is>
          <t>NO</t>
        </is>
      </c>
      <c r="AK227" t="n">
        <v>-0.036842</v>
      </c>
      <c r="AL227">
        <f>IF($A227="","",IFERROR(INDEX(Company_List!$G$3:$G$207,MATCH($A227,Company_List!$A$3:$A$207,0)),"unassigned"))</f>
        <v/>
      </c>
      <c r="AM227" t="inlineStr">
        <is>
          <t>Phase 3/Readings/eBay/eBay-Q1-2026-earnings-press-release.pdf</t>
        </is>
      </c>
      <c r="AO227" t="inlineStr">
        <is>
          <t>unique filename match</t>
        </is>
      </c>
      <c r="AP227">
        <f>IF($A227="","",IF(COUNTIFS(LLM_Data_Entry!$A$3:$A$548,$A227)&gt;0,"YES","NO"))</f>
        <v/>
      </c>
      <c r="AQ227">
        <f>IF($A227="","",IF(COUNTIFS($A$3:$A227,$A227,$C$3:$C227,$C227,$D$3:$D227,$D227)=1,"YES","NO"))</f>
        <v/>
      </c>
      <c r="AR227">
        <f>IF($A227="","",IF(AND($C227&amp;"-"&amp;$D227&gt;=Settings!$B$19,$C227&amp;"-"&amp;$D227&lt;=Settings!$B$20),"IN","OUT"))</f>
        <v/>
      </c>
      <c r="AS227">
        <f>IF($A227="","",IF($F227="Financial Results","financials",IF($F227="Outlook/Guidance","guidance",IF($F227="Transcript Q&amp;A","qanda",IF($F227="","unrecorded",IF($E227="All","full",IF($E227="","unrecorded",LOWER($E227)&amp;" only")))))))</f>
        <v/>
      </c>
      <c r="AT227">
        <f>IF(AND(OR($J227="BUY",$J227="SELL"),ISNUMBER($U227)),$U227,"")</f>
        <v/>
      </c>
      <c r="AU227">
        <f>IF(AND(OR($J227="BUY",$J227="SELL"),ISNUMBER($AK227)),$AK227,"")</f>
        <v/>
      </c>
      <c r="AV227">
        <f>IF(ISNUMBER($AT227),ABS(IF(ISNUMBER($I227),$I227,0)-Settings!$B$24),"")</f>
        <v/>
      </c>
      <c r="AW227">
        <f>IF(ISNUMBER($AV227),$AV227*$AT227,"")</f>
        <v/>
      </c>
      <c r="AX227">
        <f>IF(ISNUMBER($AU227),ABS(IF(ISNUMBER($I227),$I227,0)-Settings!$B$24),"")</f>
        <v/>
      </c>
      <c r="AY227">
        <f>IF(ISNUMBER($AX227),$AX227*$AU227,"")</f>
        <v/>
      </c>
      <c r="AZ227">
        <f>IF($A227="","",IFERROR(INDEX(Company_List!$H$3:$H$207,MATCH($A227,Company_List!$A$3:$A$207,0)),"unassigned"))</f>
        <v/>
      </c>
      <c r="BC227">
        <f>IF($A227="","",IF(COUNTIFS($A$3:$A227,$A227,$C$3:$C227,$C227,$D$3:$D227,$D227,$G$3:$G227,$G227)=1,1,0))</f>
        <v/>
      </c>
      <c r="BG227" t="inlineStr">
        <is>
          <t>no</t>
        </is>
      </c>
      <c r="BK227">
        <f>IF(OR($H227&lt;&gt;"Human",$S227="",$J227="",$Y227="",$Z227=""),"",IF(EXACT(UPPER($J227),UPPER($Y227)),1,0))</f>
        <v/>
      </c>
      <c r="BL227" t="inlineStr">
        <is>
          <t>assumed - no rater record</t>
        </is>
      </c>
      <c r="BM227" t="n">
        <v>1</v>
      </c>
      <c r="BN227" t="inlineStr">
        <is>
          <t>not publisher-identified</t>
        </is>
      </c>
      <c r="BO227" t="inlineStr">
        <is>
          <t>not publisher-identified</t>
        </is>
      </c>
      <c r="BP227" t="inlineStr">
        <is>
          <t>no</t>
        </is>
      </c>
      <c r="BQ227" t="inlineStr">
        <is>
          <t>no</t>
        </is>
      </c>
    </row>
    <row r="228">
      <c r="A228" s="115" t="inlineStr">
        <is>
          <t>eBay</t>
        </is>
      </c>
      <c r="B228" s="116">
        <f>IF(A228="","",_xlfn.XLOOKUP(A228, Company_List!$A:$A, Company_List!$B:$B, ""))</f>
        <v/>
      </c>
      <c r="C228" s="143" t="n">
        <v>2025</v>
      </c>
      <c r="D228" s="143" t="inlineStr">
        <is>
          <t>Q3</t>
        </is>
      </c>
      <c r="E228" s="98" t="inlineStr">
        <is>
          <t>Press Release Document</t>
        </is>
      </c>
      <c r="F228" s="98" t="inlineStr">
        <is>
          <t>All</t>
        </is>
      </c>
      <c r="G228" s="143" t="inlineStr">
        <is>
          <t>Anna</t>
        </is>
      </c>
      <c r="H228" s="106" t="inlineStr">
        <is>
          <t>Human</t>
        </is>
      </c>
      <c r="I228" s="145" t="n">
        <v>0.3</v>
      </c>
      <c r="J228" s="145">
        <f>IF(OR(I228="",Settings!$B$6=""),"",IF(I228&gt;Settings!$B$6,"BUY",IF(I228&lt;-Settings!$B$6,"SELL","HOLD")))</f>
        <v/>
      </c>
      <c r="K228" s="145" t="n">
        <v>10</v>
      </c>
      <c r="L228" s="125" t="n">
        <v>45959</v>
      </c>
      <c r="M228" s="125" t="n">
        <v>45959</v>
      </c>
      <c r="N228" s="147" t="n">
        <v>99.54000000000001</v>
      </c>
      <c r="O228" s="140" t="n">
        <v>45960</v>
      </c>
      <c r="P228" s="145" t="n">
        <v>85.59999999999999</v>
      </c>
      <c r="Q228" s="150">
        <f>IF(OR(N228="",P228=""),"",ROUND((P228-N228)/N228,4))</f>
        <v/>
      </c>
      <c r="R228" s="106">
        <f>IF(OR(N228="",P228=""),"",IF(Q228&gt;Settings!$B$3/100,"UP",IF(Q228&lt;-Settings!$B$3/100,"DOWN","FLAT")))</f>
        <v/>
      </c>
      <c r="S228" s="106">
        <f>IF(OR(N228="",P228="",J228=""),"",IF(OR(AND(J228="BUY",R228="UP"),AND(J228="SELL",R228="DOWN"),AND(J228="HOLD",R228="FLAT")),"YES","NO"))</f>
        <v/>
      </c>
      <c r="T228" s="105">
        <f>IF(J228="","",IF(J228="BUY",1,IF(J228="SELL",-1,0)))</f>
        <v/>
      </c>
      <c r="U228" s="150">
        <f>IFERROR(IF(OR(J228="",N228="",P228=""),"",IF(T228=0,0,T228*Q228-Settings!$B$4/10000-IF(T228&lt;0,Settings!$B$5/10000,0))),"")</f>
        <v/>
      </c>
      <c r="W228" s="21">
        <f>IF($K228="","",$K228*60)</f>
        <v/>
      </c>
      <c r="X228" s="91">
        <f>IF($A228="","",$A228&amp;"|"&amp;$C228&amp;"|"&amp;$D228)</f>
        <v/>
      </c>
      <c r="Y228" s="91">
        <f>IFERROR(IF($X228="","",INDEX(LLM_Data_Entry!$H$3:$H$548,MATCH($X228,INDEX(LLM_Data_Entry!$A$3:$A$548&amp;"|"&amp;LLM_Data_Entry!$C$3:$C$548&amp;"|"&amp;LLM_Data_Entry!$D$3:$D$548,0),0))),"")</f>
        <v/>
      </c>
      <c r="Z228" s="91">
        <f>IFERROR(IF($X228="","",INDEX(LLM_Data_Entry!$R$3:$R$548,MATCH($X228,INDEX(LLM_Data_Entry!$A$3:$A$548&amp;"|"&amp;LLM_Data_Entry!$C$3:$C$548&amp;"|"&amp;LLM_Data_Entry!$D$3:$D$548,0),0))),"")</f>
        <v/>
      </c>
      <c r="AB228" t="inlineStr">
        <is>
          <t>price signal, re-derived — both moved; this one dominates</t>
        </is>
      </c>
      <c r="AC228" t="inlineStr">
        <is>
          <t>EBAY</t>
        </is>
      </c>
      <c r="AD228" t="inlineStr">
        <is>
          <t>2025-10-29</t>
        </is>
      </c>
      <c r="AE228" t="n">
        <v>98.58629999999999</v>
      </c>
      <c r="AF228" t="inlineStr">
        <is>
          <t>2025-10-30</t>
        </is>
      </c>
      <c r="AG228" t="n">
        <v>84.77979999999999</v>
      </c>
      <c r="AH228" t="n">
        <v>-0.1400442483700868</v>
      </c>
      <c r="AI228" t="inlineStr">
        <is>
          <t>DOWN</t>
        </is>
      </c>
      <c r="AJ228" t="inlineStr">
        <is>
          <t>NO</t>
        </is>
      </c>
      <c r="AK228" t="n">
        <v>-0.141044</v>
      </c>
      <c r="AL228">
        <f>IF($A228="","",IFERROR(INDEX(Company_List!$G$3:$G$207,MATCH($A228,Company_List!$A$3:$A$207,0)),"unassigned"))</f>
        <v/>
      </c>
      <c r="AM228" t="inlineStr">
        <is>
          <t>Phase 3/Readings/eBay/eBay-Q3-2025-Earnings-Press-Release-Final.pdf</t>
        </is>
      </c>
      <c r="AO228" t="inlineStr">
        <is>
          <t>unique filename match</t>
        </is>
      </c>
      <c r="AP228">
        <f>IF($A228="","",IF(COUNTIFS(LLM_Data_Entry!$A$3:$A$548,$A228)&gt;0,"YES","NO"))</f>
        <v/>
      </c>
      <c r="AQ228">
        <f>IF($A228="","",IF(COUNTIFS($A$3:$A228,$A228,$C$3:$C228,$C228,$D$3:$D228,$D228)=1,"YES","NO"))</f>
        <v/>
      </c>
      <c r="AR228">
        <f>IF($A228="","",IF(AND($C228&amp;"-"&amp;$D228&gt;=Settings!$B$19,$C228&amp;"-"&amp;$D228&lt;=Settings!$B$20),"IN","OUT"))</f>
        <v/>
      </c>
      <c r="AS228">
        <f>IF($A228="","",IF($F228="Financial Results","financials",IF($F228="Outlook/Guidance","guidance",IF($F228="Transcript Q&amp;A","qanda",IF($F228="","unrecorded",IF($E228="All","full",IF($E228="","unrecorded",LOWER($E228)&amp;" only")))))))</f>
        <v/>
      </c>
      <c r="AT228">
        <f>IF(AND(OR($J228="BUY",$J228="SELL"),ISNUMBER($U228)),$U228,"")</f>
        <v/>
      </c>
      <c r="AU228">
        <f>IF(AND(OR($J228="BUY",$J228="SELL"),ISNUMBER($AK228)),$AK228,"")</f>
        <v/>
      </c>
      <c r="AV228">
        <f>IF(ISNUMBER($AT228),ABS(IF(ISNUMBER($I228),$I228,0)-Settings!$B$24),"")</f>
        <v/>
      </c>
      <c r="AW228">
        <f>IF(ISNUMBER($AV228),$AV228*$AT228,"")</f>
        <v/>
      </c>
      <c r="AX228">
        <f>IF(ISNUMBER($AU228),ABS(IF(ISNUMBER($I228),$I228,0)-Settings!$B$24),"")</f>
        <v/>
      </c>
      <c r="AY228">
        <f>IF(ISNUMBER($AX228),$AX228*$AU228,"")</f>
        <v/>
      </c>
      <c r="AZ228">
        <f>IF($A228="","",IFERROR(INDEX(Company_List!$H$3:$H$207,MATCH($A228,Company_List!$A$3:$A$207,0)),"unassigned"))</f>
        <v/>
      </c>
      <c r="BC228">
        <f>IF($A228="","",IF(COUNTIFS($A$3:$A228,$A228,$C$3:$C228,$C228,$D$3:$D228,$D228,$G$3:$G228,$G228)=1,1,0))</f>
        <v/>
      </c>
      <c r="BG228" t="inlineStr">
        <is>
          <t>no</t>
        </is>
      </c>
      <c r="BK228">
        <f>IF(OR($H228&lt;&gt;"Human",$S228="",$J228="",$Y228="",$Z228=""),"",IF(EXACT(UPPER($J228),UPPER($Y228)),1,0))</f>
        <v/>
      </c>
      <c r="BL228" t="inlineStr">
        <is>
          <t>assumed - no rater record</t>
        </is>
      </c>
      <c r="BM228" t="n">
        <v>1</v>
      </c>
      <c r="BN228" t="inlineStr">
        <is>
          <t>not publisher-identified</t>
        </is>
      </c>
      <c r="BO228" t="inlineStr">
        <is>
          <t>not publisher-identified</t>
        </is>
      </c>
      <c r="BP228" t="inlineStr">
        <is>
          <t>no</t>
        </is>
      </c>
      <c r="BQ228" t="inlineStr">
        <is>
          <t>no</t>
        </is>
      </c>
    </row>
    <row r="229">
      <c r="A229" s="115" t="inlineStr">
        <is>
          <t>eBay</t>
        </is>
      </c>
      <c r="B229" s="116">
        <f>IF(A229="","",_xlfn.XLOOKUP(A229, Company_List!$A:$A, Company_List!$B:$B, ""))</f>
        <v/>
      </c>
      <c r="C229" s="143" t="n">
        <v>2025</v>
      </c>
      <c r="D229" s="143" t="inlineStr">
        <is>
          <t>Q2</t>
        </is>
      </c>
      <c r="E229" s="98" t="inlineStr">
        <is>
          <t>Presentation</t>
        </is>
      </c>
      <c r="F229" s="98" t="inlineStr">
        <is>
          <t>All</t>
        </is>
      </c>
      <c r="G229" s="143" t="inlineStr">
        <is>
          <t>Anna</t>
        </is>
      </c>
      <c r="H229" s="106" t="inlineStr">
        <is>
          <t>Human</t>
        </is>
      </c>
      <c r="I229" s="145" t="n">
        <v>0.2</v>
      </c>
      <c r="J229" s="145">
        <f>IF(OR(I229="",Settings!$B$6=""),"",IF(I229&gt;Settings!$B$6,"BUY",IF(I229&lt;-Settings!$B$6,"SELL","HOLD")))</f>
        <v/>
      </c>
      <c r="K229" s="145" t="n">
        <v>11</v>
      </c>
      <c r="L229" s="125" t="n">
        <v>45868</v>
      </c>
      <c r="M229" s="125" t="n">
        <v>45868</v>
      </c>
      <c r="N229" s="147" t="n">
        <v>76.58</v>
      </c>
      <c r="O229" s="140" t="n">
        <v>45869</v>
      </c>
      <c r="P229" s="145" t="n">
        <v>88.2</v>
      </c>
      <c r="Q229" s="150">
        <f>IF(OR(N229="",P229=""),"",ROUND((P229-N229)/N229,4))</f>
        <v/>
      </c>
      <c r="R229" s="106">
        <f>IF(OR(N229="",P229=""),"",IF(Q229&gt;Settings!$B$3/100,"UP",IF(Q229&lt;-Settings!$B$3/100,"DOWN","FLAT")))</f>
        <v/>
      </c>
      <c r="S229" s="106">
        <f>IF(OR(N229="",P229="",J229=""),"",IF(OR(AND(J229="BUY",R229="UP"),AND(J229="SELL",R229="DOWN"),AND(J229="HOLD",R229="FLAT")),"YES","NO"))</f>
        <v/>
      </c>
      <c r="T229" s="105">
        <f>IF(J229="","",IF(J229="BUY",1,IF(J229="SELL",-1,0)))</f>
        <v/>
      </c>
      <c r="U229" s="150">
        <f>IFERROR(IF(OR(J229="",N229="",P229=""),"",IF(T229=0,0,T229*Q229-Settings!$B$4/10000-IF(T229&lt;0,Settings!$B$5/10000,0))),"")</f>
        <v/>
      </c>
      <c r="W229" s="21">
        <f>IF($K229="","",$K229*60)</f>
        <v/>
      </c>
      <c r="X229" s="91">
        <f>IF($A229="","",$A229&amp;"|"&amp;$C229&amp;"|"&amp;$D229)</f>
        <v/>
      </c>
      <c r="Y229" s="91">
        <f>IFERROR(IF($X229="","",INDEX(LLM_Data_Entry!$H$3:$H$548,MATCH($X229,INDEX(LLM_Data_Entry!$A$3:$A$548&amp;"|"&amp;LLM_Data_Entry!$C$3:$C$548&amp;"|"&amp;LLM_Data_Entry!$D$3:$D$548,0),0))),"")</f>
        <v/>
      </c>
      <c r="Z229" s="91">
        <f>IFERROR(IF($X229="","",INDEX(LLM_Data_Entry!$R$3:$R$548,MATCH($X229,INDEX(LLM_Data_Entry!$A$3:$A$548&amp;"|"&amp;LLM_Data_Entry!$C$3:$C$548&amp;"|"&amp;LLM_Data_Entry!$D$3:$D$548,0),0))),"")</f>
        <v/>
      </c>
      <c r="AB229" t="inlineStr">
        <is>
          <t>price signal, re-derived — only this window shows an abnormal move</t>
        </is>
      </c>
      <c r="AC229" t="inlineStr">
        <is>
          <t>EBAY</t>
        </is>
      </c>
      <c r="AD229" t="inlineStr">
        <is>
          <t>2025-07-30</t>
        </is>
      </c>
      <c r="AE229" t="n">
        <v>76.57680000000001</v>
      </c>
      <c r="AF229" t="inlineStr">
        <is>
          <t>2025-07-31</t>
        </is>
      </c>
      <c r="AG229" t="n">
        <v>87.0819</v>
      </c>
      <c r="AH229" t="n">
        <v>0.1371840463453027</v>
      </c>
      <c r="AI229" t="inlineStr">
        <is>
          <t>UP</t>
        </is>
      </c>
      <c r="AJ229" t="inlineStr">
        <is>
          <t>NO</t>
        </is>
      </c>
      <c r="AK229" t="n">
        <v>0</v>
      </c>
      <c r="AL229">
        <f>IF($A229="","",IFERROR(INDEX(Company_List!$G$3:$G$207,MATCH($A229,Company_List!$A$3:$A$207,0)),"unassigned"))</f>
        <v/>
      </c>
      <c r="AM229" t="inlineStr">
        <is>
          <t>Phase 3/Readings/eBay/2025_Q2_eBay_Earnings_Presentation_Final.pdf</t>
        </is>
      </c>
      <c r="AO229" t="inlineStr">
        <is>
          <t>unique filename match</t>
        </is>
      </c>
      <c r="AP229">
        <f>IF($A229="","",IF(COUNTIFS(LLM_Data_Entry!$A$3:$A$548,$A229)&gt;0,"YES","NO"))</f>
        <v/>
      </c>
      <c r="AQ229">
        <f>IF($A229="","",IF(COUNTIFS($A$3:$A229,$A229,$C$3:$C229,$C229,$D$3:$D229,$D229)=1,"YES","NO"))</f>
        <v/>
      </c>
      <c r="AR229">
        <f>IF($A229="","",IF(AND($C229&amp;"-"&amp;$D229&gt;=Settings!$B$19,$C229&amp;"-"&amp;$D229&lt;=Settings!$B$20),"IN","OUT"))</f>
        <v/>
      </c>
      <c r="AS229">
        <f>IF($A229="","",IF($F229="Financial Results","financials",IF($F229="Outlook/Guidance","guidance",IF($F229="Transcript Q&amp;A","qanda",IF($F229="","unrecorded",IF($E229="All","full",IF($E229="","unrecorded",LOWER($E229)&amp;" only")))))))</f>
        <v/>
      </c>
      <c r="AT229">
        <f>IF(AND(OR($J229="BUY",$J229="SELL"),ISNUMBER($U229)),$U229,"")</f>
        <v/>
      </c>
      <c r="AU229">
        <f>IF(AND(OR($J229="BUY",$J229="SELL"),ISNUMBER($AK229)),$AK229,"")</f>
        <v/>
      </c>
      <c r="AV229">
        <f>IF(ISNUMBER($AT229),ABS(IF(ISNUMBER($I229),$I229,0)-Settings!$B$24),"")</f>
        <v/>
      </c>
      <c r="AW229">
        <f>IF(ISNUMBER($AV229),$AV229*$AT229,"")</f>
        <v/>
      </c>
      <c r="AX229">
        <f>IF(ISNUMBER($AU229),ABS(IF(ISNUMBER($I229),$I229,0)-Settings!$B$24),"")</f>
        <v/>
      </c>
      <c r="AY229">
        <f>IF(ISNUMBER($AX229),$AX229*$AU229,"")</f>
        <v/>
      </c>
      <c r="AZ229">
        <f>IF($A229="","",IFERROR(INDEX(Company_List!$H$3:$H$207,MATCH($A229,Company_List!$A$3:$A$207,0)),"unassigned"))</f>
        <v/>
      </c>
      <c r="BC229">
        <f>IF($A229="","",IF(COUNTIFS($A$3:$A229,$A229,$C$3:$C229,$C229,$D$3:$D229,$D229,$G$3:$G229,$G229)=1,1,0))</f>
        <v/>
      </c>
      <c r="BG229" t="inlineStr">
        <is>
          <t>no</t>
        </is>
      </c>
      <c r="BK229">
        <f>IF(OR($H229&lt;&gt;"Human",$S229="",$J229="",$Y229="",$Z229=""),"",IF(EXACT(UPPER($J229),UPPER($Y229)),1,0))</f>
        <v/>
      </c>
      <c r="BL229" t="inlineStr">
        <is>
          <t>assumed - no rater record</t>
        </is>
      </c>
      <c r="BM229" t="n">
        <v>1</v>
      </c>
      <c r="BN229" t="inlineStr">
        <is>
          <t>not publisher-identified</t>
        </is>
      </c>
      <c r="BO229" t="inlineStr">
        <is>
          <t>not publisher-identified</t>
        </is>
      </c>
      <c r="BP229" t="inlineStr">
        <is>
          <t>no</t>
        </is>
      </c>
      <c r="BQ229" t="inlineStr">
        <is>
          <t>no</t>
        </is>
      </c>
    </row>
    <row r="230">
      <c r="A230" s="115" t="inlineStr">
        <is>
          <t>Pinterest</t>
        </is>
      </c>
      <c r="B230" s="116">
        <f>IF(A230="","",_xlfn.XLOOKUP(A230, Company_List!$A:$A, Company_List!$B:$B, ""))</f>
        <v/>
      </c>
      <c r="C230" s="143" t="n">
        <v>2026</v>
      </c>
      <c r="D230" s="143" t="inlineStr">
        <is>
          <t>Q1</t>
        </is>
      </c>
      <c r="E230" s="98" t="inlineStr">
        <is>
          <t>Transcript</t>
        </is>
      </c>
      <c r="F230" s="98" t="inlineStr">
        <is>
          <t>All</t>
        </is>
      </c>
      <c r="G230" s="143" t="inlineStr">
        <is>
          <t>Anna</t>
        </is>
      </c>
      <c r="H230" s="106" t="inlineStr">
        <is>
          <t>Human</t>
        </is>
      </c>
      <c r="I230" s="145" t="n">
        <v>0.4</v>
      </c>
      <c r="J230" s="145">
        <f>IF(OR(I230="",Settings!$B$6=""),"",IF(I230&gt;Settings!$B$6,"BUY",IF(I230&lt;-Settings!$B$6,"SELL","HOLD")))</f>
        <v/>
      </c>
      <c r="K230" s="145" t="n">
        <v>25</v>
      </c>
      <c r="L230" s="125" t="n">
        <v>46146</v>
      </c>
      <c r="M230" s="140" t="n">
        <v>46146</v>
      </c>
      <c r="N230" s="147" t="n">
        <v>20.85</v>
      </c>
      <c r="O230" s="140" t="n">
        <v>46147</v>
      </c>
      <c r="P230" s="145" t="n">
        <v>24.71</v>
      </c>
      <c r="Q230" s="150">
        <f>IF(OR(N230="",P230=""),"",ROUND((P230-N230)/N230,4))</f>
        <v/>
      </c>
      <c r="R230" s="106">
        <f>IF(OR(N230="",P230=""),"",IF(Q230&gt;Settings!$B$3/100,"UP",IF(Q230&lt;-Settings!$B$3/100,"DOWN","FLAT")))</f>
        <v/>
      </c>
      <c r="S230" s="106">
        <f>IF(OR(N230="",P230="",J230=""),"",IF(OR(AND(J230="BUY",R230="UP"),AND(J230="SELL",R230="DOWN"),AND(J230="HOLD",R230="FLAT")),"YES","NO"))</f>
        <v/>
      </c>
      <c r="T230" s="105">
        <f>IF(J230="","",IF(J230="BUY",1,IF(J230="SELL",-1,0)))</f>
        <v/>
      </c>
      <c r="U230" s="150">
        <f>IFERROR(IF(OR(J230="",N230="",P230=""),"",IF(T230=0,0,T230*Q230-Settings!$B$4/10000-IF(T230&lt;0,Settings!$B$5/10000,0))),"")</f>
        <v/>
      </c>
      <c r="W230" s="21">
        <f>IF($K230="","",$K230*60)</f>
        <v/>
      </c>
      <c r="X230" s="91">
        <f>IF($A230="","",$A230&amp;"|"&amp;$C230&amp;"|"&amp;$D230)</f>
        <v/>
      </c>
      <c r="Y230" s="91">
        <f>IFERROR(IF($X230="","",INDEX(LLM_Data_Entry!$H$3:$H$548,MATCH($X230,INDEX(LLM_Data_Entry!$A$3:$A$548&amp;"|"&amp;LLM_Data_Entry!$C$3:$C$548&amp;"|"&amp;LLM_Data_Entry!$D$3:$D$548,0),0))),"")</f>
        <v/>
      </c>
      <c r="Z230" s="91">
        <f>IFERROR(IF($X230="","",INDEX(LLM_Data_Entry!$R$3:$R$548,MATCH($X230,INDEX(LLM_Data_Entry!$A$3:$A$548&amp;"|"&amp;LLM_Data_Entry!$C$3:$C$548&amp;"|"&amp;LLM_Data_Entry!$D$3:$D$548,0),0))),"")</f>
        <v/>
      </c>
      <c r="AB230" t="inlineStr">
        <is>
          <t>price signal — only this window shows an abnormal move</t>
        </is>
      </c>
      <c r="AC230" t="inlineStr">
        <is>
          <t>PINS</t>
        </is>
      </c>
      <c r="AD230" t="inlineStr">
        <is>
          <t>2026-05-04</t>
        </is>
      </c>
      <c r="AE230" t="n">
        <v>20.85</v>
      </c>
      <c r="AF230" t="inlineStr">
        <is>
          <t>2026-05-05</t>
        </is>
      </c>
      <c r="AG230" t="n">
        <v>24.71</v>
      </c>
      <c r="AH230" t="n">
        <v>0.1851318465227819</v>
      </c>
      <c r="AI230" t="inlineStr">
        <is>
          <t>UP</t>
        </is>
      </c>
      <c r="AJ230" t="inlineStr">
        <is>
          <t>YES</t>
        </is>
      </c>
      <c r="AK230" t="n">
        <v>0.184132</v>
      </c>
      <c r="AL230">
        <f>IF($A230="","",IFERROR(INDEX(Company_List!$G$3:$G$207,MATCH($A230,Company_List!$A$3:$A$207,0)),"unassigned"))</f>
        <v/>
      </c>
      <c r="AM230" t="inlineStr">
        <is>
          <t>Phase 3/Readings/Pinterest/PINS Q1 2026 Transcript .pdf</t>
        </is>
      </c>
      <c r="AO230" t="inlineStr">
        <is>
          <t>unique filename match</t>
        </is>
      </c>
      <c r="AP230">
        <f>IF($A230="","",IF(COUNTIFS(LLM_Data_Entry!$A$3:$A$548,$A230)&gt;0,"YES","NO"))</f>
        <v/>
      </c>
      <c r="AQ230">
        <f>IF($A230="","",IF(COUNTIFS($A$3:$A230,$A230,$C$3:$C230,$C230,$D$3:$D230,$D230)=1,"YES","NO"))</f>
        <v/>
      </c>
      <c r="AR230">
        <f>IF($A230="","",IF(AND($C230&amp;"-"&amp;$D230&gt;=Settings!$B$19,$C230&amp;"-"&amp;$D230&lt;=Settings!$B$20),"IN","OUT"))</f>
        <v/>
      </c>
      <c r="AS230">
        <f>IF($A230="","",IF($F230="Financial Results","financials",IF($F230="Outlook/Guidance","guidance",IF($F230="Transcript Q&amp;A","qanda",IF($F230="","unrecorded",IF($E230="All","full",IF($E230="","unrecorded",LOWER($E230)&amp;" only")))))))</f>
        <v/>
      </c>
      <c r="AT230">
        <f>IF(AND(OR($J230="BUY",$J230="SELL"),ISNUMBER($U230)),$U230,"")</f>
        <v/>
      </c>
      <c r="AU230">
        <f>IF(AND(OR($J230="BUY",$J230="SELL"),ISNUMBER($AK230)),$AK230,"")</f>
        <v/>
      </c>
      <c r="AV230">
        <f>IF(ISNUMBER($AT230),ABS(IF(ISNUMBER($I230),$I230,0)-Settings!$B$24),"")</f>
        <v/>
      </c>
      <c r="AW230">
        <f>IF(ISNUMBER($AV230),$AV230*$AT230,"")</f>
        <v/>
      </c>
      <c r="AX230">
        <f>IF(ISNUMBER($AU230),ABS(IF(ISNUMBER($I230),$I230,0)-Settings!$B$24),"")</f>
        <v/>
      </c>
      <c r="AY230">
        <f>IF(ISNUMBER($AX230),$AX230*$AU230,"")</f>
        <v/>
      </c>
      <c r="AZ230">
        <f>IF($A230="","",IFERROR(INDEX(Company_List!$H$3:$H$207,MATCH($A230,Company_List!$A$3:$A$207,0)),"unassigned"))</f>
        <v/>
      </c>
      <c r="BC230">
        <f>IF($A230="","",IF(COUNTIFS($A$3:$A230,$A230,$C$3:$C230,$C230,$D$3:$D230,$D230,$G$3:$G230,$G230)=1,1,0))</f>
        <v/>
      </c>
      <c r="BG230" t="inlineStr">
        <is>
          <t>no</t>
        </is>
      </c>
      <c r="BK230">
        <f>IF(OR($H230&lt;&gt;"Human",$S230="",$J230="",$Y230="",$Z230=""),"",IF(EXACT(UPPER($J230),UPPER($Y230)),1,0))</f>
        <v/>
      </c>
      <c r="BL230" t="inlineStr">
        <is>
          <t>assumed - no rater record</t>
        </is>
      </c>
      <c r="BM230" t="n">
        <v>1</v>
      </c>
      <c r="BN230" t="inlineStr">
        <is>
          <t>The Motley Fool</t>
        </is>
      </c>
      <c r="BO230" t="inlineStr">
        <is>
          <t>free to read, copyright asserted</t>
        </is>
      </c>
      <c r="BP230" t="inlineStr">
        <is>
          <t>no</t>
        </is>
      </c>
      <c r="BQ230" t="inlineStr">
        <is>
          <t>no</t>
        </is>
      </c>
    </row>
    <row r="231">
      <c r="A231" s="115" t="inlineStr">
        <is>
          <t>Pinterest</t>
        </is>
      </c>
      <c r="B231" s="116">
        <f>IF(A231="","",_xlfn.XLOOKUP(A231, Company_List!$A:$A, Company_List!$B:$B, ""))</f>
        <v/>
      </c>
      <c r="C231" s="143" t="n">
        <v>2025</v>
      </c>
      <c r="D231" s="143" t="inlineStr">
        <is>
          <t>Q4</t>
        </is>
      </c>
      <c r="E231" s="98" t="inlineStr">
        <is>
          <t>Transcript</t>
        </is>
      </c>
      <c r="F231" s="98" t="inlineStr">
        <is>
          <t>All</t>
        </is>
      </c>
      <c r="G231" s="143" t="inlineStr">
        <is>
          <t>Anna</t>
        </is>
      </c>
      <c r="H231" s="106" t="inlineStr">
        <is>
          <t>Human</t>
        </is>
      </c>
      <c r="I231" s="145" t="n">
        <v>0.2</v>
      </c>
      <c r="J231" s="145">
        <f>IF(OR(I231="",Settings!$B$6=""),"",IF(I231&gt;Settings!$B$6,"BUY",IF(I231&lt;-Settings!$B$6,"SELL","HOLD")))</f>
        <v/>
      </c>
      <c r="K231" s="145" t="n">
        <v>22</v>
      </c>
      <c r="L231" s="125" t="n">
        <v>46065</v>
      </c>
      <c r="M231" s="140" t="n">
        <v>46065</v>
      </c>
      <c r="N231" s="147" t="n">
        <v>18.54</v>
      </c>
      <c r="O231" s="140" t="n">
        <v>46066</v>
      </c>
      <c r="P231" s="145" t="n">
        <v>14.33</v>
      </c>
      <c r="Q231" s="150">
        <f>IF(OR(N231="",P231=""),"",ROUND((P231-N231)/N231,4))</f>
        <v/>
      </c>
      <c r="R231" s="106">
        <f>IF(OR(N231="",P231=""),"",IF(Q231&gt;Settings!$B$3/100,"UP",IF(Q231&lt;-Settings!$B$3/100,"DOWN","FLAT")))</f>
        <v/>
      </c>
      <c r="S231" s="106">
        <f>IF(OR(N231="",P231="",J231=""),"",IF(OR(AND(J231="BUY",R231="UP"),AND(J231="SELL",R231="DOWN"),AND(J231="HOLD",R231="FLAT")),"YES","NO"))</f>
        <v/>
      </c>
      <c r="T231" s="105">
        <f>IF(J231="","",IF(J231="BUY",1,IF(J231="SELL",-1,0)))</f>
        <v/>
      </c>
      <c r="U231" s="150">
        <f>IFERROR(IF(OR(J231="",N231="",P231=""),"",IF(T231=0,0,T231*Q231-Settings!$B$4/10000-IF(T231&lt;0,Settings!$B$5/10000,0))),"")</f>
        <v/>
      </c>
      <c r="W231" s="21">
        <f>IF($K231="","",$K231*60)</f>
        <v/>
      </c>
      <c r="X231" s="91">
        <f>IF($A231="","",$A231&amp;"|"&amp;$C231&amp;"|"&amp;$D231)</f>
        <v/>
      </c>
      <c r="Y231" s="91">
        <f>IFERROR(IF($X231="","",INDEX(LLM_Data_Entry!$H$3:$H$548,MATCH($X231,INDEX(LLM_Data_Entry!$A$3:$A$548&amp;"|"&amp;LLM_Data_Entry!$C$3:$C$548&amp;"|"&amp;LLM_Data_Entry!$D$3:$D$548,0),0))),"")</f>
        <v/>
      </c>
      <c r="Z231" s="91">
        <f>IFERROR(IF($X231="","",INDEX(LLM_Data_Entry!$R$3:$R$548,MATCH($X231,INDEX(LLM_Data_Entry!$A$3:$A$548&amp;"|"&amp;LLM_Data_Entry!$C$3:$C$548&amp;"|"&amp;LLM_Data_Entry!$D$3:$D$548,0),0))),"")</f>
        <v/>
      </c>
      <c r="AB231" t="inlineStr">
        <is>
          <t>price signal — only this window shows an abnormal move</t>
        </is>
      </c>
      <c r="AC231" t="inlineStr">
        <is>
          <t>PINS</t>
        </is>
      </c>
      <c r="AD231" t="inlineStr">
        <is>
          <t>2026-02-12</t>
        </is>
      </c>
      <c r="AE231" t="n">
        <v>18.54</v>
      </c>
      <c r="AF231" t="inlineStr">
        <is>
          <t>2026-02-13</t>
        </is>
      </c>
      <c r="AG231" t="n">
        <v>14.33</v>
      </c>
      <c r="AH231" t="n">
        <v>-0.2270766328437631</v>
      </c>
      <c r="AI231" t="inlineStr">
        <is>
          <t>DOWN</t>
        </is>
      </c>
      <c r="AJ231" t="inlineStr">
        <is>
          <t>NO</t>
        </is>
      </c>
      <c r="AK231" t="n">
        <v>0</v>
      </c>
      <c r="AL231">
        <f>IF($A231="","",IFERROR(INDEX(Company_List!$G$3:$G$207,MATCH($A231,Company_List!$A$3:$A$207,0)),"unassigned"))</f>
        <v/>
      </c>
      <c r="AM231" t="inlineStr">
        <is>
          <t>Phase 3/Readings/Pinterest/PINS Q4 2025 Transcript .pdf</t>
        </is>
      </c>
      <c r="AO231" t="inlineStr">
        <is>
          <t>unique filename match</t>
        </is>
      </c>
      <c r="AP231">
        <f>IF($A231="","",IF(COUNTIFS(LLM_Data_Entry!$A$3:$A$548,$A231)&gt;0,"YES","NO"))</f>
        <v/>
      </c>
      <c r="AQ231">
        <f>IF($A231="","",IF(COUNTIFS($A$3:$A231,$A231,$C$3:$C231,$C231,$D$3:$D231,$D231)=1,"YES","NO"))</f>
        <v/>
      </c>
      <c r="AR231">
        <f>IF($A231="","",IF(AND($C231&amp;"-"&amp;$D231&gt;=Settings!$B$19,$C231&amp;"-"&amp;$D231&lt;=Settings!$B$20),"IN","OUT"))</f>
        <v/>
      </c>
      <c r="AS231">
        <f>IF($A231="","",IF($F231="Financial Results","financials",IF($F231="Outlook/Guidance","guidance",IF($F231="Transcript Q&amp;A","qanda",IF($F231="","unrecorded",IF($E231="All","full",IF($E231="","unrecorded",LOWER($E231)&amp;" only")))))))</f>
        <v/>
      </c>
      <c r="AT231">
        <f>IF(AND(OR($J231="BUY",$J231="SELL"),ISNUMBER($U231)),$U231,"")</f>
        <v/>
      </c>
      <c r="AU231">
        <f>IF(AND(OR($J231="BUY",$J231="SELL"),ISNUMBER($AK231)),$AK231,"")</f>
        <v/>
      </c>
      <c r="AV231">
        <f>IF(ISNUMBER($AT231),ABS(IF(ISNUMBER($I231),$I231,0)-Settings!$B$24),"")</f>
        <v/>
      </c>
      <c r="AW231">
        <f>IF(ISNUMBER($AV231),$AV231*$AT231,"")</f>
        <v/>
      </c>
      <c r="AX231">
        <f>IF(ISNUMBER($AU231),ABS(IF(ISNUMBER($I231),$I231,0)-Settings!$B$24),"")</f>
        <v/>
      </c>
      <c r="AY231">
        <f>IF(ISNUMBER($AX231),$AX231*$AU231,"")</f>
        <v/>
      </c>
      <c r="AZ231">
        <f>IF($A231="","",IFERROR(INDEX(Company_List!$H$3:$H$207,MATCH($A231,Company_List!$A$3:$A$207,0)),"unassigned"))</f>
        <v/>
      </c>
      <c r="BC231">
        <f>IF($A231="","",IF(COUNTIFS($A$3:$A231,$A231,$C$3:$C231,$C231,$D$3:$D231,$D231,$G$3:$G231,$G231)=1,1,0))</f>
        <v/>
      </c>
      <c r="BG231" t="inlineStr">
        <is>
          <t>no</t>
        </is>
      </c>
      <c r="BK231">
        <f>IF(OR($H231&lt;&gt;"Human",$S231="",$J231="",$Y231="",$Z231=""),"",IF(EXACT(UPPER($J231),UPPER($Y231)),1,0))</f>
        <v/>
      </c>
      <c r="BL231" t="inlineStr">
        <is>
          <t>assumed - no rater record</t>
        </is>
      </c>
      <c r="BM231" t="n">
        <v>1</v>
      </c>
      <c r="BN231" t="inlineStr">
        <is>
          <t>The Motley Fool</t>
        </is>
      </c>
      <c r="BO231" t="inlineStr">
        <is>
          <t>free to read, copyright asserted</t>
        </is>
      </c>
      <c r="BP231" t="inlineStr">
        <is>
          <t>no</t>
        </is>
      </c>
      <c r="BQ231" t="inlineStr">
        <is>
          <t>no</t>
        </is>
      </c>
    </row>
    <row r="232">
      <c r="A232" s="115" t="inlineStr">
        <is>
          <t>Pinterest</t>
        </is>
      </c>
      <c r="B232" s="116">
        <f>IF(A232="","",_xlfn.XLOOKUP(A232, Company_List!$A:$A, Company_List!$B:$B, ""))</f>
        <v/>
      </c>
      <c r="C232" s="143" t="n">
        <v>2024</v>
      </c>
      <c r="D232" s="143" t="inlineStr">
        <is>
          <t>Q4</t>
        </is>
      </c>
      <c r="E232" s="98" t="inlineStr">
        <is>
          <t>Presentation</t>
        </is>
      </c>
      <c r="F232" s="98" t="inlineStr">
        <is>
          <t>All</t>
        </is>
      </c>
      <c r="G232" s="143" t="inlineStr">
        <is>
          <t>Anna</t>
        </is>
      </c>
      <c r="H232" s="106" t="inlineStr">
        <is>
          <t>Human</t>
        </is>
      </c>
      <c r="I232" s="145" t="n">
        <v>0.5</v>
      </c>
      <c r="J232" s="145">
        <f>IF(OR(I232="",Settings!$B$6=""),"",IF(I232&gt;Settings!$B$6,"BUY",IF(I232&lt;-Settings!$B$6,"SELL","HOLD")))</f>
        <v/>
      </c>
      <c r="K232" s="145" t="n">
        <v>13</v>
      </c>
      <c r="L232" s="125" t="n">
        <v>45694</v>
      </c>
      <c r="M232" s="140" t="n">
        <v>45694</v>
      </c>
      <c r="N232" s="147" t="n">
        <v>33.59</v>
      </c>
      <c r="O232" s="140" t="n">
        <v>45695</v>
      </c>
      <c r="P232" s="145" t="n">
        <v>40.89</v>
      </c>
      <c r="Q232" s="150">
        <f>IF(OR(N232="",P232=""),"",ROUND((P232-N232)/N232,4))</f>
        <v/>
      </c>
      <c r="R232" s="106">
        <f>IF(OR(N232="",P232=""),"",IF(Q232&gt;Settings!$B$3/100,"UP",IF(Q232&lt;-Settings!$B$3/100,"DOWN","FLAT")))</f>
        <v/>
      </c>
      <c r="S232" s="106">
        <f>IF(OR(N232="",P232="",J232=""),"",IF(OR(AND(J232="BUY",R232="UP"),AND(J232="SELL",R232="DOWN"),AND(J232="HOLD",R232="FLAT")),"YES","NO"))</f>
        <v/>
      </c>
      <c r="T232" s="105">
        <f>IF(J232="","",IF(J232="BUY",1,IF(J232="SELL",-1,0)))</f>
        <v/>
      </c>
      <c r="U232" s="150">
        <f>IFERROR(IF(OR(J232="",N232="",P232=""),"",IF(T232=0,0,T232*Q232-Settings!$B$4/10000-IF(T232&lt;0,Settings!$B$5/10000,0))),"")</f>
        <v/>
      </c>
      <c r="W232" s="21">
        <f>IF($K232="","",$K232*60)</f>
        <v/>
      </c>
      <c r="X232" s="91">
        <f>IF($A232="","",$A232&amp;"|"&amp;$C232&amp;"|"&amp;$D232)</f>
        <v/>
      </c>
      <c r="Y232" s="91">
        <f>IFERROR(IF($X232="","",INDEX(LLM_Data_Entry!$H$3:$H$548,MATCH($X232,INDEX(LLM_Data_Entry!$A$3:$A$548&amp;"|"&amp;LLM_Data_Entry!$C$3:$C$548&amp;"|"&amp;LLM_Data_Entry!$D$3:$D$548,0),0))),"")</f>
        <v/>
      </c>
      <c r="Z232" s="91">
        <f>IFERROR(IF($X232="","",INDEX(LLM_Data_Entry!$R$3:$R$548,MATCH($X232,INDEX(LLM_Data_Entry!$A$3:$A$548&amp;"|"&amp;LLM_Data_Entry!$C$3:$C$548&amp;"|"&amp;LLM_Data_Entry!$D$3:$D$548,0),0))),"")</f>
        <v/>
      </c>
      <c r="AB232" t="inlineStr">
        <is>
          <t>price signal — only this window shows an abnormal move</t>
        </is>
      </c>
      <c r="AC232" t="inlineStr">
        <is>
          <t>PINS</t>
        </is>
      </c>
      <c r="AD232" t="inlineStr">
        <is>
          <t>2025-02-06</t>
        </is>
      </c>
      <c r="AE232" t="n">
        <v>33.59</v>
      </c>
      <c r="AF232" t="inlineStr">
        <is>
          <t>2025-02-07</t>
        </is>
      </c>
      <c r="AG232" t="n">
        <v>40.89</v>
      </c>
      <c r="AH232" t="n">
        <v>0.2173265555224769</v>
      </c>
      <c r="AI232" t="inlineStr">
        <is>
          <t>UP</t>
        </is>
      </c>
      <c r="AJ232" t="inlineStr">
        <is>
          <t>YES</t>
        </is>
      </c>
      <c r="AK232" t="n">
        <v>0.216327</v>
      </c>
      <c r="AL232">
        <f>IF($A232="","",IFERROR(INDEX(Company_List!$G$3:$G$207,MATCH($A232,Company_List!$A$3:$A$207,0)),"unassigned"))</f>
        <v/>
      </c>
      <c r="AM232" t="inlineStr">
        <is>
          <t>Phase 3/Readings/Pinterest/Q4 2024 presentation.pdf</t>
        </is>
      </c>
      <c r="AO232" t="inlineStr">
        <is>
          <t>unique filename match</t>
        </is>
      </c>
      <c r="AP232">
        <f>IF($A232="","",IF(COUNTIFS(LLM_Data_Entry!$A$3:$A$548,$A232)&gt;0,"YES","NO"))</f>
        <v/>
      </c>
      <c r="AQ232">
        <f>IF($A232="","",IF(COUNTIFS($A$3:$A232,$A232,$C$3:$C232,$C232,$D$3:$D232,$D232)=1,"YES","NO"))</f>
        <v/>
      </c>
      <c r="AR232">
        <f>IF($A232="","",IF(AND($C232&amp;"-"&amp;$D232&gt;=Settings!$B$19,$C232&amp;"-"&amp;$D232&lt;=Settings!$B$20),"IN","OUT"))</f>
        <v/>
      </c>
      <c r="AS232">
        <f>IF($A232="","",IF($F232="Financial Results","financials",IF($F232="Outlook/Guidance","guidance",IF($F232="Transcript Q&amp;A","qanda",IF($F232="","unrecorded",IF($E232="All","full",IF($E232="","unrecorded",LOWER($E232)&amp;" only")))))))</f>
        <v/>
      </c>
      <c r="AT232">
        <f>IF(AND(OR($J232="BUY",$J232="SELL"),ISNUMBER($U232)),$U232,"")</f>
        <v/>
      </c>
      <c r="AU232">
        <f>IF(AND(OR($J232="BUY",$J232="SELL"),ISNUMBER($AK232)),$AK232,"")</f>
        <v/>
      </c>
      <c r="AV232">
        <f>IF(ISNUMBER($AT232),ABS(IF(ISNUMBER($I232),$I232,0)-Settings!$B$24),"")</f>
        <v/>
      </c>
      <c r="AW232">
        <f>IF(ISNUMBER($AV232),$AV232*$AT232,"")</f>
        <v/>
      </c>
      <c r="AX232">
        <f>IF(ISNUMBER($AU232),ABS(IF(ISNUMBER($I232),$I232,0)-Settings!$B$24),"")</f>
        <v/>
      </c>
      <c r="AY232">
        <f>IF(ISNUMBER($AX232),$AX232*$AU232,"")</f>
        <v/>
      </c>
      <c r="AZ232">
        <f>IF($A232="","",IFERROR(INDEX(Company_List!$H$3:$H$207,MATCH($A232,Company_List!$A$3:$A$207,0)),"unassigned"))</f>
        <v/>
      </c>
      <c r="BC232">
        <f>IF($A232="","",IF(COUNTIFS($A$3:$A232,$A232,$C$3:$C232,$C232,$D$3:$D232,$D232,$G$3:$G232,$G232)=1,1,0))</f>
        <v/>
      </c>
      <c r="BG232" t="inlineStr">
        <is>
          <t>no</t>
        </is>
      </c>
      <c r="BK232">
        <f>IF(OR($H232&lt;&gt;"Human",$S232="",$J232="",$Y232="",$Z232=""),"",IF(EXACT(UPPER($J232),UPPER($Y232)),1,0))</f>
        <v/>
      </c>
      <c r="BL232" t="inlineStr">
        <is>
          <t>assumed - no rater record</t>
        </is>
      </c>
      <c r="BM232" t="n">
        <v>1</v>
      </c>
      <c r="BN232" t="inlineStr">
        <is>
          <t>not publisher-identified</t>
        </is>
      </c>
      <c r="BO232" t="inlineStr">
        <is>
          <t>not publisher-identified</t>
        </is>
      </c>
      <c r="BP232" t="inlineStr">
        <is>
          <t>no</t>
        </is>
      </c>
      <c r="BQ232" t="inlineStr">
        <is>
          <t>no</t>
        </is>
      </c>
    </row>
    <row r="233">
      <c r="A233" s="115" t="inlineStr">
        <is>
          <t>Hermes</t>
        </is>
      </c>
      <c r="B233" s="116">
        <f>IF(A233="","",_xlfn.XLOOKUP(A233, Company_List!$A:$A, Company_List!$B:$B, ""))</f>
        <v/>
      </c>
      <c r="C233" s="143" t="n">
        <v>2025</v>
      </c>
      <c r="D233" s="143" t="inlineStr">
        <is>
          <t>Q1</t>
        </is>
      </c>
      <c r="E233" s="98" t="inlineStr">
        <is>
          <t>Press Release Document</t>
        </is>
      </c>
      <c r="F233" s="98" t="inlineStr">
        <is>
          <t>Financial Results</t>
        </is>
      </c>
      <c r="G233" s="143" t="inlineStr">
        <is>
          <t>Nigel</t>
        </is>
      </c>
      <c r="H233" s="106" t="inlineStr">
        <is>
          <t>Human</t>
        </is>
      </c>
      <c r="I233" s="145" t="n">
        <v>0.4</v>
      </c>
      <c r="J233" s="145">
        <f>IF(OR(I233="",Settings!$B$6=""),"",IF(I233&gt;Settings!$B$6,"BUY",IF(I233&lt;-Settings!$B$6,"SELL","HOLD")))</f>
        <v/>
      </c>
      <c r="K233" s="145" t="n">
        <v>3</v>
      </c>
      <c r="L233" s="125" t="n">
        <v>45764</v>
      </c>
      <c r="M233" s="140" t="n">
        <v>45764</v>
      </c>
      <c r="N233" s="147" t="n">
        <v>2290</v>
      </c>
      <c r="O233" s="140" t="n">
        <v>45769</v>
      </c>
      <c r="P233" s="145" t="n">
        <v>2236.5</v>
      </c>
      <c r="Q233" s="150">
        <f>IF(OR(N233="",P233=""),"",ROUND((P233-N233)/N233,4))</f>
        <v/>
      </c>
      <c r="R233" s="106">
        <f>IF(OR(N233="",P233=""),"",IF(Q233&gt;Settings!$B$3/100,"UP",IF(Q233&lt;-Settings!$B$3/100,"DOWN","FLAT")))</f>
        <v/>
      </c>
      <c r="S233" s="106">
        <f>IF(OR(N233="",P233="",J233=""),"",IF(OR(AND(J233="BUY",R233="UP"),AND(J233="SELL",R233="DOWN"),AND(J233="HOLD",R233="FLAT")),"YES","NO"))</f>
        <v/>
      </c>
      <c r="T233" s="105">
        <f>IF(J233="","",IF(J233="BUY",1,IF(J233="SELL",-1,0)))</f>
        <v/>
      </c>
      <c r="U233" s="150">
        <f>IFERROR(IF(OR(J233="",N233="",P233=""),"",IF(T233=0,0,T233*Q233-Settings!$B$4/10000-IF(T233&lt;0,Settings!$B$5/10000,0))),"")</f>
        <v/>
      </c>
      <c r="V233" s="7" t="inlineStr">
        <is>
          <t>Revenues were up 7-9% with all regions seeing growth.</t>
        </is>
      </c>
      <c r="W233" s="21">
        <f>IF($K233="","",$K233*60)</f>
        <v/>
      </c>
      <c r="X233" s="91">
        <f>IF($A233="","",$A233&amp;"|"&amp;$C233&amp;"|"&amp;$D233)</f>
        <v/>
      </c>
      <c r="Y233" s="91">
        <f>IFERROR(IF($X233="","",INDEX(LLM_Data_Entry!$H$3:$H$548,MATCH($X233,INDEX(LLM_Data_Entry!$A$3:$A$548&amp;"|"&amp;LLM_Data_Entry!$C$3:$C$548&amp;"|"&amp;LLM_Data_Entry!$D$3:$D$548,0),0))),"")</f>
        <v/>
      </c>
      <c r="Z233" s="91">
        <f>IFERROR(IF($X233="","",INDEX(LLM_Data_Entry!$R$3:$R$548,MATCH($X233,INDEX(LLM_Data_Entry!$A$3:$A$548&amp;"|"&amp;LLM_Data_Entry!$C$3:$C$548&amp;"|"&amp;LLM_Data_Entry!$D$3:$D$548,0),0))),"")</f>
        <v/>
      </c>
      <c r="AB233" t="inlineStr">
        <is>
          <t>price signal — only this window shows an abnormal move</t>
        </is>
      </c>
      <c r="AC233" t="inlineStr">
        <is>
          <t>RMS.PA</t>
        </is>
      </c>
      <c r="AD233" t="inlineStr">
        <is>
          <t>2025-04-16</t>
        </is>
      </c>
      <c r="AE233" t="n">
        <v>2317.9597</v>
      </c>
      <c r="AF233" t="inlineStr">
        <is>
          <t>2025-04-17</t>
        </is>
      </c>
      <c r="AG233" t="n">
        <v>2235.5607</v>
      </c>
      <c r="AH233" t="n">
        <v>-0.03554808475716196</v>
      </c>
      <c r="AI233" t="inlineStr">
        <is>
          <t>DOWN</t>
        </is>
      </c>
      <c r="AJ233" t="inlineStr">
        <is>
          <t>NO</t>
        </is>
      </c>
      <c r="AK233" t="n">
        <v>-0.036548</v>
      </c>
      <c r="AL233">
        <f>IF($A233="","",IFERROR(INDEX(Company_List!$G$3:$G$207,MATCH($A233,Company_List!$A$3:$A$207,0)),"unassigned"))</f>
        <v/>
      </c>
      <c r="AM233" t="inlineStr">
        <is>
          <t>Phase 3/Readings/Hermes/Q1/hermes_20250417_q1revenue_en.pdf</t>
        </is>
      </c>
      <c r="AO233" t="inlineStr">
        <is>
          <t>unique filename match</t>
        </is>
      </c>
      <c r="AP233">
        <f>IF($A233="","",IF(COUNTIFS(LLM_Data_Entry!$A$3:$A$548,$A233)&gt;0,"YES","NO"))</f>
        <v/>
      </c>
      <c r="AQ233">
        <f>IF($A233="","",IF(COUNTIFS($A$3:$A233,$A233,$C$3:$C233,$C233,$D$3:$D233,$D233)=1,"YES","NO"))</f>
        <v/>
      </c>
      <c r="AR233">
        <f>IF($A233="","",IF(AND($C233&amp;"-"&amp;$D233&gt;=Settings!$B$19,$C233&amp;"-"&amp;$D233&lt;=Settings!$B$20),"IN","OUT"))</f>
        <v/>
      </c>
      <c r="AS233">
        <f>IF($A233="","",IF($F233="Financial Results","financials",IF($F233="Outlook/Guidance","guidance",IF($F233="Transcript Q&amp;A","qanda",IF($F233="","unrecorded",IF($E233="All","full",IF($E233="","unrecorded",LOWER($E233)&amp;" only")))))))</f>
        <v/>
      </c>
      <c r="AT233">
        <f>IF(AND(OR($J233="BUY",$J233="SELL"),ISNUMBER($U233)),$U233,"")</f>
        <v/>
      </c>
      <c r="AU233">
        <f>IF(AND(OR($J233="BUY",$J233="SELL"),ISNUMBER($AK233)),$AK233,"")</f>
        <v/>
      </c>
      <c r="AV233">
        <f>IF(ISNUMBER($AT233),ABS(IF(ISNUMBER($I233),$I233,0)-Settings!$B$24),"")</f>
        <v/>
      </c>
      <c r="AW233">
        <f>IF(ISNUMBER($AV233),$AV233*$AT233,"")</f>
        <v/>
      </c>
      <c r="AX233">
        <f>IF(ISNUMBER($AU233),ABS(IF(ISNUMBER($I233),$I233,0)-Settings!$B$24),"")</f>
        <v/>
      </c>
      <c r="AY233">
        <f>IF(ISNUMBER($AX233),$AX233*$AU233,"")</f>
        <v/>
      </c>
      <c r="AZ233">
        <f>IF($A233="","",IFERROR(INDEX(Company_List!$H$3:$H$207,MATCH($A233,Company_List!$A$3:$A$207,0)),"unassigned"))</f>
        <v/>
      </c>
      <c r="BC233">
        <f>IF($A233="","",IF(COUNTIFS($A$3:$A233,$A233,$C$3:$C233,$C233,$D$3:$D233,$D233,$G$3:$G233,$G233)=1,1,0))</f>
        <v/>
      </c>
      <c r="BG233" t="inlineStr">
        <is>
          <t>no</t>
        </is>
      </c>
      <c r="BK233">
        <f>IF(OR($H233&lt;&gt;"Human",$S233="",$J233="",$Y233="",$Z233=""),"",IF(EXACT(UPPER($J233),UPPER($Y233)),1,0))</f>
        <v/>
      </c>
      <c r="BL233" t="inlineStr">
        <is>
          <t>assumed - no rater record</t>
        </is>
      </c>
      <c r="BM233" t="n">
        <v>1</v>
      </c>
      <c r="BN233" t="inlineStr">
        <is>
          <t>not publisher-identified</t>
        </is>
      </c>
      <c r="BO233" t="inlineStr">
        <is>
          <t>not publisher-identified</t>
        </is>
      </c>
      <c r="BP233" t="inlineStr">
        <is>
          <t>no</t>
        </is>
      </c>
      <c r="BQ233" t="inlineStr">
        <is>
          <t>no</t>
        </is>
      </c>
    </row>
    <row r="234">
      <c r="A234" s="115" t="inlineStr">
        <is>
          <t>Hermes</t>
        </is>
      </c>
      <c r="B234" s="116">
        <f>IF(A234="","",_xlfn.XLOOKUP(A234, Company_List!$A:$A, Company_List!$B:$B, ""))</f>
        <v/>
      </c>
      <c r="C234" s="143" t="n">
        <v>2025</v>
      </c>
      <c r="D234" s="143" t="inlineStr">
        <is>
          <t>Q2</t>
        </is>
      </c>
      <c r="E234" s="98" t="inlineStr">
        <is>
          <t>All</t>
        </is>
      </c>
      <c r="F234" s="98" t="inlineStr">
        <is>
          <t>Outlook/Guidance</t>
        </is>
      </c>
      <c r="G234" s="143" t="inlineStr">
        <is>
          <t>Nigel</t>
        </is>
      </c>
      <c r="H234" s="106" t="inlineStr">
        <is>
          <t>Human</t>
        </is>
      </c>
      <c r="I234" s="145" t="n">
        <v>0.2</v>
      </c>
      <c r="J234" s="145">
        <f>IF(OR(I234="",Settings!$B$6=""),"",IF(I234&gt;Settings!$B$6,"BUY",IF(I234&lt;-Settings!$B$6,"SELL","HOLD")))</f>
        <v/>
      </c>
      <c r="K234" s="145" t="n">
        <v>2</v>
      </c>
      <c r="L234" s="125" t="n">
        <v>45868</v>
      </c>
      <c r="M234" s="140" t="n">
        <v>45868</v>
      </c>
      <c r="N234" s="147" t="n">
        <v>2295</v>
      </c>
      <c r="O234" s="140" t="n">
        <v>45869</v>
      </c>
      <c r="P234" s="145" t="n">
        <v>2249</v>
      </c>
      <c r="Q234" s="150">
        <f>IF(OR(N234="",P234=""),"",ROUND((P234-N234)/N234,4))</f>
        <v/>
      </c>
      <c r="R234" s="106">
        <f>IF(OR(N234="",P234=""),"",IF(Q234&gt;Settings!$B$3/100,"UP",IF(Q234&lt;-Settings!$B$3/100,"DOWN","FLAT")))</f>
        <v/>
      </c>
      <c r="S234" s="106">
        <f>IF(OR(N234="",P234="",J234=""),"",IF(OR(AND(J234="BUY",R234="UP"),AND(J234="SELL",R234="DOWN"),AND(J234="HOLD",R234="FLAT")),"YES","NO"))</f>
        <v/>
      </c>
      <c r="T234" s="105">
        <f>IF(J234="","",IF(J234="BUY",1,IF(J234="SELL",-1,0)))</f>
        <v/>
      </c>
      <c r="U234" s="150">
        <f>IFERROR(IF(OR(J234="",N234="",P234=""),"",IF(T234=0,0,T234*Q234-Settings!$B$4/10000-IF(T234&lt;0,Settings!$B$5/10000,0))),"")</f>
        <v/>
      </c>
      <c r="V234" s="7" t="inlineStr">
        <is>
          <t>Confidence in growth despite uncertainties which will be expected</t>
        </is>
      </c>
      <c r="W234" s="21">
        <f>IF($K234="","",$K234*60)</f>
        <v/>
      </c>
      <c r="X234" s="91">
        <f>IF($A234="","",$A234&amp;"|"&amp;$C234&amp;"|"&amp;$D234)</f>
        <v/>
      </c>
      <c r="Y234" s="91">
        <f>IFERROR(IF($X234="","",INDEX(LLM_Data_Entry!$H$3:$H$548,MATCH($X234,INDEX(LLM_Data_Entry!$A$3:$A$548&amp;"|"&amp;LLM_Data_Entry!$C$3:$C$548&amp;"|"&amp;LLM_Data_Entry!$D$3:$D$548,0),0))),"")</f>
        <v/>
      </c>
      <c r="Z234" s="91">
        <f>IFERROR(IF($X234="","",INDEX(LLM_Data_Entry!$R$3:$R$548,MATCH($X234,INDEX(LLM_Data_Entry!$A$3:$A$548&amp;"|"&amp;LLM_Data_Entry!$C$3:$C$548&amp;"|"&amp;LLM_Data_Entry!$D$3:$D$548,0),0))),"")</f>
        <v/>
      </c>
      <c r="AB234" t="inlineStr">
        <is>
          <t>price signal — only this window shows an abnormal move</t>
        </is>
      </c>
      <c r="AC234" t="inlineStr">
        <is>
          <t>RMS.PA</t>
        </is>
      </c>
      <c r="AD234" t="inlineStr">
        <is>
          <t>2025-07-29</t>
        </is>
      </c>
      <c r="AE234" t="n">
        <v>2354.2771</v>
      </c>
      <c r="AF234" t="inlineStr">
        <is>
          <t>2025-07-30</t>
        </is>
      </c>
      <c r="AG234" t="n">
        <v>2300.8158</v>
      </c>
      <c r="AH234" t="n">
        <v>-0.02270816452087873</v>
      </c>
      <c r="AI234" t="inlineStr">
        <is>
          <t>DOWN</t>
        </is>
      </c>
      <c r="AJ234" t="inlineStr">
        <is>
          <t>NO</t>
        </is>
      </c>
      <c r="AK234" t="n">
        <v>0</v>
      </c>
      <c r="AL234">
        <f>IF($A234="","",IFERROR(INDEX(Company_List!$G$3:$G$207,MATCH($A234,Company_List!$A$3:$A$207,0)),"unassigned"))</f>
        <v/>
      </c>
      <c r="AM234" t="inlineStr">
        <is>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is>
      </c>
      <c r="AO234" t="inlineStr">
        <is>
          <t>whole bundle (Document = All)</t>
        </is>
      </c>
      <c r="AP234">
        <f>IF($A234="","",IF(COUNTIFS(LLM_Data_Entry!$A$3:$A$548,$A234)&gt;0,"YES","NO"))</f>
        <v/>
      </c>
      <c r="AQ234">
        <f>IF($A234="","",IF(COUNTIFS($A$3:$A234,$A234,$C$3:$C234,$C234,$D$3:$D234,$D234)=1,"YES","NO"))</f>
        <v/>
      </c>
      <c r="AR234">
        <f>IF($A234="","",IF(AND($C234&amp;"-"&amp;$D234&gt;=Settings!$B$19,$C234&amp;"-"&amp;$D234&lt;=Settings!$B$20),"IN","OUT"))</f>
        <v/>
      </c>
      <c r="AS234">
        <f>IF($A234="","",IF($F234="Financial Results","financials",IF($F234="Outlook/Guidance","guidance",IF($F234="Transcript Q&amp;A","qanda",IF($F234="","unrecorded",IF($E234="All","full",IF($E234="","unrecorded",LOWER($E234)&amp;" only")))))))</f>
        <v/>
      </c>
      <c r="AT234">
        <f>IF(AND(OR($J234="BUY",$J234="SELL"),ISNUMBER($U234)),$U234,"")</f>
        <v/>
      </c>
      <c r="AU234">
        <f>IF(AND(OR($J234="BUY",$J234="SELL"),ISNUMBER($AK234)),$AK234,"")</f>
        <v/>
      </c>
      <c r="AV234">
        <f>IF(ISNUMBER($AT234),ABS(IF(ISNUMBER($I234),$I234,0)-Settings!$B$24),"")</f>
        <v/>
      </c>
      <c r="AW234">
        <f>IF(ISNUMBER($AV234),$AV234*$AT234,"")</f>
        <v/>
      </c>
      <c r="AX234">
        <f>IF(ISNUMBER($AU234),ABS(IF(ISNUMBER($I234),$I234,0)-Settings!$B$24),"")</f>
        <v/>
      </c>
      <c r="AY234">
        <f>IF(ISNUMBER($AX234),$AX234*$AU234,"")</f>
        <v/>
      </c>
      <c r="AZ234">
        <f>IF($A234="","",IFERROR(INDEX(Company_List!$H$3:$H$207,MATCH($A234,Company_List!$A$3:$A$207,0)),"unassigned"))</f>
        <v/>
      </c>
      <c r="BC234">
        <f>IF($A234="","",IF(COUNTIFS($A$3:$A234,$A234,$C$3:$C234,$C234,$D$3:$D234,$D234,$G$3:$G234,$G234)=1,1,0))</f>
        <v/>
      </c>
      <c r="BG234" t="inlineStr">
        <is>
          <t>no</t>
        </is>
      </c>
      <c r="BK234">
        <f>IF(OR($H234&lt;&gt;"Human",$S234="",$J234="",$Y234="",$Z234=""),"",IF(EXACT(UPPER($J234),UPPER($Y234)),1,0))</f>
        <v/>
      </c>
      <c r="BL234" t="inlineStr">
        <is>
          <t>assumed - no rater record</t>
        </is>
      </c>
      <c r="BM234" t="n">
        <v>4</v>
      </c>
      <c r="BN234" t="inlineStr">
        <is>
          <t>MarketScreener (Surperformance SAS)</t>
        </is>
      </c>
      <c r="BO234" t="inlineStr">
        <is>
          <t>licensed vendor</t>
        </is>
      </c>
      <c r="BP234" t="inlineStr">
        <is>
          <t>no</t>
        </is>
      </c>
      <c r="BQ234" t="inlineStr">
        <is>
          <t>no</t>
        </is>
      </c>
    </row>
    <row r="235">
      <c r="A235" s="115" t="inlineStr">
        <is>
          <t>Hermes</t>
        </is>
      </c>
      <c r="B235" s="116">
        <f>IF(A235="","",_xlfn.XLOOKUP(A235, Company_List!$A:$A, Company_List!$B:$B, ""))</f>
        <v/>
      </c>
      <c r="C235" s="143" t="n">
        <v>2025</v>
      </c>
      <c r="D235" s="143" t="inlineStr">
        <is>
          <t>Q3</t>
        </is>
      </c>
      <c r="E235" s="98" t="inlineStr">
        <is>
          <t>Transcript</t>
        </is>
      </c>
      <c r="F235" s="98" t="inlineStr">
        <is>
          <t>Transcript Q&amp;A</t>
        </is>
      </c>
      <c r="G235" s="143" t="inlineStr">
        <is>
          <t>Nigel</t>
        </is>
      </c>
      <c r="H235" s="106" t="inlineStr">
        <is>
          <t>Human</t>
        </is>
      </c>
      <c r="I235" s="145" t="n">
        <v>0.7</v>
      </c>
      <c r="J235" s="145">
        <f>IF(OR(I235="",Settings!$B$6=""),"",IF(I235&gt;Settings!$B$6,"BUY",IF(I235&lt;-Settings!$B$6,"SELL","HOLD")))</f>
        <v/>
      </c>
      <c r="K235" s="145" t="n">
        <v>10</v>
      </c>
      <c r="L235" s="125" t="n">
        <v>45952</v>
      </c>
      <c r="M235" s="140" t="n">
        <v>45952</v>
      </c>
      <c r="N235" s="147" t="n">
        <v>2187</v>
      </c>
      <c r="O235" s="140" t="n">
        <v>45953</v>
      </c>
      <c r="P235" s="145" t="n">
        <v>2212</v>
      </c>
      <c r="Q235" s="150">
        <f>IF(OR(N235="",P235=""),"",ROUND((P235-N235)/N235,4))</f>
        <v/>
      </c>
      <c r="R235" s="106">
        <f>IF(OR(N235="",P235=""),"",IF(Q235&gt;Settings!$B$3/100,"UP",IF(Q235&lt;-Settings!$B$3/100,"DOWN","FLAT")))</f>
        <v/>
      </c>
      <c r="S235" s="106">
        <f>IF(OR(N235="",P235="",J235=""),"",IF(OR(AND(J235="BUY",R235="UP"),AND(J235="SELL",R235="DOWN"),AND(J235="HOLD",R235="FLAT")),"YES","NO"))</f>
        <v/>
      </c>
      <c r="T235" s="105">
        <f>IF(J235="","",IF(J235="BUY",1,IF(J235="SELL",-1,0)))</f>
        <v/>
      </c>
      <c r="U235" s="150">
        <f>IFERROR(IF(OR(J235="",N235="",P235=""),"",IF(T235=0,0,T235*Q235-Settings!$B$4/10000-IF(T235&lt;0,Settings!$B$5/10000,0))),"")</f>
        <v/>
      </c>
      <c r="V235" s="7" t="inlineStr">
        <is>
          <t>Solid performance overall with impact from uncertatinties stabilising</t>
        </is>
      </c>
      <c r="W235" s="21">
        <f>IF($K235="","",$K235*60)</f>
        <v/>
      </c>
      <c r="X235" s="91">
        <f>IF($A235="","",$A235&amp;"|"&amp;$C235&amp;"|"&amp;$D235)</f>
        <v/>
      </c>
      <c r="Y235" s="91">
        <f>IFERROR(IF($X235="","",INDEX(LLM_Data_Entry!$H$3:$H$548,MATCH($X235,INDEX(LLM_Data_Entry!$A$3:$A$548&amp;"|"&amp;LLM_Data_Entry!$C$3:$C$548&amp;"|"&amp;LLM_Data_Entry!$D$3:$D$548,0),0))),"")</f>
        <v/>
      </c>
      <c r="Z235" s="91">
        <f>IFERROR(IF($X235="","",INDEX(LLM_Data_Entry!$R$3:$R$548,MATCH($X235,INDEX(LLM_Data_Entry!$A$3:$A$548&amp;"|"&amp;LLM_Data_Entry!$C$3:$C$548&amp;"|"&amp;LLM_Data_Entry!$D$3:$D$548,0),0))),"")</f>
        <v/>
      </c>
      <c r="AB235" t="inlineStr">
        <is>
          <t>price signal — only this window shows an abnormal move</t>
        </is>
      </c>
      <c r="AC235" t="inlineStr">
        <is>
          <t>RMS.PA</t>
        </is>
      </c>
      <c r="AD235" t="inlineStr">
        <is>
          <t>2025-10-21</t>
        </is>
      </c>
      <c r="AE235" t="n">
        <v>2227.554</v>
      </c>
      <c r="AF235" t="inlineStr">
        <is>
          <t>2025-10-22</t>
        </is>
      </c>
      <c r="AG235" t="n">
        <v>2161.2221</v>
      </c>
      <c r="AH235" t="n">
        <v>-0.02977788117900573</v>
      </c>
      <c r="AI235" t="inlineStr">
        <is>
          <t>DOWN</t>
        </is>
      </c>
      <c r="AJ235" t="inlineStr">
        <is>
          <t>NO</t>
        </is>
      </c>
      <c r="AK235" t="n">
        <v>-0.030778</v>
      </c>
      <c r="AL235">
        <f>IF($A235="","",IFERROR(INDEX(Company_List!$G$3:$G$207,MATCH($A235,Company_List!$A$3:$A$207,0)),"unassigned"))</f>
        <v/>
      </c>
      <c r="AM235" t="inlineStr">
        <is>
          <t>Phase 3/Readings/Hermes/Q3/Transcript : Hermès International Société en commandite par actions, Q3 2025 Sales: Trading Statemen.pdf</t>
        </is>
      </c>
      <c r="AO235" t="inlineStr">
        <is>
          <t>unique filename match</t>
        </is>
      </c>
      <c r="AP235">
        <f>IF($A235="","",IF(COUNTIFS(LLM_Data_Entry!$A$3:$A$548,$A235)&gt;0,"YES","NO"))</f>
        <v/>
      </c>
      <c r="AQ235">
        <f>IF($A235="","",IF(COUNTIFS($A$3:$A235,$A235,$C$3:$C235,$C235,$D$3:$D235,$D235)=1,"YES","NO"))</f>
        <v/>
      </c>
      <c r="AR235">
        <f>IF($A235="","",IF(AND($C235&amp;"-"&amp;$D235&gt;=Settings!$B$19,$C235&amp;"-"&amp;$D235&lt;=Settings!$B$20),"IN","OUT"))</f>
        <v/>
      </c>
      <c r="AS235">
        <f>IF($A235="","",IF($F235="Financial Results","financials",IF($F235="Outlook/Guidance","guidance",IF($F235="Transcript Q&amp;A","qanda",IF($F235="","unrecorded",IF($E235="All","full",IF($E235="","unrecorded",LOWER($E235)&amp;" only")))))))</f>
        <v/>
      </c>
      <c r="AT235">
        <f>IF(AND(OR($J235="BUY",$J235="SELL"),ISNUMBER($U235)),$U235,"")</f>
        <v/>
      </c>
      <c r="AU235">
        <f>IF(AND(OR($J235="BUY",$J235="SELL"),ISNUMBER($AK235)),$AK235,"")</f>
        <v/>
      </c>
      <c r="AV235">
        <f>IF(ISNUMBER($AT235),ABS(IF(ISNUMBER($I235),$I235,0)-Settings!$B$24),"")</f>
        <v/>
      </c>
      <c r="AW235">
        <f>IF(ISNUMBER($AV235),$AV235*$AT235,"")</f>
        <v/>
      </c>
      <c r="AX235">
        <f>IF(ISNUMBER($AU235),ABS(IF(ISNUMBER($I235),$I235,0)-Settings!$B$24),"")</f>
        <v/>
      </c>
      <c r="AY235">
        <f>IF(ISNUMBER($AX235),$AX235*$AU235,"")</f>
        <v/>
      </c>
      <c r="AZ235">
        <f>IF($A235="","",IFERROR(INDEX(Company_List!$H$3:$H$207,MATCH($A235,Company_List!$A$3:$A$207,0)),"unassigned"))</f>
        <v/>
      </c>
      <c r="BC235">
        <f>IF($A235="","",IF(COUNTIFS($A$3:$A235,$A235,$C$3:$C235,$C235,$D$3:$D235,$D235,$G$3:$G235,$G235)=1,1,0))</f>
        <v/>
      </c>
      <c r="BG235" t="inlineStr">
        <is>
          <t>no</t>
        </is>
      </c>
      <c r="BK235">
        <f>IF(OR($H235&lt;&gt;"Human",$S235="",$J235="",$Y235="",$Z235=""),"",IF(EXACT(UPPER($J235),UPPER($Y235)),1,0))</f>
        <v/>
      </c>
      <c r="BL235" t="inlineStr">
        <is>
          <t>assumed - no rater record</t>
        </is>
      </c>
      <c r="BM235" t="n">
        <v>1</v>
      </c>
      <c r="BN235" t="inlineStr">
        <is>
          <t>MarketScreener (Surperformance SAS)</t>
        </is>
      </c>
      <c r="BO235" t="inlineStr">
        <is>
          <t>licensed vendor</t>
        </is>
      </c>
      <c r="BP235" t="inlineStr">
        <is>
          <t>no</t>
        </is>
      </c>
      <c r="BQ235" t="inlineStr">
        <is>
          <t>no</t>
        </is>
      </c>
    </row>
    <row r="236">
      <c r="A236" s="115" t="inlineStr">
        <is>
          <t>Hermes</t>
        </is>
      </c>
      <c r="B236" s="116">
        <f>IF(A236="","",_xlfn.XLOOKUP(A236, Company_List!$A:$A, Company_List!$B:$B, ""))</f>
        <v/>
      </c>
      <c r="C236" s="143" t="n">
        <v>2025</v>
      </c>
      <c r="D236" s="143" t="inlineStr">
        <is>
          <t>Q4</t>
        </is>
      </c>
      <c r="E236" s="98" t="inlineStr">
        <is>
          <t>All</t>
        </is>
      </c>
      <c r="F236" s="98" t="inlineStr">
        <is>
          <t>All</t>
        </is>
      </c>
      <c r="G236" s="143" t="inlineStr">
        <is>
          <t>Nigel</t>
        </is>
      </c>
      <c r="H236" s="106" t="inlineStr">
        <is>
          <t>Human</t>
        </is>
      </c>
      <c r="I236" s="145" t="n">
        <v>0.7</v>
      </c>
      <c r="J236" s="145">
        <f>IF(OR(I236="",Settings!$B$6=""),"",IF(I236&gt;Settings!$B$6,"BUY",IF(I236&lt;-Settings!$B$6,"SELL","HOLD")))</f>
        <v/>
      </c>
      <c r="K236" s="145" t="n">
        <v>21</v>
      </c>
      <c r="L236" s="125" t="n">
        <v>46065</v>
      </c>
      <c r="M236" s="140" t="n">
        <v>46065</v>
      </c>
      <c r="N236" s="147" t="n">
        <v>2195</v>
      </c>
      <c r="O236" s="140" t="n">
        <v>46066</v>
      </c>
      <c r="P236" s="145" t="n">
        <v>2195</v>
      </c>
      <c r="Q236" s="150">
        <f>IF(OR(N236="",P236=""),"",ROUND((P236-N236)/N236,4))</f>
        <v/>
      </c>
      <c r="R236" s="106">
        <f>IF(OR(N236="",P236=""),"",IF(Q236&gt;Settings!$B$3/100,"UP",IF(Q236&lt;-Settings!$B$3/100,"DOWN","FLAT")))</f>
        <v/>
      </c>
      <c r="S236" s="106">
        <f>IF(OR(N236="",P236="",J236=""),"",IF(OR(AND(J236="BUY",R236="UP"),AND(J236="SELL",R236="DOWN"),AND(J236="HOLD",R236="FLAT")),"YES","NO"))</f>
        <v/>
      </c>
      <c r="T236" s="105">
        <f>IF(J236="","",IF(J236="BUY",1,IF(J236="SELL",-1,0)))</f>
        <v/>
      </c>
      <c r="U236" s="150">
        <f>IFERROR(IF(OR(J236="",N236="",P236=""),"",IF(T236=0,0,T236*Q236-Settings!$B$4/10000-IF(T236&lt;0,Settings!$B$5/10000,0))),"")</f>
        <v/>
      </c>
      <c r="V236" s="7" t="inlineStr">
        <is>
          <t>Strong growth and positive outlook for future year despite potential uncertainties. Confident tone throughout from management during transcript and Q&amp;A sessions</t>
        </is>
      </c>
      <c r="W236" s="21">
        <f>IF($K236="","",$K236*60)</f>
        <v/>
      </c>
      <c r="X236" s="91">
        <f>IF($A236="","",$A236&amp;"|"&amp;$C236&amp;"|"&amp;$D236)</f>
        <v/>
      </c>
      <c r="Y236" s="91">
        <f>IFERROR(IF($X236="","",INDEX(LLM_Data_Entry!$H$3:$H$548,MATCH($X236,INDEX(LLM_Data_Entry!$A$3:$A$548&amp;"|"&amp;LLM_Data_Entry!$C$3:$C$548&amp;"|"&amp;LLM_Data_Entry!$D$3:$D$548,0),0))),"")</f>
        <v/>
      </c>
      <c r="Z236" s="91">
        <f>IFERROR(IF($X236="","",INDEX(LLM_Data_Entry!$R$3:$R$548,MATCH($X236,INDEX(LLM_Data_Entry!$A$3:$A$548&amp;"|"&amp;LLM_Data_Entry!$C$3:$C$548&amp;"|"&amp;LLM_Data_Entry!$D$3:$D$548,0),0))),"")</f>
        <v/>
      </c>
      <c r="AB236" t="inlineStr">
        <is>
          <t>price signal, re-derived — only this window shows an abnormal move</t>
        </is>
      </c>
      <c r="AC236" t="inlineStr">
        <is>
          <t>RMS.PA</t>
        </is>
      </c>
      <c r="AD236" t="inlineStr">
        <is>
          <t>2026-02-11</t>
        </is>
      </c>
      <c r="AE236" t="n">
        <v>2098.8508</v>
      </c>
      <c r="AF236" t="inlineStr">
        <is>
          <t>2026-02-12</t>
        </is>
      </c>
      <c r="AG236" t="n">
        <v>2143.402</v>
      </c>
      <c r="AH236" t="n">
        <v>0.02122647738086918</v>
      </c>
      <c r="AI236" t="inlineStr">
        <is>
          <t>UP</t>
        </is>
      </c>
      <c r="AJ236" t="inlineStr">
        <is>
          <t>YES</t>
        </is>
      </c>
      <c r="AK236" t="n">
        <v>0.020226</v>
      </c>
      <c r="AL236">
        <f>IF($A236="","",IFERROR(INDEX(Company_List!$G$3:$G$207,MATCH($A236,Company_List!$A$3:$A$207,0)),"unassigned"))</f>
        <v/>
      </c>
      <c r="AM236" t="inlineStr">
        <is>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is>
      </c>
      <c r="AO236" t="inlineStr">
        <is>
          <t>whole bundle (Document = All)</t>
        </is>
      </c>
      <c r="AP236">
        <f>IF($A236="","",IF(COUNTIFS(LLM_Data_Entry!$A$3:$A$548,$A236)&gt;0,"YES","NO"))</f>
        <v/>
      </c>
      <c r="AQ236">
        <f>IF($A236="","",IF(COUNTIFS($A$3:$A236,$A236,$C$3:$C236,$C236,$D$3:$D236,$D236)=1,"YES","NO"))</f>
        <v/>
      </c>
      <c r="AR236">
        <f>IF($A236="","",IF(AND($C236&amp;"-"&amp;$D236&gt;=Settings!$B$19,$C236&amp;"-"&amp;$D236&lt;=Settings!$B$20),"IN","OUT"))</f>
        <v/>
      </c>
      <c r="AS236">
        <f>IF($A236="","",IF($F236="Financial Results","financials",IF($F236="Outlook/Guidance","guidance",IF($F236="Transcript Q&amp;A","qanda",IF($F236="","unrecorded",IF($E236="All","full",IF($E236="","unrecorded",LOWER($E236)&amp;" only")))))))</f>
        <v/>
      </c>
      <c r="AT236">
        <f>IF(AND(OR($J236="BUY",$J236="SELL"),ISNUMBER($U236)),$U236,"")</f>
        <v/>
      </c>
      <c r="AU236">
        <f>IF(AND(OR($J236="BUY",$J236="SELL"),ISNUMBER($AK236)),$AK236,"")</f>
        <v/>
      </c>
      <c r="AV236">
        <f>IF(ISNUMBER($AT236),ABS(IF(ISNUMBER($I236),$I236,0)-Settings!$B$24),"")</f>
        <v/>
      </c>
      <c r="AW236">
        <f>IF(ISNUMBER($AV236),$AV236*$AT236,"")</f>
        <v/>
      </c>
      <c r="AX236">
        <f>IF(ISNUMBER($AU236),ABS(IF(ISNUMBER($I236),$I236,0)-Settings!$B$24),"")</f>
        <v/>
      </c>
      <c r="AY236">
        <f>IF(ISNUMBER($AX236),$AX236*$AU236,"")</f>
        <v/>
      </c>
      <c r="AZ236">
        <f>IF($A236="","",IFERROR(INDEX(Company_List!$H$3:$H$207,MATCH($A236,Company_List!$A$3:$A$207,0)),"unassigned"))</f>
        <v/>
      </c>
      <c r="BA236" t="n">
        <v>1</v>
      </c>
      <c r="BB236" t="n">
        <v>1</v>
      </c>
      <c r="BC236">
        <f>IF($A236="","",IF(COUNTIFS($A$3:$A236,$A236,$C$3:$C236,$C236,$D$3:$D236,$D236,$G$3:$G236,$G236)=1,1,0))</f>
        <v/>
      </c>
      <c r="BD236" t="n">
        <v>21</v>
      </c>
      <c r="BG236" t="inlineStr">
        <is>
          <t>no</t>
        </is>
      </c>
      <c r="BJ236" t="inlineStr">
        <is>
          <t>Nigel's Notes Phase 3.docx</t>
        </is>
      </c>
      <c r="BK236">
        <f>IF(OR($H236&lt;&gt;"Human",$S236="",$J236="",$Y236="",$Z236=""),"",IF(EXACT(UPPER($J236),UPPER($Y236)),1,0))</f>
        <v/>
      </c>
      <c r="BL236" t="inlineStr">
        <is>
          <t>assumed - rater record carries no blindness field</t>
        </is>
      </c>
      <c r="BM236" t="n">
        <v>5</v>
      </c>
      <c r="BN236" t="inlineStr">
        <is>
          <t>MarketScreener (Surperformance SAS)</t>
        </is>
      </c>
      <c r="BO236" t="inlineStr">
        <is>
          <t>licensed vendor</t>
        </is>
      </c>
      <c r="BP236" t="inlineStr">
        <is>
          <t>no</t>
        </is>
      </c>
      <c r="BQ236" t="inlineStr">
        <is>
          <t>no</t>
        </is>
      </c>
    </row>
    <row r="237">
      <c r="A237" s="115" t="inlineStr">
        <is>
          <t>Delta Air Lines</t>
        </is>
      </c>
      <c r="B237" s="116">
        <f>IF(A237="","",_xlfn.XLOOKUP(A237, Company_List!$A:$A, Company_List!$B:$B, ""))</f>
        <v/>
      </c>
      <c r="C237" s="143" t="n">
        <v>2025</v>
      </c>
      <c r="D237" s="143" t="inlineStr">
        <is>
          <t>Q1</t>
        </is>
      </c>
      <c r="E237" s="98" t="inlineStr">
        <is>
          <t>Press Release Document</t>
        </is>
      </c>
      <c r="F237" s="98" t="inlineStr">
        <is>
          <t>Financial Results</t>
        </is>
      </c>
      <c r="G237" s="143" t="inlineStr">
        <is>
          <t>Nigel</t>
        </is>
      </c>
      <c r="H237" s="106" t="inlineStr">
        <is>
          <t>Human</t>
        </is>
      </c>
      <c r="I237" s="145" t="n">
        <v>0.2</v>
      </c>
      <c r="J237" s="145">
        <f>IF(OR(I237="",Settings!$B$6=""),"",IF(I237&gt;Settings!$B$6,"BUY",IF(I237&lt;-Settings!$B$6,"SELL","HOLD")))</f>
        <v/>
      </c>
      <c r="K237" s="145" t="n">
        <v>3</v>
      </c>
      <c r="L237" s="125" t="n">
        <v>45756</v>
      </c>
      <c r="M237" s="140" t="n">
        <v>45756</v>
      </c>
      <c r="N237" s="147" t="n">
        <v>44.27</v>
      </c>
      <c r="O237" s="140" t="n">
        <v>45757</v>
      </c>
      <c r="P237" s="145" t="n">
        <v>42.22</v>
      </c>
      <c r="Q237" s="150">
        <f>IF(OR(N237="",P237=""),"",ROUND((P237-N237)/N237,4))</f>
        <v/>
      </c>
      <c r="R237" s="106">
        <f>IF(OR(N237="",P237=""),"",IF(Q237&gt;Settings!$B$3/100,"UP",IF(Q237&lt;-Settings!$B$3/100,"DOWN","FLAT")))</f>
        <v/>
      </c>
      <c r="S237" s="106">
        <f>IF(OR(N237="",P237="",J237=""),"",IF(OR(AND(J237="BUY",R237="UP"),AND(J237="SELL",R237="DOWN"),AND(J237="HOLD",R237="FLAT")),"YES","NO"))</f>
        <v/>
      </c>
      <c r="T237" s="105">
        <f>IF(J237="","",IF(J237="BUY",1,IF(J237="SELL",-1,0)))</f>
        <v/>
      </c>
      <c r="U237" s="150">
        <f>IFERROR(IF(OR(J237="",N237="",P237=""),"",IF(T237=0,0,T237*Q237-Settings!$B$4/10000-IF(T237&lt;0,Settings!$B$5/10000,0))),"")</f>
        <v/>
      </c>
      <c r="V237" s="7" t="inlineStr">
        <is>
          <t>Growth is there but not too impressive, can't judge much by how much was said on performance alone</t>
        </is>
      </c>
      <c r="W237" s="21">
        <f>IF($K237="","",$K237*60)</f>
        <v/>
      </c>
      <c r="X237" s="91">
        <f>IF($A237="","",$A237&amp;"|"&amp;$C237&amp;"|"&amp;$D237)</f>
        <v/>
      </c>
      <c r="Y237" s="91">
        <f>IFERROR(IF($X237="","",INDEX(LLM_Data_Entry!$H$3:$H$548,MATCH($X237,INDEX(LLM_Data_Entry!$A$3:$A$548&amp;"|"&amp;LLM_Data_Entry!$C$3:$C$548&amp;"|"&amp;LLM_Data_Entry!$D$3:$D$548,0),0))),"")</f>
        <v/>
      </c>
      <c r="Z237" s="91">
        <f>IFERROR(IF($X237="","",INDEX(LLM_Data_Entry!$R$3:$R$548,MATCH($X237,INDEX(LLM_Data_Entry!$A$3:$A$548&amp;"|"&amp;LLM_Data_Entry!$C$3:$C$548&amp;"|"&amp;LLM_Data_Entry!$D$3:$D$548,0),0))),"")</f>
        <v/>
      </c>
      <c r="AB237" t="inlineStr">
        <is>
          <t>price signal, re-derived — both moved; this one dominates</t>
        </is>
      </c>
      <c r="AC237" t="inlineStr">
        <is>
          <t>DAL</t>
        </is>
      </c>
      <c r="AD237" t="inlineStr">
        <is>
          <t>2025-04-08</t>
        </is>
      </c>
      <c r="AE237" t="n">
        <v>35.2635</v>
      </c>
      <c r="AF237" t="inlineStr">
        <is>
          <t>2025-04-09</t>
        </is>
      </c>
      <c r="AG237" t="n">
        <v>36.2758</v>
      </c>
      <c r="AH237" t="n">
        <v>0.02870683073156623</v>
      </c>
      <c r="AI237" t="inlineStr">
        <is>
          <t>UP</t>
        </is>
      </c>
      <c r="AJ237" t="inlineStr">
        <is>
          <t>NO</t>
        </is>
      </c>
      <c r="AK237" t="n">
        <v>0</v>
      </c>
      <c r="AL237">
        <f>IF($A237="","",IFERROR(INDEX(Company_List!$G$3:$G$207,MATCH($A237,Company_List!$A$3:$A$207,0)),"unassigned"))</f>
        <v/>
      </c>
      <c r="AM237" t="inlineStr">
        <is>
          <t>Phase 3/Readings/Delta/2025-Q1/DAL-2025-Q1-press-release-SEC-EX-99-1.htm</t>
        </is>
      </c>
      <c r="AN237" t="inlineStr">
        <is>
          <t>https://www.sec.gov/Archives/edgar/data/27904/000168316825002353/delta_ex9901.htm</t>
        </is>
      </c>
      <c r="AO237" t="inlineStr">
        <is>
          <t>manifest</t>
        </is>
      </c>
      <c r="AP237">
        <f>IF($A237="","",IF(COUNTIFS(LLM_Data_Entry!$A$3:$A$548,$A237)&gt;0,"YES","NO"))</f>
        <v/>
      </c>
      <c r="AQ237">
        <f>IF($A237="","",IF(COUNTIFS($A$3:$A237,$A237,$C$3:$C237,$C237,$D$3:$D237,$D237)=1,"YES","NO"))</f>
        <v/>
      </c>
      <c r="AR237">
        <f>IF($A237="","",IF(AND($C237&amp;"-"&amp;$D237&gt;=Settings!$B$19,$C237&amp;"-"&amp;$D237&lt;=Settings!$B$20),"IN","OUT"))</f>
        <v/>
      </c>
      <c r="AS237">
        <f>IF($A237="","",IF($F237="Financial Results","financials",IF($F237="Outlook/Guidance","guidance",IF($F237="Transcript Q&amp;A","qanda",IF($F237="","unrecorded",IF($E237="All","full",IF($E237="","unrecorded",LOWER($E237)&amp;" only")))))))</f>
        <v/>
      </c>
      <c r="AT237">
        <f>IF(AND(OR($J237="BUY",$J237="SELL"),ISNUMBER($U237)),$U237,"")</f>
        <v/>
      </c>
      <c r="AU237">
        <f>IF(AND(OR($J237="BUY",$J237="SELL"),ISNUMBER($AK237)),$AK237,"")</f>
        <v/>
      </c>
      <c r="AV237">
        <f>IF(ISNUMBER($AT237),ABS(IF(ISNUMBER($I237),$I237,0)-Settings!$B$24),"")</f>
        <v/>
      </c>
      <c r="AW237">
        <f>IF(ISNUMBER($AV237),$AV237*$AT237,"")</f>
        <v/>
      </c>
      <c r="AX237">
        <f>IF(ISNUMBER($AU237),ABS(IF(ISNUMBER($I237),$I237,0)-Settings!$B$24),"")</f>
        <v/>
      </c>
      <c r="AY237">
        <f>IF(ISNUMBER($AX237),$AX237*$AU237,"")</f>
        <v/>
      </c>
      <c r="AZ237">
        <f>IF($A237="","",IFERROR(INDEX(Company_List!$H$3:$H$207,MATCH($A237,Company_List!$A$3:$A$207,0)),"unassigned"))</f>
        <v/>
      </c>
      <c r="BA237" t="n">
        <v>1</v>
      </c>
      <c r="BB237" t="n">
        <v>1</v>
      </c>
      <c r="BC237">
        <f>IF($A237="","",IF(COUNTIFS($A$3:$A237,$A237,$C$3:$C237,$C237,$D$3:$D237,$D237,$G$3:$G237,$G237)=1,1,0))</f>
        <v/>
      </c>
      <c r="BD237" t="n">
        <v>3</v>
      </c>
      <c r="BG237" t="inlineStr">
        <is>
          <t>no</t>
        </is>
      </c>
      <c r="BJ237" t="inlineStr">
        <is>
          <t>Nigel's Notes Phase 3.docx</t>
        </is>
      </c>
      <c r="BK237">
        <f>IF(OR($H237&lt;&gt;"Human",$S237="",$J237="",$Y237="",$Z237=""),"",IF(EXACT(UPPER($J237),UPPER($Y237)),1,0))</f>
        <v/>
      </c>
      <c r="BL237" t="inlineStr">
        <is>
          <t>assumed - rater record carries no blindness field</t>
        </is>
      </c>
      <c r="BM237" t="n">
        <v>1</v>
      </c>
      <c r="BN237" t="inlineStr">
        <is>
          <t>not publisher-identified</t>
        </is>
      </c>
      <c r="BO237" t="inlineStr">
        <is>
          <t>not publisher-identified</t>
        </is>
      </c>
      <c r="BP237" t="inlineStr">
        <is>
          <t>no</t>
        </is>
      </c>
      <c r="BQ237" t="inlineStr">
        <is>
          <t>yes</t>
        </is>
      </c>
    </row>
    <row r="238">
      <c r="A238" s="115" t="inlineStr">
        <is>
          <t>Delta Air Lines</t>
        </is>
      </c>
      <c r="B238" s="116">
        <f>IF(A238="","",_xlfn.XLOOKUP(A238, Company_List!$A:$A, Company_List!$B:$B, ""))</f>
        <v/>
      </c>
      <c r="C238" s="143" t="n">
        <v>2025</v>
      </c>
      <c r="D238" s="143" t="inlineStr">
        <is>
          <t>Q2</t>
        </is>
      </c>
      <c r="E238" s="98" t="inlineStr">
        <is>
          <t>Press Release Document</t>
        </is>
      </c>
      <c r="F238" s="98" t="inlineStr">
        <is>
          <t>Outlook/Guidance</t>
        </is>
      </c>
      <c r="G238" s="143" t="inlineStr">
        <is>
          <t>Nigel</t>
        </is>
      </c>
      <c r="H238" s="106" t="inlineStr">
        <is>
          <t>Human</t>
        </is>
      </c>
      <c r="I238" s="145" t="n">
        <v>-0.3</v>
      </c>
      <c r="J238" s="145">
        <f>IF(OR(I238="",Settings!$B$6=""),"",IF(I238&gt;Settings!$B$6,"BUY",IF(I238&lt;-Settings!$B$6,"SELL","HOLD")))</f>
        <v/>
      </c>
      <c r="K238" s="145" t="n">
        <v>10</v>
      </c>
      <c r="L238" s="125" t="n">
        <v>45848</v>
      </c>
      <c r="M238" s="140" t="n">
        <v>45848</v>
      </c>
      <c r="N238" s="147" t="n">
        <v>56.78</v>
      </c>
      <c r="O238" s="140" t="n">
        <v>45849</v>
      </c>
      <c r="P238" s="145" t="n">
        <v>56.23</v>
      </c>
      <c r="Q238" s="150">
        <f>IF(OR(N238="",P238=""),"",ROUND((P238-N238)/N238,4))</f>
        <v/>
      </c>
      <c r="R238" s="106">
        <f>IF(OR(N238="",P238=""),"",IF(Q238&gt;Settings!$B$3/100,"UP",IF(Q238&lt;-Settings!$B$3/100,"DOWN","FLAT")))</f>
        <v/>
      </c>
      <c r="S238" s="106">
        <f>IF(OR(N238="",P238="",J238=""),"",IF(OR(AND(J238="BUY",R238="UP"),AND(J238="SELL",R238="DOWN"),AND(J238="HOLD",R238="FLAT")),"YES","NO"))</f>
        <v/>
      </c>
      <c r="T238" s="105">
        <f>IF(J238="","",IF(J238="BUY",1,IF(J238="SELL",-1,0)))</f>
        <v/>
      </c>
      <c r="U238" s="150">
        <f>IFERROR(IF(OR(J238="",N238="",P238=""),"",IF(T238=0,0,T238*Q238-Settings!$B$4/10000-IF(T238&lt;0,Settings!$B$5/10000,0))),"")</f>
        <v/>
      </c>
      <c r="V238" s="7" t="inlineStr">
        <is>
          <t>Figures showing slow growth and does not match confident tone of outlook</t>
        </is>
      </c>
      <c r="W238" s="21">
        <f>IF($K238="","",$K238*60)</f>
        <v/>
      </c>
      <c r="X238" s="91">
        <f>IF($A238="","",$A238&amp;"|"&amp;$C238&amp;"|"&amp;$D238)</f>
        <v/>
      </c>
      <c r="Y238" s="91">
        <f>IFERROR(IF($X238="","",INDEX(LLM_Data_Entry!$H$3:$H$548,MATCH($X238,INDEX(LLM_Data_Entry!$A$3:$A$548&amp;"|"&amp;LLM_Data_Entry!$C$3:$C$548&amp;"|"&amp;LLM_Data_Entry!$D$3:$D$548,0),0))),"")</f>
        <v/>
      </c>
      <c r="Z238" s="91">
        <f>IFERROR(IF($X238="","",INDEX(LLM_Data_Entry!$R$3:$R$548,MATCH($X238,INDEX(LLM_Data_Entry!$A$3:$A$548&amp;"|"&amp;LLM_Data_Entry!$C$3:$C$548&amp;"|"&amp;LLM_Data_Entry!$D$3:$D$548,0),0))),"")</f>
        <v/>
      </c>
      <c r="AB238" t="inlineStr">
        <is>
          <t>price signal, re-derived — only this window shows an abnormal move</t>
        </is>
      </c>
      <c r="AC238" t="inlineStr">
        <is>
          <t>DAL</t>
        </is>
      </c>
      <c r="AD238" t="inlineStr">
        <is>
          <t>2025-07-09</t>
        </is>
      </c>
      <c r="AE238" t="n">
        <v>49.9754</v>
      </c>
      <c r="AF238" t="inlineStr">
        <is>
          <t>2025-07-10</t>
        </is>
      </c>
      <c r="AG238" t="n">
        <v>55.3968</v>
      </c>
      <c r="AH238" t="n">
        <v>0.1084811517633692</v>
      </c>
      <c r="AI238" t="inlineStr">
        <is>
          <t>UP</t>
        </is>
      </c>
      <c r="AJ238" t="inlineStr">
        <is>
          <t>NO</t>
        </is>
      </c>
      <c r="AK238" t="n">
        <v>-0.109481</v>
      </c>
      <c r="AL238">
        <f>IF($A238="","",IFERROR(INDEX(Company_List!$G$3:$G$207,MATCH($A238,Company_List!$A$3:$A$207,0)),"unassigned"))</f>
        <v/>
      </c>
      <c r="AM238" t="inlineStr">
        <is>
          <t>Phase 3/Readings/Delta/Q2/Delta-Air-Lines-Announces-Second-Quarter-2025.pdf</t>
        </is>
      </c>
      <c r="AO238" t="inlineStr">
        <is>
          <t>unique filename match</t>
        </is>
      </c>
      <c r="AP238">
        <f>IF($A238="","",IF(COUNTIFS(LLM_Data_Entry!$A$3:$A$548,$A238)&gt;0,"YES","NO"))</f>
        <v/>
      </c>
      <c r="AQ238">
        <f>IF($A238="","",IF(COUNTIFS($A$3:$A238,$A238,$C$3:$C238,$C238,$D$3:$D238,$D238)=1,"YES","NO"))</f>
        <v/>
      </c>
      <c r="AR238">
        <f>IF($A238="","",IF(AND($C238&amp;"-"&amp;$D238&gt;=Settings!$B$19,$C238&amp;"-"&amp;$D238&lt;=Settings!$B$20),"IN","OUT"))</f>
        <v/>
      </c>
      <c r="AS238">
        <f>IF($A238="","",IF($F238="Financial Results","financials",IF($F238="Outlook/Guidance","guidance",IF($F238="Transcript Q&amp;A","qanda",IF($F238="","unrecorded",IF($E238="All","full",IF($E238="","unrecorded",LOWER($E238)&amp;" only")))))))</f>
        <v/>
      </c>
      <c r="AT238">
        <f>IF(AND(OR($J238="BUY",$J238="SELL"),ISNUMBER($U238)),$U238,"")</f>
        <v/>
      </c>
      <c r="AU238">
        <f>IF(AND(OR($J238="BUY",$J238="SELL"),ISNUMBER($AK238)),$AK238,"")</f>
        <v/>
      </c>
      <c r="AV238">
        <f>IF(ISNUMBER($AT238),ABS(IF(ISNUMBER($I238),$I238,0)-Settings!$B$24),"")</f>
        <v/>
      </c>
      <c r="AW238">
        <f>IF(ISNUMBER($AV238),$AV238*$AT238,"")</f>
        <v/>
      </c>
      <c r="AX238">
        <f>IF(ISNUMBER($AU238),ABS(IF(ISNUMBER($I238),$I238,0)-Settings!$B$24),"")</f>
        <v/>
      </c>
      <c r="AY238">
        <f>IF(ISNUMBER($AX238),$AX238*$AU238,"")</f>
        <v/>
      </c>
      <c r="AZ238">
        <f>IF($A238="","",IFERROR(INDEX(Company_List!$H$3:$H$207,MATCH($A238,Company_List!$A$3:$A$207,0)),"unassigned"))</f>
        <v/>
      </c>
      <c r="BA238" t="n">
        <v>1</v>
      </c>
      <c r="BB238" t="n">
        <v>1</v>
      </c>
      <c r="BC238">
        <f>IF($A238="","",IF(COUNTIFS($A$3:$A238,$A238,$C$3:$C238,$C238,$D$3:$D238,$D238,$G$3:$G238,$G238)=1,1,0))</f>
        <v/>
      </c>
      <c r="BD238" t="n">
        <v>10</v>
      </c>
      <c r="BG238" t="inlineStr">
        <is>
          <t>no</t>
        </is>
      </c>
      <c r="BJ238" t="inlineStr">
        <is>
          <t>Nigel's Notes Phase 3.docx</t>
        </is>
      </c>
      <c r="BK238">
        <f>IF(OR($H238&lt;&gt;"Human",$S238="",$J238="",$Y238="",$Z238=""),"",IF(EXACT(UPPER($J238),UPPER($Y238)),1,0))</f>
        <v/>
      </c>
      <c r="BL238" t="inlineStr">
        <is>
          <t>assumed - rater record carries no blindness field</t>
        </is>
      </c>
      <c r="BM238" t="n">
        <v>1</v>
      </c>
      <c r="BN238" t="inlineStr">
        <is>
          <t>not publisher-identified</t>
        </is>
      </c>
      <c r="BO238" t="inlineStr">
        <is>
          <t>not publisher-identified</t>
        </is>
      </c>
      <c r="BP238" t="inlineStr">
        <is>
          <t>no</t>
        </is>
      </c>
      <c r="BQ238" t="inlineStr">
        <is>
          <t>no</t>
        </is>
      </c>
    </row>
    <row r="239">
      <c r="A239" s="115" t="inlineStr">
        <is>
          <t>Delta Air Lines</t>
        </is>
      </c>
      <c r="B239" s="116">
        <f>IF(A239="","",_xlfn.XLOOKUP(A239, Company_List!$A:$A, Company_List!$B:$B, ""))</f>
        <v/>
      </c>
      <c r="C239" s="143" t="n">
        <v>2025</v>
      </c>
      <c r="D239" s="143" t="inlineStr">
        <is>
          <t>Q3</t>
        </is>
      </c>
      <c r="E239" s="98" t="inlineStr">
        <is>
          <t>Transcript</t>
        </is>
      </c>
      <c r="F239" s="98" t="inlineStr">
        <is>
          <t>Transcript Q&amp;A</t>
        </is>
      </c>
      <c r="G239" s="143" t="inlineStr">
        <is>
          <t>Nigel</t>
        </is>
      </c>
      <c r="H239" s="106" t="inlineStr">
        <is>
          <t>Human</t>
        </is>
      </c>
      <c r="I239" s="145" t="n">
        <v>-0.4</v>
      </c>
      <c r="J239" s="145">
        <f>IF(OR(I239="",Settings!$B$6=""),"",IF(I239&gt;Settings!$B$6,"BUY",IF(I239&lt;-Settings!$B$6,"SELL","HOLD")))</f>
        <v/>
      </c>
      <c r="K239" s="145" t="n">
        <v>15</v>
      </c>
      <c r="L239" s="125" t="n">
        <v>45939</v>
      </c>
      <c r="M239" s="140" t="n">
        <v>45939</v>
      </c>
      <c r="N239" s="147" t="n">
        <v>59.57</v>
      </c>
      <c r="O239" s="140" t="n">
        <v>45940</v>
      </c>
      <c r="P239" s="145" t="n">
        <v>59.93</v>
      </c>
      <c r="Q239" s="150">
        <f>IF(OR(N239="",P239=""),"",ROUND((P239-N239)/N239,4))</f>
        <v/>
      </c>
      <c r="R239" s="106">
        <f>IF(OR(N239="",P239=""),"",IF(Q239&gt;Settings!$B$3/100,"UP",IF(Q239&lt;-Settings!$B$3/100,"DOWN","FLAT")))</f>
        <v/>
      </c>
      <c r="S239" s="106">
        <f>IF(OR(N239="",P239="",J239=""),"",IF(OR(AND(J239="BUY",R239="UP"),AND(J239="SELL",R239="DOWN"),AND(J239="HOLD",R239="FLAT")),"YES","NO"))</f>
        <v/>
      </c>
      <c r="T239" s="105">
        <f>IF(J239="","",IF(J239="BUY",1,IF(J239="SELL",-1,0)))</f>
        <v/>
      </c>
      <c r="U239" s="150">
        <f>IFERROR(IF(OR(J239="",N239="",P239=""),"",IF(T239=0,0,T239*Q239-Settings!$B$4/10000-IF(T239&lt;0,Settings!$B$5/10000,0))),"")</f>
        <v/>
      </c>
      <c r="V239" s="7" t="inlineStr">
        <is>
          <t>Dissapointing Q3 performance overall, new strategy planned</t>
        </is>
      </c>
      <c r="W239" s="21">
        <f>IF($K239="","",$K239*60)</f>
        <v/>
      </c>
      <c r="X239" s="91">
        <f>IF($A239="","",$A239&amp;"|"&amp;$C239&amp;"|"&amp;$D239)</f>
        <v/>
      </c>
      <c r="Y239" s="91">
        <f>IFERROR(IF($X239="","",INDEX(LLM_Data_Entry!$H$3:$H$548,MATCH($X239,INDEX(LLM_Data_Entry!$A$3:$A$548&amp;"|"&amp;LLM_Data_Entry!$C$3:$C$548&amp;"|"&amp;LLM_Data_Entry!$D$3:$D$548,0),0))),"")</f>
        <v/>
      </c>
      <c r="Z239" s="91">
        <f>IFERROR(IF($X239="","",INDEX(LLM_Data_Entry!$R$3:$R$548,MATCH($X239,INDEX(LLM_Data_Entry!$A$3:$A$548&amp;"|"&amp;LLM_Data_Entry!$C$3:$C$548&amp;"|"&amp;LLM_Data_Entry!$D$3:$D$548,0),0))),"")</f>
        <v/>
      </c>
      <c r="AB239" t="inlineStr">
        <is>
          <t>price signal, re-derived — only this window shows an abnormal move</t>
        </is>
      </c>
      <c r="AC239" t="inlineStr">
        <is>
          <t>DAL</t>
        </is>
      </c>
      <c r="AD239" t="inlineStr">
        <is>
          <t>2025-10-08</t>
        </is>
      </c>
      <c r="AE239" t="n">
        <v>56.5019</v>
      </c>
      <c r="AF239" t="inlineStr">
        <is>
          <t>2025-10-09</t>
        </is>
      </c>
      <c r="AG239" t="n">
        <v>61.2301</v>
      </c>
      <c r="AH239" t="n">
        <v>0.08368354782184646</v>
      </c>
      <c r="AI239" t="inlineStr">
        <is>
          <t>UP</t>
        </is>
      </c>
      <c r="AJ239" t="inlineStr">
        <is>
          <t>NO</t>
        </is>
      </c>
      <c r="AK239" t="n">
        <v>-0.084684</v>
      </c>
      <c r="AL239">
        <f>IF($A239="","",IFERROR(INDEX(Company_List!$G$3:$G$207,MATCH($A239,Company_List!$A$3:$A$207,0)),"unassigned"))</f>
        <v/>
      </c>
      <c r="AM239" t="inlineStr">
        <is>
          <t>Phase 3/Readings/Delta/Q3/CORRECTED-TRANSCRIPT-Delta-Air-Lines-Inc-DAL-US-Q3-2025-Earnings-Call.pdf</t>
        </is>
      </c>
      <c r="AO239" t="inlineStr">
        <is>
          <t>unique filename match</t>
        </is>
      </c>
      <c r="AP239">
        <f>IF($A239="","",IF(COUNTIFS(LLM_Data_Entry!$A$3:$A$548,$A239)&gt;0,"YES","NO"))</f>
        <v/>
      </c>
      <c r="AQ239">
        <f>IF($A239="","",IF(COUNTIFS($A$3:$A239,$A239,$C$3:$C239,$C239,$D$3:$D239,$D239)=1,"YES","NO"))</f>
        <v/>
      </c>
      <c r="AR239">
        <f>IF($A239="","",IF(AND($C239&amp;"-"&amp;$D239&gt;=Settings!$B$19,$C239&amp;"-"&amp;$D239&lt;=Settings!$B$20),"IN","OUT"))</f>
        <v/>
      </c>
      <c r="AS239">
        <f>IF($A239="","",IF($F239="Financial Results","financials",IF($F239="Outlook/Guidance","guidance",IF($F239="Transcript Q&amp;A","qanda",IF($F239="","unrecorded",IF($E239="All","full",IF($E239="","unrecorded",LOWER($E239)&amp;" only")))))))</f>
        <v/>
      </c>
      <c r="AT239">
        <f>IF(AND(OR($J239="BUY",$J239="SELL"),ISNUMBER($U239)),$U239,"")</f>
        <v/>
      </c>
      <c r="AU239">
        <f>IF(AND(OR($J239="BUY",$J239="SELL"),ISNUMBER($AK239)),$AK239,"")</f>
        <v/>
      </c>
      <c r="AV239">
        <f>IF(ISNUMBER($AT239),ABS(IF(ISNUMBER($I239),$I239,0)-Settings!$B$24),"")</f>
        <v/>
      </c>
      <c r="AW239">
        <f>IF(ISNUMBER($AV239),$AV239*$AT239,"")</f>
        <v/>
      </c>
      <c r="AX239">
        <f>IF(ISNUMBER($AU239),ABS(IF(ISNUMBER($I239),$I239,0)-Settings!$B$24),"")</f>
        <v/>
      </c>
      <c r="AY239">
        <f>IF(ISNUMBER($AX239),$AX239*$AU239,"")</f>
        <v/>
      </c>
      <c r="AZ239">
        <f>IF($A239="","",IFERROR(INDEX(Company_List!$H$3:$H$207,MATCH($A239,Company_List!$A$3:$A$207,0)),"unassigned"))</f>
        <v/>
      </c>
      <c r="BA239" t="n">
        <v>1</v>
      </c>
      <c r="BB239" t="n">
        <v>1</v>
      </c>
      <c r="BC239">
        <f>IF($A239="","",IF(COUNTIFS($A$3:$A239,$A239,$C$3:$C239,$C239,$D$3:$D239,$D239,$G$3:$G239,$G239)=1,1,0))</f>
        <v/>
      </c>
      <c r="BD239" t="n">
        <v>15</v>
      </c>
      <c r="BG239" t="inlineStr">
        <is>
          <t>no</t>
        </is>
      </c>
      <c r="BJ239" t="inlineStr">
        <is>
          <t>Nigel's Notes Phase 3.docx</t>
        </is>
      </c>
      <c r="BK239">
        <f>IF(OR($H239&lt;&gt;"Human",$S239="",$J239="",$Y239="",$Z239=""),"",IF(EXACT(UPPER($J239),UPPER($Y239)),1,0))</f>
        <v/>
      </c>
      <c r="BL239" t="inlineStr">
        <is>
          <t>assumed - rater record carries no blindness field</t>
        </is>
      </c>
      <c r="BM239" t="n">
        <v>1</v>
      </c>
      <c r="BN239" t="inlineStr">
        <is>
          <t>FactSet CallStreet</t>
        </is>
      </c>
      <c r="BO239" t="inlineStr">
        <is>
          <t>licensed vendor</t>
        </is>
      </c>
      <c r="BP239" t="inlineStr">
        <is>
          <t>no</t>
        </is>
      </c>
      <c r="BQ239" t="inlineStr">
        <is>
          <t>no</t>
        </is>
      </c>
    </row>
    <row r="240">
      <c r="A240" s="115" t="inlineStr">
        <is>
          <t>Delta Air Lines</t>
        </is>
      </c>
      <c r="B240" s="116">
        <f>IF(A240="","",_xlfn.XLOOKUP(A240, Company_List!$A:$A, Company_List!$B:$B, ""))</f>
        <v/>
      </c>
      <c r="C240" s="143" t="n">
        <v>2025</v>
      </c>
      <c r="D240" s="143" t="inlineStr">
        <is>
          <t>Q4</t>
        </is>
      </c>
      <c r="E240" s="98" t="inlineStr">
        <is>
          <t>All</t>
        </is>
      </c>
      <c r="F240" s="98" t="inlineStr">
        <is>
          <t>All</t>
        </is>
      </c>
      <c r="G240" s="143" t="inlineStr">
        <is>
          <t>Nigel</t>
        </is>
      </c>
      <c r="H240" s="106" t="inlineStr">
        <is>
          <t>Human</t>
        </is>
      </c>
      <c r="I240" s="145" t="n">
        <v>0.5</v>
      </c>
      <c r="J240" s="145">
        <f>IF(OR(I240="",Settings!$B$6=""),"",IF(I240&gt;Settings!$B$6,"BUY",IF(I240&lt;-Settings!$B$6,"SELL","HOLD")))</f>
        <v/>
      </c>
      <c r="K240" s="145" t="n">
        <v>25</v>
      </c>
      <c r="L240" s="125" t="n">
        <v>46035</v>
      </c>
      <c r="M240" s="140" t="n">
        <v>45670</v>
      </c>
      <c r="N240" s="147" t="n">
        <v>69.33</v>
      </c>
      <c r="O240" s="140" t="n">
        <v>46036</v>
      </c>
      <c r="P240" s="145" t="n">
        <v>69.39</v>
      </c>
      <c r="Q240" s="150">
        <f>IF(OR(N240="",P240=""),"",ROUND((P240-N240)/N240,4))</f>
        <v/>
      </c>
      <c r="R240" s="106">
        <f>IF(OR(N240="",P240=""),"",IF(Q240&gt;Settings!$B$3/100,"UP",IF(Q240&lt;-Settings!$B$3/100,"DOWN","FLAT")))</f>
        <v/>
      </c>
      <c r="S240" s="106">
        <f>IF(OR(N240="",P240="",J240=""),"",IF(OR(AND(J240="BUY",R240="UP"),AND(J240="SELL",R240="DOWN"),AND(J240="HOLD",R240="FLAT")),"YES","NO"))</f>
        <v/>
      </c>
      <c r="T240" s="105">
        <f>IF(J240="","",IF(J240="BUY",1,IF(J240="SELL",-1,0)))</f>
        <v/>
      </c>
      <c r="U240" s="150">
        <f>IFERROR(IF(OR(J240="",N240="",P240=""),"",IF(T240=0,0,T240*Q240-Settings!$B$4/10000-IF(T240&lt;0,Settings!$B$5/10000,0))),"")</f>
        <v/>
      </c>
      <c r="V240" s="7" t="inlineStr">
        <is>
          <t>Record performance, confident tone for outlook ahead, strategy on premium focus seems to be working in their favour</t>
        </is>
      </c>
      <c r="W240" s="21">
        <f>IF($K240="","",$K240*60)</f>
        <v/>
      </c>
      <c r="X240" s="91">
        <f>IF($A240="","",$A240&amp;"|"&amp;$C240&amp;"|"&amp;$D240)</f>
        <v/>
      </c>
      <c r="Y240" s="91">
        <f>IFERROR(IF($X240="","",INDEX(LLM_Data_Entry!$H$3:$H$548,MATCH($X240,INDEX(LLM_Data_Entry!$A$3:$A$548&amp;"|"&amp;LLM_Data_Entry!$C$3:$C$548&amp;"|"&amp;LLM_Data_Entry!$D$3:$D$548,0),0))),"")</f>
        <v/>
      </c>
      <c r="Z240" s="91">
        <f>IFERROR(IF($X240="","",INDEX(LLM_Data_Entry!$R$3:$R$548,MATCH($X240,INDEX(LLM_Data_Entry!$A$3:$A$548&amp;"|"&amp;LLM_Data_Entry!$C$3:$C$548&amp;"|"&amp;LLM_Data_Entry!$D$3:$D$548,0),0))),"")</f>
        <v/>
      </c>
      <c r="AB240" t="inlineStr">
        <is>
          <t>price signal, re-derived — only this window shows an abnormal move</t>
        </is>
      </c>
      <c r="AC240" t="inlineStr">
        <is>
          <t>DAL</t>
        </is>
      </c>
      <c r="AD240" t="inlineStr">
        <is>
          <t>2026-01-12</t>
        </is>
      </c>
      <c r="AE240" t="n">
        <v>70.4761</v>
      </c>
      <c r="AF240" t="inlineStr">
        <is>
          <t>2026-01-13</t>
        </is>
      </c>
      <c r="AG240" t="n">
        <v>67.5689</v>
      </c>
      <c r="AH240" t="n">
        <v>-0.04125015395831894</v>
      </c>
      <c r="AI240" t="inlineStr">
        <is>
          <t>DOWN</t>
        </is>
      </c>
      <c r="AJ240" t="inlineStr">
        <is>
          <t>NO</t>
        </is>
      </c>
      <c r="AK240" t="n">
        <v>-0.04225</v>
      </c>
      <c r="AL240">
        <f>IF($A240="","",IFERROR(INDEX(Company_List!$G$3:$G$207,MATCH($A240,Company_List!$A$3:$A$207,0)),"unassigned"))</f>
        <v/>
      </c>
      <c r="AM240" t="inlineStr">
        <is>
          <t>Phase 3/Readings/Delta/Q4/Delta-Air-Lines-Announces-Fourth-Quarter-2025.pdf; Phase 3/Readings/Delta/Q4/DAL-12-31-2025-10K-2-10-26-Filed.pdf; Phase 3/Readings/Delta/Q4/CORRECTED-TRANSCRIPT-Delta-Air-Lines-Inc-DAL-US-Q4-2025-Earnings-Call.pdf</t>
        </is>
      </c>
      <c r="AO240" t="inlineStr">
        <is>
          <t>whole bundle (Document = All)</t>
        </is>
      </c>
      <c r="AP240">
        <f>IF($A240="","",IF(COUNTIFS(LLM_Data_Entry!$A$3:$A$548,$A240)&gt;0,"YES","NO"))</f>
        <v/>
      </c>
      <c r="AQ240">
        <f>IF($A240="","",IF(COUNTIFS($A$3:$A240,$A240,$C$3:$C240,$C240,$D$3:$D240,$D240)=1,"YES","NO"))</f>
        <v/>
      </c>
      <c r="AR240">
        <f>IF($A240="","",IF(AND($C240&amp;"-"&amp;$D240&gt;=Settings!$B$19,$C240&amp;"-"&amp;$D240&lt;=Settings!$B$20),"IN","OUT"))</f>
        <v/>
      </c>
      <c r="AS240">
        <f>IF($A240="","",IF($F240="Financial Results","financials",IF($F240="Outlook/Guidance","guidance",IF($F240="Transcript Q&amp;A","qanda",IF($F240="","unrecorded",IF($E240="All","full",IF($E240="","unrecorded",LOWER($E240)&amp;" only")))))))</f>
        <v/>
      </c>
      <c r="AT240">
        <f>IF(AND(OR($J240="BUY",$J240="SELL"),ISNUMBER($U240)),$U240,"")</f>
        <v/>
      </c>
      <c r="AU240">
        <f>IF(AND(OR($J240="BUY",$J240="SELL"),ISNUMBER($AK240)),$AK240,"")</f>
        <v/>
      </c>
      <c r="AV240">
        <f>IF(ISNUMBER($AT240),ABS(IF(ISNUMBER($I240),$I240,0)-Settings!$B$24),"")</f>
        <v/>
      </c>
      <c r="AW240">
        <f>IF(ISNUMBER($AV240),$AV240*$AT240,"")</f>
        <v/>
      </c>
      <c r="AX240">
        <f>IF(ISNUMBER($AU240),ABS(IF(ISNUMBER($I240),$I240,0)-Settings!$B$24),"")</f>
        <v/>
      </c>
      <c r="AY240">
        <f>IF(ISNUMBER($AX240),$AX240*$AU240,"")</f>
        <v/>
      </c>
      <c r="AZ240">
        <f>IF($A240="","",IFERROR(INDEX(Company_List!$H$3:$H$207,MATCH($A240,Company_List!$A$3:$A$207,0)),"unassigned"))</f>
        <v/>
      </c>
      <c r="BA240" t="n">
        <v>1</v>
      </c>
      <c r="BB240" t="n">
        <v>1</v>
      </c>
      <c r="BC240">
        <f>IF($A240="","",IF(COUNTIFS($A$3:$A240,$A240,$C$3:$C240,$C240,$D$3:$D240,$D240,$G$3:$G240,$G240)=1,1,0))</f>
        <v/>
      </c>
      <c r="BD240" t="n">
        <v>25</v>
      </c>
      <c r="BG240" t="inlineStr">
        <is>
          <t>no</t>
        </is>
      </c>
      <c r="BJ240" t="inlineStr">
        <is>
          <t>Nigel's Notes Phase 3.docx</t>
        </is>
      </c>
      <c r="BK240">
        <f>IF(OR($H240&lt;&gt;"Human",$S240="",$J240="",$Y240="",$Z240=""),"",IF(EXACT(UPPER($J240),UPPER($Y240)),1,0))</f>
        <v/>
      </c>
      <c r="BL240" t="inlineStr">
        <is>
          <t>assumed - rater record carries no blindness field</t>
        </is>
      </c>
      <c r="BM240" t="n">
        <v>3</v>
      </c>
      <c r="BN240" t="inlineStr">
        <is>
          <t>FactSet CallStreet</t>
        </is>
      </c>
      <c r="BO240" t="inlineStr">
        <is>
          <t>licensed vendor</t>
        </is>
      </c>
      <c r="BP240" t="inlineStr">
        <is>
          <t>one of several</t>
        </is>
      </c>
      <c r="BQ240" t="inlineStr">
        <is>
          <t>no</t>
        </is>
      </c>
    </row>
    <row r="241">
      <c r="A241" s="115" t="inlineStr">
        <is>
          <t>Workday</t>
        </is>
      </c>
      <c r="B241" s="116">
        <f>IF(A241="","",_xlfn.XLOOKUP(A241, Company_List!$A:$A, Company_List!$B:$B, ""))</f>
        <v/>
      </c>
      <c r="C241" s="143" t="n">
        <v>2025</v>
      </c>
      <c r="D241" s="143" t="inlineStr">
        <is>
          <t>Q1</t>
        </is>
      </c>
      <c r="E241" s="98" t="inlineStr">
        <is>
          <t>Press Release Document</t>
        </is>
      </c>
      <c r="F241" s="98" t="inlineStr">
        <is>
          <t>Outlook/Guidance</t>
        </is>
      </c>
      <c r="G241" s="143" t="inlineStr">
        <is>
          <t>Nigel</t>
        </is>
      </c>
      <c r="H241" s="106" t="inlineStr">
        <is>
          <t>Human</t>
        </is>
      </c>
      <c r="I241" s="145" t="n">
        <v>0.8</v>
      </c>
      <c r="J241" s="145">
        <f>IF(OR(I241="",Settings!$B$6=""),"",IF(I241&gt;Settings!$B$6,"BUY",IF(I241&lt;-Settings!$B$6,"SELL","HOLD")))</f>
        <v/>
      </c>
      <c r="K241" s="145" t="n">
        <v>3</v>
      </c>
      <c r="L241" s="125" t="n">
        <v>45435</v>
      </c>
      <c r="M241" s="140" t="n">
        <v>45435</v>
      </c>
      <c r="N241" s="147" t="n">
        <v>260.9</v>
      </c>
      <c r="O241" s="140" t="n">
        <v>45436</v>
      </c>
      <c r="P241" s="145" t="n">
        <v>232.19</v>
      </c>
      <c r="Q241" s="150">
        <f>IF(OR(N241="",P241=""),"",ROUND((P241-N241)/N241,4))</f>
        <v/>
      </c>
      <c r="R241" s="106">
        <f>IF(OR(N241="",P241=""),"",IF(Q241&gt;Settings!$B$3/100,"UP",IF(Q241&lt;-Settings!$B$3/100,"DOWN","FLAT")))</f>
        <v/>
      </c>
      <c r="S241" s="106">
        <f>IF(OR(N241="",P241="",J241=""),"",IF(OR(AND(J241="BUY",R241="UP"),AND(J241="SELL",R241="DOWN"),AND(J241="HOLD",R241="FLAT")),"YES","NO"))</f>
        <v/>
      </c>
      <c r="T241" s="105">
        <f>IF(J241="","",IF(J241="BUY",1,IF(J241="SELL",-1,0)))</f>
        <v/>
      </c>
      <c r="U241" s="150">
        <f>IFERROR(IF(OR(J241="",N241="",P241=""),"",IF(T241=0,0,T241*Q241-Settings!$B$4/10000-IF(T241&lt;0,Settings!$B$5/10000,0))),"")</f>
        <v/>
      </c>
      <c r="V241" s="7" t="inlineStr">
        <is>
          <t>Workday fiscal year ends in Jan so all releases for FY2025 is released in 2024</t>
        </is>
      </c>
      <c r="W241" s="21">
        <f>IF($K241="","",$K241*60)</f>
        <v/>
      </c>
      <c r="X241" s="91">
        <f>IF($A241="","",$A241&amp;"|"&amp;$C241&amp;"|"&amp;$D241)</f>
        <v/>
      </c>
      <c r="Y241" s="91">
        <f>IFERROR(IF($X241="","",INDEX(LLM_Data_Entry!$H$3:$H$548,MATCH($X241,INDEX(LLM_Data_Entry!$A$3:$A$548&amp;"|"&amp;LLM_Data_Entry!$C$3:$C$548&amp;"|"&amp;LLM_Data_Entry!$D$3:$D$548,0),0))),"")</f>
        <v/>
      </c>
      <c r="Z241" s="91">
        <f>IFERROR(IF($X241="","",INDEX(LLM_Data_Entry!$R$3:$R$548,MATCH($X241,INDEX(LLM_Data_Entry!$A$3:$A$548&amp;"|"&amp;LLM_Data_Entry!$C$3:$C$548&amp;"|"&amp;LLM_Data_Entry!$D$3:$D$548,0),0))),"")</f>
        <v/>
      </c>
      <c r="AL241">
        <f>IF($A241="","",IFERROR(INDEX(Company_List!$G$3:$G$207,MATCH($A241,Company_List!$A$3:$A$207,0)),"unassigned"))</f>
        <v/>
      </c>
      <c r="AM241" t="inlineStr">
        <is>
          <t>Phase 3/Readings/Workday/Q1/Workday-Announces-Fiscal-2025-First-Quarter-Financial-Results-05-23-2024-2024.pdf</t>
        </is>
      </c>
      <c r="AO241" t="inlineStr">
        <is>
          <t>unique filename match</t>
        </is>
      </c>
      <c r="AP241">
        <f>IF($A241="","",IF(COUNTIFS(LLM_Data_Entry!$A$3:$A$548,$A241)&gt;0,"YES","NO"))</f>
        <v/>
      </c>
      <c r="AQ241">
        <f>IF($A241="","",IF(COUNTIFS($A$3:$A241,$A241,$C$3:$C241,$C241,$D$3:$D241,$D241)=1,"YES","NO"))</f>
        <v/>
      </c>
      <c r="AR241">
        <f>IF($A241="","",IF(AND($C241&amp;"-"&amp;$D241&gt;=Settings!$B$19,$C241&amp;"-"&amp;$D241&lt;=Settings!$B$20),"IN","OUT"))</f>
        <v/>
      </c>
      <c r="AS241">
        <f>IF($A241="","",IF($F241="Financial Results","financials",IF($F241="Outlook/Guidance","guidance",IF($F241="Transcript Q&amp;A","qanda",IF($F241="","unrecorded",IF($E241="All","full",IF($E241="","unrecorded",LOWER($E241)&amp;" only")))))))</f>
        <v/>
      </c>
      <c r="AT241">
        <f>IF(AND(OR($J241="BUY",$J241="SELL"),ISNUMBER($U241)),$U241,"")</f>
        <v/>
      </c>
      <c r="AU241">
        <f>IF(AND(OR($J241="BUY",$J241="SELL"),ISNUMBER($AK241)),$AK241,"")</f>
        <v/>
      </c>
      <c r="AV241">
        <f>IF(ISNUMBER($AT241),ABS(IF(ISNUMBER($I241),$I241,0)-Settings!$B$24),"")</f>
        <v/>
      </c>
      <c r="AW241">
        <f>IF(ISNUMBER($AV241),$AV241*$AT241,"")</f>
        <v/>
      </c>
      <c r="AX241">
        <f>IF(ISNUMBER($AU241),ABS(IF(ISNUMBER($I241),$I241,0)-Settings!$B$24),"")</f>
        <v/>
      </c>
      <c r="AY241">
        <f>IF(ISNUMBER($AX241),$AX241*$AU241,"")</f>
        <v/>
      </c>
      <c r="AZ241">
        <f>IF($A241="","",IFERROR(INDEX(Company_List!$H$3:$H$207,MATCH($A241,Company_List!$A$3:$A$207,0)),"unassigned"))</f>
        <v/>
      </c>
      <c r="BA241" t="n">
        <v>1</v>
      </c>
      <c r="BB241" t="n">
        <v>1</v>
      </c>
      <c r="BC241">
        <f>IF($A241="","",IF(COUNTIFS($A$3:$A241,$A241,$C$3:$C241,$C241,$D$3:$D241,$D241,$G$3:$G241,$G241)=1,1,0))</f>
        <v/>
      </c>
      <c r="BD241" t="n">
        <v>3</v>
      </c>
      <c r="BG241" t="inlineStr">
        <is>
          <t>no</t>
        </is>
      </c>
      <c r="BJ241" t="inlineStr">
        <is>
          <t>Nigel's Notes Phase 3.docx</t>
        </is>
      </c>
      <c r="BK241">
        <f>IF(OR($H241&lt;&gt;"Human",$S241="",$J241="",$Y241="",$Z241=""),"",IF(EXACT(UPPER($J241),UPPER($Y241)),1,0))</f>
        <v/>
      </c>
      <c r="BL241" t="inlineStr">
        <is>
          <t>assumed - rater record carries no blindness field</t>
        </is>
      </c>
      <c r="BM241" t="n">
        <v>1</v>
      </c>
      <c r="BN241" t="inlineStr">
        <is>
          <t>not publisher-identified</t>
        </is>
      </c>
      <c r="BO241" t="inlineStr">
        <is>
          <t>not publisher-identified</t>
        </is>
      </c>
      <c r="BP241" t="inlineStr">
        <is>
          <t>no</t>
        </is>
      </c>
      <c r="BQ241" t="inlineStr">
        <is>
          <t>no</t>
        </is>
      </c>
    </row>
    <row r="242">
      <c r="A242" s="115" t="inlineStr">
        <is>
          <t>Workday</t>
        </is>
      </c>
      <c r="B242" s="116">
        <f>IF(A242="","",_xlfn.XLOOKUP(A242, Company_List!$A:$A, Company_List!$B:$B, ""))</f>
        <v/>
      </c>
      <c r="C242" s="143" t="n">
        <v>2025</v>
      </c>
      <c r="D242" s="143" t="inlineStr">
        <is>
          <t>Q2</t>
        </is>
      </c>
      <c r="E242" s="98" t="inlineStr">
        <is>
          <t>Press Release Document</t>
        </is>
      </c>
      <c r="F242" s="98" t="inlineStr">
        <is>
          <t>Financial Results</t>
        </is>
      </c>
      <c r="G242" s="143" t="inlineStr">
        <is>
          <t>Nigel</t>
        </is>
      </c>
      <c r="H242" s="106" t="inlineStr">
        <is>
          <t>Human</t>
        </is>
      </c>
      <c r="I242" s="145" t="n">
        <v>0.8</v>
      </c>
      <c r="J242" s="145">
        <f>IF(OR(I242="",Settings!$B$6=""),"",IF(I242&gt;Settings!$B$6,"BUY",IF(I242&lt;-Settings!$B$6,"SELL","HOLD")))</f>
        <v/>
      </c>
      <c r="K242" s="145" t="n">
        <v>6</v>
      </c>
      <c r="L242" s="125" t="n">
        <v>45526</v>
      </c>
      <c r="M242" s="140" t="n">
        <v>45526</v>
      </c>
      <c r="N242" s="147" t="n">
        <v>231.08</v>
      </c>
      <c r="O242" s="140" t="n">
        <v>45527</v>
      </c>
      <c r="P242" s="145" t="n">
        <v>264.99</v>
      </c>
      <c r="Q242" s="150">
        <f>IF(OR(N242="",P242=""),"",ROUND((P242-N242)/N242,4))</f>
        <v/>
      </c>
      <c r="R242" s="106">
        <f>IF(OR(N242="",P242=""),"",IF(Q242&gt;Settings!$B$3/100,"UP",IF(Q242&lt;-Settings!$B$3/100,"DOWN","FLAT")))</f>
        <v/>
      </c>
      <c r="S242" s="106">
        <f>IF(OR(N242="",P242="",J242=""),"",IF(OR(AND(J242="BUY",R242="UP"),AND(J242="SELL",R242="DOWN"),AND(J242="HOLD",R242="FLAT")),"YES","NO"))</f>
        <v/>
      </c>
      <c r="T242" s="105">
        <f>IF(J242="","",IF(J242="BUY",1,IF(J242="SELL",-1,0)))</f>
        <v/>
      </c>
      <c r="U242" s="150">
        <f>IFERROR(IF(OR(J242="",N242="",P242=""),"",IF(T242=0,0,T242*Q242-Settings!$B$4/10000-IF(T242&lt;0,Settings!$B$5/10000,0))),"")</f>
        <v/>
      </c>
      <c r="W242" s="21">
        <f>IF($K242="","",$K242*60)</f>
        <v/>
      </c>
      <c r="X242" s="91">
        <f>IF($A242="","",$A242&amp;"|"&amp;$C242&amp;"|"&amp;$D242)</f>
        <v/>
      </c>
      <c r="Y242" s="91">
        <f>IFERROR(IF($X242="","",INDEX(LLM_Data_Entry!$H$3:$H$548,MATCH($X242,INDEX(LLM_Data_Entry!$A$3:$A$548&amp;"|"&amp;LLM_Data_Entry!$C$3:$C$548&amp;"|"&amp;LLM_Data_Entry!$D$3:$D$548,0),0))),"")</f>
        <v/>
      </c>
      <c r="Z242" s="91">
        <f>IFERROR(IF($X242="","",INDEX(LLM_Data_Entry!$R$3:$R$548,MATCH($X242,INDEX(LLM_Data_Entry!$A$3:$A$548&amp;"|"&amp;LLM_Data_Entry!$C$3:$C$548&amp;"|"&amp;LLM_Data_Entry!$D$3:$D$548,0),0))),"")</f>
        <v/>
      </c>
      <c r="AL242">
        <f>IF($A242="","",IFERROR(INDEX(Company_List!$G$3:$G$207,MATCH($A242,Company_List!$A$3:$A$207,0)),"unassigned"))</f>
        <v/>
      </c>
      <c r="AM242" t="inlineStr">
        <is>
          <t>Phase 3/Readings/Workday/Q2/Workday-Announces-Fiscal-2025-Second-Quarter-Financial-Results-08-22-2024-2024.pdf</t>
        </is>
      </c>
      <c r="AO242" t="inlineStr">
        <is>
          <t>unique filename match</t>
        </is>
      </c>
      <c r="AP242">
        <f>IF($A242="","",IF(COUNTIFS(LLM_Data_Entry!$A$3:$A$548,$A242)&gt;0,"YES","NO"))</f>
        <v/>
      </c>
      <c r="AQ242">
        <f>IF($A242="","",IF(COUNTIFS($A$3:$A242,$A242,$C$3:$C242,$C242,$D$3:$D242,$D242)=1,"YES","NO"))</f>
        <v/>
      </c>
      <c r="AR242">
        <f>IF($A242="","",IF(AND($C242&amp;"-"&amp;$D242&gt;=Settings!$B$19,$C242&amp;"-"&amp;$D242&lt;=Settings!$B$20),"IN","OUT"))</f>
        <v/>
      </c>
      <c r="AS242">
        <f>IF($A242="","",IF($F242="Financial Results","financials",IF($F242="Outlook/Guidance","guidance",IF($F242="Transcript Q&amp;A","qanda",IF($F242="","unrecorded",IF($E242="All","full",IF($E242="","unrecorded",LOWER($E242)&amp;" only")))))))</f>
        <v/>
      </c>
      <c r="AT242">
        <f>IF(AND(OR($J242="BUY",$J242="SELL"),ISNUMBER($U242)),$U242,"")</f>
        <v/>
      </c>
      <c r="AU242">
        <f>IF(AND(OR($J242="BUY",$J242="SELL"),ISNUMBER($AK242)),$AK242,"")</f>
        <v/>
      </c>
      <c r="AV242">
        <f>IF(ISNUMBER($AT242),ABS(IF(ISNUMBER($I242),$I242,0)-Settings!$B$24),"")</f>
        <v/>
      </c>
      <c r="AW242">
        <f>IF(ISNUMBER($AV242),$AV242*$AT242,"")</f>
        <v/>
      </c>
      <c r="AX242">
        <f>IF(ISNUMBER($AU242),ABS(IF(ISNUMBER($I242),$I242,0)-Settings!$B$24),"")</f>
        <v/>
      </c>
      <c r="AY242">
        <f>IF(ISNUMBER($AX242),$AX242*$AU242,"")</f>
        <v/>
      </c>
      <c r="AZ242">
        <f>IF($A242="","",IFERROR(INDEX(Company_List!$H$3:$H$207,MATCH($A242,Company_List!$A$3:$A$207,0)),"unassigned"))</f>
        <v/>
      </c>
      <c r="BA242" t="n">
        <v>1</v>
      </c>
      <c r="BB242" t="n">
        <v>1</v>
      </c>
      <c r="BC242">
        <f>IF($A242="","",IF(COUNTIFS($A$3:$A242,$A242,$C$3:$C242,$C242,$D$3:$D242,$D242,$G$3:$G242,$G242)=1,1,0))</f>
        <v/>
      </c>
      <c r="BD242" t="n">
        <v>6</v>
      </c>
      <c r="BG242" t="inlineStr">
        <is>
          <t>no</t>
        </is>
      </c>
      <c r="BJ242" t="inlineStr">
        <is>
          <t>Nigel's Notes Phase 3.docx</t>
        </is>
      </c>
      <c r="BK242">
        <f>IF(OR($H242&lt;&gt;"Human",$S242="",$J242="",$Y242="",$Z242=""),"",IF(EXACT(UPPER($J242),UPPER($Y242)),1,0))</f>
        <v/>
      </c>
      <c r="BL242" t="inlineStr">
        <is>
          <t>assumed - rater record carries no blindness field</t>
        </is>
      </c>
      <c r="BM242" t="n">
        <v>1</v>
      </c>
      <c r="BN242" t="inlineStr">
        <is>
          <t>not publisher-identified</t>
        </is>
      </c>
      <c r="BO242" t="inlineStr">
        <is>
          <t>not publisher-identified</t>
        </is>
      </c>
      <c r="BP242" t="inlineStr">
        <is>
          <t>no</t>
        </is>
      </c>
      <c r="BQ242" t="inlineStr">
        <is>
          <t>no</t>
        </is>
      </c>
    </row>
    <row r="243">
      <c r="A243" s="115" t="inlineStr">
        <is>
          <t>Workday</t>
        </is>
      </c>
      <c r="B243" s="116">
        <f>IF(A243="","",_xlfn.XLOOKUP(A243, Company_List!$A:$A, Company_List!$B:$B, ""))</f>
        <v/>
      </c>
      <c r="C243" s="143" t="n">
        <v>2025</v>
      </c>
      <c r="D243" s="143" t="inlineStr">
        <is>
          <t>Q3</t>
        </is>
      </c>
      <c r="E243" s="98" t="inlineStr">
        <is>
          <t>Transcript</t>
        </is>
      </c>
      <c r="F243" s="98" t="inlineStr">
        <is>
          <t>Transcript Q&amp;A</t>
        </is>
      </c>
      <c r="G243" s="143" t="inlineStr">
        <is>
          <t>Nigel</t>
        </is>
      </c>
      <c r="H243" s="106" t="inlineStr">
        <is>
          <t>Human</t>
        </is>
      </c>
      <c r="I243" s="145" t="n">
        <v>0.9</v>
      </c>
      <c r="J243" s="145">
        <f>IF(OR(I243="",Settings!$B$6=""),"",IF(I243&gt;Settings!$B$6,"BUY",IF(I243&lt;-Settings!$B$6,"SELL","HOLD")))</f>
        <v/>
      </c>
      <c r="K243" s="145" t="n">
        <v>14</v>
      </c>
      <c r="L243" s="125" t="n">
        <v>45622</v>
      </c>
      <c r="M243" s="140" t="n">
        <v>45622</v>
      </c>
      <c r="N243" s="147" t="n">
        <v>270.19</v>
      </c>
      <c r="O243" s="140" t="n">
        <v>45623</v>
      </c>
      <c r="P243" s="145" t="n">
        <v>237.5</v>
      </c>
      <c r="Q243" s="150">
        <f>IF(OR(N243="",P243=""),"",ROUND((P243-N243)/N243,4))</f>
        <v/>
      </c>
      <c r="R243" s="106">
        <f>IF(OR(N243="",P243=""),"",IF(Q243&gt;Settings!$B$3/100,"UP",IF(Q243&lt;-Settings!$B$3/100,"DOWN","FLAT")))</f>
        <v/>
      </c>
      <c r="S243" s="106">
        <f>IF(OR(N243="",P243="",J243=""),"",IF(OR(AND(J243="BUY",R243="UP"),AND(J243="SELL",R243="DOWN"),AND(J243="HOLD",R243="FLAT")),"YES","NO"))</f>
        <v/>
      </c>
      <c r="T243" s="105">
        <f>IF(J243="","",IF(J243="BUY",1,IF(J243="SELL",-1,0)))</f>
        <v/>
      </c>
      <c r="U243" s="150">
        <f>IFERROR(IF(OR(J243="",N243="",P243=""),"",IF(T243=0,0,T243*Q243-Settings!$B$4/10000-IF(T243&lt;0,Settings!$B$5/10000,0))),"")</f>
        <v/>
      </c>
      <c r="W243" s="21">
        <f>IF($K243="","",$K243*60)</f>
        <v/>
      </c>
      <c r="X243" s="91">
        <f>IF($A243="","",$A243&amp;"|"&amp;$C243&amp;"|"&amp;$D243)</f>
        <v/>
      </c>
      <c r="Y243" s="91">
        <f>IFERROR(IF($X243="","",INDEX(LLM_Data_Entry!$H$3:$H$548,MATCH($X243,INDEX(LLM_Data_Entry!$A$3:$A$548&amp;"|"&amp;LLM_Data_Entry!$C$3:$C$548&amp;"|"&amp;LLM_Data_Entry!$D$3:$D$548,0),0))),"")</f>
        <v/>
      </c>
      <c r="Z243" s="91">
        <f>IFERROR(IF($X243="","",INDEX(LLM_Data_Entry!$R$3:$R$548,MATCH($X243,INDEX(LLM_Data_Entry!$A$3:$A$548&amp;"|"&amp;LLM_Data_Entry!$C$3:$C$548&amp;"|"&amp;LLM_Data_Entry!$D$3:$D$548,0),0))),"")</f>
        <v/>
      </c>
      <c r="AL243">
        <f>IF($A243="","",IFERROR(INDEX(Company_List!$G$3:$G$207,MATCH($A243,Company_List!$A$3:$A$207,0)),"unassigned"))</f>
        <v/>
      </c>
      <c r="AM243" t="inlineStr">
        <is>
          <t>Phase 3/Readings/Workday/Q3/Transcript : Workday, Inc., Q3 2025 Earnings Call, Nov 26, 2024 | MarketScreener UK.pdf</t>
        </is>
      </c>
      <c r="AO243" t="inlineStr">
        <is>
          <t>unique filename match</t>
        </is>
      </c>
      <c r="AP243">
        <f>IF($A243="","",IF(COUNTIFS(LLM_Data_Entry!$A$3:$A$548,$A243)&gt;0,"YES","NO"))</f>
        <v/>
      </c>
      <c r="AQ243">
        <f>IF($A243="","",IF(COUNTIFS($A$3:$A243,$A243,$C$3:$C243,$C243,$D$3:$D243,$D243)=1,"YES","NO"))</f>
        <v/>
      </c>
      <c r="AR243">
        <f>IF($A243="","",IF(AND($C243&amp;"-"&amp;$D243&gt;=Settings!$B$19,$C243&amp;"-"&amp;$D243&lt;=Settings!$B$20),"IN","OUT"))</f>
        <v/>
      </c>
      <c r="AS243">
        <f>IF($A243="","",IF($F243="Financial Results","financials",IF($F243="Outlook/Guidance","guidance",IF($F243="Transcript Q&amp;A","qanda",IF($F243="","unrecorded",IF($E243="All","full",IF($E243="","unrecorded",LOWER($E243)&amp;" only")))))))</f>
        <v/>
      </c>
      <c r="AT243">
        <f>IF(AND(OR($J243="BUY",$J243="SELL"),ISNUMBER($U243)),$U243,"")</f>
        <v/>
      </c>
      <c r="AU243">
        <f>IF(AND(OR($J243="BUY",$J243="SELL"),ISNUMBER($AK243)),$AK243,"")</f>
        <v/>
      </c>
      <c r="AV243">
        <f>IF(ISNUMBER($AT243),ABS(IF(ISNUMBER($I243),$I243,0)-Settings!$B$24),"")</f>
        <v/>
      </c>
      <c r="AW243">
        <f>IF(ISNUMBER($AV243),$AV243*$AT243,"")</f>
        <v/>
      </c>
      <c r="AX243">
        <f>IF(ISNUMBER($AU243),ABS(IF(ISNUMBER($I243),$I243,0)-Settings!$B$24),"")</f>
        <v/>
      </c>
      <c r="AY243">
        <f>IF(ISNUMBER($AX243),$AX243*$AU243,"")</f>
        <v/>
      </c>
      <c r="AZ243">
        <f>IF($A243="","",IFERROR(INDEX(Company_List!$H$3:$H$207,MATCH($A243,Company_List!$A$3:$A$207,0)),"unassigned"))</f>
        <v/>
      </c>
      <c r="BA243" t="n">
        <v>1</v>
      </c>
      <c r="BB243" t="n">
        <v>1</v>
      </c>
      <c r="BC243">
        <f>IF($A243="","",IF(COUNTIFS($A$3:$A243,$A243,$C$3:$C243,$C243,$D$3:$D243,$D243,$G$3:$G243,$G243)=1,1,0))</f>
        <v/>
      </c>
      <c r="BD243" t="n">
        <v>14</v>
      </c>
      <c r="BG243" t="inlineStr">
        <is>
          <t>no</t>
        </is>
      </c>
      <c r="BJ243" t="inlineStr">
        <is>
          <t>Nigel's Notes Phase 3.docx</t>
        </is>
      </c>
      <c r="BK243">
        <f>IF(OR($H243&lt;&gt;"Human",$S243="",$J243="",$Y243="",$Z243=""),"",IF(EXACT(UPPER($J243),UPPER($Y243)),1,0))</f>
        <v/>
      </c>
      <c r="BL243" t="inlineStr">
        <is>
          <t>assumed - rater record carries no blindness field</t>
        </is>
      </c>
      <c r="BM243" t="n">
        <v>1</v>
      </c>
      <c r="BN243" t="inlineStr">
        <is>
          <t>MarketScreener (Surperformance SAS)</t>
        </is>
      </c>
      <c r="BO243" t="inlineStr">
        <is>
          <t>licensed vendor</t>
        </is>
      </c>
      <c r="BP243" t="inlineStr">
        <is>
          <t>no</t>
        </is>
      </c>
      <c r="BQ243" t="inlineStr">
        <is>
          <t>no</t>
        </is>
      </c>
    </row>
    <row r="244">
      <c r="A244" s="115" t="inlineStr">
        <is>
          <t>Workday</t>
        </is>
      </c>
      <c r="B244" s="116">
        <f>IF(A244="","",_xlfn.XLOOKUP(A244, Company_List!$A:$A, Company_List!$B:$B, ""))</f>
        <v/>
      </c>
      <c r="C244" s="143" t="n">
        <v>2025</v>
      </c>
      <c r="D244" s="143" t="inlineStr">
        <is>
          <t>Q4</t>
        </is>
      </c>
      <c r="E244" s="98" t="inlineStr">
        <is>
          <t>All</t>
        </is>
      </c>
      <c r="F244" s="98" t="inlineStr">
        <is>
          <t>All</t>
        </is>
      </c>
      <c r="G244" s="143" t="inlineStr">
        <is>
          <t>Nigel</t>
        </is>
      </c>
      <c r="H244" s="106" t="inlineStr">
        <is>
          <t>Human</t>
        </is>
      </c>
      <c r="I244" s="145" t="n">
        <v>0.8</v>
      </c>
      <c r="J244" s="145">
        <f>IF(OR(I244="",Settings!$B$6=""),"",IF(I244&gt;Settings!$B$6,"BUY",IF(I244&lt;-Settings!$B$6,"SELL","HOLD")))</f>
        <v/>
      </c>
      <c r="K244" s="145" t="n">
        <v>21</v>
      </c>
      <c r="L244" s="125" t="n">
        <v>45713</v>
      </c>
      <c r="M244" s="140" t="n">
        <v>45713</v>
      </c>
      <c r="N244" s="147" t="n">
        <v>255.2</v>
      </c>
      <c r="O244" s="140" t="n">
        <v>45714</v>
      </c>
      <c r="P244" s="145" t="n">
        <v>279.99</v>
      </c>
      <c r="Q244" s="150">
        <f>IF(OR(N244="",P244=""),"",ROUND((P244-N244)/N244,4))</f>
        <v/>
      </c>
      <c r="R244" s="106">
        <f>IF(OR(N244="",P244=""),"",IF(Q244&gt;Settings!$B$3/100,"UP",IF(Q244&lt;-Settings!$B$3/100,"DOWN","FLAT")))</f>
        <v/>
      </c>
      <c r="S244" s="106">
        <f>IF(OR(N244="",P244="",J244=""),"",IF(OR(AND(J244="BUY",R244="UP"),AND(J244="SELL",R244="DOWN"),AND(J244="HOLD",R244="FLAT")),"YES","NO"))</f>
        <v/>
      </c>
      <c r="T244" s="105">
        <f>IF(J244="","",IF(J244="BUY",1,IF(J244="SELL",-1,0)))</f>
        <v/>
      </c>
      <c r="U244" s="150">
        <f>IFERROR(IF(OR(J244="",N244="",P244=""),"",IF(T244=0,0,T244*Q244-Settings!$B$4/10000-IF(T244&lt;0,Settings!$B$5/10000,0))),"")</f>
        <v/>
      </c>
      <c r="W244" s="21">
        <f>IF($K244="","",$K244*60)</f>
        <v/>
      </c>
      <c r="X244" s="91">
        <f>IF($A244="","",$A244&amp;"|"&amp;$C244&amp;"|"&amp;$D244)</f>
        <v/>
      </c>
      <c r="Y244" s="91">
        <f>IFERROR(IF($X244="","",INDEX(LLM_Data_Entry!$H$3:$H$548,MATCH($X244,INDEX(LLM_Data_Entry!$A$3:$A$548&amp;"|"&amp;LLM_Data_Entry!$C$3:$C$548&amp;"|"&amp;LLM_Data_Entry!$D$3:$D$548,0),0))),"")</f>
        <v/>
      </c>
      <c r="Z244" s="91">
        <f>IFERROR(IF($X244="","",INDEX(LLM_Data_Entry!$R$3:$R$548,MATCH($X244,INDEX(LLM_Data_Entry!$A$3:$A$548&amp;"|"&amp;LLM_Data_Entry!$C$3:$C$548&amp;"|"&amp;LLM_Data_Entry!$D$3:$D$548,0),0))),"")</f>
        <v/>
      </c>
      <c r="AL244">
        <f>IF($A244="","",IFERROR(INDEX(Company_List!$G$3:$G$207,MATCH($A244,Company_List!$A$3:$A$207,0)),"unassigned"))</f>
        <v/>
      </c>
      <c r="AM244"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O244" t="inlineStr">
        <is>
          <t>whole bundle (Document = All)</t>
        </is>
      </c>
      <c r="AP244">
        <f>IF($A244="","",IF(COUNTIFS(LLM_Data_Entry!$A$3:$A$548,$A244)&gt;0,"YES","NO"))</f>
        <v/>
      </c>
      <c r="AQ244">
        <f>IF($A244="","",IF(COUNTIFS($A$3:$A244,$A244,$C$3:$C244,$C244,$D$3:$D244,$D244)=1,"YES","NO"))</f>
        <v/>
      </c>
      <c r="AR244">
        <f>IF($A244="","",IF(AND($C244&amp;"-"&amp;$D244&gt;=Settings!$B$19,$C244&amp;"-"&amp;$D244&lt;=Settings!$B$20),"IN","OUT"))</f>
        <v/>
      </c>
      <c r="AS244">
        <f>IF($A244="","",IF($F244="Financial Results","financials",IF($F244="Outlook/Guidance","guidance",IF($F244="Transcript Q&amp;A","qanda",IF($F244="","unrecorded",IF($E244="All","full",IF($E244="","unrecorded",LOWER($E244)&amp;" only")))))))</f>
        <v/>
      </c>
      <c r="AT244">
        <f>IF(AND(OR($J244="BUY",$J244="SELL"),ISNUMBER($U244)),$U244,"")</f>
        <v/>
      </c>
      <c r="AU244">
        <f>IF(AND(OR($J244="BUY",$J244="SELL"),ISNUMBER($AK244)),$AK244,"")</f>
        <v/>
      </c>
      <c r="AV244">
        <f>IF(ISNUMBER($AT244),ABS(IF(ISNUMBER($I244),$I244,0)-Settings!$B$24),"")</f>
        <v/>
      </c>
      <c r="AW244">
        <f>IF(ISNUMBER($AV244),$AV244*$AT244,"")</f>
        <v/>
      </c>
      <c r="AX244">
        <f>IF(ISNUMBER($AU244),ABS(IF(ISNUMBER($I244),$I244,0)-Settings!$B$24),"")</f>
        <v/>
      </c>
      <c r="AY244">
        <f>IF(ISNUMBER($AX244),$AX244*$AU244,"")</f>
        <v/>
      </c>
      <c r="AZ244">
        <f>IF($A244="","",IFERROR(INDEX(Company_List!$H$3:$H$207,MATCH($A244,Company_List!$A$3:$A$207,0)),"unassigned"))</f>
        <v/>
      </c>
      <c r="BA244" t="n">
        <v>1</v>
      </c>
      <c r="BB244" t="n">
        <v>1</v>
      </c>
      <c r="BC244">
        <f>IF($A244="","",IF(COUNTIFS($A$3:$A244,$A244,$C$3:$C244,$C244,$D$3:$D244,$D244,$G$3:$G244,$G244)=1,1,0))</f>
        <v/>
      </c>
      <c r="BD244" t="n">
        <v>21</v>
      </c>
      <c r="BG244" t="inlineStr">
        <is>
          <t>no</t>
        </is>
      </c>
      <c r="BJ244" t="inlineStr">
        <is>
          <t>Nigel's Notes Phase 3.docx</t>
        </is>
      </c>
      <c r="BK244">
        <f>IF(OR($H244&lt;&gt;"Human",$S244="",$J244="",$Y244="",$Z244=""),"",IF(EXACT(UPPER($J244),UPPER($Y244)),1,0))</f>
        <v/>
      </c>
      <c r="BL244" t="inlineStr">
        <is>
          <t>assumed - rater record carries no blindness field</t>
        </is>
      </c>
      <c r="BM244" t="n">
        <v>4</v>
      </c>
      <c r="BN244" t="inlineStr">
        <is>
          <t>MarketScreener (Surperformance SAS)</t>
        </is>
      </c>
      <c r="BO244" t="inlineStr">
        <is>
          <t>licensed vendor</t>
        </is>
      </c>
      <c r="BP244" t="inlineStr">
        <is>
          <t>no</t>
        </is>
      </c>
      <c r="BQ244" t="inlineStr">
        <is>
          <t>no</t>
        </is>
      </c>
    </row>
    <row r="245">
      <c r="A245" s="115" t="inlineStr">
        <is>
          <t>Booking Holdings</t>
        </is>
      </c>
      <c r="B245" s="116">
        <f>IF(A245="","",_xlfn.XLOOKUP(A245, Company_List!$A:$A, Company_List!$B:$B, ""))</f>
        <v/>
      </c>
      <c r="C245" s="143" t="n">
        <v>2025</v>
      </c>
      <c r="D245" s="143" t="inlineStr">
        <is>
          <t>Q1</t>
        </is>
      </c>
      <c r="E245" s="98" t="inlineStr">
        <is>
          <t>Press Release Document</t>
        </is>
      </c>
      <c r="F245" s="98" t="inlineStr">
        <is>
          <t>Outlook/Guidance</t>
        </is>
      </c>
      <c r="G245" s="143" t="inlineStr">
        <is>
          <t>Nigel</t>
        </is>
      </c>
      <c r="H245" s="106" t="inlineStr">
        <is>
          <t>Human</t>
        </is>
      </c>
      <c r="I245" s="145" t="n">
        <v>0.3</v>
      </c>
      <c r="J245" s="145">
        <f>IF(OR(I245="",Settings!$B$6=""),"",IF(I245&gt;Settings!$B$6,"BUY",IF(I245&lt;-Settings!$B$6,"SELL","HOLD")))</f>
        <v/>
      </c>
      <c r="K245" s="145" t="n">
        <v>4</v>
      </c>
      <c r="L245" s="125" t="n">
        <v>45776</v>
      </c>
      <c r="M245" s="140" t="n">
        <v>45776</v>
      </c>
      <c r="N245" s="147" t="n">
        <v>196.37</v>
      </c>
      <c r="O245" s="140" t="n">
        <v>45777</v>
      </c>
      <c r="P245" s="145" t="n">
        <v>189.29</v>
      </c>
      <c r="Q245" s="150">
        <f>IF(OR(N245="",P245=""),"",ROUND((P245-N245)/N245,4))</f>
        <v/>
      </c>
      <c r="R245" s="106">
        <f>IF(OR(N245="",P245=""),"",IF(Q245&gt;Settings!$B$3/100,"UP",IF(Q245&lt;-Settings!$B$3/100,"DOWN","FLAT")))</f>
        <v/>
      </c>
      <c r="S245" s="106">
        <f>IF(OR(N245="",P245="",J245=""),"",IF(OR(AND(J245="BUY",R245="UP"),AND(J245="SELL",R245="DOWN"),AND(J245="HOLD",R245="FLAT")),"YES","NO"))</f>
        <v/>
      </c>
      <c r="T245" s="105">
        <f>IF(J245="","",IF(J245="BUY",1,IF(J245="SELL",-1,0)))</f>
        <v/>
      </c>
      <c r="U245" s="150">
        <f>IFERROR(IF(OR(J245="",N245="",P245=""),"",IF(T245=0,0,T245*Q245-Settings!$B$4/10000-IF(T245&lt;0,Settings!$B$5/10000,0))),"")</f>
        <v/>
      </c>
      <c r="W245" s="21">
        <f>IF($K245="","",$K245*60)</f>
        <v/>
      </c>
      <c r="X245" s="91">
        <f>IF($A245="","",$A245&amp;"|"&amp;$C245&amp;"|"&amp;$D245)</f>
        <v/>
      </c>
      <c r="Y245" s="91">
        <f>IFERROR(IF($X245="","",INDEX(LLM_Data_Entry!$H$3:$H$548,MATCH($X245,INDEX(LLM_Data_Entry!$A$3:$A$548&amp;"|"&amp;LLM_Data_Entry!$C$3:$C$548&amp;"|"&amp;LLM_Data_Entry!$D$3:$D$548,0),0))),"")</f>
        <v/>
      </c>
      <c r="Z245" s="91">
        <f>IFERROR(IF($X245="","",INDEX(LLM_Data_Entry!$R$3:$R$548,MATCH($X245,INDEX(LLM_Data_Entry!$A$3:$A$548&amp;"|"&amp;LLM_Data_Entry!$C$3:$C$548&amp;"|"&amp;LLM_Data_Entry!$D$3:$D$548,0),0))),"")</f>
        <v/>
      </c>
      <c r="AB245" t="inlineStr">
        <is>
          <t>price signal, re-derived — only this window shows an abnormal move</t>
        </is>
      </c>
      <c r="AC245" t="inlineStr">
        <is>
          <t>BKNG</t>
        </is>
      </c>
      <c r="AD245" t="inlineStr">
        <is>
          <t>2025-04-29</t>
        </is>
      </c>
      <c r="AE245" t="n">
        <v>194.3869</v>
      </c>
      <c r="AF245" t="inlineStr">
        <is>
          <t>2025-04-30</t>
        </is>
      </c>
      <c r="AG245" t="n">
        <v>187.3784</v>
      </c>
      <c r="AH245" t="n">
        <v>-0.03605460762637903</v>
      </c>
      <c r="AI245" t="inlineStr">
        <is>
          <t>DOWN</t>
        </is>
      </c>
      <c r="AJ245" t="inlineStr">
        <is>
          <t>NO</t>
        </is>
      </c>
      <c r="AK245" t="n">
        <v>-0.037055</v>
      </c>
      <c r="AL245">
        <f>IF($A245="","",IFERROR(INDEX(Company_List!$G$3:$G$207,MATCH($A245,Company_List!$A$3:$A$207,0)),"unassigned"))</f>
        <v/>
      </c>
      <c r="AM245" t="inlineStr">
        <is>
          <t>Phase 3/Readings/Booking Holdings/Q1/CORRECTED-TRANSCRIPT_-Booking-Holdings-Inc-BKNG-US-Q1-2025-Earnings-Call-29-April-2025-4_30-PM-ET.pdf</t>
        </is>
      </c>
      <c r="AO245" t="inlineStr">
        <is>
          <t>unique filename match</t>
        </is>
      </c>
      <c r="AP245">
        <f>IF($A245="","",IF(COUNTIFS(LLM_Data_Entry!$A$3:$A$548,$A245)&gt;0,"YES","NO"))</f>
        <v/>
      </c>
      <c r="AQ245">
        <f>IF($A245="","",IF(COUNTIFS($A$3:$A245,$A245,$C$3:$C245,$C245,$D$3:$D245,$D245)=1,"YES","NO"))</f>
        <v/>
      </c>
      <c r="AR245">
        <f>IF($A245="","",IF(AND($C245&amp;"-"&amp;$D245&gt;=Settings!$B$19,$C245&amp;"-"&amp;$D245&lt;=Settings!$B$20),"IN","OUT"))</f>
        <v/>
      </c>
      <c r="AS245">
        <f>IF($A245="","",IF($F245="Financial Results","financials",IF($F245="Outlook/Guidance","guidance",IF($F245="Transcript Q&amp;A","qanda",IF($F245="","unrecorded",IF($E245="All","full",IF($E245="","unrecorded",LOWER($E245)&amp;" only")))))))</f>
        <v/>
      </c>
      <c r="AT245">
        <f>IF(AND(OR($J245="BUY",$J245="SELL"),ISNUMBER($U245)),$U245,"")</f>
        <v/>
      </c>
      <c r="AU245">
        <f>IF(AND(OR($J245="BUY",$J245="SELL"),ISNUMBER($AK245)),$AK245,"")</f>
        <v/>
      </c>
      <c r="AV245">
        <f>IF(ISNUMBER($AT245),ABS(IF(ISNUMBER($I245),$I245,0)-Settings!$B$24),"")</f>
        <v/>
      </c>
      <c r="AW245">
        <f>IF(ISNUMBER($AV245),$AV245*$AT245,"")</f>
        <v/>
      </c>
      <c r="AX245">
        <f>IF(ISNUMBER($AU245),ABS(IF(ISNUMBER($I245),$I245,0)-Settings!$B$24),"")</f>
        <v/>
      </c>
      <c r="AY245">
        <f>IF(ISNUMBER($AX245),$AX245*$AU245,"")</f>
        <v/>
      </c>
      <c r="AZ245">
        <f>IF($A245="","",IFERROR(INDEX(Company_List!$H$3:$H$207,MATCH($A245,Company_List!$A$3:$A$207,0)),"unassigned"))</f>
        <v/>
      </c>
      <c r="BA245" t="n">
        <v>1</v>
      </c>
      <c r="BB245" t="n">
        <v>1</v>
      </c>
      <c r="BC245">
        <f>IF($A245="","",IF(COUNTIFS($A$3:$A245,$A245,$C$3:$C245,$C245,$D$3:$D245,$D245,$G$3:$G245,$G245)=1,1,0))</f>
        <v/>
      </c>
      <c r="BD245" t="n">
        <v>4</v>
      </c>
      <c r="BG245" t="inlineStr">
        <is>
          <t>no</t>
        </is>
      </c>
      <c r="BJ245" t="inlineStr">
        <is>
          <t>Nigel's Notes Phase 3.docx</t>
        </is>
      </c>
      <c r="BK245">
        <f>IF(OR($H245&lt;&gt;"Human",$S245="",$J245="",$Y245="",$Z245=""),"",IF(EXACT(UPPER($J245),UPPER($Y245)),1,0))</f>
        <v/>
      </c>
      <c r="BL245" t="inlineStr">
        <is>
          <t>assumed - rater record carries no blindness field</t>
        </is>
      </c>
      <c r="BM245" t="n">
        <v>1</v>
      </c>
      <c r="BN245" t="inlineStr">
        <is>
          <t>FactSet CallStreet</t>
        </is>
      </c>
      <c r="BO245" t="inlineStr">
        <is>
          <t>licensed vendor</t>
        </is>
      </c>
      <c r="BP245" t="inlineStr">
        <is>
          <t>no</t>
        </is>
      </c>
      <c r="BQ245" t="inlineStr">
        <is>
          <t>no</t>
        </is>
      </c>
    </row>
    <row r="246">
      <c r="A246" s="115" t="inlineStr">
        <is>
          <t>Booking Holdings</t>
        </is>
      </c>
      <c r="B246" s="116">
        <f>IF(A246="","",_xlfn.XLOOKUP(A246, Company_List!$A:$A, Company_List!$B:$B, ""))</f>
        <v/>
      </c>
      <c r="C246" s="143" t="n">
        <v>2025</v>
      </c>
      <c r="D246" s="143" t="inlineStr">
        <is>
          <t>Q2</t>
        </is>
      </c>
      <c r="E246" s="98" t="inlineStr">
        <is>
          <t>Press Release Document</t>
        </is>
      </c>
      <c r="F246" s="98" t="inlineStr">
        <is>
          <t>Financial Results</t>
        </is>
      </c>
      <c r="G246" s="143" t="inlineStr">
        <is>
          <t>Nigel</t>
        </is>
      </c>
      <c r="H246" s="106" t="inlineStr">
        <is>
          <t>Human</t>
        </is>
      </c>
      <c r="I246" s="145" t="n">
        <v>0.8</v>
      </c>
      <c r="J246" s="145">
        <f>IF(OR(I246="",Settings!$B$6=""),"",IF(I246&gt;Settings!$B$6,"BUY",IF(I246&lt;-Settings!$B$6,"SELL","HOLD")))</f>
        <v/>
      </c>
      <c r="K246" s="145" t="n">
        <v>5</v>
      </c>
      <c r="L246" s="125" t="n">
        <v>45867</v>
      </c>
      <c r="M246" s="140" t="n">
        <v>45867</v>
      </c>
      <c r="N246" s="147" t="n">
        <v>223.63</v>
      </c>
      <c r="O246" s="140" t="n">
        <v>45868</v>
      </c>
      <c r="P246" s="145" t="n">
        <v>219.6</v>
      </c>
      <c r="Q246" s="150">
        <f>IF(OR(N246="",P246=""),"",ROUND((P246-N246)/N246,4))</f>
        <v/>
      </c>
      <c r="R246" s="106">
        <f>IF(OR(N246="",P246=""),"",IF(Q246&gt;Settings!$B$3/100,"UP",IF(Q246&lt;-Settings!$B$3/100,"DOWN","FLAT")))</f>
        <v/>
      </c>
      <c r="S246" s="106">
        <f>IF(OR(N246="",P246="",J246=""),"",IF(OR(AND(J246="BUY",R246="UP"),AND(J246="SELL",R246="DOWN"),AND(J246="HOLD",R246="FLAT")),"YES","NO"))</f>
        <v/>
      </c>
      <c r="T246" s="105">
        <f>IF(J246="","",IF(J246="BUY",1,IF(J246="SELL",-1,0)))</f>
        <v/>
      </c>
      <c r="U246" s="150">
        <f>IFERROR(IF(OR(J246="",N246="",P246=""),"",IF(T246=0,0,T246*Q246-Settings!$B$4/10000-IF(T246&lt;0,Settings!$B$5/10000,0))),"")</f>
        <v/>
      </c>
      <c r="W246" s="21">
        <f>IF($K246="","",$K246*60)</f>
        <v/>
      </c>
      <c r="X246" s="91">
        <f>IF($A246="","",$A246&amp;"|"&amp;$C246&amp;"|"&amp;$D246)</f>
        <v/>
      </c>
      <c r="Y246" s="91">
        <f>IFERROR(IF($X246="","",INDEX(LLM_Data_Entry!$H$3:$H$548,MATCH($X246,INDEX(LLM_Data_Entry!$A$3:$A$548&amp;"|"&amp;LLM_Data_Entry!$C$3:$C$548&amp;"|"&amp;LLM_Data_Entry!$D$3:$D$548,0),0))),"")</f>
        <v/>
      </c>
      <c r="Z246" s="91">
        <f>IFERROR(IF($X246="","",INDEX(LLM_Data_Entry!$R$3:$R$548,MATCH($X246,INDEX(LLM_Data_Entry!$A$3:$A$548&amp;"|"&amp;LLM_Data_Entry!$C$3:$C$548&amp;"|"&amp;LLM_Data_Entry!$D$3:$D$548,0),0))),"")</f>
        <v/>
      </c>
      <c r="AB246" t="inlineStr">
        <is>
          <t>release date + stated time in the document (rater worksheet)</t>
        </is>
      </c>
      <c r="AC246" t="inlineStr">
        <is>
          <t>BKNG</t>
        </is>
      </c>
      <c r="AD246" t="inlineStr">
        <is>
          <t>2025-07-29</t>
        </is>
      </c>
      <c r="AE246" t="n">
        <v>221.7555</v>
      </c>
      <c r="AF246" t="inlineStr">
        <is>
          <t>2025-07-30</t>
        </is>
      </c>
      <c r="AG246" t="n">
        <v>217.7585</v>
      </c>
      <c r="AH246" t="n">
        <v>-0.01802440648764589</v>
      </c>
      <c r="AI246" t="inlineStr">
        <is>
          <t>FLAT</t>
        </is>
      </c>
      <c r="AJ246" t="inlineStr">
        <is>
          <t>NO</t>
        </is>
      </c>
      <c r="AK246" t="n">
        <v>-0.019024</v>
      </c>
      <c r="AL246">
        <f>IF($A246="","",IFERROR(INDEX(Company_List!$G$3:$G$207,MATCH($A246,Company_List!$A$3:$A$207,0)),"unassigned"))</f>
        <v/>
      </c>
      <c r="AM246" t="inlineStr">
        <is>
          <t>Phase 3/Readings/Booking Holdings/Q2/Booking-Holdings-Inc-BKNG-US-Q2-2025-Earnings-Call-29-July-2025-4_30-PM-ET.pdf</t>
        </is>
      </c>
      <c r="AO246" t="inlineStr">
        <is>
          <t>unique filename match</t>
        </is>
      </c>
      <c r="AP246">
        <f>IF($A246="","",IF(COUNTIFS(LLM_Data_Entry!$A$3:$A$548,$A246)&gt;0,"YES","NO"))</f>
        <v/>
      </c>
      <c r="AQ246">
        <f>IF($A246="","",IF(COUNTIFS($A$3:$A246,$A246,$C$3:$C246,$C246,$D$3:$D246,$D246)=1,"YES","NO"))</f>
        <v/>
      </c>
      <c r="AR246">
        <f>IF($A246="","",IF(AND($C246&amp;"-"&amp;$D246&gt;=Settings!$B$19,$C246&amp;"-"&amp;$D246&lt;=Settings!$B$20),"IN","OUT"))</f>
        <v/>
      </c>
      <c r="AS246">
        <f>IF($A246="","",IF($F246="Financial Results","financials",IF($F246="Outlook/Guidance","guidance",IF($F246="Transcript Q&amp;A","qanda",IF($F246="","unrecorded",IF($E246="All","full",IF($E246="","unrecorded",LOWER($E246)&amp;" only")))))))</f>
        <v/>
      </c>
      <c r="AT246">
        <f>IF(AND(OR($J246="BUY",$J246="SELL"),ISNUMBER($U246)),$U246,"")</f>
        <v/>
      </c>
      <c r="AU246">
        <f>IF(AND(OR($J246="BUY",$J246="SELL"),ISNUMBER($AK246)),$AK246,"")</f>
        <v/>
      </c>
      <c r="AV246">
        <f>IF(ISNUMBER($AT246),ABS(IF(ISNUMBER($I246),$I246,0)-Settings!$B$24),"")</f>
        <v/>
      </c>
      <c r="AW246">
        <f>IF(ISNUMBER($AV246),$AV246*$AT246,"")</f>
        <v/>
      </c>
      <c r="AX246">
        <f>IF(ISNUMBER($AU246),ABS(IF(ISNUMBER($I246),$I246,0)-Settings!$B$24),"")</f>
        <v/>
      </c>
      <c r="AY246">
        <f>IF(ISNUMBER($AX246),$AX246*$AU246,"")</f>
        <v/>
      </c>
      <c r="AZ246">
        <f>IF($A246="","",IFERROR(INDEX(Company_List!$H$3:$H$207,MATCH($A246,Company_List!$A$3:$A$207,0)),"unassigned"))</f>
        <v/>
      </c>
      <c r="BA246" t="n">
        <v>1</v>
      </c>
      <c r="BB246" t="n">
        <v>1</v>
      </c>
      <c r="BC246">
        <f>IF($A246="","",IF(COUNTIFS($A$3:$A246,$A246,$C$3:$C246,$C246,$D$3:$D246,$D246,$G$3:$G246,$G246)=1,1,0))</f>
        <v/>
      </c>
      <c r="BD246" t="n">
        <v>5</v>
      </c>
      <c r="BG246" t="inlineStr">
        <is>
          <t>no</t>
        </is>
      </c>
      <c r="BJ246" t="inlineStr">
        <is>
          <t>Nigel's Notes Phase 3.docx</t>
        </is>
      </c>
      <c r="BK246">
        <f>IF(OR($H246&lt;&gt;"Human",$S246="",$J246="",$Y246="",$Z246=""),"",IF(EXACT(UPPER($J246),UPPER($Y246)),1,0))</f>
        <v/>
      </c>
      <c r="BL246" t="inlineStr">
        <is>
          <t>assumed - rater record carries no blindness field</t>
        </is>
      </c>
      <c r="BM246" t="n">
        <v>1</v>
      </c>
      <c r="BN246" t="inlineStr">
        <is>
          <t>FactSet CallStreet</t>
        </is>
      </c>
      <c r="BO246" t="inlineStr">
        <is>
          <t>licensed vendor</t>
        </is>
      </c>
      <c r="BP246" t="inlineStr">
        <is>
          <t>no</t>
        </is>
      </c>
      <c r="BQ246" t="inlineStr">
        <is>
          <t>no</t>
        </is>
      </c>
    </row>
    <row r="247">
      <c r="A247" s="115" t="inlineStr">
        <is>
          <t>Booking Holdings</t>
        </is>
      </c>
      <c r="B247" s="116">
        <f>IF(A247="","",_xlfn.XLOOKUP(A247, Company_List!$A:$A, Company_List!$B:$B, ""))</f>
        <v/>
      </c>
      <c r="C247" s="143" t="n">
        <v>2025</v>
      </c>
      <c r="D247" s="143" t="inlineStr">
        <is>
          <t>Q3</t>
        </is>
      </c>
      <c r="E247" s="98" t="inlineStr">
        <is>
          <t>Transcript</t>
        </is>
      </c>
      <c r="F247" s="98" t="inlineStr">
        <is>
          <t>Transcript Q&amp;A</t>
        </is>
      </c>
      <c r="G247" s="143" t="inlineStr">
        <is>
          <t>Nigel</t>
        </is>
      </c>
      <c r="H247" s="106" t="inlineStr">
        <is>
          <t>Human</t>
        </is>
      </c>
      <c r="I247" s="145" t="n">
        <v>0.6</v>
      </c>
      <c r="J247" s="145">
        <f>IF(OR(I247="",Settings!$B$6=""),"",IF(I247&gt;Settings!$B$6,"BUY",IF(I247&lt;-Settings!$B$6,"SELL","HOLD")))</f>
        <v/>
      </c>
      <c r="K247" s="145" t="n">
        <v>15</v>
      </c>
      <c r="L247" s="125" t="n">
        <v>45958</v>
      </c>
      <c r="M247" s="140" t="n">
        <v>45958</v>
      </c>
      <c r="N247" s="147" t="n">
        <v>204.82</v>
      </c>
      <c r="O247" s="140" t="n">
        <v>45958</v>
      </c>
      <c r="P247" s="145" t="n">
        <v>208</v>
      </c>
      <c r="Q247" s="150">
        <f>IF(OR(N247="",P247=""),"",ROUND((P247-N247)/N247,4))</f>
        <v/>
      </c>
      <c r="R247" s="106">
        <f>IF(OR(N247="",P247=""),"",IF(Q247&gt;Settings!$B$3/100,"UP",IF(Q247&lt;-Settings!$B$3/100,"DOWN","FLAT")))</f>
        <v/>
      </c>
      <c r="S247" s="106">
        <f>IF(OR(N247="",P247="",J247=""),"",IF(OR(AND(J247="BUY",R247="UP"),AND(J247="SELL",R247="DOWN"),AND(J247="HOLD",R247="FLAT")),"YES","NO"))</f>
        <v/>
      </c>
      <c r="T247" s="105">
        <f>IF(J247="","",IF(J247="BUY",1,IF(J247="SELL",-1,0)))</f>
        <v/>
      </c>
      <c r="U247" s="150">
        <f>IFERROR(IF(OR(J247="",N247="",P247=""),"",IF(T247=0,0,T247*Q247-Settings!$B$4/10000-IF(T247&lt;0,Settings!$B$5/10000,0))),"")</f>
        <v/>
      </c>
      <c r="W247" s="21">
        <f>IF($K247="","",$K247*60)</f>
        <v/>
      </c>
      <c r="X247" s="91">
        <f>IF($A247="","",$A247&amp;"|"&amp;$C247&amp;"|"&amp;$D247)</f>
        <v/>
      </c>
      <c r="Y247" s="91">
        <f>IFERROR(IF($X247="","",INDEX(LLM_Data_Entry!$H$3:$H$548,MATCH($X247,INDEX(LLM_Data_Entry!$A$3:$A$548&amp;"|"&amp;LLM_Data_Entry!$C$3:$C$548&amp;"|"&amp;LLM_Data_Entry!$D$3:$D$548,0),0))),"")</f>
        <v/>
      </c>
      <c r="Z247" s="91">
        <f>IFERROR(IF($X247="","",INDEX(LLM_Data_Entry!$R$3:$R$548,MATCH($X247,INDEX(LLM_Data_Entry!$A$3:$A$548&amp;"|"&amp;LLM_Data_Entry!$C$3:$C$548&amp;"|"&amp;LLM_Data_Entry!$D$3:$D$548,0),0))),"")</f>
        <v/>
      </c>
      <c r="AB247" t="inlineStr">
        <is>
          <t>release date + stated time in the document (rater worksheet)</t>
        </is>
      </c>
      <c r="AC247" t="inlineStr">
        <is>
          <t>BKNG</t>
        </is>
      </c>
      <c r="AD247" t="inlineStr">
        <is>
          <t>2025-10-28</t>
        </is>
      </c>
      <c r="AE247" t="n">
        <v>203.4549</v>
      </c>
      <c r="AF247" t="inlineStr">
        <is>
          <t>2025-10-29</t>
        </is>
      </c>
      <c r="AG247" t="n">
        <v>206.6113</v>
      </c>
      <c r="AH247" t="n">
        <v>0.01551397903404391</v>
      </c>
      <c r="AI247" t="inlineStr">
        <is>
          <t>FLAT</t>
        </is>
      </c>
      <c r="AJ247" t="inlineStr">
        <is>
          <t>NO</t>
        </is>
      </c>
      <c r="AK247" t="n">
        <v>0.014514</v>
      </c>
      <c r="AL247">
        <f>IF($A247="","",IFERROR(INDEX(Company_List!$G$3:$G$207,MATCH($A247,Company_List!$A$3:$A$207,0)),"unassigned"))</f>
        <v/>
      </c>
      <c r="AM247" t="inlineStr">
        <is>
          <t>Phase 3/Readings/Booking Holdings/Q3/CORRECTED-TRANSCRIPT_-Booking-Holdings-Inc-BKNG-US-Q3-2025-Earnings-Call-28-October-2025-4_30-PM-ET.pdf</t>
        </is>
      </c>
      <c r="AO247" t="inlineStr">
        <is>
          <t>unique filename match</t>
        </is>
      </c>
      <c r="AP247">
        <f>IF($A247="","",IF(COUNTIFS(LLM_Data_Entry!$A$3:$A$548,$A247)&gt;0,"YES","NO"))</f>
        <v/>
      </c>
      <c r="AQ247">
        <f>IF($A247="","",IF(COUNTIFS($A$3:$A247,$A247,$C$3:$C247,$C247,$D$3:$D247,$D247)=1,"YES","NO"))</f>
        <v/>
      </c>
      <c r="AR247">
        <f>IF($A247="","",IF(AND($C247&amp;"-"&amp;$D247&gt;=Settings!$B$19,$C247&amp;"-"&amp;$D247&lt;=Settings!$B$20),"IN","OUT"))</f>
        <v/>
      </c>
      <c r="AS247">
        <f>IF($A247="","",IF($F247="Financial Results","financials",IF($F247="Outlook/Guidance","guidance",IF($F247="Transcript Q&amp;A","qanda",IF($F247="","unrecorded",IF($E247="All","full",IF($E247="","unrecorded",LOWER($E247)&amp;" only")))))))</f>
        <v/>
      </c>
      <c r="AT247">
        <f>IF(AND(OR($J247="BUY",$J247="SELL"),ISNUMBER($U247)),$U247,"")</f>
        <v/>
      </c>
      <c r="AU247">
        <f>IF(AND(OR($J247="BUY",$J247="SELL"),ISNUMBER($AK247)),$AK247,"")</f>
        <v/>
      </c>
      <c r="AV247">
        <f>IF(ISNUMBER($AT247),ABS(IF(ISNUMBER($I247),$I247,0)-Settings!$B$24),"")</f>
        <v/>
      </c>
      <c r="AW247">
        <f>IF(ISNUMBER($AV247),$AV247*$AT247,"")</f>
        <v/>
      </c>
      <c r="AX247">
        <f>IF(ISNUMBER($AU247),ABS(IF(ISNUMBER($I247),$I247,0)-Settings!$B$24),"")</f>
        <v/>
      </c>
      <c r="AY247">
        <f>IF(ISNUMBER($AX247),$AX247*$AU247,"")</f>
        <v/>
      </c>
      <c r="AZ247">
        <f>IF($A247="","",IFERROR(INDEX(Company_List!$H$3:$H$207,MATCH($A247,Company_List!$A$3:$A$207,0)),"unassigned"))</f>
        <v/>
      </c>
      <c r="BA247" t="n">
        <v>1</v>
      </c>
      <c r="BB247" t="n">
        <v>1</v>
      </c>
      <c r="BC247">
        <f>IF($A247="","",IF(COUNTIFS($A$3:$A247,$A247,$C$3:$C247,$C247,$D$3:$D247,$D247,$G$3:$G247,$G247)=1,1,0))</f>
        <v/>
      </c>
      <c r="BD247" t="n">
        <v>15</v>
      </c>
      <c r="BG247" t="inlineStr">
        <is>
          <t>no</t>
        </is>
      </c>
      <c r="BJ247" t="inlineStr">
        <is>
          <t>Nigel's Notes Phase 3.docx</t>
        </is>
      </c>
      <c r="BK247">
        <f>IF(OR($H247&lt;&gt;"Human",$S247="",$J247="",$Y247="",$Z247=""),"",IF(EXACT(UPPER($J247),UPPER($Y247)),1,0))</f>
        <v/>
      </c>
      <c r="BL247" t="inlineStr">
        <is>
          <t>assumed - rater record carries no blindness field</t>
        </is>
      </c>
      <c r="BM247" t="n">
        <v>1</v>
      </c>
      <c r="BN247" t="inlineStr">
        <is>
          <t>FactSet CallStreet</t>
        </is>
      </c>
      <c r="BO247" t="inlineStr">
        <is>
          <t>licensed vendor</t>
        </is>
      </c>
      <c r="BP247" t="inlineStr">
        <is>
          <t>no</t>
        </is>
      </c>
      <c r="BQ247" t="inlineStr">
        <is>
          <t>no</t>
        </is>
      </c>
    </row>
    <row r="248">
      <c r="A248" s="115" t="inlineStr">
        <is>
          <t>Booking Holdings</t>
        </is>
      </c>
      <c r="B248" s="116">
        <f>IF(A248="","",_xlfn.XLOOKUP(A248, Company_List!$A:$A, Company_List!$B:$B, ""))</f>
        <v/>
      </c>
      <c r="C248" s="143" t="n">
        <v>2025</v>
      </c>
      <c r="D248" s="143" t="inlineStr">
        <is>
          <t>Q4</t>
        </is>
      </c>
      <c r="E248" s="98" t="inlineStr">
        <is>
          <t>All</t>
        </is>
      </c>
      <c r="F248" s="98" t="inlineStr">
        <is>
          <t>All</t>
        </is>
      </c>
      <c r="G248" s="143" t="inlineStr">
        <is>
          <t>Nigel</t>
        </is>
      </c>
      <c r="H248" s="106" t="inlineStr">
        <is>
          <t>Human</t>
        </is>
      </c>
      <c r="I248" s="145" t="n">
        <v>0.7</v>
      </c>
      <c r="J248" s="145">
        <f>IF(OR(I248="",Settings!$B$6=""),"",IF(I248&gt;Settings!$B$6,"BUY",IF(I248&lt;-Settings!$B$6,"SELL","HOLD")))</f>
        <v/>
      </c>
      <c r="K248" s="145" t="n">
        <v>24</v>
      </c>
      <c r="L248" s="125" t="n">
        <v>46071</v>
      </c>
      <c r="M248" s="140" t="n">
        <v>46071</v>
      </c>
      <c r="N248" s="147" t="n">
        <v>170.8</v>
      </c>
      <c r="O248" s="140" t="n">
        <v>46072</v>
      </c>
      <c r="P248" s="145" t="n">
        <v>163.55</v>
      </c>
      <c r="Q248" s="150">
        <f>IF(OR(N248="",P248=""),"",ROUND((P248-N248)/N248,4))</f>
        <v/>
      </c>
      <c r="R248" s="106">
        <f>IF(OR(N248="",P248=""),"",IF(Q248&gt;Settings!$B$3/100,"UP",IF(Q248&lt;-Settings!$B$3/100,"DOWN","FLAT")))</f>
        <v/>
      </c>
      <c r="S248" s="106">
        <f>IF(OR(N248="",P248="",J248=""),"",IF(OR(AND(J248="BUY",R248="UP"),AND(J248="SELL",R248="DOWN"),AND(J248="HOLD",R248="FLAT")),"YES","NO"))</f>
        <v/>
      </c>
      <c r="T248" s="105">
        <f>IF(J248="","",IF(J248="BUY",1,IF(J248="SELL",-1,0)))</f>
        <v/>
      </c>
      <c r="U248" s="150">
        <f>IFERROR(IF(OR(J248="",N248="",P248=""),"",IF(T248=0,0,T248*Q248-Settings!$B$4/10000-IF(T248&lt;0,Settings!$B$5/10000,0))),"")</f>
        <v/>
      </c>
      <c r="W248" s="21">
        <f>IF($K248="","",$K248*60)</f>
        <v/>
      </c>
      <c r="X248" s="91">
        <f>IF($A248="","",$A248&amp;"|"&amp;$C248&amp;"|"&amp;$D248)</f>
        <v/>
      </c>
      <c r="Y248" s="91">
        <f>IFERROR(IF($X248="","",INDEX(LLM_Data_Entry!$H$3:$H$548,MATCH($X248,INDEX(LLM_Data_Entry!$A$3:$A$548&amp;"|"&amp;LLM_Data_Entry!$C$3:$C$548&amp;"|"&amp;LLM_Data_Entry!$D$3:$D$548,0),0))),"")</f>
        <v/>
      </c>
      <c r="Z248" s="91">
        <f>IFERROR(IF($X248="","",INDEX(LLM_Data_Entry!$R$3:$R$548,MATCH($X248,INDEX(LLM_Data_Entry!$A$3:$A$548&amp;"|"&amp;LLM_Data_Entry!$C$3:$C$548&amp;"|"&amp;LLM_Data_Entry!$D$3:$D$548,0),0))),"")</f>
        <v/>
      </c>
      <c r="AB248" t="inlineStr">
        <is>
          <t>release date + stated time in the document (rater worksheet)</t>
        </is>
      </c>
      <c r="AC248" t="inlineStr">
        <is>
          <t>BKNG</t>
        </is>
      </c>
      <c r="AD248" t="inlineStr">
        <is>
          <t>2026-02-18</t>
        </is>
      </c>
      <c r="AE248" t="n">
        <v>169.9835</v>
      </c>
      <c r="AF248" t="inlineStr">
        <is>
          <t>2026-02-19</t>
        </is>
      </c>
      <c r="AG248" t="n">
        <v>162.7733</v>
      </c>
      <c r="AH248" t="n">
        <v>-0.04241706599239561</v>
      </c>
      <c r="AI248" t="inlineStr">
        <is>
          <t>DOWN</t>
        </is>
      </c>
      <c r="AJ248" t="inlineStr">
        <is>
          <t>NO</t>
        </is>
      </c>
      <c r="AK248" t="n">
        <v>-0.043417</v>
      </c>
      <c r="AL248">
        <f>IF($A248="","",IFERROR(INDEX(Company_List!$G$3:$G$207,MATCH($A248,Company_List!$A$3:$A$207,0)),"unassigned"))</f>
        <v/>
      </c>
      <c r="AM248" t="inlineStr">
        <is>
          <t>Phase 3/Readings/Booking Holdings/Q4/CORRECTED-TRANSCRIPT_-Booking-Holdings-Inc-BKNG-US-Q4-2025-Earnings-Call-18-February-2026-4_30-PM-ET.pdf</t>
        </is>
      </c>
      <c r="AO248" t="inlineStr">
        <is>
          <t>unique filename match</t>
        </is>
      </c>
      <c r="AP248">
        <f>IF($A248="","",IF(COUNTIFS(LLM_Data_Entry!$A$3:$A$548,$A248)&gt;0,"YES","NO"))</f>
        <v/>
      </c>
      <c r="AQ248">
        <f>IF($A248="","",IF(COUNTIFS($A$3:$A248,$A248,$C$3:$C248,$C248,$D$3:$D248,$D248)=1,"YES","NO"))</f>
        <v/>
      </c>
      <c r="AR248">
        <f>IF($A248="","",IF(AND($C248&amp;"-"&amp;$D248&gt;=Settings!$B$19,$C248&amp;"-"&amp;$D248&lt;=Settings!$B$20),"IN","OUT"))</f>
        <v/>
      </c>
      <c r="AS248">
        <f>IF($A248="","",IF($F248="Financial Results","financials",IF($F248="Outlook/Guidance","guidance",IF($F248="Transcript Q&amp;A","qanda",IF($F248="","unrecorded",IF($E248="All","full",IF($E248="","unrecorded",LOWER($E248)&amp;" only")))))))</f>
        <v/>
      </c>
      <c r="AT248">
        <f>IF(AND(OR($J248="BUY",$J248="SELL"),ISNUMBER($U248)),$U248,"")</f>
        <v/>
      </c>
      <c r="AU248">
        <f>IF(AND(OR($J248="BUY",$J248="SELL"),ISNUMBER($AK248)),$AK248,"")</f>
        <v/>
      </c>
      <c r="AV248">
        <f>IF(ISNUMBER($AT248),ABS(IF(ISNUMBER($I248),$I248,0)-Settings!$B$24),"")</f>
        <v/>
      </c>
      <c r="AW248">
        <f>IF(ISNUMBER($AV248),$AV248*$AT248,"")</f>
        <v/>
      </c>
      <c r="AX248">
        <f>IF(ISNUMBER($AU248),ABS(IF(ISNUMBER($I248),$I248,0)-Settings!$B$24),"")</f>
        <v/>
      </c>
      <c r="AY248">
        <f>IF(ISNUMBER($AX248),$AX248*$AU248,"")</f>
        <v/>
      </c>
      <c r="AZ248">
        <f>IF($A248="","",IFERROR(INDEX(Company_List!$H$3:$H$207,MATCH($A248,Company_List!$A$3:$A$207,0)),"unassigned"))</f>
        <v/>
      </c>
      <c r="BA248" t="n">
        <v>1</v>
      </c>
      <c r="BB248" t="n">
        <v>1</v>
      </c>
      <c r="BC248">
        <f>IF($A248="","",IF(COUNTIFS($A$3:$A248,$A248,$C$3:$C248,$C248,$D$3:$D248,$D248,$G$3:$G248,$G248)=1,1,0))</f>
        <v/>
      </c>
      <c r="BD248" t="n">
        <v>24</v>
      </c>
      <c r="BG248" t="inlineStr">
        <is>
          <t>no</t>
        </is>
      </c>
      <c r="BJ248" t="inlineStr">
        <is>
          <t>Nigel's Notes Phase 3.docx</t>
        </is>
      </c>
      <c r="BK248">
        <f>IF(OR($H248&lt;&gt;"Human",$S248="",$J248="",$Y248="",$Z248=""),"",IF(EXACT(UPPER($J248),UPPER($Y248)),1,0))</f>
        <v/>
      </c>
      <c r="BL248" t="inlineStr">
        <is>
          <t>assumed - rater record carries no blindness field</t>
        </is>
      </c>
      <c r="BM248" t="n">
        <v>1</v>
      </c>
      <c r="BN248" t="inlineStr">
        <is>
          <t>FactSet CallStreet</t>
        </is>
      </c>
      <c r="BO248" t="inlineStr">
        <is>
          <t>licensed vendor</t>
        </is>
      </c>
      <c r="BP248" t="inlineStr">
        <is>
          <t>no</t>
        </is>
      </c>
      <c r="BQ248" t="inlineStr">
        <is>
          <t>no</t>
        </is>
      </c>
    </row>
    <row r="249">
      <c r="A249" s="115" t="inlineStr">
        <is>
          <t>Allianz</t>
        </is>
      </c>
      <c r="B249" s="116">
        <f>IF(A249="","",_xlfn.XLOOKUP(A249, Company_List!$A:$A, Company_List!$B:$B, ""))</f>
        <v/>
      </c>
      <c r="C249" s="143" t="n">
        <v>2025</v>
      </c>
      <c r="D249" s="143" t="inlineStr">
        <is>
          <t>Q1</t>
        </is>
      </c>
      <c r="E249" s="98" t="inlineStr">
        <is>
          <t>Transcript</t>
        </is>
      </c>
      <c r="F249" s="98" t="inlineStr">
        <is>
          <t>Transcript Q&amp;A</t>
        </is>
      </c>
      <c r="G249" s="143" t="inlineStr">
        <is>
          <t>Nigel</t>
        </is>
      </c>
      <c r="H249" s="106" t="inlineStr">
        <is>
          <t>Human</t>
        </is>
      </c>
      <c r="I249" s="145" t="n">
        <v>0.3</v>
      </c>
      <c r="J249" s="145">
        <f>IF(OR(I249="",Settings!$B$6=""),"",IF(I249&gt;Settings!$B$6,"BUY",IF(I249&lt;-Settings!$B$6,"SELL","HOLD")))</f>
        <v/>
      </c>
      <c r="K249" s="145" t="n">
        <v>12</v>
      </c>
      <c r="L249" s="125" t="n">
        <v>45792</v>
      </c>
      <c r="M249" s="140" t="n">
        <v>45792</v>
      </c>
      <c r="N249" s="147" t="n">
        <v>348.2</v>
      </c>
      <c r="O249" s="140" t="n">
        <v>45793</v>
      </c>
      <c r="P249" s="145" t="n">
        <v>348.5</v>
      </c>
      <c r="Q249" s="150">
        <f>IF(OR(N249="",P249=""),"",ROUND((P249-N249)/N249,4))</f>
        <v/>
      </c>
      <c r="R249" s="106">
        <f>IF(OR(N249="",P249=""),"",IF(Q249&gt;Settings!$B$3/100,"UP",IF(Q249&lt;-Settings!$B$3/100,"DOWN","FLAT")))</f>
        <v/>
      </c>
      <c r="S249" s="106">
        <f>IF(OR(N249="",P249="",J249=""),"",IF(OR(AND(J249="BUY",R249="UP"),AND(J249="SELL",R249="DOWN"),AND(J249="HOLD",R249="FLAT")),"YES","NO"))</f>
        <v/>
      </c>
      <c r="T249" s="105">
        <f>IF(J249="","",IF(J249="BUY",1,IF(J249="SELL",-1,0)))</f>
        <v/>
      </c>
      <c r="U249" s="150">
        <f>IFERROR(IF(OR(J249="",N249="",P249=""),"",IF(T249=0,0,T249*Q249-Settings!$B$4/10000-IF(T249&lt;0,Settings!$B$5/10000,0))),"")</f>
        <v/>
      </c>
      <c r="W249" s="21">
        <f>IF($K249="","",$K249*60)</f>
        <v/>
      </c>
      <c r="X249" s="91">
        <f>IF($A249="","",$A249&amp;"|"&amp;$C249&amp;"|"&amp;$D249)</f>
        <v/>
      </c>
      <c r="Y249" s="91">
        <f>IFERROR(IF($X249="","",INDEX(LLM_Data_Entry!$H$3:$H$548,MATCH($X249,INDEX(LLM_Data_Entry!$A$3:$A$548&amp;"|"&amp;LLM_Data_Entry!$C$3:$C$548&amp;"|"&amp;LLM_Data_Entry!$D$3:$D$548,0),0))),"")</f>
        <v/>
      </c>
      <c r="Z249" s="91">
        <f>IFERROR(IF($X249="","",INDEX(LLM_Data_Entry!$R$3:$R$548,MATCH($X249,INDEX(LLM_Data_Entry!$A$3:$A$548&amp;"|"&amp;LLM_Data_Entry!$C$3:$C$548&amp;"|"&amp;LLM_Data_Entry!$D$3:$D$548,0),0))),"")</f>
        <v/>
      </c>
      <c r="AL249">
        <f>IF($A249="","",IFERROR(INDEX(Company_List!$G$3:$G$207,MATCH($A249,Company_List!$A$3:$A$207,0)),"unassigned"))</f>
        <v/>
      </c>
      <c r="AM249"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O249" t="inlineStr">
        <is>
          <t>whole bundle (Document = All)</t>
        </is>
      </c>
      <c r="AP249">
        <f>IF($A249="","",IF(COUNTIFS(LLM_Data_Entry!$A$3:$A$548,$A249)&gt;0,"YES","NO"))</f>
        <v/>
      </c>
      <c r="AQ249">
        <f>IF($A249="","",IF(COUNTIFS($A$3:$A249,$A249,$C$3:$C249,$C249,$D$3:$D249,$D249)=1,"YES","NO"))</f>
        <v/>
      </c>
      <c r="AR249">
        <f>IF($A249="","",IF(AND($C249&amp;"-"&amp;$D249&gt;=Settings!$B$19,$C249&amp;"-"&amp;$D249&lt;=Settings!$B$20),"IN","OUT"))</f>
        <v/>
      </c>
      <c r="AS249">
        <f>IF($A249="","",IF($F249="Financial Results","financials",IF($F249="Outlook/Guidance","guidance",IF($F249="Transcript Q&amp;A","qanda",IF($F249="","unrecorded",IF($E249="All","full",IF($E249="","unrecorded",LOWER($E249)&amp;" only")))))))</f>
        <v/>
      </c>
      <c r="AT249">
        <f>IF(AND(OR($J249="BUY",$J249="SELL"),ISNUMBER($U249)),$U249,"")</f>
        <v/>
      </c>
      <c r="AU249">
        <f>IF(AND(OR($J249="BUY",$J249="SELL"),ISNUMBER($AK249)),$AK249,"")</f>
        <v/>
      </c>
      <c r="AV249">
        <f>IF(ISNUMBER($AT249),ABS(IF(ISNUMBER($I249),$I249,0)-Settings!$B$24),"")</f>
        <v/>
      </c>
      <c r="AW249">
        <f>IF(ISNUMBER($AV249),$AV249*$AT249,"")</f>
        <v/>
      </c>
      <c r="AX249">
        <f>IF(ISNUMBER($AU249),ABS(IF(ISNUMBER($I249),$I249,0)-Settings!$B$24),"")</f>
        <v/>
      </c>
      <c r="AY249">
        <f>IF(ISNUMBER($AX249),$AX249*$AU249,"")</f>
        <v/>
      </c>
      <c r="AZ249">
        <f>IF($A249="","",IFERROR(INDEX(Company_List!$H$3:$H$207,MATCH($A249,Company_List!$A$3:$A$207,0)),"unassigned"))</f>
        <v/>
      </c>
      <c r="BC249">
        <f>IF($A249="","",IF(COUNTIFS($A$3:$A249,$A249,$C$3:$C249,$C249,$D$3:$D249,$D249,$G$3:$G249,$G249)=1,1,0))</f>
        <v/>
      </c>
      <c r="BG249" t="inlineStr">
        <is>
          <t>no</t>
        </is>
      </c>
      <c r="BK249">
        <f>IF(OR($H249&lt;&gt;"Human",$S249="",$J249="",$Y249="",$Z249=""),"",IF(EXACT(UPPER($J249),UPPER($Y249)),1,0))</f>
        <v/>
      </c>
      <c r="BL249" t="inlineStr">
        <is>
          <t>assumed - no rater record</t>
        </is>
      </c>
      <c r="BM249" t="n">
        <v>6</v>
      </c>
      <c r="BN249" t="inlineStr">
        <is>
          <t>MarketScreener (Surperformance SAS)</t>
        </is>
      </c>
      <c r="BO249" t="inlineStr">
        <is>
          <t>licensed vendor</t>
        </is>
      </c>
      <c r="BP249" t="inlineStr">
        <is>
          <t>no</t>
        </is>
      </c>
      <c r="BQ249" t="inlineStr">
        <is>
          <t>no</t>
        </is>
      </c>
    </row>
    <row r="250">
      <c r="A250" s="115" t="inlineStr">
        <is>
          <t>Allianz</t>
        </is>
      </c>
      <c r="B250" s="116">
        <f>IF(A250="","",_xlfn.XLOOKUP(A250, Company_List!$A:$A, Company_List!$B:$B, ""))</f>
        <v/>
      </c>
      <c r="C250" s="143" t="n">
        <v>2025</v>
      </c>
      <c r="D250" s="143" t="inlineStr">
        <is>
          <t>Q2</t>
        </is>
      </c>
      <c r="E250" s="98" t="inlineStr">
        <is>
          <t>All</t>
        </is>
      </c>
      <c r="F250" s="98" t="inlineStr">
        <is>
          <t>All</t>
        </is>
      </c>
      <c r="G250" s="143" t="inlineStr">
        <is>
          <t>Nigel</t>
        </is>
      </c>
      <c r="H250" s="106" t="inlineStr">
        <is>
          <t>Human</t>
        </is>
      </c>
      <c r="I250" s="145" t="n">
        <v>0.7</v>
      </c>
      <c r="J250" s="145">
        <f>IF(OR(I250="",Settings!$B$6=""),"",IF(I250&gt;Settings!$B$6,"BUY",IF(I250&lt;-Settings!$B$6,"SELL","HOLD")))</f>
        <v/>
      </c>
      <c r="K250" s="145" t="n">
        <v>25</v>
      </c>
      <c r="L250" s="125" t="n">
        <v>45876</v>
      </c>
      <c r="M250" s="140" t="n">
        <v>45876</v>
      </c>
      <c r="N250" s="147" t="n">
        <v>366.9</v>
      </c>
      <c r="O250" s="140" t="n">
        <v>45877</v>
      </c>
      <c r="P250" s="145" t="n">
        <v>365</v>
      </c>
      <c r="Q250" s="150">
        <f>IF(OR(N250="",P250=""),"",ROUND((P250-N250)/N250,4))</f>
        <v/>
      </c>
      <c r="R250" s="106">
        <f>IF(OR(N250="",P250=""),"",IF(Q250&gt;Settings!$B$3/100,"UP",IF(Q250&lt;-Settings!$B$3/100,"DOWN","FLAT")))</f>
        <v/>
      </c>
      <c r="S250" s="106">
        <f>IF(OR(N250="",P250="",J250=""),"",IF(OR(AND(J250="BUY",R250="UP"),AND(J250="SELL",R250="DOWN"),AND(J250="HOLD",R250="FLAT")),"YES","NO"))</f>
        <v/>
      </c>
      <c r="T250" s="105">
        <f>IF(J250="","",IF(J250="BUY",1,IF(J250="SELL",-1,0)))</f>
        <v/>
      </c>
      <c r="U250" s="150">
        <f>IFERROR(IF(OR(J250="",N250="",P250=""),"",IF(T250=0,0,T250*Q250-Settings!$B$4/10000-IF(T250&lt;0,Settings!$B$5/10000,0))),"")</f>
        <v/>
      </c>
      <c r="W250" s="21">
        <f>IF($K250="","",$K250*60)</f>
        <v/>
      </c>
      <c r="X250" s="91">
        <f>IF($A250="","",$A250&amp;"|"&amp;$C250&amp;"|"&amp;$D250)</f>
        <v/>
      </c>
      <c r="Y250" s="91">
        <f>IFERROR(IF($X250="","",INDEX(LLM_Data_Entry!$H$3:$H$548,MATCH($X250,INDEX(LLM_Data_Entry!$A$3:$A$548&amp;"|"&amp;LLM_Data_Entry!$C$3:$C$548&amp;"|"&amp;LLM_Data_Entry!$D$3:$D$548,0),0))),"")</f>
        <v/>
      </c>
      <c r="Z250" s="91">
        <f>IFERROR(IF($X250="","",INDEX(LLM_Data_Entry!$R$3:$R$548,MATCH($X250,INDEX(LLM_Data_Entry!$A$3:$A$548&amp;"|"&amp;LLM_Data_Entry!$C$3:$C$548&amp;"|"&amp;LLM_Data_Entry!$D$3:$D$548,0),0))),"")</f>
        <v/>
      </c>
      <c r="AL250">
        <f>IF($A250="","",IFERROR(INDEX(Company_List!$G$3:$G$207,MATCH($A250,Company_List!$A$3:$A$207,0)),"unassigned"))</f>
        <v/>
      </c>
      <c r="AM250" t="inlineStr">
        <is>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is>
      </c>
      <c r="AO250" t="inlineStr">
        <is>
          <t>whole bundle (Document = All)</t>
        </is>
      </c>
      <c r="AP250">
        <f>IF($A250="","",IF(COUNTIFS(LLM_Data_Entry!$A$3:$A$548,$A250)&gt;0,"YES","NO"))</f>
        <v/>
      </c>
      <c r="AQ250">
        <f>IF($A250="","",IF(COUNTIFS($A$3:$A250,$A250,$C$3:$C250,$C250,$D$3:$D250,$D250)=1,"YES","NO"))</f>
        <v/>
      </c>
      <c r="AR250">
        <f>IF($A250="","",IF(AND($C250&amp;"-"&amp;$D250&gt;=Settings!$B$19,$C250&amp;"-"&amp;$D250&lt;=Settings!$B$20),"IN","OUT"))</f>
        <v/>
      </c>
      <c r="AS250">
        <f>IF($A250="","",IF($F250="Financial Results","financials",IF($F250="Outlook/Guidance","guidance",IF($F250="Transcript Q&amp;A","qanda",IF($F250="","unrecorded",IF($E250="All","full",IF($E250="","unrecorded",LOWER($E250)&amp;" only")))))))</f>
        <v/>
      </c>
      <c r="AT250">
        <f>IF(AND(OR($J250="BUY",$J250="SELL"),ISNUMBER($U250)),$U250,"")</f>
        <v/>
      </c>
      <c r="AU250">
        <f>IF(AND(OR($J250="BUY",$J250="SELL"),ISNUMBER($AK250)),$AK250,"")</f>
        <v/>
      </c>
      <c r="AV250">
        <f>IF(ISNUMBER($AT250),ABS(IF(ISNUMBER($I250),$I250,0)-Settings!$B$24),"")</f>
        <v/>
      </c>
      <c r="AW250">
        <f>IF(ISNUMBER($AV250),$AV250*$AT250,"")</f>
        <v/>
      </c>
      <c r="AX250">
        <f>IF(ISNUMBER($AU250),ABS(IF(ISNUMBER($I250),$I250,0)-Settings!$B$24),"")</f>
        <v/>
      </c>
      <c r="AY250">
        <f>IF(ISNUMBER($AX250),$AX250*$AU250,"")</f>
        <v/>
      </c>
      <c r="AZ250">
        <f>IF($A250="","",IFERROR(INDEX(Company_List!$H$3:$H$207,MATCH($A250,Company_List!$A$3:$A$207,0)),"unassigned"))</f>
        <v/>
      </c>
      <c r="BC250">
        <f>IF($A250="","",IF(COUNTIFS($A$3:$A250,$A250,$C$3:$C250,$C250,$D$3:$D250,$D250,$G$3:$G250,$G250)=1,1,0))</f>
        <v/>
      </c>
      <c r="BG250" t="inlineStr">
        <is>
          <t>no</t>
        </is>
      </c>
      <c r="BK250">
        <f>IF(OR($H250&lt;&gt;"Human",$S250="",$J250="",$Y250="",$Z250=""),"",IF(EXACT(UPPER($J250),UPPER($Y250)),1,0))</f>
        <v/>
      </c>
      <c r="BL250" t="inlineStr">
        <is>
          <t>assumed - no rater record</t>
        </is>
      </c>
      <c r="BM250" t="n">
        <v>8</v>
      </c>
      <c r="BN250" t="inlineStr">
        <is>
          <t>MarketScreener (Surperformance SAS)</t>
        </is>
      </c>
      <c r="BO250" t="inlineStr">
        <is>
          <t>licensed vendor</t>
        </is>
      </c>
      <c r="BP250" t="inlineStr">
        <is>
          <t>no</t>
        </is>
      </c>
      <c r="BQ250" t="inlineStr">
        <is>
          <t>no</t>
        </is>
      </c>
    </row>
    <row r="251">
      <c r="A251" s="115" t="inlineStr">
        <is>
          <t>Allianz</t>
        </is>
      </c>
      <c r="B251" s="116">
        <f>IF(A251="","",_xlfn.XLOOKUP(A251, Company_List!$A:$A, Company_List!$B:$B, ""))</f>
        <v/>
      </c>
      <c r="C251" s="143" t="n">
        <v>2025</v>
      </c>
      <c r="D251" s="143" t="inlineStr">
        <is>
          <t>Q3</t>
        </is>
      </c>
      <c r="E251" s="98" t="inlineStr">
        <is>
          <t>Press Release Document</t>
        </is>
      </c>
      <c r="F251" s="98" t="inlineStr">
        <is>
          <t>Outlook/Guidance</t>
        </is>
      </c>
      <c r="G251" s="143" t="inlineStr">
        <is>
          <t>Nigel</t>
        </is>
      </c>
      <c r="H251" s="106" t="inlineStr">
        <is>
          <t>Human</t>
        </is>
      </c>
      <c r="I251" s="145" t="n">
        <v>0.4</v>
      </c>
      <c r="J251" s="145">
        <f>IF(OR(I251="",Settings!$B$6=""),"",IF(I251&gt;Settings!$B$6,"BUY",IF(I251&lt;-Settings!$B$6,"SELL","HOLD")))</f>
        <v/>
      </c>
      <c r="K251" s="145" t="n">
        <v>4</v>
      </c>
      <c r="L251" s="125" t="n">
        <v>45975</v>
      </c>
      <c r="M251" s="140" t="n">
        <v>45975</v>
      </c>
      <c r="N251" s="147" t="n">
        <v>367.6</v>
      </c>
      <c r="O251" s="140" t="n">
        <v>45978</v>
      </c>
      <c r="P251" s="145" t="n">
        <v>365.4</v>
      </c>
      <c r="Q251" s="150">
        <f>IF(OR(N251="",P251=""),"",ROUND((P251-N251)/N251,4))</f>
        <v/>
      </c>
      <c r="R251" s="106">
        <f>IF(OR(N251="",P251=""),"",IF(Q251&gt;Settings!$B$3/100,"UP",IF(Q251&lt;-Settings!$B$3/100,"DOWN","FLAT")))</f>
        <v/>
      </c>
      <c r="S251" s="106">
        <f>IF(OR(N251="",P251="",J251=""),"",IF(OR(AND(J251="BUY",R251="UP"),AND(J251="SELL",R251="DOWN"),AND(J251="HOLD",R251="FLAT")),"YES","NO"))</f>
        <v/>
      </c>
      <c r="T251" s="105">
        <f>IF(J251="","",IF(J251="BUY",1,IF(J251="SELL",-1,0)))</f>
        <v/>
      </c>
      <c r="U251" s="150">
        <f>IFERROR(IF(OR(J251="",N251="",P251=""),"",IF(T251=0,0,T251*Q251-Settings!$B$4/10000-IF(T251&lt;0,Settings!$B$5/10000,0))),"")</f>
        <v/>
      </c>
      <c r="W251" s="21">
        <f>IF($K251="","",$K251*60)</f>
        <v/>
      </c>
      <c r="X251" s="91">
        <f>IF($A251="","",$A251&amp;"|"&amp;$C251&amp;"|"&amp;$D251)</f>
        <v/>
      </c>
      <c r="Y251" s="91">
        <f>IFERROR(IF($X251="","",INDEX(LLM_Data_Entry!$H$3:$H$548,MATCH($X251,INDEX(LLM_Data_Entry!$A$3:$A$548&amp;"|"&amp;LLM_Data_Entry!$C$3:$C$548&amp;"|"&amp;LLM_Data_Entry!$D$3:$D$548,0),0))),"")</f>
        <v/>
      </c>
      <c r="Z251" s="91">
        <f>IFERROR(IF($X251="","",INDEX(LLM_Data_Entry!$R$3:$R$548,MATCH($X251,INDEX(LLM_Data_Entry!$A$3:$A$548&amp;"|"&amp;LLM_Data_Entry!$C$3:$C$548&amp;"|"&amp;LLM_Data_Entry!$D$3:$D$548,0),0))),"")</f>
        <v/>
      </c>
      <c r="AL251">
        <f>IF($A251="","",IFERROR(INDEX(Company_List!$G$3:$G$207,MATCH($A251,Company_List!$A$3:$A$207,0)),"unassigned"))</f>
        <v/>
      </c>
      <c r="AM251" t="inlineStr">
        <is>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is>
      </c>
      <c r="AO251" t="inlineStr">
        <is>
          <t>whole bundle (Document = All)</t>
        </is>
      </c>
      <c r="AP251">
        <f>IF($A251="","",IF(COUNTIFS(LLM_Data_Entry!$A$3:$A$548,$A251)&gt;0,"YES","NO"))</f>
        <v/>
      </c>
      <c r="AQ251">
        <f>IF($A251="","",IF(COUNTIFS($A$3:$A251,$A251,$C$3:$C251,$C251,$D$3:$D251,$D251)=1,"YES","NO"))</f>
        <v/>
      </c>
      <c r="AR251">
        <f>IF($A251="","",IF(AND($C251&amp;"-"&amp;$D251&gt;=Settings!$B$19,$C251&amp;"-"&amp;$D251&lt;=Settings!$B$20),"IN","OUT"))</f>
        <v/>
      </c>
      <c r="AS251">
        <f>IF($A251="","",IF($F251="Financial Results","financials",IF($F251="Outlook/Guidance","guidance",IF($F251="Transcript Q&amp;A","qanda",IF($F251="","unrecorded",IF($E251="All","full",IF($E251="","unrecorded",LOWER($E251)&amp;" only")))))))</f>
        <v/>
      </c>
      <c r="AT251">
        <f>IF(AND(OR($J251="BUY",$J251="SELL"),ISNUMBER($U251)),$U251,"")</f>
        <v/>
      </c>
      <c r="AU251">
        <f>IF(AND(OR($J251="BUY",$J251="SELL"),ISNUMBER($AK251)),$AK251,"")</f>
        <v/>
      </c>
      <c r="AV251">
        <f>IF(ISNUMBER($AT251),ABS(IF(ISNUMBER($I251),$I251,0)-Settings!$B$24),"")</f>
        <v/>
      </c>
      <c r="AW251">
        <f>IF(ISNUMBER($AV251),$AV251*$AT251,"")</f>
        <v/>
      </c>
      <c r="AX251">
        <f>IF(ISNUMBER($AU251),ABS(IF(ISNUMBER($I251),$I251,0)-Settings!$B$24),"")</f>
        <v/>
      </c>
      <c r="AY251">
        <f>IF(ISNUMBER($AX251),$AX251*$AU251,"")</f>
        <v/>
      </c>
      <c r="AZ251">
        <f>IF($A251="","",IFERROR(INDEX(Company_List!$H$3:$H$207,MATCH($A251,Company_List!$A$3:$A$207,0)),"unassigned"))</f>
        <v/>
      </c>
      <c r="BC251">
        <f>IF($A251="","",IF(COUNTIFS($A$3:$A251,$A251,$C$3:$C251,$C251,$D$3:$D251,$D251,$G$3:$G251,$G251)=1,1,0))</f>
        <v/>
      </c>
      <c r="BG251" t="inlineStr">
        <is>
          <t>no</t>
        </is>
      </c>
      <c r="BK251">
        <f>IF(OR($H251&lt;&gt;"Human",$S251="",$J251="",$Y251="",$Z251=""),"",IF(EXACT(UPPER($J251),UPPER($Y251)),1,0))</f>
        <v/>
      </c>
      <c r="BL251" t="inlineStr">
        <is>
          <t>assumed - no rater record</t>
        </is>
      </c>
      <c r="BM251" t="n">
        <v>6</v>
      </c>
      <c r="BN251" t="inlineStr">
        <is>
          <t>MarketScreener (Surperformance SAS)</t>
        </is>
      </c>
      <c r="BO251" t="inlineStr">
        <is>
          <t>licensed vendor</t>
        </is>
      </c>
      <c r="BP251" t="inlineStr">
        <is>
          <t>no</t>
        </is>
      </c>
      <c r="BQ251" t="inlineStr">
        <is>
          <t>no</t>
        </is>
      </c>
    </row>
    <row r="252">
      <c r="A252" s="115" t="inlineStr">
        <is>
          <t>Allianz</t>
        </is>
      </c>
      <c r="B252" s="116">
        <f>IF(A252="","",_xlfn.XLOOKUP(A252, Company_List!$A:$A, Company_List!$B:$B, ""))</f>
        <v/>
      </c>
      <c r="C252" s="143" t="n">
        <v>2025</v>
      </c>
      <c r="D252" s="143" t="inlineStr">
        <is>
          <t>Q4</t>
        </is>
      </c>
      <c r="E252" s="98" t="inlineStr">
        <is>
          <t>Press Release Document</t>
        </is>
      </c>
      <c r="F252" s="98" t="inlineStr">
        <is>
          <t>Financial Results</t>
        </is>
      </c>
      <c r="G252" s="143" t="inlineStr">
        <is>
          <t>Nigel</t>
        </is>
      </c>
      <c r="H252" s="106" t="inlineStr">
        <is>
          <t>Human</t>
        </is>
      </c>
      <c r="I252" s="145" t="n">
        <v>0.8</v>
      </c>
      <c r="J252" s="145">
        <f>IF(OR(I252="",Settings!$B$6=""),"",IF(I252&gt;Settings!$B$6,"BUY",IF(I252&lt;-Settings!$B$6,"SELL","HOLD")))</f>
        <v/>
      </c>
      <c r="K252" s="145" t="n">
        <v>15</v>
      </c>
      <c r="L252" s="125" t="n">
        <v>46079</v>
      </c>
      <c r="M252" s="140" t="n">
        <v>46079</v>
      </c>
      <c r="N252" s="147" t="n">
        <v>384.7</v>
      </c>
      <c r="O252" s="140" t="n">
        <v>46080</v>
      </c>
      <c r="P252" s="145" t="n">
        <v>384.5</v>
      </c>
      <c r="Q252" s="150">
        <f>IF(OR(N252="",P252=""),"",ROUND((P252-N252)/N252,4))</f>
        <v/>
      </c>
      <c r="R252" s="106">
        <f>IF(OR(N252="",P252=""),"",IF(Q252&gt;Settings!$B$3/100,"UP",IF(Q252&lt;-Settings!$B$3/100,"DOWN","FLAT")))</f>
        <v/>
      </c>
      <c r="S252" s="106">
        <f>IF(OR(N252="",P252="",J252=""),"",IF(OR(AND(J252="BUY",R252="UP"),AND(J252="SELL",R252="DOWN"),AND(J252="HOLD",R252="FLAT")),"YES","NO"))</f>
        <v/>
      </c>
      <c r="T252" s="105">
        <f>IF(J252="","",IF(J252="BUY",1,IF(J252="SELL",-1,0)))</f>
        <v/>
      </c>
      <c r="U252" s="150">
        <f>IFERROR(IF(OR(J252="",N252="",P252=""),"",IF(T252=0,0,T252*Q252-Settings!$B$4/10000-IF(T252&lt;0,Settings!$B$5/10000,0))),"")</f>
        <v/>
      </c>
      <c r="W252" s="21">
        <f>IF($K252="","",$K252*60)</f>
        <v/>
      </c>
      <c r="X252" s="91">
        <f>IF($A252="","",$A252&amp;"|"&amp;$C252&amp;"|"&amp;$D252)</f>
        <v/>
      </c>
      <c r="Y252" s="91">
        <f>IFERROR(IF($X252="","",INDEX(LLM_Data_Entry!$H$3:$H$548,MATCH($X252,INDEX(LLM_Data_Entry!$A$3:$A$548&amp;"|"&amp;LLM_Data_Entry!$C$3:$C$548&amp;"|"&amp;LLM_Data_Entry!$D$3:$D$548,0),0))),"")</f>
        <v/>
      </c>
      <c r="Z252" s="91">
        <f>IFERROR(IF($X252="","",INDEX(LLM_Data_Entry!$R$3:$R$548,MATCH($X252,INDEX(LLM_Data_Entry!$A$3:$A$548&amp;"|"&amp;LLM_Data_Entry!$C$3:$C$548&amp;"|"&amp;LLM_Data_Entry!$D$3:$D$548,0),0))),"")</f>
        <v/>
      </c>
      <c r="AL252">
        <f>IF($A252="","",IFERROR(INDEX(Company_List!$G$3:$G$207,MATCH($A252,Company_List!$A$3:$A$207,0)),"unassigned"))</f>
        <v/>
      </c>
      <c r="AM252" t="inlineStr">
        <is>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is>
      </c>
      <c r="AO252" t="inlineStr">
        <is>
          <t>whole bundle (Document = All)</t>
        </is>
      </c>
      <c r="AP252">
        <f>IF($A252="","",IF(COUNTIFS(LLM_Data_Entry!$A$3:$A$548,$A252)&gt;0,"YES","NO"))</f>
        <v/>
      </c>
      <c r="AQ252">
        <f>IF($A252="","",IF(COUNTIFS($A$3:$A252,$A252,$C$3:$C252,$C252,$D$3:$D252,$D252)=1,"YES","NO"))</f>
        <v/>
      </c>
      <c r="AR252">
        <f>IF($A252="","",IF(AND($C252&amp;"-"&amp;$D252&gt;=Settings!$B$19,$C252&amp;"-"&amp;$D252&lt;=Settings!$B$20),"IN","OUT"))</f>
        <v/>
      </c>
      <c r="AS252">
        <f>IF($A252="","",IF($F252="Financial Results","financials",IF($F252="Outlook/Guidance","guidance",IF($F252="Transcript Q&amp;A","qanda",IF($F252="","unrecorded",IF($E252="All","full",IF($E252="","unrecorded",LOWER($E252)&amp;" only")))))))</f>
        <v/>
      </c>
      <c r="AT252">
        <f>IF(AND(OR($J252="BUY",$J252="SELL"),ISNUMBER($U252)),$U252,"")</f>
        <v/>
      </c>
      <c r="AU252">
        <f>IF(AND(OR($J252="BUY",$J252="SELL"),ISNUMBER($AK252)),$AK252,"")</f>
        <v/>
      </c>
      <c r="AV252">
        <f>IF(ISNUMBER($AT252),ABS(IF(ISNUMBER($I252),$I252,0)-Settings!$B$24),"")</f>
        <v/>
      </c>
      <c r="AW252">
        <f>IF(ISNUMBER($AV252),$AV252*$AT252,"")</f>
        <v/>
      </c>
      <c r="AX252">
        <f>IF(ISNUMBER($AU252),ABS(IF(ISNUMBER($I252),$I252,0)-Settings!$B$24),"")</f>
        <v/>
      </c>
      <c r="AY252">
        <f>IF(ISNUMBER($AX252),$AX252*$AU252,"")</f>
        <v/>
      </c>
      <c r="AZ252">
        <f>IF($A252="","",IFERROR(INDEX(Company_List!$H$3:$H$207,MATCH($A252,Company_List!$A$3:$A$207,0)),"unassigned"))</f>
        <v/>
      </c>
      <c r="BC252">
        <f>IF($A252="","",IF(COUNTIFS($A$3:$A252,$A252,$C$3:$C252,$C252,$D$3:$D252,$D252,$G$3:$G252,$G252)=1,1,0))</f>
        <v/>
      </c>
      <c r="BG252" t="inlineStr">
        <is>
          <t>no</t>
        </is>
      </c>
      <c r="BK252">
        <f>IF(OR($H252&lt;&gt;"Human",$S252="",$J252="",$Y252="",$Z252=""),"",IF(EXACT(UPPER($J252),UPPER($Y252)),1,0))</f>
        <v/>
      </c>
      <c r="BL252" t="inlineStr">
        <is>
          <t>assumed - no rater record</t>
        </is>
      </c>
      <c r="BM252" t="n">
        <v>9</v>
      </c>
      <c r="BN252" t="inlineStr">
        <is>
          <t>MarketScreener (Surperformance SAS)</t>
        </is>
      </c>
      <c r="BO252" t="inlineStr">
        <is>
          <t>licensed vendor</t>
        </is>
      </c>
      <c r="BP252" t="inlineStr">
        <is>
          <t>no</t>
        </is>
      </c>
      <c r="BQ252" t="inlineStr">
        <is>
          <t>no</t>
        </is>
      </c>
    </row>
    <row r="253">
      <c r="A253" s="115" t="inlineStr">
        <is>
          <t>Dell</t>
        </is>
      </c>
      <c r="B253" s="116">
        <f>IF(A253="","",_xlfn.XLOOKUP(A253, Company_List!$A:$A, Company_List!$B:$B, ""))</f>
        <v/>
      </c>
      <c r="C253" s="143" t="n">
        <v>2025</v>
      </c>
      <c r="D253" s="143" t="inlineStr">
        <is>
          <t>Q1</t>
        </is>
      </c>
      <c r="E253" s="98" t="inlineStr">
        <is>
          <t>Transcript</t>
        </is>
      </c>
      <c r="F253" s="98" t="inlineStr">
        <is>
          <t>Transcript Q&amp;A</t>
        </is>
      </c>
      <c r="G253" s="143" t="inlineStr">
        <is>
          <t>Nigel</t>
        </is>
      </c>
      <c r="H253" s="106" t="inlineStr">
        <is>
          <t>Human</t>
        </is>
      </c>
      <c r="I253" s="145" t="n">
        <v>-0.4</v>
      </c>
      <c r="J253" s="145">
        <f>IF(OR(I253="",Settings!$B$6=""),"",IF(I253&gt;Settings!$B$6,"BUY",IF(I253&lt;-Settings!$B$6,"SELL","HOLD")))</f>
        <v/>
      </c>
      <c r="K253" s="145" t="n">
        <v>15</v>
      </c>
      <c r="L253" s="125" t="n">
        <v>45442</v>
      </c>
      <c r="M253" s="140" t="n">
        <v>45442</v>
      </c>
      <c r="N253" s="147" t="n">
        <v>169.92</v>
      </c>
      <c r="O253" s="140" t="n">
        <v>45443</v>
      </c>
      <c r="P253" s="145" t="n">
        <v>143.8</v>
      </c>
      <c r="Q253" s="150">
        <f>IF(OR(N253="",P253=""),"",ROUND((P253-N253)/N253,4))</f>
        <v/>
      </c>
      <c r="R253" s="106">
        <f>IF(OR(N253="",P253=""),"",IF(Q253&gt;Settings!$B$3/100,"UP",IF(Q253&lt;-Settings!$B$3/100,"DOWN","FLAT")))</f>
        <v/>
      </c>
      <c r="S253" s="106">
        <f>IF(OR(N253="",P253="",J253=""),"",IF(OR(AND(J253="BUY",R253="UP"),AND(J253="SELL",R253="DOWN"),AND(J253="HOLD",R253="FLAT")),"YES","NO"))</f>
        <v/>
      </c>
      <c r="T253" s="105">
        <f>IF(J253="","",IF(J253="BUY",1,IF(J253="SELL",-1,0)))</f>
        <v/>
      </c>
      <c r="U253" s="150">
        <f>IFERROR(IF(OR(J253="",N253="",P253=""),"",IF(T253=0,0,T253*Q253-Settings!$B$4/10000-IF(T253&lt;0,Settings!$B$5/10000,0))),"")</f>
        <v/>
      </c>
      <c r="W253" s="21">
        <f>IF($K253="","",$K253*60)</f>
        <v/>
      </c>
      <c r="X253" s="91">
        <f>IF($A253="","",$A253&amp;"|"&amp;$C253&amp;"|"&amp;$D253)</f>
        <v/>
      </c>
      <c r="Y253" s="91">
        <f>IFERROR(IF($X253="","",INDEX(LLM_Data_Entry!$H$3:$H$548,MATCH($X253,INDEX(LLM_Data_Entry!$A$3:$A$548&amp;"|"&amp;LLM_Data_Entry!$C$3:$C$548&amp;"|"&amp;LLM_Data_Entry!$D$3:$D$548,0),0))),"")</f>
        <v/>
      </c>
      <c r="Z253" s="91">
        <f>IFERROR(IF($X253="","",INDEX(LLM_Data_Entry!$R$3:$R$548,MATCH($X253,INDEX(LLM_Data_Entry!$A$3:$A$548&amp;"|"&amp;LLM_Data_Entry!$C$3:$C$548&amp;"|"&amp;LLM_Data_Entry!$D$3:$D$548,0),0))),"")</f>
        <v/>
      </c>
      <c r="AL253">
        <f>IF($A253="","",IFERROR(INDEX(Company_List!$G$3:$G$207,MATCH($A253,Company_List!$A$3:$A$207,0)),"unassigned"))</f>
        <v/>
      </c>
      <c r="AM253" t="inlineStr">
        <is>
          <t>Phase 3/Readings/Dell/Q1/Q1 FY25 Performance Review (2).pdf; Phase 3/Readings/Dell/Q1/Q1 FY25 Financial Tables.pdf; Phase 3/Readings/Dell/Q1/Q1 FY25 Financial Results Press Release.pdf; Phase 3/Readings/Dell/Q1/DELL Q1FY25 Earnings Transcript.pdf</t>
        </is>
      </c>
      <c r="AO253" t="inlineStr">
        <is>
          <t>whole bundle (Document = All)</t>
        </is>
      </c>
      <c r="AP253">
        <f>IF($A253="","",IF(COUNTIFS(LLM_Data_Entry!$A$3:$A$548,$A253)&gt;0,"YES","NO"))</f>
        <v/>
      </c>
      <c r="AQ253">
        <f>IF($A253="","",IF(COUNTIFS($A$3:$A253,$A253,$C$3:$C253,$C253,$D$3:$D253,$D253)=1,"YES","NO"))</f>
        <v/>
      </c>
      <c r="AR253">
        <f>IF($A253="","",IF(AND($C253&amp;"-"&amp;$D253&gt;=Settings!$B$19,$C253&amp;"-"&amp;$D253&lt;=Settings!$B$20),"IN","OUT"))</f>
        <v/>
      </c>
      <c r="AS253">
        <f>IF($A253="","",IF($F253="Financial Results","financials",IF($F253="Outlook/Guidance","guidance",IF($F253="Transcript Q&amp;A","qanda",IF($F253="","unrecorded",IF($E253="All","full",IF($E253="","unrecorded",LOWER($E253)&amp;" only")))))))</f>
        <v/>
      </c>
      <c r="AT253">
        <f>IF(AND(OR($J253="BUY",$J253="SELL"),ISNUMBER($U253)),$U253,"")</f>
        <v/>
      </c>
      <c r="AU253">
        <f>IF(AND(OR($J253="BUY",$J253="SELL"),ISNUMBER($AK253)),$AK253,"")</f>
        <v/>
      </c>
      <c r="AV253">
        <f>IF(ISNUMBER($AT253),ABS(IF(ISNUMBER($I253),$I253,0)-Settings!$B$24),"")</f>
        <v/>
      </c>
      <c r="AW253">
        <f>IF(ISNUMBER($AV253),$AV253*$AT253,"")</f>
        <v/>
      </c>
      <c r="AX253">
        <f>IF(ISNUMBER($AU253),ABS(IF(ISNUMBER($I253),$I253,0)-Settings!$B$24),"")</f>
        <v/>
      </c>
      <c r="AY253">
        <f>IF(ISNUMBER($AX253),$AX253*$AU253,"")</f>
        <v/>
      </c>
      <c r="AZ253">
        <f>IF($A253="","",IFERROR(INDEX(Company_List!$H$3:$H$207,MATCH($A253,Company_List!$A$3:$A$207,0)),"unassigned"))</f>
        <v/>
      </c>
      <c r="BC253">
        <f>IF($A253="","",IF(COUNTIFS($A$3:$A253,$A253,$C$3:$C253,$C253,$D$3:$D253,$D253,$G$3:$G253,$G253)=1,1,0))</f>
        <v/>
      </c>
      <c r="BG253" t="inlineStr">
        <is>
          <t>no</t>
        </is>
      </c>
      <c r="BK253">
        <f>IF(OR($H253&lt;&gt;"Human",$S253="",$J253="",$Y253="",$Z253=""),"",IF(EXACT(UPPER($J253),UPPER($Y253)),1,0))</f>
        <v/>
      </c>
      <c r="BL253" t="inlineStr">
        <is>
          <t>assumed - no rater record</t>
        </is>
      </c>
      <c r="BM253" t="n">
        <v>4</v>
      </c>
      <c r="BN253" t="inlineStr">
        <is>
          <t>not publisher-identified</t>
        </is>
      </c>
      <c r="BO253" t="inlineStr">
        <is>
          <t>not publisher-identified</t>
        </is>
      </c>
      <c r="BP253" t="inlineStr">
        <is>
          <t>no</t>
        </is>
      </c>
      <c r="BQ253" t="inlineStr">
        <is>
          <t>no</t>
        </is>
      </c>
    </row>
    <row r="254">
      <c r="A254" s="115" t="inlineStr">
        <is>
          <t>Dell</t>
        </is>
      </c>
      <c r="B254" s="116">
        <f>IF(A254="","",_xlfn.XLOOKUP(A254, Company_List!$A:$A, Company_List!$B:$B, ""))</f>
        <v/>
      </c>
      <c r="C254" s="143" t="n">
        <v>2025</v>
      </c>
      <c r="D254" s="143" t="inlineStr">
        <is>
          <t>Q2</t>
        </is>
      </c>
      <c r="E254" s="98" t="inlineStr">
        <is>
          <t>All</t>
        </is>
      </c>
      <c r="F254" s="98" t="inlineStr">
        <is>
          <t>All</t>
        </is>
      </c>
      <c r="G254" s="143" t="inlineStr">
        <is>
          <t>Nigel</t>
        </is>
      </c>
      <c r="H254" s="106" t="inlineStr">
        <is>
          <t>Human</t>
        </is>
      </c>
      <c r="I254" s="145" t="n">
        <v>0.6</v>
      </c>
      <c r="J254" s="145">
        <f>IF(OR(I254="",Settings!$B$6=""),"",IF(I254&gt;Settings!$B$6,"BUY",IF(I254&lt;-Settings!$B$6,"SELL","HOLD")))</f>
        <v/>
      </c>
      <c r="K254" s="145" t="n">
        <v>24</v>
      </c>
      <c r="L254" s="125" t="n">
        <v>45533</v>
      </c>
      <c r="M254" s="140" t="n">
        <v>45533</v>
      </c>
      <c r="N254" s="147" t="n">
        <v>110.74</v>
      </c>
      <c r="O254" s="140" t="n">
        <v>45534</v>
      </c>
      <c r="P254" s="145" t="n">
        <v>115.36</v>
      </c>
      <c r="Q254" s="150">
        <f>IF(OR(N254="",P254=""),"",ROUND((P254-N254)/N254,4))</f>
        <v/>
      </c>
      <c r="R254" s="106">
        <f>IF(OR(N254="",P254=""),"",IF(Q254&gt;Settings!$B$3/100,"UP",IF(Q254&lt;-Settings!$B$3/100,"DOWN","FLAT")))</f>
        <v/>
      </c>
      <c r="S254" s="106">
        <f>IF(OR(N254="",P254="",J254=""),"",IF(OR(AND(J254="BUY",R254="UP"),AND(J254="SELL",R254="DOWN"),AND(J254="HOLD",R254="FLAT")),"YES","NO"))</f>
        <v/>
      </c>
      <c r="T254" s="105">
        <f>IF(J254="","",IF(J254="BUY",1,IF(J254="SELL",-1,0)))</f>
        <v/>
      </c>
      <c r="U254" s="150">
        <f>IFERROR(IF(OR(J254="",N254="",P254=""),"",IF(T254=0,0,T254*Q254-Settings!$B$4/10000-IF(T254&lt;0,Settings!$B$5/10000,0))),"")</f>
        <v/>
      </c>
      <c r="W254" s="21">
        <f>IF($K254="","",$K254*60)</f>
        <v/>
      </c>
      <c r="X254" s="91">
        <f>IF($A254="","",$A254&amp;"|"&amp;$C254&amp;"|"&amp;$D254)</f>
        <v/>
      </c>
      <c r="Y254" s="91">
        <f>IFERROR(IF($X254="","",INDEX(LLM_Data_Entry!$H$3:$H$548,MATCH($X254,INDEX(LLM_Data_Entry!$A$3:$A$548&amp;"|"&amp;LLM_Data_Entry!$C$3:$C$548&amp;"|"&amp;LLM_Data_Entry!$D$3:$D$548,0),0))),"")</f>
        <v/>
      </c>
      <c r="Z254" s="91">
        <f>IFERROR(IF($X254="","",INDEX(LLM_Data_Entry!$R$3:$R$548,MATCH($X254,INDEX(LLM_Data_Entry!$A$3:$A$548&amp;"|"&amp;LLM_Data_Entry!$C$3:$C$548&amp;"|"&amp;LLM_Data_Entry!$D$3:$D$548,0),0))),"")</f>
        <v/>
      </c>
      <c r="AL254">
        <f>IF($A254="","",IFERROR(INDEX(Company_List!$G$3:$G$207,MATCH($A254,Company_List!$A$3:$A$207,0)),"unassigned"))</f>
        <v/>
      </c>
      <c r="AM254" t="inlineStr">
        <is>
          <t>Phase 3/Readings/Dell/Q2/Q2 FY25 Performance Review (2).pdf; Phase 3/Readings/Dell/Q2/Q2 FY25 Financial Tables.pdf; Phase 3/Readings/Dell/Q2/Q2 FY25 Financial Results Press Release.pdf; Phase 3/Readings/Dell/Q2/DELL Q2FY25 Earnings Transcript (1).pdf</t>
        </is>
      </c>
      <c r="AO254" t="inlineStr">
        <is>
          <t>whole bundle (Document = All)</t>
        </is>
      </c>
      <c r="AP254">
        <f>IF($A254="","",IF(COUNTIFS(LLM_Data_Entry!$A$3:$A$548,$A254)&gt;0,"YES","NO"))</f>
        <v/>
      </c>
      <c r="AQ254">
        <f>IF($A254="","",IF(COUNTIFS($A$3:$A254,$A254,$C$3:$C254,$C254,$D$3:$D254,$D254)=1,"YES","NO"))</f>
        <v/>
      </c>
      <c r="AR254">
        <f>IF($A254="","",IF(AND($C254&amp;"-"&amp;$D254&gt;=Settings!$B$19,$C254&amp;"-"&amp;$D254&lt;=Settings!$B$20),"IN","OUT"))</f>
        <v/>
      </c>
      <c r="AS254">
        <f>IF($A254="","",IF($F254="Financial Results","financials",IF($F254="Outlook/Guidance","guidance",IF($F254="Transcript Q&amp;A","qanda",IF($F254="","unrecorded",IF($E254="All","full",IF($E254="","unrecorded",LOWER($E254)&amp;" only")))))))</f>
        <v/>
      </c>
      <c r="AT254">
        <f>IF(AND(OR($J254="BUY",$J254="SELL"),ISNUMBER($U254)),$U254,"")</f>
        <v/>
      </c>
      <c r="AU254">
        <f>IF(AND(OR($J254="BUY",$J254="SELL"),ISNUMBER($AK254)),$AK254,"")</f>
        <v/>
      </c>
      <c r="AV254">
        <f>IF(ISNUMBER($AT254),ABS(IF(ISNUMBER($I254),$I254,0)-Settings!$B$24),"")</f>
        <v/>
      </c>
      <c r="AW254">
        <f>IF(ISNUMBER($AV254),$AV254*$AT254,"")</f>
        <v/>
      </c>
      <c r="AX254">
        <f>IF(ISNUMBER($AU254),ABS(IF(ISNUMBER($I254),$I254,0)-Settings!$B$24),"")</f>
        <v/>
      </c>
      <c r="AY254">
        <f>IF(ISNUMBER($AX254),$AX254*$AU254,"")</f>
        <v/>
      </c>
      <c r="AZ254">
        <f>IF($A254="","",IFERROR(INDEX(Company_List!$H$3:$H$207,MATCH($A254,Company_List!$A$3:$A$207,0)),"unassigned"))</f>
        <v/>
      </c>
      <c r="BC254">
        <f>IF($A254="","",IF(COUNTIFS($A$3:$A254,$A254,$C$3:$C254,$C254,$D$3:$D254,$D254,$G$3:$G254,$G254)=1,1,0))</f>
        <v/>
      </c>
      <c r="BG254" t="inlineStr">
        <is>
          <t>no</t>
        </is>
      </c>
      <c r="BK254">
        <f>IF(OR($H254&lt;&gt;"Human",$S254="",$J254="",$Y254="",$Z254=""),"",IF(EXACT(UPPER($J254),UPPER($Y254)),1,0))</f>
        <v/>
      </c>
      <c r="BL254" t="inlineStr">
        <is>
          <t>assumed - no rater record</t>
        </is>
      </c>
      <c r="BM254" t="n">
        <v>4</v>
      </c>
      <c r="BN254" t="inlineStr">
        <is>
          <t>not publisher-identified</t>
        </is>
      </c>
      <c r="BO254" t="inlineStr">
        <is>
          <t>not publisher-identified</t>
        </is>
      </c>
      <c r="BP254" t="inlineStr">
        <is>
          <t>no</t>
        </is>
      </c>
      <c r="BQ254" t="inlineStr">
        <is>
          <t>no</t>
        </is>
      </c>
    </row>
    <row r="255">
      <c r="A255" s="115" t="inlineStr">
        <is>
          <t>Dell</t>
        </is>
      </c>
      <c r="B255" s="116">
        <f>IF(A255="","",_xlfn.XLOOKUP(A255, Company_List!$A:$A, Company_List!$B:$B, ""))</f>
        <v/>
      </c>
      <c r="C255" s="143" t="n">
        <v>2025</v>
      </c>
      <c r="D255" s="143" t="inlineStr">
        <is>
          <t>Q3</t>
        </is>
      </c>
      <c r="E255" s="98" t="inlineStr">
        <is>
          <t>Press Release Document</t>
        </is>
      </c>
      <c r="F255" s="98" t="inlineStr">
        <is>
          <t>Outlook/Guidance</t>
        </is>
      </c>
      <c r="G255" s="143" t="inlineStr">
        <is>
          <t>Nigel</t>
        </is>
      </c>
      <c r="H255" s="106" t="inlineStr">
        <is>
          <t>Human</t>
        </is>
      </c>
      <c r="I255" s="145" t="n">
        <v>0.7</v>
      </c>
      <c r="J255" s="145">
        <f>IF(OR(I255="",Settings!$B$6=""),"",IF(I255&gt;Settings!$B$6,"BUY",IF(I255&lt;-Settings!$B$6,"SELL","HOLD")))</f>
        <v/>
      </c>
      <c r="K255" s="145" t="n">
        <v>4</v>
      </c>
      <c r="L255" s="125" t="n">
        <v>45622</v>
      </c>
      <c r="M255" s="140" t="n">
        <v>45622</v>
      </c>
      <c r="N255" s="147" t="n">
        <v>141.74</v>
      </c>
      <c r="O255" s="140" t="n">
        <v>45623</v>
      </c>
      <c r="P255" s="145" t="n">
        <v>124.92</v>
      </c>
      <c r="Q255" s="150">
        <f>IF(OR(N255="",P255=""),"",ROUND((P255-N255)/N255,4))</f>
        <v/>
      </c>
      <c r="R255" s="106">
        <f>IF(OR(N255="",P255=""),"",IF(Q255&gt;Settings!$B$3/100,"UP",IF(Q255&lt;-Settings!$B$3/100,"DOWN","FLAT")))</f>
        <v/>
      </c>
      <c r="S255" s="106">
        <f>IF(OR(N255="",P255="",J255=""),"",IF(OR(AND(J255="BUY",R255="UP"),AND(J255="SELL",R255="DOWN"),AND(J255="HOLD",R255="FLAT")),"YES","NO"))</f>
        <v/>
      </c>
      <c r="T255" s="105">
        <f>IF(J255="","",IF(J255="BUY",1,IF(J255="SELL",-1,0)))</f>
        <v/>
      </c>
      <c r="U255" s="150">
        <f>IFERROR(IF(OR(J255="",N255="",P255=""),"",IF(T255=0,0,T255*Q255-Settings!$B$4/10000-IF(T255&lt;0,Settings!$B$5/10000,0))),"")</f>
        <v/>
      </c>
      <c r="W255" s="21">
        <f>IF($K255="","",$K255*60)</f>
        <v/>
      </c>
      <c r="X255" s="91">
        <f>IF($A255="","",$A255&amp;"|"&amp;$C255&amp;"|"&amp;$D255)</f>
        <v/>
      </c>
      <c r="Y255" s="91">
        <f>IFERROR(IF($X255="","",INDEX(LLM_Data_Entry!$H$3:$H$548,MATCH($X255,INDEX(LLM_Data_Entry!$A$3:$A$548&amp;"|"&amp;LLM_Data_Entry!$C$3:$C$548&amp;"|"&amp;LLM_Data_Entry!$D$3:$D$548,0),0))),"")</f>
        <v/>
      </c>
      <c r="Z255" s="91">
        <f>IFERROR(IF($X255="","",INDEX(LLM_Data_Entry!$R$3:$R$548,MATCH($X255,INDEX(LLM_Data_Entry!$A$3:$A$548&amp;"|"&amp;LLM_Data_Entry!$C$3:$C$548&amp;"|"&amp;LLM_Data_Entry!$D$3:$D$548,0),0))),"")</f>
        <v/>
      </c>
      <c r="AL255">
        <f>IF($A255="","",IFERROR(INDEX(Company_List!$G$3:$G$207,MATCH($A255,Company_List!$A$3:$A$207,0)),"unassigned"))</f>
        <v/>
      </c>
      <c r="AM255" t="inlineStr">
        <is>
          <t>Phase 3/Readings/Dell/Q3/Q3 FY25 Performance Review.pdf; Phase 3/Readings/Dell/Q3/Q3 FY25 Financial Tables.pdf; Phase 3/Readings/Dell/Q3/Q3 FY25 Financial Results Press Release.pdf; Phase 3/Readings/Dell/Q3/DELL Q3FY25 Earnings Transcript.pdf</t>
        </is>
      </c>
      <c r="AO255" t="inlineStr">
        <is>
          <t>whole bundle (Document = All)</t>
        </is>
      </c>
      <c r="AP255">
        <f>IF($A255="","",IF(COUNTIFS(LLM_Data_Entry!$A$3:$A$548,$A255)&gt;0,"YES","NO"))</f>
        <v/>
      </c>
      <c r="AQ255">
        <f>IF($A255="","",IF(COUNTIFS($A$3:$A255,$A255,$C$3:$C255,$C255,$D$3:$D255,$D255)=1,"YES","NO"))</f>
        <v/>
      </c>
      <c r="AR255">
        <f>IF($A255="","",IF(AND($C255&amp;"-"&amp;$D255&gt;=Settings!$B$19,$C255&amp;"-"&amp;$D255&lt;=Settings!$B$20),"IN","OUT"))</f>
        <v/>
      </c>
      <c r="AS255">
        <f>IF($A255="","",IF($F255="Financial Results","financials",IF($F255="Outlook/Guidance","guidance",IF($F255="Transcript Q&amp;A","qanda",IF($F255="","unrecorded",IF($E255="All","full",IF($E255="","unrecorded",LOWER($E255)&amp;" only")))))))</f>
        <v/>
      </c>
      <c r="AT255">
        <f>IF(AND(OR($J255="BUY",$J255="SELL"),ISNUMBER($U255)),$U255,"")</f>
        <v/>
      </c>
      <c r="AU255">
        <f>IF(AND(OR($J255="BUY",$J255="SELL"),ISNUMBER($AK255)),$AK255,"")</f>
        <v/>
      </c>
      <c r="AV255">
        <f>IF(ISNUMBER($AT255),ABS(IF(ISNUMBER($I255),$I255,0)-Settings!$B$24),"")</f>
        <v/>
      </c>
      <c r="AW255">
        <f>IF(ISNUMBER($AV255),$AV255*$AT255,"")</f>
        <v/>
      </c>
      <c r="AX255">
        <f>IF(ISNUMBER($AU255),ABS(IF(ISNUMBER($I255),$I255,0)-Settings!$B$24),"")</f>
        <v/>
      </c>
      <c r="AY255">
        <f>IF(ISNUMBER($AX255),$AX255*$AU255,"")</f>
        <v/>
      </c>
      <c r="AZ255">
        <f>IF($A255="","",IFERROR(INDEX(Company_List!$H$3:$H$207,MATCH($A255,Company_List!$A$3:$A$207,0)),"unassigned"))</f>
        <v/>
      </c>
      <c r="BC255">
        <f>IF($A255="","",IF(COUNTIFS($A$3:$A255,$A255,$C$3:$C255,$C255,$D$3:$D255,$D255,$G$3:$G255,$G255)=1,1,0))</f>
        <v/>
      </c>
      <c r="BG255" t="inlineStr">
        <is>
          <t>no</t>
        </is>
      </c>
      <c r="BK255">
        <f>IF(OR($H255&lt;&gt;"Human",$S255="",$J255="",$Y255="",$Z255=""),"",IF(EXACT(UPPER($J255),UPPER($Y255)),1,0))</f>
        <v/>
      </c>
      <c r="BL255" t="inlineStr">
        <is>
          <t>assumed - no rater record</t>
        </is>
      </c>
      <c r="BM255" t="n">
        <v>4</v>
      </c>
      <c r="BN255" t="inlineStr">
        <is>
          <t>not publisher-identified</t>
        </is>
      </c>
      <c r="BO255" t="inlineStr">
        <is>
          <t>not publisher-identified</t>
        </is>
      </c>
      <c r="BP255" t="inlineStr">
        <is>
          <t>no</t>
        </is>
      </c>
      <c r="BQ255" t="inlineStr">
        <is>
          <t>no</t>
        </is>
      </c>
    </row>
    <row r="256">
      <c r="A256" s="115" t="inlineStr">
        <is>
          <t>Dell</t>
        </is>
      </c>
      <c r="B256" s="116">
        <f>IF(A256="","",_xlfn.XLOOKUP(A256, Company_List!$A:$A, Company_List!$B:$B, ""))</f>
        <v/>
      </c>
      <c r="C256" s="143" t="n">
        <v>2025</v>
      </c>
      <c r="D256" s="143" t="inlineStr">
        <is>
          <t>Q4</t>
        </is>
      </c>
      <c r="E256" s="98" t="inlineStr">
        <is>
          <t>Press Release Document</t>
        </is>
      </c>
      <c r="F256" s="98" t="inlineStr">
        <is>
          <t>Financial Results</t>
        </is>
      </c>
      <c r="G256" s="143" t="inlineStr">
        <is>
          <t>Nigel</t>
        </is>
      </c>
      <c r="H256" s="106" t="inlineStr">
        <is>
          <t>Human</t>
        </is>
      </c>
      <c r="I256" s="145" t="n">
        <v>0.5</v>
      </c>
      <c r="J256" s="145">
        <f>IF(OR(I256="",Settings!$B$6=""),"",IF(I256&gt;Settings!$B$6,"BUY",IF(I256&lt;-Settings!$B$6,"SELL","HOLD")))</f>
        <v/>
      </c>
      <c r="K256" s="145" t="n">
        <v>12</v>
      </c>
      <c r="L256" s="125" t="n">
        <v>45715</v>
      </c>
      <c r="M256" s="140" t="n">
        <v>45715</v>
      </c>
      <c r="N256" s="147" t="n">
        <v>107.83</v>
      </c>
      <c r="O256" s="140" t="n">
        <v>45716</v>
      </c>
      <c r="P256" s="145" t="n">
        <v>100.96</v>
      </c>
      <c r="Q256" s="150">
        <f>IF(OR(N256="",P256=""),"",ROUND((P256-N256)/N256,4))</f>
        <v/>
      </c>
      <c r="R256" s="106">
        <f>IF(OR(N256="",P256=""),"",IF(Q256&gt;Settings!$B$3/100,"UP",IF(Q256&lt;-Settings!$B$3/100,"DOWN","FLAT")))</f>
        <v/>
      </c>
      <c r="S256" s="106">
        <f>IF(OR(N256="",P256="",J256=""),"",IF(OR(AND(J256="BUY",R256="UP"),AND(J256="SELL",R256="DOWN"),AND(J256="HOLD",R256="FLAT")),"YES","NO"))</f>
        <v/>
      </c>
      <c r="T256" s="105">
        <f>IF(J256="","",IF(J256="BUY",1,IF(J256="SELL",-1,0)))</f>
        <v/>
      </c>
      <c r="U256" s="150">
        <f>IFERROR(IF(OR(J256="",N256="",P256=""),"",IF(T256=0,0,T256*Q256-Settings!$B$4/10000-IF(T256&lt;0,Settings!$B$5/10000,0))),"")</f>
        <v/>
      </c>
      <c r="W256" s="21">
        <f>IF($K256="","",$K256*60)</f>
        <v/>
      </c>
      <c r="X256" s="91">
        <f>IF($A256="","",$A256&amp;"|"&amp;$C256&amp;"|"&amp;$D256)</f>
        <v/>
      </c>
      <c r="Y256" s="91">
        <f>IFERROR(IF($X256="","",INDEX(LLM_Data_Entry!$H$3:$H$548,MATCH($X256,INDEX(LLM_Data_Entry!$A$3:$A$548&amp;"|"&amp;LLM_Data_Entry!$C$3:$C$548&amp;"|"&amp;LLM_Data_Entry!$D$3:$D$548,0),0))),"")</f>
        <v/>
      </c>
      <c r="Z256" s="91">
        <f>IFERROR(IF($X256="","",INDEX(LLM_Data_Entry!$R$3:$R$548,MATCH($X256,INDEX(LLM_Data_Entry!$A$3:$A$548&amp;"|"&amp;LLM_Data_Entry!$C$3:$C$548&amp;"|"&amp;LLM_Data_Entry!$D$3:$D$548,0),0))),"")</f>
        <v/>
      </c>
      <c r="AL256">
        <f>IF($A256="","",IFERROR(INDEX(Company_List!$G$3:$G$207,MATCH($A256,Company_List!$A$3:$A$207,0)),"unassigned"))</f>
        <v/>
      </c>
      <c r="AM256" t="inlineStr">
        <is>
          <t>Phase 3/Readings/Dell/Q4/Q4 FY25 Financial Tables.pdf; Phase 3/Readings/Dell/Q4/Q4 FY25 Financial Results Press Release.pdf; Phase 3/Readings/Dell/Q4/DELL Q4FY25 Earnings Transcript.pdf</t>
        </is>
      </c>
      <c r="AO256" t="inlineStr">
        <is>
          <t>whole bundle (Document = All)</t>
        </is>
      </c>
      <c r="AP256">
        <f>IF($A256="","",IF(COUNTIFS(LLM_Data_Entry!$A$3:$A$548,$A256)&gt;0,"YES","NO"))</f>
        <v/>
      </c>
      <c r="AQ256">
        <f>IF($A256="","",IF(COUNTIFS($A$3:$A256,$A256,$C$3:$C256,$C256,$D$3:$D256,$D256)=1,"YES","NO"))</f>
        <v/>
      </c>
      <c r="AR256">
        <f>IF($A256="","",IF(AND($C256&amp;"-"&amp;$D256&gt;=Settings!$B$19,$C256&amp;"-"&amp;$D256&lt;=Settings!$B$20),"IN","OUT"))</f>
        <v/>
      </c>
      <c r="AS256">
        <f>IF($A256="","",IF($F256="Financial Results","financials",IF($F256="Outlook/Guidance","guidance",IF($F256="Transcript Q&amp;A","qanda",IF($F256="","unrecorded",IF($E256="All","full",IF($E256="","unrecorded",LOWER($E256)&amp;" only")))))))</f>
        <v/>
      </c>
      <c r="AT256">
        <f>IF(AND(OR($J256="BUY",$J256="SELL"),ISNUMBER($U256)),$U256,"")</f>
        <v/>
      </c>
      <c r="AU256">
        <f>IF(AND(OR($J256="BUY",$J256="SELL"),ISNUMBER($AK256)),$AK256,"")</f>
        <v/>
      </c>
      <c r="AV256">
        <f>IF(ISNUMBER($AT256),ABS(IF(ISNUMBER($I256),$I256,0)-Settings!$B$24),"")</f>
        <v/>
      </c>
      <c r="AW256">
        <f>IF(ISNUMBER($AV256),$AV256*$AT256,"")</f>
        <v/>
      </c>
      <c r="AX256">
        <f>IF(ISNUMBER($AU256),ABS(IF(ISNUMBER($I256),$I256,0)-Settings!$B$24),"")</f>
        <v/>
      </c>
      <c r="AY256">
        <f>IF(ISNUMBER($AX256),$AX256*$AU256,"")</f>
        <v/>
      </c>
      <c r="AZ256">
        <f>IF($A256="","",IFERROR(INDEX(Company_List!$H$3:$H$207,MATCH($A256,Company_List!$A$3:$A$207,0)),"unassigned"))</f>
        <v/>
      </c>
      <c r="BC256">
        <f>IF($A256="","",IF(COUNTIFS($A$3:$A256,$A256,$C$3:$C256,$C256,$D$3:$D256,$D256,$G$3:$G256,$G256)=1,1,0))</f>
        <v/>
      </c>
      <c r="BG256" t="inlineStr">
        <is>
          <t>no</t>
        </is>
      </c>
      <c r="BK256">
        <f>IF(OR($H256&lt;&gt;"Human",$S256="",$J256="",$Y256="",$Z256=""),"",IF(EXACT(UPPER($J256),UPPER($Y256)),1,0))</f>
        <v/>
      </c>
      <c r="BL256" t="inlineStr">
        <is>
          <t>assumed - no rater record</t>
        </is>
      </c>
      <c r="BM256" t="n">
        <v>3</v>
      </c>
      <c r="BN256" t="inlineStr">
        <is>
          <t>not publisher-identified</t>
        </is>
      </c>
      <c r="BO256" t="inlineStr">
        <is>
          <t>not publisher-identified</t>
        </is>
      </c>
      <c r="BP256" t="inlineStr">
        <is>
          <t>no</t>
        </is>
      </c>
      <c r="BQ256" t="inlineStr">
        <is>
          <t>no</t>
        </is>
      </c>
    </row>
    <row r="257">
      <c r="A257" s="115" t="inlineStr">
        <is>
          <t>Standard Chartered</t>
        </is>
      </c>
      <c r="B257" s="116">
        <f>IF(A257="","",_xlfn.XLOOKUP(A257, Company_List!$A:$A, Company_List!$B:$B, ""))</f>
        <v/>
      </c>
      <c r="C257" s="143" t="n">
        <v>2025</v>
      </c>
      <c r="D257" s="143" t="inlineStr">
        <is>
          <t>Q1</t>
        </is>
      </c>
      <c r="E257" s="98" t="inlineStr">
        <is>
          <t>Press Release Document</t>
        </is>
      </c>
      <c r="F257" s="98" t="inlineStr">
        <is>
          <t>Outlook/Guidance</t>
        </is>
      </c>
      <c r="G257" s="143" t="inlineStr">
        <is>
          <t>Nigel</t>
        </is>
      </c>
      <c r="H257" s="106" t="inlineStr">
        <is>
          <t>Human</t>
        </is>
      </c>
      <c r="I257" s="145" t="n">
        <v>0.1</v>
      </c>
      <c r="J257" s="145">
        <f>IF(OR(I257="",Settings!$B$6=""),"",IF(I257&gt;Settings!$B$6,"BUY",IF(I257&lt;-Settings!$B$6,"SELL","HOLD")))</f>
        <v/>
      </c>
      <c r="K257" s="145" t="n">
        <v>4</v>
      </c>
      <c r="L257" s="125" t="n">
        <v>45779</v>
      </c>
      <c r="M257" s="140" t="n">
        <v>45779</v>
      </c>
      <c r="N257" s="147" t="n">
        <v>1096.5</v>
      </c>
      <c r="O257" s="140" t="n">
        <v>45783</v>
      </c>
      <c r="P257" s="145" t="n">
        <v>1092</v>
      </c>
      <c r="Q257" s="150">
        <f>IF(OR(N257="",P257=""),"",ROUND((P257-N257)/N257,4))</f>
        <v/>
      </c>
      <c r="R257" s="106">
        <f>IF(OR(N257="",P257=""),"",IF(Q257&gt;Settings!$B$3/100,"UP",IF(Q257&lt;-Settings!$B$3/100,"DOWN","FLAT")))</f>
        <v/>
      </c>
      <c r="S257" s="106">
        <f>IF(OR(N257="",P257="",J257=""),"",IF(OR(AND(J257="BUY",R257="UP"),AND(J257="SELL",R257="DOWN"),AND(J257="HOLD",R257="FLAT")),"YES","NO"))</f>
        <v/>
      </c>
      <c r="T257" s="105">
        <f>IF(J257="","",IF(J257="BUY",1,IF(J257="SELL",-1,0)))</f>
        <v/>
      </c>
      <c r="U257" s="150">
        <f>IFERROR(IF(OR(J257="",N257="",P257=""),"",IF(T257=0,0,T257*Q257-Settings!$B$4/10000-IF(T257&lt;0,Settings!$B$5/10000,0))),"")</f>
        <v/>
      </c>
      <c r="W257" s="21">
        <f>IF($K257="","",$K257*60)</f>
        <v/>
      </c>
      <c r="X257" s="91">
        <f>IF($A257="","",$A257&amp;"|"&amp;$C257&amp;"|"&amp;$D257)</f>
        <v/>
      </c>
      <c r="Y257" s="91">
        <f>IFERROR(IF($X257="","",INDEX(LLM_Data_Entry!$H$3:$H$548,MATCH($X257,INDEX(LLM_Data_Entry!$A$3:$A$548&amp;"|"&amp;LLM_Data_Entry!$C$3:$C$548&amp;"|"&amp;LLM_Data_Entry!$D$3:$D$548,0),0))),"")</f>
        <v/>
      </c>
      <c r="Z257" s="91">
        <f>IFERROR(IF($X257="","",INDEX(LLM_Data_Entry!$R$3:$R$548,MATCH($X257,INDEX(LLM_Data_Entry!$A$3:$A$548&amp;"|"&amp;LLM_Data_Entry!$C$3:$C$548&amp;"|"&amp;LLM_Data_Entry!$D$3:$D$548,0),0))),"")</f>
        <v/>
      </c>
      <c r="AL257">
        <f>IF($A257="","",IFERROR(INDEX(Company_List!$G$3:$G$207,MATCH($A257,Company_List!$A$3:$A$207,0)),"unassigned"))</f>
        <v/>
      </c>
      <c r="AM257"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O257" t="inlineStr">
        <is>
          <t>whole bundle (Document = All)</t>
        </is>
      </c>
      <c r="AP257">
        <f>IF($A257="","",IF(COUNTIFS(LLM_Data_Entry!$A$3:$A$548,$A257)&gt;0,"YES","NO"))</f>
        <v/>
      </c>
      <c r="AQ257">
        <f>IF($A257="","",IF(COUNTIFS($A$3:$A257,$A257,$C$3:$C257,$C257,$D$3:$D257,$D257)=1,"YES","NO"))</f>
        <v/>
      </c>
      <c r="AR257">
        <f>IF($A257="","",IF(AND($C257&amp;"-"&amp;$D257&gt;=Settings!$B$19,$C257&amp;"-"&amp;$D257&lt;=Settings!$B$20),"IN","OUT"))</f>
        <v/>
      </c>
      <c r="AS257">
        <f>IF($A257="","",IF($F257="Financial Results","financials",IF($F257="Outlook/Guidance","guidance",IF($F257="Transcript Q&amp;A","qanda",IF($F257="","unrecorded",IF($E257="All","full",IF($E257="","unrecorded",LOWER($E257)&amp;" only")))))))</f>
        <v/>
      </c>
      <c r="AT257">
        <f>IF(AND(OR($J257="BUY",$J257="SELL"),ISNUMBER($U257)),$U257,"")</f>
        <v/>
      </c>
      <c r="AU257">
        <f>IF(AND(OR($J257="BUY",$J257="SELL"),ISNUMBER($AK257)),$AK257,"")</f>
        <v/>
      </c>
      <c r="AV257">
        <f>IF(ISNUMBER($AT257),ABS(IF(ISNUMBER($I257),$I257,0)-Settings!$B$24),"")</f>
        <v/>
      </c>
      <c r="AW257">
        <f>IF(ISNUMBER($AV257),$AV257*$AT257,"")</f>
        <v/>
      </c>
      <c r="AX257">
        <f>IF(ISNUMBER($AU257),ABS(IF(ISNUMBER($I257),$I257,0)-Settings!$B$24),"")</f>
        <v/>
      </c>
      <c r="AY257">
        <f>IF(ISNUMBER($AX257),$AX257*$AU257,"")</f>
        <v/>
      </c>
      <c r="AZ257">
        <f>IF($A257="","",IFERROR(INDEX(Company_List!$H$3:$H$207,MATCH($A257,Company_List!$A$3:$A$207,0)),"unassigned"))</f>
        <v/>
      </c>
      <c r="BC257">
        <f>IF($A257="","",IF(COUNTIFS($A$3:$A257,$A257,$C$3:$C257,$C257,$D$3:$D257,$D257,$G$3:$G257,$G257)=1,1,0))</f>
        <v/>
      </c>
      <c r="BG257" t="inlineStr">
        <is>
          <t>no</t>
        </is>
      </c>
      <c r="BK257">
        <f>IF(OR($H257&lt;&gt;"Human",$S257="",$J257="",$Y257="",$Z257=""),"",IF(EXACT(UPPER($J257),UPPER($Y257)),1,0))</f>
        <v/>
      </c>
      <c r="BL257" t="inlineStr">
        <is>
          <t>assumed - no rater record</t>
        </is>
      </c>
      <c r="BM257" t="n">
        <v>4</v>
      </c>
      <c r="BN257" t="inlineStr">
        <is>
          <t>not publisher-identified</t>
        </is>
      </c>
      <c r="BO257" t="inlineStr">
        <is>
          <t>not publisher-identified</t>
        </is>
      </c>
      <c r="BP257" t="inlineStr">
        <is>
          <t>no</t>
        </is>
      </c>
      <c r="BQ257" t="inlineStr">
        <is>
          <t>no</t>
        </is>
      </c>
    </row>
    <row r="258">
      <c r="A258" s="115" t="inlineStr">
        <is>
          <t>Standard Chartered</t>
        </is>
      </c>
      <c r="B258" s="116">
        <f>IF(A258="","",_xlfn.XLOOKUP(A258, Company_List!$A:$A, Company_List!$B:$B, ""))</f>
        <v/>
      </c>
      <c r="C258" s="143" t="n">
        <v>2025</v>
      </c>
      <c r="D258" s="143" t="inlineStr">
        <is>
          <t>Q2</t>
        </is>
      </c>
      <c r="E258" s="98" t="inlineStr">
        <is>
          <t>Press Release Document</t>
        </is>
      </c>
      <c r="F258" s="98" t="inlineStr">
        <is>
          <t>Financial Results</t>
        </is>
      </c>
      <c r="G258" s="143" t="inlineStr">
        <is>
          <t>Nigel</t>
        </is>
      </c>
      <c r="H258" s="106" t="inlineStr">
        <is>
          <t>Human</t>
        </is>
      </c>
      <c r="I258" s="145" t="n">
        <v>0.5</v>
      </c>
      <c r="J258" s="145">
        <f>IF(OR(I258="",Settings!$B$6=""),"",IF(I258&gt;Settings!$B$6,"BUY",IF(I258&lt;-Settings!$B$6,"SELL","HOLD")))</f>
        <v/>
      </c>
      <c r="K258" s="145" t="n">
        <v>9</v>
      </c>
      <c r="L258" s="125" t="n">
        <v>45869</v>
      </c>
      <c r="M258" s="140" t="n">
        <v>45869</v>
      </c>
      <c r="N258" s="147" t="n">
        <v>1360.5</v>
      </c>
      <c r="O258" s="140" t="n">
        <v>45870</v>
      </c>
      <c r="P258" s="145" t="n">
        <v>1360</v>
      </c>
      <c r="Q258" s="150">
        <f>IF(OR(N258="",P258=""),"",ROUND((P258-N258)/N258,4))</f>
        <v/>
      </c>
      <c r="R258" s="106">
        <f>IF(OR(N258="",P258=""),"",IF(Q258&gt;Settings!$B$3/100,"UP",IF(Q258&lt;-Settings!$B$3/100,"DOWN","FLAT")))</f>
        <v/>
      </c>
      <c r="S258" s="106">
        <f>IF(OR(N258="",P258="",J258=""),"",IF(OR(AND(J258="BUY",R258="UP"),AND(J258="SELL",R258="DOWN"),AND(J258="HOLD",R258="FLAT")),"YES","NO"))</f>
        <v/>
      </c>
      <c r="T258" s="105">
        <f>IF(J258="","",IF(J258="BUY",1,IF(J258="SELL",-1,0)))</f>
        <v/>
      </c>
      <c r="U258" s="150">
        <f>IFERROR(IF(OR(J258="",N258="",P258=""),"",IF(T258=0,0,T258*Q258-Settings!$B$4/10000-IF(T258&lt;0,Settings!$B$5/10000,0))),"")</f>
        <v/>
      </c>
      <c r="W258" s="21">
        <f>IF($K258="","",$K258*60)</f>
        <v/>
      </c>
      <c r="X258" s="91">
        <f>IF($A258="","",$A258&amp;"|"&amp;$C258&amp;"|"&amp;$D258)</f>
        <v/>
      </c>
      <c r="Y258" s="91">
        <f>IFERROR(IF($X258="","",INDEX(LLM_Data_Entry!$H$3:$H$548,MATCH($X258,INDEX(LLM_Data_Entry!$A$3:$A$548&amp;"|"&amp;LLM_Data_Entry!$C$3:$C$548&amp;"|"&amp;LLM_Data_Entry!$D$3:$D$548,0),0))),"")</f>
        <v/>
      </c>
      <c r="Z258" s="91">
        <f>IFERROR(IF($X258="","",INDEX(LLM_Data_Entry!$R$3:$R$548,MATCH($X258,INDEX(LLM_Data_Entry!$A$3:$A$548&amp;"|"&amp;LLM_Data_Entry!$C$3:$C$548&amp;"|"&amp;LLM_Data_Entry!$D$3:$D$548,0),0))),"")</f>
        <v/>
      </c>
      <c r="AL258">
        <f>IF($A258="","",IFERROR(INDEX(Company_List!$G$3:$G$207,MATCH($A258,Company_List!$A$3:$A$207,0)),"unassigned"))</f>
        <v/>
      </c>
      <c r="AM258"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O258" t="inlineStr">
        <is>
          <t>whole bundle (Document = All)</t>
        </is>
      </c>
      <c r="AP258">
        <f>IF($A258="","",IF(COUNTIFS(LLM_Data_Entry!$A$3:$A$548,$A258)&gt;0,"YES","NO"))</f>
        <v/>
      </c>
      <c r="AQ258">
        <f>IF($A258="","",IF(COUNTIFS($A$3:$A258,$A258,$C$3:$C258,$C258,$D$3:$D258,$D258)=1,"YES","NO"))</f>
        <v/>
      </c>
      <c r="AR258">
        <f>IF($A258="","",IF(AND($C258&amp;"-"&amp;$D258&gt;=Settings!$B$19,$C258&amp;"-"&amp;$D258&lt;=Settings!$B$20),"IN","OUT"))</f>
        <v/>
      </c>
      <c r="AS258">
        <f>IF($A258="","",IF($F258="Financial Results","financials",IF($F258="Outlook/Guidance","guidance",IF($F258="Transcript Q&amp;A","qanda",IF($F258="","unrecorded",IF($E258="All","full",IF($E258="","unrecorded",LOWER($E258)&amp;" only")))))))</f>
        <v/>
      </c>
      <c r="AT258">
        <f>IF(AND(OR($J258="BUY",$J258="SELL"),ISNUMBER($U258)),$U258,"")</f>
        <v/>
      </c>
      <c r="AU258">
        <f>IF(AND(OR($J258="BUY",$J258="SELL"),ISNUMBER($AK258)),$AK258,"")</f>
        <v/>
      </c>
      <c r="AV258">
        <f>IF(ISNUMBER($AT258),ABS(IF(ISNUMBER($I258),$I258,0)-Settings!$B$24),"")</f>
        <v/>
      </c>
      <c r="AW258">
        <f>IF(ISNUMBER($AV258),$AV258*$AT258,"")</f>
        <v/>
      </c>
      <c r="AX258">
        <f>IF(ISNUMBER($AU258),ABS(IF(ISNUMBER($I258),$I258,0)-Settings!$B$24),"")</f>
        <v/>
      </c>
      <c r="AY258">
        <f>IF(ISNUMBER($AX258),$AX258*$AU258,"")</f>
        <v/>
      </c>
      <c r="AZ258">
        <f>IF($A258="","",IFERROR(INDEX(Company_List!$H$3:$H$207,MATCH($A258,Company_List!$A$3:$A$207,0)),"unassigned"))</f>
        <v/>
      </c>
      <c r="BC258">
        <f>IF($A258="","",IF(COUNTIFS($A$3:$A258,$A258,$C$3:$C258,$C258,$D$3:$D258,$D258,$G$3:$G258,$G258)=1,1,0))</f>
        <v/>
      </c>
      <c r="BG258" t="inlineStr">
        <is>
          <t>no</t>
        </is>
      </c>
      <c r="BK258">
        <f>IF(OR($H258&lt;&gt;"Human",$S258="",$J258="",$Y258="",$Z258=""),"",IF(EXACT(UPPER($J258),UPPER($Y258)),1,0))</f>
        <v/>
      </c>
      <c r="BL258" t="inlineStr">
        <is>
          <t>assumed - no rater record</t>
        </is>
      </c>
      <c r="BM258" t="n">
        <v>6</v>
      </c>
      <c r="BN258" t="inlineStr">
        <is>
          <t>not publisher-identified</t>
        </is>
      </c>
      <c r="BO258" t="inlineStr">
        <is>
          <t>not publisher-identified</t>
        </is>
      </c>
      <c r="BP258" t="inlineStr">
        <is>
          <t>no</t>
        </is>
      </c>
      <c r="BQ258" t="inlineStr">
        <is>
          <t>no</t>
        </is>
      </c>
    </row>
    <row r="259">
      <c r="A259" s="115" t="inlineStr">
        <is>
          <t>Standard Chartered</t>
        </is>
      </c>
      <c r="B259" s="116">
        <f>IF(A259="","",_xlfn.XLOOKUP(A259, Company_List!$A:$A, Company_List!$B:$B, ""))</f>
        <v/>
      </c>
      <c r="C259" s="143" t="n">
        <v>2025</v>
      </c>
      <c r="D259" s="143" t="inlineStr">
        <is>
          <t>Q3</t>
        </is>
      </c>
      <c r="E259" s="98" t="inlineStr">
        <is>
          <t>All</t>
        </is>
      </c>
      <c r="F259" s="98" t="inlineStr">
        <is>
          <t>All</t>
        </is>
      </c>
      <c r="G259" s="143" t="inlineStr">
        <is>
          <t>Nigel</t>
        </is>
      </c>
      <c r="H259" s="106" t="inlineStr">
        <is>
          <t>Human</t>
        </is>
      </c>
      <c r="I259" s="145" t="n">
        <v>0.7</v>
      </c>
      <c r="J259" s="145">
        <f>IF(OR(I259="",Settings!$B$6=""),"",IF(I259&gt;Settings!$B$6,"BUY",IF(I259&lt;-Settings!$B$6,"SELL","HOLD")))</f>
        <v/>
      </c>
      <c r="K259" s="145" t="n">
        <v>24</v>
      </c>
      <c r="L259" s="125" t="n">
        <v>45960</v>
      </c>
      <c r="M259" s="140" t="n">
        <v>45960</v>
      </c>
      <c r="N259" s="147" t="n">
        <v>1571</v>
      </c>
      <c r="O259" s="140" t="n">
        <v>45961</v>
      </c>
      <c r="P259" s="145" t="n">
        <v>1552</v>
      </c>
      <c r="Q259" s="150">
        <f>IF(OR(N259="",P259=""),"",ROUND((P259-N259)/N259,4))</f>
        <v/>
      </c>
      <c r="R259" s="106">
        <f>IF(OR(N259="",P259=""),"",IF(Q259&gt;Settings!$B$3/100,"UP",IF(Q259&lt;-Settings!$B$3/100,"DOWN","FLAT")))</f>
        <v/>
      </c>
      <c r="S259" s="106">
        <f>IF(OR(N259="",P259="",J259=""),"",IF(OR(AND(J259="BUY",R259="UP"),AND(J259="SELL",R259="DOWN"),AND(J259="HOLD",R259="FLAT")),"YES","NO"))</f>
        <v/>
      </c>
      <c r="T259" s="105">
        <f>IF(J259="","",IF(J259="BUY",1,IF(J259="SELL",-1,0)))</f>
        <v/>
      </c>
      <c r="U259" s="150">
        <f>IFERROR(IF(OR(J259="",N259="",P259=""),"",IF(T259=0,0,T259*Q259-Settings!$B$4/10000-IF(T259&lt;0,Settings!$B$5/10000,0))),"")</f>
        <v/>
      </c>
      <c r="W259" s="21">
        <f>IF($K259="","",$K259*60)</f>
        <v/>
      </c>
      <c r="X259" s="91">
        <f>IF($A259="","",$A259&amp;"|"&amp;$C259&amp;"|"&amp;$D259)</f>
        <v/>
      </c>
      <c r="Y259" s="91">
        <f>IFERROR(IF($X259="","",INDEX(LLM_Data_Entry!$H$3:$H$548,MATCH($X259,INDEX(LLM_Data_Entry!$A$3:$A$548&amp;"|"&amp;LLM_Data_Entry!$C$3:$C$548&amp;"|"&amp;LLM_Data_Entry!$D$3:$D$548,0),0))),"")</f>
        <v/>
      </c>
      <c r="Z259" s="91">
        <f>IFERROR(IF($X259="","",INDEX(LLM_Data_Entry!$R$3:$R$548,MATCH($X259,INDEX(LLM_Data_Entry!$A$3:$A$548&amp;"|"&amp;LLM_Data_Entry!$C$3:$C$548&amp;"|"&amp;LLM_Data_Entry!$D$3:$D$548,0),0))),"")</f>
        <v/>
      </c>
      <c r="AL259">
        <f>IF($A259="","",IFERROR(INDEX(Company_List!$G$3:$G$207,MATCH($A259,Company_List!$A$3:$A$207,0)),"unassigned"))</f>
        <v/>
      </c>
      <c r="AM259"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O259" t="inlineStr">
        <is>
          <t>whole bundle (Document = All)</t>
        </is>
      </c>
      <c r="AP259">
        <f>IF($A259="","",IF(COUNTIFS(LLM_Data_Entry!$A$3:$A$548,$A259)&gt;0,"YES","NO"))</f>
        <v/>
      </c>
      <c r="AQ259">
        <f>IF($A259="","",IF(COUNTIFS($A$3:$A259,$A259,$C$3:$C259,$C259,$D$3:$D259,$D259)=1,"YES","NO"))</f>
        <v/>
      </c>
      <c r="AR259">
        <f>IF($A259="","",IF(AND($C259&amp;"-"&amp;$D259&gt;=Settings!$B$19,$C259&amp;"-"&amp;$D259&lt;=Settings!$B$20),"IN","OUT"))</f>
        <v/>
      </c>
      <c r="AS259">
        <f>IF($A259="","",IF($F259="Financial Results","financials",IF($F259="Outlook/Guidance","guidance",IF($F259="Transcript Q&amp;A","qanda",IF($F259="","unrecorded",IF($E259="All","full",IF($E259="","unrecorded",LOWER($E259)&amp;" only")))))))</f>
        <v/>
      </c>
      <c r="AT259">
        <f>IF(AND(OR($J259="BUY",$J259="SELL"),ISNUMBER($U259)),$U259,"")</f>
        <v/>
      </c>
      <c r="AU259">
        <f>IF(AND(OR($J259="BUY",$J259="SELL"),ISNUMBER($AK259)),$AK259,"")</f>
        <v/>
      </c>
      <c r="AV259">
        <f>IF(ISNUMBER($AT259),ABS(IF(ISNUMBER($I259),$I259,0)-Settings!$B$24),"")</f>
        <v/>
      </c>
      <c r="AW259">
        <f>IF(ISNUMBER($AV259),$AV259*$AT259,"")</f>
        <v/>
      </c>
      <c r="AX259">
        <f>IF(ISNUMBER($AU259),ABS(IF(ISNUMBER($I259),$I259,0)-Settings!$B$24),"")</f>
        <v/>
      </c>
      <c r="AY259">
        <f>IF(ISNUMBER($AX259),$AX259*$AU259,"")</f>
        <v/>
      </c>
      <c r="AZ259">
        <f>IF($A259="","",IFERROR(INDEX(Company_List!$H$3:$H$207,MATCH($A259,Company_List!$A$3:$A$207,0)),"unassigned"))</f>
        <v/>
      </c>
      <c r="BC259">
        <f>IF($A259="","",IF(COUNTIFS($A$3:$A259,$A259,$C$3:$C259,$C259,$D$3:$D259,$D259,$G$3:$G259,$G259)=1,1,0))</f>
        <v/>
      </c>
      <c r="BG259" t="inlineStr">
        <is>
          <t>no</t>
        </is>
      </c>
      <c r="BK259">
        <f>IF(OR($H259&lt;&gt;"Human",$S259="",$J259="",$Y259="",$Z259=""),"",IF(EXACT(UPPER($J259),UPPER($Y259)),1,0))</f>
        <v/>
      </c>
      <c r="BL259" t="inlineStr">
        <is>
          <t>assumed - no rater record</t>
        </is>
      </c>
      <c r="BM259" t="n">
        <v>4</v>
      </c>
      <c r="BN259" t="inlineStr">
        <is>
          <t>not publisher-identified</t>
        </is>
      </c>
      <c r="BO259" t="inlineStr">
        <is>
          <t>not publisher-identified</t>
        </is>
      </c>
      <c r="BP259" t="inlineStr">
        <is>
          <t>no</t>
        </is>
      </c>
      <c r="BQ259" t="inlineStr">
        <is>
          <t>no</t>
        </is>
      </c>
    </row>
    <row r="260">
      <c r="A260" s="115" t="inlineStr">
        <is>
          <t>Standard Chartered</t>
        </is>
      </c>
      <c r="B260" s="116">
        <f>IF(A260="","",_xlfn.XLOOKUP(A260, Company_List!$A:$A, Company_List!$B:$B, ""))</f>
        <v/>
      </c>
      <c r="C260" s="143" t="n">
        <v>2025</v>
      </c>
      <c r="D260" s="143" t="inlineStr">
        <is>
          <t>Q4</t>
        </is>
      </c>
      <c r="E260" s="98" t="inlineStr">
        <is>
          <t>Transcript</t>
        </is>
      </c>
      <c r="F260" s="98" t="inlineStr">
        <is>
          <t>Transcript Q&amp;A</t>
        </is>
      </c>
      <c r="G260" s="143" t="inlineStr">
        <is>
          <t>Nigel</t>
        </is>
      </c>
      <c r="H260" s="106" t="inlineStr">
        <is>
          <t>Human</t>
        </is>
      </c>
      <c r="I260" s="145" t="n">
        <v>-0.2</v>
      </c>
      <c r="J260" s="145">
        <f>IF(OR(I260="",Settings!$B$6=""),"",IF(I260&gt;Settings!$B$6,"BUY",IF(I260&lt;-Settings!$B$6,"SELL","HOLD")))</f>
        <v/>
      </c>
      <c r="K260" s="145" t="n">
        <v>15</v>
      </c>
      <c r="L260" s="125" t="n">
        <v>46079</v>
      </c>
      <c r="M260" s="140" t="n">
        <v>46079</v>
      </c>
      <c r="N260" s="147" t="n">
        <v>1838</v>
      </c>
      <c r="O260" s="140" t="n">
        <v>46080</v>
      </c>
      <c r="P260" s="145" t="n">
        <v>1880.5</v>
      </c>
      <c r="Q260" s="150">
        <f>IF(OR(N260="",P260=""),"",ROUND((P260-N260)/N260,4))</f>
        <v/>
      </c>
      <c r="R260" s="106">
        <f>IF(OR(N260="",P260=""),"",IF(Q260&gt;Settings!$B$3/100,"UP",IF(Q260&lt;-Settings!$B$3/100,"DOWN","FLAT")))</f>
        <v/>
      </c>
      <c r="S260" s="106">
        <f>IF(OR(N260="",P260="",J260=""),"",IF(OR(AND(J260="BUY",R260="UP"),AND(J260="SELL",R260="DOWN"),AND(J260="HOLD",R260="FLAT")),"YES","NO"))</f>
        <v/>
      </c>
      <c r="T260" s="105">
        <f>IF(J260="","",IF(J260="BUY",1,IF(J260="SELL",-1,0)))</f>
        <v/>
      </c>
      <c r="U260" s="150">
        <f>IFERROR(IF(OR(J260="",N260="",P260=""),"",IF(T260=0,0,T260*Q260-Settings!$B$4/10000-IF(T260&lt;0,Settings!$B$5/10000,0))),"")</f>
        <v/>
      </c>
      <c r="W260" s="21">
        <f>IF($K260="","",$K260*60)</f>
        <v/>
      </c>
      <c r="X260" s="91">
        <f>IF($A260="","",$A260&amp;"|"&amp;$C260&amp;"|"&amp;$D260)</f>
        <v/>
      </c>
      <c r="Y260" s="91">
        <f>IFERROR(IF($X260="","",INDEX(LLM_Data_Entry!$H$3:$H$548,MATCH($X260,INDEX(LLM_Data_Entry!$A$3:$A$548&amp;"|"&amp;LLM_Data_Entry!$C$3:$C$548&amp;"|"&amp;LLM_Data_Entry!$D$3:$D$548,0),0))),"")</f>
        <v/>
      </c>
      <c r="Z260" s="91">
        <f>IFERROR(IF($X260="","",INDEX(LLM_Data_Entry!$R$3:$R$548,MATCH($X260,INDEX(LLM_Data_Entry!$A$3:$A$548&amp;"|"&amp;LLM_Data_Entry!$C$3:$C$548&amp;"|"&amp;LLM_Data_Entry!$D$3:$D$548,0),0))),"")</f>
        <v/>
      </c>
      <c r="AL260">
        <f>IF($A260="","",IFERROR(INDEX(Company_List!$G$3:$G$207,MATCH($A260,Company_List!$A$3:$A$207,0)),"unassigned"))</f>
        <v/>
      </c>
      <c r="AM260"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O260" t="inlineStr">
        <is>
          <t>whole bundle (Document = All)</t>
        </is>
      </c>
      <c r="AP260">
        <f>IF($A260="","",IF(COUNTIFS(LLM_Data_Entry!$A$3:$A$548,$A260)&gt;0,"YES","NO"))</f>
        <v/>
      </c>
      <c r="AQ260">
        <f>IF($A260="","",IF(COUNTIFS($A$3:$A260,$A260,$C$3:$C260,$C260,$D$3:$D260,$D260)=1,"YES","NO"))</f>
        <v/>
      </c>
      <c r="AR260">
        <f>IF($A260="","",IF(AND($C260&amp;"-"&amp;$D260&gt;=Settings!$B$19,$C260&amp;"-"&amp;$D260&lt;=Settings!$B$20),"IN","OUT"))</f>
        <v/>
      </c>
      <c r="AS260">
        <f>IF($A260="","",IF($F260="Financial Results","financials",IF($F260="Outlook/Guidance","guidance",IF($F260="Transcript Q&amp;A","qanda",IF($F260="","unrecorded",IF($E260="All","full",IF($E260="","unrecorded",LOWER($E260)&amp;" only")))))))</f>
        <v/>
      </c>
      <c r="AT260">
        <f>IF(AND(OR($J260="BUY",$J260="SELL"),ISNUMBER($U260)),$U260,"")</f>
        <v/>
      </c>
      <c r="AU260">
        <f>IF(AND(OR($J260="BUY",$J260="SELL"),ISNUMBER($AK260)),$AK260,"")</f>
        <v/>
      </c>
      <c r="AV260">
        <f>IF(ISNUMBER($AT260),ABS(IF(ISNUMBER($I260),$I260,0)-Settings!$B$24),"")</f>
        <v/>
      </c>
      <c r="AW260">
        <f>IF(ISNUMBER($AV260),$AV260*$AT260,"")</f>
        <v/>
      </c>
      <c r="AX260">
        <f>IF(ISNUMBER($AU260),ABS(IF(ISNUMBER($I260),$I260,0)-Settings!$B$24),"")</f>
        <v/>
      </c>
      <c r="AY260">
        <f>IF(ISNUMBER($AX260),$AX260*$AU260,"")</f>
        <v/>
      </c>
      <c r="AZ260">
        <f>IF($A260="","",IFERROR(INDEX(Company_List!$H$3:$H$207,MATCH($A260,Company_List!$A$3:$A$207,0)),"unassigned"))</f>
        <v/>
      </c>
      <c r="BC260">
        <f>IF($A260="","",IF(COUNTIFS($A$3:$A260,$A260,$C$3:$C260,$C260,$D$3:$D260,$D260,$G$3:$G260,$G260)=1,1,0))</f>
        <v/>
      </c>
      <c r="BG260" t="inlineStr">
        <is>
          <t>no</t>
        </is>
      </c>
      <c r="BK260">
        <f>IF(OR($H260&lt;&gt;"Human",$S260="",$J260="",$Y260="",$Z260=""),"",IF(EXACT(UPPER($J260),UPPER($Y260)),1,0))</f>
        <v/>
      </c>
      <c r="BL260" t="inlineStr">
        <is>
          <t>assumed - no rater record</t>
        </is>
      </c>
      <c r="BM260" t="n">
        <v>8</v>
      </c>
      <c r="BN260" t="inlineStr">
        <is>
          <t>not publisher-identified</t>
        </is>
      </c>
      <c r="BO260" t="inlineStr">
        <is>
          <t>not publisher-identified</t>
        </is>
      </c>
      <c r="BP260" t="inlineStr">
        <is>
          <t>no</t>
        </is>
      </c>
      <c r="BQ260" t="inlineStr">
        <is>
          <t>no</t>
        </is>
      </c>
    </row>
    <row r="261">
      <c r="A261" s="115" t="inlineStr">
        <is>
          <t>Palantir</t>
        </is>
      </c>
      <c r="B261" s="116">
        <f>IF(A261="","",_xlfn.XLOOKUP(A261, Company_List!$A:$A, Company_List!$B:$B, ""))</f>
        <v/>
      </c>
      <c r="C261" s="143" t="n">
        <v>2025</v>
      </c>
      <c r="D261" s="143" t="inlineStr">
        <is>
          <t>Q1</t>
        </is>
      </c>
      <c r="E261" s="98" t="inlineStr">
        <is>
          <t>Press Release Document</t>
        </is>
      </c>
      <c r="F261" s="98" t="inlineStr">
        <is>
          <t>Outlook/Guidance</t>
        </is>
      </c>
      <c r="G261" s="143" t="inlineStr">
        <is>
          <t>Nigel</t>
        </is>
      </c>
      <c r="H261" s="106" t="inlineStr">
        <is>
          <t>Human</t>
        </is>
      </c>
      <c r="I261" s="145" t="n">
        <v>0.5</v>
      </c>
      <c r="J261" s="145">
        <f>IF(OR(I261="",Settings!$B$6=""),"",IF(I261&gt;Settings!$B$6,"BUY",IF(I261&lt;-Settings!$B$6,"SELL","HOLD")))</f>
        <v/>
      </c>
      <c r="K261" s="145" t="n">
        <v>3</v>
      </c>
      <c r="L261" s="125" t="n">
        <v>45782</v>
      </c>
      <c r="M261" s="140" t="n">
        <v>45782</v>
      </c>
      <c r="N261" s="147" t="n">
        <v>123.77</v>
      </c>
      <c r="O261" s="140" t="n">
        <v>45783</v>
      </c>
      <c r="P261" s="145" t="n">
        <v>112.71</v>
      </c>
      <c r="Q261" s="150">
        <f>IF(OR(N261="",P261=""),"",ROUND((P261-N261)/N261,4))</f>
        <v/>
      </c>
      <c r="R261" s="106">
        <f>IF(OR(N261="",P261=""),"",IF(Q261&gt;Settings!$B$3/100,"UP",IF(Q261&lt;-Settings!$B$3/100,"DOWN","FLAT")))</f>
        <v/>
      </c>
      <c r="S261" s="106">
        <f>IF(OR(N261="",P261="",J261=""),"",IF(OR(AND(J261="BUY",R261="UP"),AND(J261="SELL",R261="DOWN"),AND(J261="HOLD",R261="FLAT")),"YES","NO"))</f>
        <v/>
      </c>
      <c r="T261" s="105">
        <f>IF(J261="","",IF(J261="BUY",1,IF(J261="SELL",-1,0)))</f>
        <v/>
      </c>
      <c r="U261" s="150">
        <f>IFERROR(IF(OR(J261="",N261="",P261=""),"",IF(T261=0,0,T261*Q261-Settings!$B$4/10000-IF(T261&lt;0,Settings!$B$5/10000,0))),"")</f>
        <v/>
      </c>
      <c r="W261" s="21">
        <f>IF($K261="","",$K261*60)</f>
        <v/>
      </c>
      <c r="X261" s="91">
        <f>IF($A261="","",$A261&amp;"|"&amp;$C261&amp;"|"&amp;$D261)</f>
        <v/>
      </c>
      <c r="Y261" s="91">
        <f>IFERROR(IF($X261="","",INDEX(LLM_Data_Entry!$H$3:$H$548,MATCH($X261,INDEX(LLM_Data_Entry!$A$3:$A$548&amp;"|"&amp;LLM_Data_Entry!$C$3:$C$548&amp;"|"&amp;LLM_Data_Entry!$D$3:$D$548,0),0))),"")</f>
        <v/>
      </c>
      <c r="Z261" s="91">
        <f>IFERROR(IF($X261="","",INDEX(LLM_Data_Entry!$R$3:$R$548,MATCH($X261,INDEX(LLM_Data_Entry!$A$3:$A$548&amp;"|"&amp;LLM_Data_Entry!$C$3:$C$548&amp;"|"&amp;LLM_Data_Entry!$D$3:$D$548,0),0))),"")</f>
        <v/>
      </c>
      <c r="AL261">
        <f>IF($A261="","",IFERROR(INDEX(Company_List!$G$3:$G$207,MATCH($A261,Company_List!$A$3:$A$207,0)),"unassigned"))</f>
        <v/>
      </c>
      <c r="AM261" t="inlineStr">
        <is>
          <t>Phase 3/Readings/Palantir/Q1/Transcript : Palantir Technologies Inc., Q1 2025 Earnings Call, May 05, 2025 | MarketScreener UK.pdf; Phase 3/Readings/Palantir/Q1/Q1 2025 | Letter to the Shareholders.pdf; Phase 3/Readings/Palantir/Q1/Palantir - Q1 2025 Investor Presentation.pdf</t>
        </is>
      </c>
      <c r="AO261" t="inlineStr">
        <is>
          <t>whole bundle (Document = All)</t>
        </is>
      </c>
      <c r="AP261">
        <f>IF($A261="","",IF(COUNTIFS(LLM_Data_Entry!$A$3:$A$548,$A261)&gt;0,"YES","NO"))</f>
        <v/>
      </c>
      <c r="AQ261">
        <f>IF($A261="","",IF(COUNTIFS($A$3:$A261,$A261,$C$3:$C261,$C261,$D$3:$D261,$D261)=1,"YES","NO"))</f>
        <v/>
      </c>
      <c r="AR261">
        <f>IF($A261="","",IF(AND($C261&amp;"-"&amp;$D261&gt;=Settings!$B$19,$C261&amp;"-"&amp;$D261&lt;=Settings!$B$20),"IN","OUT"))</f>
        <v/>
      </c>
      <c r="AS261">
        <f>IF($A261="","",IF($F261="Financial Results","financials",IF($F261="Outlook/Guidance","guidance",IF($F261="Transcript Q&amp;A","qanda",IF($F261="","unrecorded",IF($E261="All","full",IF($E261="","unrecorded",LOWER($E261)&amp;" only")))))))</f>
        <v/>
      </c>
      <c r="AT261">
        <f>IF(AND(OR($J261="BUY",$J261="SELL"),ISNUMBER($U261)),$U261,"")</f>
        <v/>
      </c>
      <c r="AU261">
        <f>IF(AND(OR($J261="BUY",$J261="SELL"),ISNUMBER($AK261)),$AK261,"")</f>
        <v/>
      </c>
      <c r="AV261">
        <f>IF(ISNUMBER($AT261),ABS(IF(ISNUMBER($I261),$I261,0)-Settings!$B$24),"")</f>
        <v/>
      </c>
      <c r="AW261">
        <f>IF(ISNUMBER($AV261),$AV261*$AT261,"")</f>
        <v/>
      </c>
      <c r="AX261">
        <f>IF(ISNUMBER($AU261),ABS(IF(ISNUMBER($I261),$I261,0)-Settings!$B$24),"")</f>
        <v/>
      </c>
      <c r="AY261">
        <f>IF(ISNUMBER($AX261),$AX261*$AU261,"")</f>
        <v/>
      </c>
      <c r="AZ261">
        <f>IF($A261="","",IFERROR(INDEX(Company_List!$H$3:$H$207,MATCH($A261,Company_List!$A$3:$A$207,0)),"unassigned"))</f>
        <v/>
      </c>
      <c r="BC261">
        <f>IF($A261="","",IF(COUNTIFS($A$3:$A261,$A261,$C$3:$C261,$C261,$D$3:$D261,$D261,$G$3:$G261,$G261)=1,1,0))</f>
        <v/>
      </c>
      <c r="BG261" t="inlineStr">
        <is>
          <t>no</t>
        </is>
      </c>
      <c r="BK261">
        <f>IF(OR($H261&lt;&gt;"Human",$S261="",$J261="",$Y261="",$Z261=""),"",IF(EXACT(UPPER($J261),UPPER($Y261)),1,0))</f>
        <v/>
      </c>
      <c r="BL261" t="inlineStr">
        <is>
          <t>assumed - no rater record</t>
        </is>
      </c>
      <c r="BM261" t="n">
        <v>3</v>
      </c>
      <c r="BN261" t="inlineStr">
        <is>
          <t>MarketScreener (Surperformance SAS)</t>
        </is>
      </c>
      <c r="BO261" t="inlineStr">
        <is>
          <t>licensed vendor</t>
        </is>
      </c>
      <c r="BP261" t="inlineStr">
        <is>
          <t>no</t>
        </is>
      </c>
      <c r="BQ261" t="inlineStr">
        <is>
          <t>no</t>
        </is>
      </c>
    </row>
    <row r="262">
      <c r="A262" s="115" t="inlineStr">
        <is>
          <t>Palantir</t>
        </is>
      </c>
      <c r="B262" s="116">
        <f>IF(A262="","",_xlfn.XLOOKUP(A262, Company_List!$A:$A, Company_List!$B:$B, ""))</f>
        <v/>
      </c>
      <c r="C262" s="143" t="n">
        <v>2025</v>
      </c>
      <c r="D262" s="143" t="inlineStr">
        <is>
          <t>Q2</t>
        </is>
      </c>
      <c r="E262" s="98" t="inlineStr">
        <is>
          <t>Press Release Document</t>
        </is>
      </c>
      <c r="F262" s="98" t="inlineStr">
        <is>
          <t>Financial Results</t>
        </is>
      </c>
      <c r="G262" s="143" t="inlineStr">
        <is>
          <t>Nigel</t>
        </is>
      </c>
      <c r="H262" s="106" t="inlineStr">
        <is>
          <t>Human</t>
        </is>
      </c>
      <c r="I262" s="145" t="n">
        <v>0.9</v>
      </c>
      <c r="J262" s="145">
        <f>IF(OR(I262="",Settings!$B$6=""),"",IF(I262&gt;Settings!$B$6,"BUY",IF(I262&lt;-Settings!$B$6,"SELL","HOLD")))</f>
        <v/>
      </c>
      <c r="K262" s="145" t="n">
        <v>10</v>
      </c>
      <c r="L262" s="125" t="n">
        <v>45873</v>
      </c>
      <c r="M262" s="140" t="n">
        <v>45873</v>
      </c>
      <c r="N262" s="147" t="n">
        <v>160.66</v>
      </c>
      <c r="O262" s="140" t="n">
        <v>45874</v>
      </c>
      <c r="P262" s="145" t="n">
        <v>171.81</v>
      </c>
      <c r="Q262" s="150">
        <f>IF(OR(N262="",P262=""),"",ROUND((P262-N262)/N262,4))</f>
        <v/>
      </c>
      <c r="R262" s="106">
        <f>IF(OR(N262="",P262=""),"",IF(Q262&gt;Settings!$B$3/100,"UP",IF(Q262&lt;-Settings!$B$3/100,"DOWN","FLAT")))</f>
        <v/>
      </c>
      <c r="S262" s="106">
        <f>IF(OR(N262="",P262="",J262=""),"",IF(OR(AND(J262="BUY",R262="UP"),AND(J262="SELL",R262="DOWN"),AND(J262="HOLD",R262="FLAT")),"YES","NO"))</f>
        <v/>
      </c>
      <c r="T262" s="105">
        <f>IF(J262="","",IF(J262="BUY",1,IF(J262="SELL",-1,0)))</f>
        <v/>
      </c>
      <c r="U262" s="150">
        <f>IFERROR(IF(OR(J262="",N262="",P262=""),"",IF(T262=0,0,T262*Q262-Settings!$B$4/10000-IF(T262&lt;0,Settings!$B$5/10000,0))),"")</f>
        <v/>
      </c>
      <c r="W262" s="21">
        <f>IF($K262="","",$K262*60)</f>
        <v/>
      </c>
      <c r="X262" s="91">
        <f>IF($A262="","",$A262&amp;"|"&amp;$C262&amp;"|"&amp;$D262)</f>
        <v/>
      </c>
      <c r="Y262" s="91">
        <f>IFERROR(IF($X262="","",INDEX(LLM_Data_Entry!$H$3:$H$548,MATCH($X262,INDEX(LLM_Data_Entry!$A$3:$A$548&amp;"|"&amp;LLM_Data_Entry!$C$3:$C$548&amp;"|"&amp;LLM_Data_Entry!$D$3:$D$548,0),0))),"")</f>
        <v/>
      </c>
      <c r="Z262" s="91">
        <f>IFERROR(IF($X262="","",INDEX(LLM_Data_Entry!$R$3:$R$548,MATCH($X262,INDEX(LLM_Data_Entry!$A$3:$A$548&amp;"|"&amp;LLM_Data_Entry!$C$3:$C$548&amp;"|"&amp;LLM_Data_Entry!$D$3:$D$548,0),0))),"")</f>
        <v/>
      </c>
      <c r="AL262">
        <f>IF($A262="","",IFERROR(INDEX(Company_List!$G$3:$G$207,MATCH($A262,Company_List!$A$3:$A$207,0)),"unassigned"))</f>
        <v/>
      </c>
      <c r="AM262" t="inlineStr">
        <is>
          <t>Phase 3/Readings/Palantir/Q2/Transcript : Palantir Technologies Inc., Q2 2025 Earnings Call, Aug 04, 2025 | MarketScreener UK.pdf; Phase 3/Readings/Palantir/Q2/Q2 2025 | Letter to Shareholders.pdf; Phase 3/Readings/Palantir/Q2/Palantir Q2 2025 Business Update.pdf</t>
        </is>
      </c>
      <c r="AO262" t="inlineStr">
        <is>
          <t>whole bundle (Document = All)</t>
        </is>
      </c>
      <c r="AP262">
        <f>IF($A262="","",IF(COUNTIFS(LLM_Data_Entry!$A$3:$A$548,$A262)&gt;0,"YES","NO"))</f>
        <v/>
      </c>
      <c r="AQ262">
        <f>IF($A262="","",IF(COUNTIFS($A$3:$A262,$A262,$C$3:$C262,$C262,$D$3:$D262,$D262)=1,"YES","NO"))</f>
        <v/>
      </c>
      <c r="AR262">
        <f>IF($A262="","",IF(AND($C262&amp;"-"&amp;$D262&gt;=Settings!$B$19,$C262&amp;"-"&amp;$D262&lt;=Settings!$B$20),"IN","OUT"))</f>
        <v/>
      </c>
      <c r="AS262">
        <f>IF($A262="","",IF($F262="Financial Results","financials",IF($F262="Outlook/Guidance","guidance",IF($F262="Transcript Q&amp;A","qanda",IF($F262="","unrecorded",IF($E262="All","full",IF($E262="","unrecorded",LOWER($E262)&amp;" only")))))))</f>
        <v/>
      </c>
      <c r="AT262">
        <f>IF(AND(OR($J262="BUY",$J262="SELL"),ISNUMBER($U262)),$U262,"")</f>
        <v/>
      </c>
      <c r="AU262">
        <f>IF(AND(OR($J262="BUY",$J262="SELL"),ISNUMBER($AK262)),$AK262,"")</f>
        <v/>
      </c>
      <c r="AV262">
        <f>IF(ISNUMBER($AT262),ABS(IF(ISNUMBER($I262),$I262,0)-Settings!$B$24),"")</f>
        <v/>
      </c>
      <c r="AW262">
        <f>IF(ISNUMBER($AV262),$AV262*$AT262,"")</f>
        <v/>
      </c>
      <c r="AX262">
        <f>IF(ISNUMBER($AU262),ABS(IF(ISNUMBER($I262),$I262,0)-Settings!$B$24),"")</f>
        <v/>
      </c>
      <c r="AY262">
        <f>IF(ISNUMBER($AX262),$AX262*$AU262,"")</f>
        <v/>
      </c>
      <c r="AZ262">
        <f>IF($A262="","",IFERROR(INDEX(Company_List!$H$3:$H$207,MATCH($A262,Company_List!$A$3:$A$207,0)),"unassigned"))</f>
        <v/>
      </c>
      <c r="BC262">
        <f>IF($A262="","",IF(COUNTIFS($A$3:$A262,$A262,$C$3:$C262,$C262,$D$3:$D262,$D262,$G$3:$G262,$G262)=1,1,0))</f>
        <v/>
      </c>
      <c r="BG262" t="inlineStr">
        <is>
          <t>no</t>
        </is>
      </c>
      <c r="BK262">
        <f>IF(OR($H262&lt;&gt;"Human",$S262="",$J262="",$Y262="",$Z262=""),"",IF(EXACT(UPPER($J262),UPPER($Y262)),1,0))</f>
        <v/>
      </c>
      <c r="BL262" t="inlineStr">
        <is>
          <t>assumed - no rater record</t>
        </is>
      </c>
      <c r="BM262" t="n">
        <v>3</v>
      </c>
      <c r="BN262" t="inlineStr">
        <is>
          <t>MarketScreener (Surperformance SAS)</t>
        </is>
      </c>
      <c r="BO262" t="inlineStr">
        <is>
          <t>licensed vendor</t>
        </is>
      </c>
      <c r="BP262" t="inlineStr">
        <is>
          <t>no</t>
        </is>
      </c>
      <c r="BQ262" t="inlineStr">
        <is>
          <t>no</t>
        </is>
      </c>
    </row>
    <row r="263">
      <c r="A263" s="115" t="inlineStr">
        <is>
          <t>Palantir</t>
        </is>
      </c>
      <c r="B263" s="116">
        <f>IF(A263="","",_xlfn.XLOOKUP(A263, Company_List!$A:$A, Company_List!$B:$B, ""))</f>
        <v/>
      </c>
      <c r="C263" s="143" t="n">
        <v>2025</v>
      </c>
      <c r="D263" s="143" t="inlineStr">
        <is>
          <t>Q3</t>
        </is>
      </c>
      <c r="E263" s="98" t="inlineStr">
        <is>
          <t>All</t>
        </is>
      </c>
      <c r="F263" s="98" t="inlineStr">
        <is>
          <t>All</t>
        </is>
      </c>
      <c r="G263" s="143" t="inlineStr">
        <is>
          <t>Nigel</t>
        </is>
      </c>
      <c r="H263" s="106" t="inlineStr">
        <is>
          <t>Human</t>
        </is>
      </c>
      <c r="I263" s="145" t="n">
        <v>0.9</v>
      </c>
      <c r="J263" s="145">
        <f>IF(OR(I263="",Settings!$B$6=""),"",IF(I263&gt;Settings!$B$6,"BUY",IF(I263&lt;-Settings!$B$6,"SELL","HOLD")))</f>
        <v/>
      </c>
      <c r="K263" s="145" t="n">
        <v>21</v>
      </c>
      <c r="L263" s="125" t="n">
        <v>45964</v>
      </c>
      <c r="M263" s="140" t="n">
        <v>45964</v>
      </c>
      <c r="N263" s="147" t="n">
        <v>207.18</v>
      </c>
      <c r="O263" s="140" t="n">
        <v>45965</v>
      </c>
      <c r="P263" s="145" t="n">
        <v>192.07</v>
      </c>
      <c r="Q263" s="150">
        <f>IF(OR(N263="",P263=""),"",ROUND((P263-N263)/N263,4))</f>
        <v/>
      </c>
      <c r="R263" s="106">
        <f>IF(OR(N263="",P263=""),"",IF(Q263&gt;Settings!$B$3/100,"UP",IF(Q263&lt;-Settings!$B$3/100,"DOWN","FLAT")))</f>
        <v/>
      </c>
      <c r="S263" s="106">
        <f>IF(OR(N263="",P263="",J263=""),"",IF(OR(AND(J263="BUY",R263="UP"),AND(J263="SELL",R263="DOWN"),AND(J263="HOLD",R263="FLAT")),"YES","NO"))</f>
        <v/>
      </c>
      <c r="T263" s="105">
        <f>IF(J263="","",IF(J263="BUY",1,IF(J263="SELL",-1,0)))</f>
        <v/>
      </c>
      <c r="U263" s="150">
        <f>IFERROR(IF(OR(J263="",N263="",P263=""),"",IF(T263=0,0,T263*Q263-Settings!$B$4/10000-IF(T263&lt;0,Settings!$B$5/10000,0))),"")</f>
        <v/>
      </c>
      <c r="W263" s="21">
        <f>IF($K263="","",$K263*60)</f>
        <v/>
      </c>
      <c r="X263" s="91">
        <f>IF($A263="","",$A263&amp;"|"&amp;$C263&amp;"|"&amp;$D263)</f>
        <v/>
      </c>
      <c r="Y263" s="91">
        <f>IFERROR(IF($X263="","",INDEX(LLM_Data_Entry!$H$3:$H$548,MATCH($X263,INDEX(LLM_Data_Entry!$A$3:$A$548&amp;"|"&amp;LLM_Data_Entry!$C$3:$C$548&amp;"|"&amp;LLM_Data_Entry!$D$3:$D$548,0),0))),"")</f>
        <v/>
      </c>
      <c r="Z263" s="91">
        <f>IFERROR(IF($X263="","",INDEX(LLM_Data_Entry!$R$3:$R$548,MATCH($X263,INDEX(LLM_Data_Entry!$A$3:$A$548&amp;"|"&amp;LLM_Data_Entry!$C$3:$C$548&amp;"|"&amp;LLM_Data_Entry!$D$3:$D$548,0),0))),"")</f>
        <v/>
      </c>
      <c r="AL263">
        <f>IF($A263="","",IFERROR(INDEX(Company_List!$G$3:$G$207,MATCH($A263,Company_List!$A$3:$A$207,0)),"unassigned"))</f>
        <v/>
      </c>
      <c r="AM263" t="inlineStr">
        <is>
          <t>Phase 3/Readings/Palantir/Q3/Transcript : Palantir Technologies Inc., Q3 2025 Earnings Call, Nov 03, 2025 | MarketScreener UK.pdf; Phase 3/Readings/Palantir/Q3/Q3 2025 | Letter to Shareholders.pdf; Phase 3/Readings/Palantir/Q3/Palantir - Q3 2025 Investor Presentation.pdf</t>
        </is>
      </c>
      <c r="AO263" t="inlineStr">
        <is>
          <t>whole bundle (Document = All)</t>
        </is>
      </c>
      <c r="AP263">
        <f>IF($A263="","",IF(COUNTIFS(LLM_Data_Entry!$A$3:$A$548,$A263)&gt;0,"YES","NO"))</f>
        <v/>
      </c>
      <c r="AQ263">
        <f>IF($A263="","",IF(COUNTIFS($A$3:$A263,$A263,$C$3:$C263,$C263,$D$3:$D263,$D263)=1,"YES","NO"))</f>
        <v/>
      </c>
      <c r="AR263">
        <f>IF($A263="","",IF(AND($C263&amp;"-"&amp;$D263&gt;=Settings!$B$19,$C263&amp;"-"&amp;$D263&lt;=Settings!$B$20),"IN","OUT"))</f>
        <v/>
      </c>
      <c r="AS263">
        <f>IF($A263="","",IF($F263="Financial Results","financials",IF($F263="Outlook/Guidance","guidance",IF($F263="Transcript Q&amp;A","qanda",IF($F263="","unrecorded",IF($E263="All","full",IF($E263="","unrecorded",LOWER($E263)&amp;" only")))))))</f>
        <v/>
      </c>
      <c r="AT263">
        <f>IF(AND(OR($J263="BUY",$J263="SELL"),ISNUMBER($U263)),$U263,"")</f>
        <v/>
      </c>
      <c r="AU263">
        <f>IF(AND(OR($J263="BUY",$J263="SELL"),ISNUMBER($AK263)),$AK263,"")</f>
        <v/>
      </c>
      <c r="AV263">
        <f>IF(ISNUMBER($AT263),ABS(IF(ISNUMBER($I263),$I263,0)-Settings!$B$24),"")</f>
        <v/>
      </c>
      <c r="AW263">
        <f>IF(ISNUMBER($AV263),$AV263*$AT263,"")</f>
        <v/>
      </c>
      <c r="AX263">
        <f>IF(ISNUMBER($AU263),ABS(IF(ISNUMBER($I263),$I263,0)-Settings!$B$24),"")</f>
        <v/>
      </c>
      <c r="AY263">
        <f>IF(ISNUMBER($AX263),$AX263*$AU263,"")</f>
        <v/>
      </c>
      <c r="AZ263">
        <f>IF($A263="","",IFERROR(INDEX(Company_List!$H$3:$H$207,MATCH($A263,Company_List!$A$3:$A$207,0)),"unassigned"))</f>
        <v/>
      </c>
      <c r="BC263">
        <f>IF($A263="","",IF(COUNTIFS($A$3:$A263,$A263,$C$3:$C263,$C263,$D$3:$D263,$D263,$G$3:$G263,$G263)=1,1,0))</f>
        <v/>
      </c>
      <c r="BG263" t="inlineStr">
        <is>
          <t>no</t>
        </is>
      </c>
      <c r="BK263">
        <f>IF(OR($H263&lt;&gt;"Human",$S263="",$J263="",$Y263="",$Z263=""),"",IF(EXACT(UPPER($J263),UPPER($Y263)),1,0))</f>
        <v/>
      </c>
      <c r="BL263" t="inlineStr">
        <is>
          <t>assumed - no rater record</t>
        </is>
      </c>
      <c r="BM263" t="n">
        <v>3</v>
      </c>
      <c r="BN263" t="inlineStr">
        <is>
          <t>MarketScreener (Surperformance SAS)</t>
        </is>
      </c>
      <c r="BO263" t="inlineStr">
        <is>
          <t>licensed vendor</t>
        </is>
      </c>
      <c r="BP263" t="inlineStr">
        <is>
          <t>no</t>
        </is>
      </c>
      <c r="BQ263" t="inlineStr">
        <is>
          <t>no</t>
        </is>
      </c>
    </row>
    <row r="264">
      <c r="A264" s="115" t="inlineStr">
        <is>
          <t>Palantir</t>
        </is>
      </c>
      <c r="B264" s="116">
        <f>IF(A264="","",_xlfn.XLOOKUP(A264, Company_List!$A:$A, Company_List!$B:$B, ""))</f>
        <v/>
      </c>
      <c r="C264" s="143" t="n">
        <v>2025</v>
      </c>
      <c r="D264" s="143" t="inlineStr">
        <is>
          <t>Q4</t>
        </is>
      </c>
      <c r="E264" s="98" t="inlineStr">
        <is>
          <t>Transcript</t>
        </is>
      </c>
      <c r="F264" s="98" t="inlineStr">
        <is>
          <t>Transcript Q&amp;A</t>
        </is>
      </c>
      <c r="G264" s="143" t="inlineStr">
        <is>
          <t>Nigel</t>
        </is>
      </c>
      <c r="H264" s="106" t="inlineStr">
        <is>
          <t>Human</t>
        </is>
      </c>
      <c r="I264" s="145" t="n">
        <v>0.5</v>
      </c>
      <c r="J264" s="145">
        <f>IF(OR(I264="",Settings!$B$6=""),"",IF(I264&gt;Settings!$B$6,"BUY",IF(I264&lt;-Settings!$B$6,"SELL","HOLD")))</f>
        <v/>
      </c>
      <c r="K264" s="145" t="n">
        <v>15</v>
      </c>
      <c r="L264" s="125" t="n">
        <v>46055</v>
      </c>
      <c r="M264" s="140" t="n">
        <v>46055</v>
      </c>
      <c r="N264" s="147" t="n">
        <v>147.76</v>
      </c>
      <c r="O264" s="140" t="n">
        <v>46056</v>
      </c>
      <c r="P264" s="145" t="n">
        <v>165.05</v>
      </c>
      <c r="Q264" s="150">
        <f>IF(OR(N264="",P264=""),"",ROUND((P264-N264)/N264,4))</f>
        <v/>
      </c>
      <c r="R264" s="106">
        <f>IF(OR(N264="",P264=""),"",IF(Q264&gt;Settings!$B$3/100,"UP",IF(Q264&lt;-Settings!$B$3/100,"DOWN","FLAT")))</f>
        <v/>
      </c>
      <c r="S264" s="106">
        <f>IF(OR(N264="",P264="",J264=""),"",IF(OR(AND(J264="BUY",R264="UP"),AND(J264="SELL",R264="DOWN"),AND(J264="HOLD",R264="FLAT")),"YES","NO"))</f>
        <v/>
      </c>
      <c r="T264" s="105">
        <f>IF(J264="","",IF(J264="BUY",1,IF(J264="SELL",-1,0)))</f>
        <v/>
      </c>
      <c r="U264" s="150">
        <f>IFERROR(IF(OR(J264="",N264="",P264=""),"",IF(T264=0,0,T264*Q264-Settings!$B$4/10000-IF(T264&lt;0,Settings!$B$5/10000,0))),"")</f>
        <v/>
      </c>
      <c r="W264" s="21">
        <f>IF($K264="","",$K264*60)</f>
        <v/>
      </c>
      <c r="X264" s="91">
        <f>IF($A264="","",$A264&amp;"|"&amp;$C264&amp;"|"&amp;$D264)</f>
        <v/>
      </c>
      <c r="Y264" s="91">
        <f>IFERROR(IF($X264="","",INDEX(LLM_Data_Entry!$H$3:$H$548,MATCH($X264,INDEX(LLM_Data_Entry!$A$3:$A$548&amp;"|"&amp;LLM_Data_Entry!$C$3:$C$548&amp;"|"&amp;LLM_Data_Entry!$D$3:$D$548,0),0))),"")</f>
        <v/>
      </c>
      <c r="Z264" s="91">
        <f>IFERROR(IF($X264="","",INDEX(LLM_Data_Entry!$R$3:$R$548,MATCH($X264,INDEX(LLM_Data_Entry!$A$3:$A$548&amp;"|"&amp;LLM_Data_Entry!$C$3:$C$548&amp;"|"&amp;LLM_Data_Entry!$D$3:$D$548,0),0))),"")</f>
        <v/>
      </c>
      <c r="AL264">
        <f>IF($A264="","",IFERROR(INDEX(Company_List!$G$3:$G$207,MATCH($A264,Company_List!$A$3:$A$207,0)),"unassigned"))</f>
        <v/>
      </c>
      <c r="AM264"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O264" t="inlineStr">
        <is>
          <t>whole bundle (Document = All)</t>
        </is>
      </c>
      <c r="AP264">
        <f>IF($A264="","",IF(COUNTIFS(LLM_Data_Entry!$A$3:$A$548,$A264)&gt;0,"YES","NO"))</f>
        <v/>
      </c>
      <c r="AQ264">
        <f>IF($A264="","",IF(COUNTIFS($A$3:$A264,$A264,$C$3:$C264,$C264,$D$3:$D264,$D264)=1,"YES","NO"))</f>
        <v/>
      </c>
      <c r="AR264">
        <f>IF($A264="","",IF(AND($C264&amp;"-"&amp;$D264&gt;=Settings!$B$19,$C264&amp;"-"&amp;$D264&lt;=Settings!$B$20),"IN","OUT"))</f>
        <v/>
      </c>
      <c r="AS264">
        <f>IF($A264="","",IF($F264="Financial Results","financials",IF($F264="Outlook/Guidance","guidance",IF($F264="Transcript Q&amp;A","qanda",IF($F264="","unrecorded",IF($E264="All","full",IF($E264="","unrecorded",LOWER($E264)&amp;" only")))))))</f>
        <v/>
      </c>
      <c r="AT264">
        <f>IF(AND(OR($J264="BUY",$J264="SELL"),ISNUMBER($U264)),$U264,"")</f>
        <v/>
      </c>
      <c r="AU264">
        <f>IF(AND(OR($J264="BUY",$J264="SELL"),ISNUMBER($AK264)),$AK264,"")</f>
        <v/>
      </c>
      <c r="AV264">
        <f>IF(ISNUMBER($AT264),ABS(IF(ISNUMBER($I264),$I264,0)-Settings!$B$24),"")</f>
        <v/>
      </c>
      <c r="AW264">
        <f>IF(ISNUMBER($AV264),$AV264*$AT264,"")</f>
        <v/>
      </c>
      <c r="AX264">
        <f>IF(ISNUMBER($AU264),ABS(IF(ISNUMBER($I264),$I264,0)-Settings!$B$24),"")</f>
        <v/>
      </c>
      <c r="AY264">
        <f>IF(ISNUMBER($AX264),$AX264*$AU264,"")</f>
        <v/>
      </c>
      <c r="AZ264">
        <f>IF($A264="","",IFERROR(INDEX(Company_List!$H$3:$H$207,MATCH($A264,Company_List!$A$3:$A$207,0)),"unassigned"))</f>
        <v/>
      </c>
      <c r="BC264">
        <f>IF($A264="","",IF(COUNTIFS($A$3:$A264,$A264,$C$3:$C264,$C264,$D$3:$D264,$D264,$G$3:$G264,$G264)=1,1,0))</f>
        <v/>
      </c>
      <c r="BG264" t="inlineStr">
        <is>
          <t>no</t>
        </is>
      </c>
      <c r="BK264">
        <f>IF(OR($H264&lt;&gt;"Human",$S264="",$J264="",$Y264="",$Z264=""),"",IF(EXACT(UPPER($J264),UPPER($Y264)),1,0))</f>
        <v/>
      </c>
      <c r="BL264" t="inlineStr">
        <is>
          <t>assumed - no rater record</t>
        </is>
      </c>
      <c r="BM264" t="n">
        <v>4</v>
      </c>
      <c r="BN264" t="inlineStr">
        <is>
          <t>MarketScreener (Surperformance SAS)</t>
        </is>
      </c>
      <c r="BO264" t="inlineStr">
        <is>
          <t>licensed vendor</t>
        </is>
      </c>
      <c r="BP264" t="inlineStr">
        <is>
          <t>one of several</t>
        </is>
      </c>
      <c r="BQ264" t="inlineStr">
        <is>
          <t>no</t>
        </is>
      </c>
    </row>
    <row r="265">
      <c r="A265" s="115" t="inlineStr">
        <is>
          <t>MetLife</t>
        </is>
      </c>
      <c r="B265" s="116">
        <f>IF(A265="","",_xlfn.XLOOKUP(A265, Company_List!$A:$A, Company_List!$B:$B, ""))</f>
        <v/>
      </c>
      <c r="C265" s="143" t="n">
        <v>2025</v>
      </c>
      <c r="D265" s="143" t="inlineStr">
        <is>
          <t>Q1</t>
        </is>
      </c>
      <c r="E265" s="98" t="inlineStr">
        <is>
          <t>All</t>
        </is>
      </c>
      <c r="F265" s="98" t="inlineStr">
        <is>
          <t>All</t>
        </is>
      </c>
      <c r="G265" s="143" t="inlineStr">
        <is>
          <t>Dragos</t>
        </is>
      </c>
      <c r="H265" s="106" t="inlineStr">
        <is>
          <t>Human</t>
        </is>
      </c>
      <c r="I265" s="145" t="n">
        <v>0.3</v>
      </c>
      <c r="J265" s="145">
        <f>IF(OR(I265="",Settings!$B$6=""),"",IF(I265&gt;Settings!$B$6,"BUY",IF(I265&lt;-Settings!$B$6,"SELL","HOLD")))</f>
        <v/>
      </c>
      <c r="K265" s="145" t="n">
        <v>25</v>
      </c>
      <c r="L265" s="125" t="n">
        <v>45777</v>
      </c>
      <c r="M265" s="140" t="n">
        <v>45777</v>
      </c>
      <c r="N265" s="147" t="n">
        <v>75.37</v>
      </c>
      <c r="O265" s="140" t="n">
        <v>45778</v>
      </c>
      <c r="P265" s="145" t="n">
        <v>76.36</v>
      </c>
      <c r="Q265" s="150">
        <f>IF(OR(N265="",P265=""),"",ROUND((P265-N265)/N265,4))</f>
        <v/>
      </c>
      <c r="R265" s="106">
        <f>IF(OR(N265="",P265=""),"",IF(Q265&gt;Settings!$B$3/100,"UP",IF(Q265&lt;-Settings!$B$3/100,"DOWN","FLAT")))</f>
        <v/>
      </c>
      <c r="S265" s="106">
        <f>IF(OR(N265="",P265="",J265=""),"",IF(OR(AND(J265="BUY",R265="UP"),AND(J265="SELL",R265="DOWN"),AND(J265="HOLD",R265="FLAT")),"YES","NO"))</f>
        <v/>
      </c>
      <c r="T265" s="105">
        <f>IF(J265="","",IF(J265="BUY",1,IF(J265="SELL",-1,0)))</f>
        <v/>
      </c>
      <c r="U265" s="150">
        <f>IFERROR(IF(OR(J265="",N265="",P265=""),"",IF(T265=0,0,T265*Q265-Settings!$B$4/10000-IF(T265&lt;0,Settings!$B$5/10000,0))),"")</f>
        <v/>
      </c>
      <c r="W265" s="21">
        <f>IF($K265="","",$K265*60)</f>
        <v/>
      </c>
      <c r="X265" s="91">
        <f>IF($A265="","",$A265&amp;"|"&amp;$C265&amp;"|"&amp;$D265)</f>
        <v/>
      </c>
      <c r="Y265" s="91">
        <f>IFERROR(IF($X265="","",INDEX(LLM_Data_Entry!$H$3:$H$548,MATCH($X265,INDEX(LLM_Data_Entry!$A$3:$A$548&amp;"|"&amp;LLM_Data_Entry!$C$3:$C$548&amp;"|"&amp;LLM_Data_Entry!$D$3:$D$548,0),0))),"")</f>
        <v/>
      </c>
      <c r="Z265" s="91">
        <f>IFERROR(IF($X265="","",INDEX(LLM_Data_Entry!$R$3:$R$548,MATCH($X265,INDEX(LLM_Data_Entry!$A$3:$A$548&amp;"|"&amp;LLM_Data_Entry!$C$3:$C$548&amp;"|"&amp;LLM_Data_Entry!$D$3:$D$548,0),0))),"")</f>
        <v/>
      </c>
      <c r="AB265" t="inlineStr">
        <is>
          <t>release date + stated time</t>
        </is>
      </c>
      <c r="AC265" t="inlineStr">
        <is>
          <t>MET</t>
        </is>
      </c>
      <c r="AD265" t="inlineStr">
        <is>
          <t>2025-04-30</t>
        </is>
      </c>
      <c r="AE265" t="n">
        <v>72.1883</v>
      </c>
      <c r="AF265" t="inlineStr">
        <is>
          <t>2025-05-01</t>
        </is>
      </c>
      <c r="AG265" t="n">
        <v>73.1365</v>
      </c>
      <c r="AH265" t="n">
        <v>0.01313519273474064</v>
      </c>
      <c r="AI265" t="inlineStr">
        <is>
          <t>FLAT</t>
        </is>
      </c>
      <c r="AJ265" t="inlineStr">
        <is>
          <t>NO</t>
        </is>
      </c>
      <c r="AK265" t="n">
        <v>0.012135</v>
      </c>
      <c r="AL265">
        <f>IF($A265="","",IFERROR(INDEX(Company_List!$G$3:$G$207,MATCH($A265,Company_List!$A$3:$A$207,0)),"unassigned"))</f>
        <v/>
      </c>
      <c r="AM265" t="inlineStr">
        <is>
          <t>Phase 2/MetLife/Q1 2025/MET-Q1-2025-press-release-SEC-EX99-1.htm; Phase 2/MetLife/Q1 2025/MET-Q1-2025-exhibit-SEC-EX99-2.htm; Phase 2/MetLife/Q1 2025/MET-Q1-2025-earnings-call-transcript-InsiderMonkey.html</t>
        </is>
      </c>
      <c r="AN265" t="inlineStr">
        <is>
          <t>https://www.insidermonkey.com/blog/metlife-inc-nysemet-q1-2025-earnings-call-transcript-1523164/; https://www.sec.gov/Archives/edgar/data/1099219/000109921925000133/ex991earningsreleasetables.htm; https://www.sec.gov/Archives/edgar/data/1099219/000109921925000133/ex992qfsq125.htm</t>
        </is>
      </c>
      <c r="AO265" t="inlineStr">
        <is>
          <t>manifest (whole bundle)</t>
        </is>
      </c>
      <c r="AP265">
        <f>IF($A265="","",IF(COUNTIFS(LLM_Data_Entry!$A$3:$A$548,$A265)&gt;0,"YES","NO"))</f>
        <v/>
      </c>
      <c r="AQ265">
        <f>IF($A265="","",IF(COUNTIFS($A$3:$A265,$A265,$C$3:$C265,$C265,$D$3:$D265,$D265)=1,"YES","NO"))</f>
        <v/>
      </c>
      <c r="AR265">
        <f>IF($A265="","",IF(AND($C265&amp;"-"&amp;$D265&gt;=Settings!$B$19,$C265&amp;"-"&amp;$D265&lt;=Settings!$B$20),"IN","OUT"))</f>
        <v/>
      </c>
      <c r="AS265">
        <f>IF($A265="","",IF($F265="Financial Results","financials",IF($F265="Outlook/Guidance","guidance",IF($F265="Transcript Q&amp;A","qanda",IF($F265="","unrecorded",IF($E265="All","full",IF($E265="","unrecorded",LOWER($E265)&amp;" only")))))))</f>
        <v/>
      </c>
      <c r="AT265">
        <f>IF(AND(OR($J265="BUY",$J265="SELL"),ISNUMBER($U265)),$U265,"")</f>
        <v/>
      </c>
      <c r="AU265">
        <f>IF(AND(OR($J265="BUY",$J265="SELL"),ISNUMBER($AK265)),$AK265,"")</f>
        <v/>
      </c>
      <c r="AV265">
        <f>IF(ISNUMBER($AT265),ABS(IF(ISNUMBER($I265),$I265,0)-Settings!$B$24),"")</f>
        <v/>
      </c>
      <c r="AW265">
        <f>IF(ISNUMBER($AV265),$AV265*$AT265,"")</f>
        <v/>
      </c>
      <c r="AX265">
        <f>IF(ISNUMBER($AU265),ABS(IF(ISNUMBER($I265),$I265,0)-Settings!$B$24),"")</f>
        <v/>
      </c>
      <c r="AY265">
        <f>IF(ISNUMBER($AX265),$AX265*$AU265,"")</f>
        <v/>
      </c>
      <c r="AZ265">
        <f>IF($A265="","",IFERROR(INDEX(Company_List!$H$3:$H$207,MATCH($A265,Company_List!$A$3:$A$207,0)),"unassigned"))</f>
        <v/>
      </c>
      <c r="BC265">
        <f>IF($A265="","",IF(COUNTIFS($A$3:$A265,$A265,$C$3:$C265,$C265,$D$3:$D265,$D265,$G$3:$G265,$G265)=1,1,0))</f>
        <v/>
      </c>
      <c r="BG265" t="inlineStr">
        <is>
          <t>no</t>
        </is>
      </c>
      <c r="BK265">
        <f>IF(OR($H265&lt;&gt;"Human",$S265="",$J265="",$Y265="",$Z265=""),"",IF(EXACT(UPPER($J265),UPPER($Y265)),1,0))</f>
        <v/>
      </c>
      <c r="BL265" t="inlineStr">
        <is>
          <t>assumed - no rater record</t>
        </is>
      </c>
      <c r="BM265" t="n">
        <v>3</v>
      </c>
      <c r="BN265" t="inlineStr">
        <is>
          <t>Insider Monkey (Koala Guide LLC)</t>
        </is>
      </c>
      <c r="BO265" t="inlineStr">
        <is>
          <t>free to read, copyright asserted</t>
        </is>
      </c>
      <c r="BP265" t="inlineStr">
        <is>
          <t>no</t>
        </is>
      </c>
      <c r="BQ265" t="inlineStr">
        <is>
          <t>yes</t>
        </is>
      </c>
    </row>
    <row r="266">
      <c r="A266" s="115" t="inlineStr">
        <is>
          <t>MetLife</t>
        </is>
      </c>
      <c r="B266" s="116">
        <f>IF(A266="","",_xlfn.XLOOKUP(A266, Company_List!$A:$A, Company_List!$B:$B, ""))</f>
        <v/>
      </c>
      <c r="C266" s="143" t="n">
        <v>2025</v>
      </c>
      <c r="D266" s="143" t="inlineStr">
        <is>
          <t>Q2</t>
        </is>
      </c>
      <c r="E266" s="98" t="inlineStr">
        <is>
          <t>All</t>
        </is>
      </c>
      <c r="F266" s="98" t="inlineStr">
        <is>
          <t>All</t>
        </is>
      </c>
      <c r="G266" s="143" t="inlineStr">
        <is>
          <t>Dragos</t>
        </is>
      </c>
      <c r="H266" s="106" t="inlineStr">
        <is>
          <t>Human</t>
        </is>
      </c>
      <c r="I266" s="145" t="n">
        <v>-0.2</v>
      </c>
      <c r="J266" s="145">
        <f>IF(OR(I266="",Settings!$B$6=""),"",IF(I266&gt;Settings!$B$6,"BUY",IF(I266&lt;-Settings!$B$6,"SELL","HOLD")))</f>
        <v/>
      </c>
      <c r="K266" s="145" t="n">
        <v>23</v>
      </c>
      <c r="L266" s="125" t="n">
        <v>45875</v>
      </c>
      <c r="M266" s="140" t="n">
        <v>45875</v>
      </c>
      <c r="N266" s="147" t="n">
        <v>75.95</v>
      </c>
      <c r="O266" s="140" t="n">
        <v>45876</v>
      </c>
      <c r="P266" s="145" t="n">
        <v>72.09999999999999</v>
      </c>
      <c r="Q266" s="150">
        <f>IF(OR(N266="",P266=""),"",ROUND((P266-N266)/N266,4))</f>
        <v/>
      </c>
      <c r="R266" s="106">
        <f>IF(OR(N266="",P266=""),"",IF(Q266&gt;Settings!$B$3/100,"UP",IF(Q266&lt;-Settings!$B$3/100,"DOWN","FLAT")))</f>
        <v/>
      </c>
      <c r="S266" s="106">
        <f>IF(OR(N266="",P266="",J266=""),"",IF(OR(AND(J266="BUY",R266="UP"),AND(J266="SELL",R266="DOWN"),AND(J266="HOLD",R266="FLAT")),"YES","NO"))</f>
        <v/>
      </c>
      <c r="T266" s="105">
        <f>IF(J266="","",IF(J266="BUY",1,IF(J266="SELL",-1,0)))</f>
        <v/>
      </c>
      <c r="U266" s="150">
        <f>IFERROR(IF(OR(J266="",N266="",P266=""),"",IF(T266=0,0,T266*Q266-Settings!$B$4/10000-IF(T266&lt;0,Settings!$B$5/10000,0))),"")</f>
        <v/>
      </c>
      <c r="W266" s="21">
        <f>IF($K266="","",$K266*60)</f>
        <v/>
      </c>
      <c r="X266" s="91">
        <f>IF($A266="","",$A266&amp;"|"&amp;$C266&amp;"|"&amp;$D266)</f>
        <v/>
      </c>
      <c r="Y266" s="91">
        <f>IFERROR(IF($X266="","",INDEX(LLM_Data_Entry!$H$3:$H$548,MATCH($X266,INDEX(LLM_Data_Entry!$A$3:$A$548&amp;"|"&amp;LLM_Data_Entry!$C$3:$C$548&amp;"|"&amp;LLM_Data_Entry!$D$3:$D$548,0),0))),"")</f>
        <v/>
      </c>
      <c r="Z266" s="91">
        <f>IFERROR(IF($X266="","",INDEX(LLM_Data_Entry!$R$3:$R$548,MATCH($X266,INDEX(LLM_Data_Entry!$A$3:$A$548&amp;"|"&amp;LLM_Data_Entry!$C$3:$C$548&amp;"|"&amp;LLM_Data_Entry!$D$3:$D$548,0),0))),"")</f>
        <v/>
      </c>
      <c r="AB266" t="inlineStr">
        <is>
          <t>release date + stated time in the document (document)</t>
        </is>
      </c>
      <c r="AC266" t="inlineStr">
        <is>
          <t>MET</t>
        </is>
      </c>
      <c r="AD266" t="inlineStr">
        <is>
          <t>2025-08-06</t>
        </is>
      </c>
      <c r="AE266" t="n">
        <v>73.842</v>
      </c>
      <c r="AF266" t="inlineStr">
        <is>
          <t>2025-08-07</t>
        </is>
      </c>
      <c r="AG266" t="n">
        <v>70.0989</v>
      </c>
      <c r="AH266" t="n">
        <v>-0.0506913954592661</v>
      </c>
      <c r="AI266" t="inlineStr">
        <is>
          <t>DOWN</t>
        </is>
      </c>
      <c r="AJ266" t="inlineStr">
        <is>
          <t>NO</t>
        </is>
      </c>
      <c r="AK266" t="n">
        <v>0</v>
      </c>
      <c r="AL266">
        <f>IF($A266="","",IFERROR(INDEX(Company_List!$G$3:$G$207,MATCH($A266,Company_List!$A$3:$A$207,0)),"unassigned"))</f>
        <v/>
      </c>
      <c r="AM266" t="inlineStr">
        <is>
          <t>Phase 2/MetLife/Q2 2025/MET-Q2-2025-press-release-SEC-EX99-1.htm; Phase 2/MetLife/Q2 2025/MET-Q2-2025-exhibit-SEC-EX99-2.htm; Phase 2/MetLife/Q2 2025/MET-Q2-2025-earnings-call-transcript-InsiderMonkey.html</t>
        </is>
      </c>
      <c r="AN266" t="inlineStr">
        <is>
          <t>https://www.insidermonkey.com/blog/metlife-inc-nysemet-q2-2025-earnings-call-transcript-1587127/; https://www.sec.gov/Archives/edgar/data/1099219/000109921925000191/ex991earningsreleasetables.htm; https://www.sec.gov/Archives/edgar/data/1099219/000109921925000191/ex992qfsq225.htm</t>
        </is>
      </c>
      <c r="AO266" t="inlineStr">
        <is>
          <t>manifest (whole bundle)</t>
        </is>
      </c>
      <c r="AP266">
        <f>IF($A266="","",IF(COUNTIFS(LLM_Data_Entry!$A$3:$A$548,$A266)&gt;0,"YES","NO"))</f>
        <v/>
      </c>
      <c r="AQ266">
        <f>IF($A266="","",IF(COUNTIFS($A$3:$A266,$A266,$C$3:$C266,$C266,$D$3:$D266,$D266)=1,"YES","NO"))</f>
        <v/>
      </c>
      <c r="AR266">
        <f>IF($A266="","",IF(AND($C266&amp;"-"&amp;$D266&gt;=Settings!$B$19,$C266&amp;"-"&amp;$D266&lt;=Settings!$B$20),"IN","OUT"))</f>
        <v/>
      </c>
      <c r="AS266">
        <f>IF($A266="","",IF($F266="Financial Results","financials",IF($F266="Outlook/Guidance","guidance",IF($F266="Transcript Q&amp;A","qanda",IF($F266="","unrecorded",IF($E266="All","full",IF($E266="","unrecorded",LOWER($E266)&amp;" only")))))))</f>
        <v/>
      </c>
      <c r="AT266">
        <f>IF(AND(OR($J266="BUY",$J266="SELL"),ISNUMBER($U266)),$U266,"")</f>
        <v/>
      </c>
      <c r="AU266">
        <f>IF(AND(OR($J266="BUY",$J266="SELL"),ISNUMBER($AK266)),$AK266,"")</f>
        <v/>
      </c>
      <c r="AV266">
        <f>IF(ISNUMBER($AT266),ABS(IF(ISNUMBER($I266),$I266,0)-Settings!$B$24),"")</f>
        <v/>
      </c>
      <c r="AW266">
        <f>IF(ISNUMBER($AV266),$AV266*$AT266,"")</f>
        <v/>
      </c>
      <c r="AX266">
        <f>IF(ISNUMBER($AU266),ABS(IF(ISNUMBER($I266),$I266,0)-Settings!$B$24),"")</f>
        <v/>
      </c>
      <c r="AY266">
        <f>IF(ISNUMBER($AX266),$AX266*$AU266,"")</f>
        <v/>
      </c>
      <c r="AZ266">
        <f>IF($A266="","",IFERROR(INDEX(Company_List!$H$3:$H$207,MATCH($A266,Company_List!$A$3:$A$207,0)),"unassigned"))</f>
        <v/>
      </c>
      <c r="BC266">
        <f>IF($A266="","",IF(COUNTIFS($A$3:$A266,$A266,$C$3:$C266,$C266,$D$3:$D266,$D266,$G$3:$G266,$G266)=1,1,0))</f>
        <v/>
      </c>
      <c r="BG266" t="inlineStr">
        <is>
          <t>no</t>
        </is>
      </c>
      <c r="BK266">
        <f>IF(OR($H266&lt;&gt;"Human",$S266="",$J266="",$Y266="",$Z266=""),"",IF(EXACT(UPPER($J266),UPPER($Y266)),1,0))</f>
        <v/>
      </c>
      <c r="BL266" t="inlineStr">
        <is>
          <t>assumed - no rater record</t>
        </is>
      </c>
      <c r="BM266" t="n">
        <v>3</v>
      </c>
      <c r="BN266" t="inlineStr">
        <is>
          <t>Insider Monkey (Koala Guide LLC)</t>
        </is>
      </c>
      <c r="BO266" t="inlineStr">
        <is>
          <t>free to read, copyright asserted</t>
        </is>
      </c>
      <c r="BP266" t="inlineStr">
        <is>
          <t>no</t>
        </is>
      </c>
      <c r="BQ266" t="inlineStr">
        <is>
          <t>yes</t>
        </is>
      </c>
    </row>
    <row r="267">
      <c r="A267" s="115" t="inlineStr">
        <is>
          <t>MetLife</t>
        </is>
      </c>
      <c r="B267" s="116">
        <f>IF(A267="","",_xlfn.XLOOKUP(A267, Company_List!$A:$A, Company_List!$B:$B, ""))</f>
        <v/>
      </c>
      <c r="C267" s="143" t="n">
        <v>2025</v>
      </c>
      <c r="D267" s="143" t="inlineStr">
        <is>
          <t>Q3</t>
        </is>
      </c>
      <c r="E267" s="98" t="inlineStr">
        <is>
          <t>All</t>
        </is>
      </c>
      <c r="F267" s="98" t="inlineStr">
        <is>
          <t>All</t>
        </is>
      </c>
      <c r="G267" s="143" t="inlineStr">
        <is>
          <t>Dragos</t>
        </is>
      </c>
      <c r="H267" s="106" t="inlineStr">
        <is>
          <t>Human</t>
        </is>
      </c>
      <c r="I267" s="145" t="n">
        <v>0.5</v>
      </c>
      <c r="J267" s="145">
        <f>IF(OR(I267="",Settings!$B$6=""),"",IF(I267&gt;Settings!$B$6,"BUY",IF(I267&lt;-Settings!$B$6,"SELL","HOLD")))</f>
        <v/>
      </c>
      <c r="K267" s="145" t="n">
        <v>20</v>
      </c>
      <c r="L267" s="125" t="n">
        <v>45966</v>
      </c>
      <c r="M267" s="140" t="n">
        <v>45966</v>
      </c>
      <c r="N267" s="147" t="n">
        <v>78.68000000000001</v>
      </c>
      <c r="O267" s="140" t="n">
        <v>45967</v>
      </c>
      <c r="P267" s="145" t="n">
        <v>79.5</v>
      </c>
      <c r="Q267" s="150">
        <f>IF(OR(N267="",P267=""),"",ROUND((P267-N267)/N267,4))</f>
        <v/>
      </c>
      <c r="R267" s="106">
        <f>IF(OR(N267="",P267=""),"",IF(Q267&gt;Settings!$B$3/100,"UP",IF(Q267&lt;-Settings!$B$3/100,"DOWN","FLAT")))</f>
        <v/>
      </c>
      <c r="S267" s="106">
        <f>IF(OR(N267="",P267="",J267=""),"",IF(OR(AND(J267="BUY",R267="UP"),AND(J267="SELL",R267="DOWN"),AND(J267="HOLD",R267="FLAT")),"YES","NO"))</f>
        <v/>
      </c>
      <c r="T267" s="105">
        <f>IF(J267="","",IF(J267="BUY",1,IF(J267="SELL",-1,0)))</f>
        <v/>
      </c>
      <c r="U267" s="150">
        <f>IFERROR(IF(OR(J267="",N267="",P267=""),"",IF(T267=0,0,T267*Q267-Settings!$B$4/10000-IF(T267&lt;0,Settings!$B$5/10000,0))),"")</f>
        <v/>
      </c>
      <c r="W267" s="21">
        <f>IF($K267="","",$K267*60)</f>
        <v/>
      </c>
      <c r="X267" s="91">
        <f>IF($A267="","",$A267&amp;"|"&amp;$C267&amp;"|"&amp;$D267)</f>
        <v/>
      </c>
      <c r="Y267" s="91">
        <f>IFERROR(IF($X267="","",INDEX(LLM_Data_Entry!$H$3:$H$548,MATCH($X267,INDEX(LLM_Data_Entry!$A$3:$A$548&amp;"|"&amp;LLM_Data_Entry!$C$3:$C$548&amp;"|"&amp;LLM_Data_Entry!$D$3:$D$548,0),0))),"")</f>
        <v/>
      </c>
      <c r="Z267" s="91">
        <f>IFERROR(IF($X267="","",INDEX(LLM_Data_Entry!$R$3:$R$548,MATCH($X267,INDEX(LLM_Data_Entry!$A$3:$A$548&amp;"|"&amp;LLM_Data_Entry!$C$3:$C$548&amp;"|"&amp;LLM_Data_Entry!$D$3:$D$548,0),0))),"")</f>
        <v/>
      </c>
      <c r="AB267" t="inlineStr">
        <is>
          <t>release date + stated time in the document (document)</t>
        </is>
      </c>
      <c r="AC267" t="inlineStr">
        <is>
          <t>MET</t>
        </is>
      </c>
      <c r="AD267" t="inlineStr">
        <is>
          <t>2025-11-05</t>
        </is>
      </c>
      <c r="AE267" t="n">
        <v>77.0488</v>
      </c>
      <c r="AF267" t="inlineStr">
        <is>
          <t>2025-11-06</t>
        </is>
      </c>
      <c r="AG267" t="n">
        <v>77.8518</v>
      </c>
      <c r="AH267" t="n">
        <v>0.01042193452526113</v>
      </c>
      <c r="AI267" t="inlineStr">
        <is>
          <t>FLAT</t>
        </is>
      </c>
      <c r="AJ267" t="inlineStr">
        <is>
          <t>NO</t>
        </is>
      </c>
      <c r="AK267" t="n">
        <v>0.009422</v>
      </c>
      <c r="AL267">
        <f>IF($A267="","",IFERROR(INDEX(Company_List!$G$3:$G$207,MATCH($A267,Company_List!$A$3:$A$207,0)),"unassigned"))</f>
        <v/>
      </c>
      <c r="AM267" t="inlineStr">
        <is>
          <t>Phase 2/MetLife/Q3 2025/MET-Q3-2025-press-release-SEC-EX99-1.htm; Phase 2/MetLife/Q3 2025/MET-Q3-2025-exhibit-SEC-EX99-2.htm; Phase 2/MetLife/Q3 2025/MET-Q3-2025-earnings-call-transcript-news-alphastreet-com.html</t>
        </is>
      </c>
      <c r="AN267" t="inlineStr">
        <is>
          <t>https://news.alphastreet.com/metlife-inc-met-q3-2025-earnings-call-transcript/; https://www.sec.gov/Archives/edgar/data/1099219/000109921925000227/ex991earningsreleasetables.htm; https://www.sec.gov/Archives/edgar/data/1099219/000109921925000227/ex992qfsq325.htm</t>
        </is>
      </c>
      <c r="AO267" t="inlineStr">
        <is>
          <t>manifest (whole bundle)</t>
        </is>
      </c>
      <c r="AP267">
        <f>IF($A267="","",IF(COUNTIFS(LLM_Data_Entry!$A$3:$A$548,$A267)&gt;0,"YES","NO"))</f>
        <v/>
      </c>
      <c r="AQ267">
        <f>IF($A267="","",IF(COUNTIFS($A$3:$A267,$A267,$C$3:$C267,$C267,$D$3:$D267,$D267)=1,"YES","NO"))</f>
        <v/>
      </c>
      <c r="AR267">
        <f>IF($A267="","",IF(AND($C267&amp;"-"&amp;$D267&gt;=Settings!$B$19,$C267&amp;"-"&amp;$D267&lt;=Settings!$B$20),"IN","OUT"))</f>
        <v/>
      </c>
      <c r="AS267">
        <f>IF($A267="","",IF($F267="Financial Results","financials",IF($F267="Outlook/Guidance","guidance",IF($F267="Transcript Q&amp;A","qanda",IF($F267="","unrecorded",IF($E267="All","full",IF($E267="","unrecorded",LOWER($E267)&amp;" only")))))))</f>
        <v/>
      </c>
      <c r="AT267">
        <f>IF(AND(OR($J267="BUY",$J267="SELL"),ISNUMBER($U267)),$U267,"")</f>
        <v/>
      </c>
      <c r="AU267">
        <f>IF(AND(OR($J267="BUY",$J267="SELL"),ISNUMBER($AK267)),$AK267,"")</f>
        <v/>
      </c>
      <c r="AV267">
        <f>IF(ISNUMBER($AT267),ABS(IF(ISNUMBER($I267),$I267,0)-Settings!$B$24),"")</f>
        <v/>
      </c>
      <c r="AW267">
        <f>IF(ISNUMBER($AV267),$AV267*$AT267,"")</f>
        <v/>
      </c>
      <c r="AX267">
        <f>IF(ISNUMBER($AU267),ABS(IF(ISNUMBER($I267),$I267,0)-Settings!$B$24),"")</f>
        <v/>
      </c>
      <c r="AY267">
        <f>IF(ISNUMBER($AX267),$AX267*$AU267,"")</f>
        <v/>
      </c>
      <c r="AZ267">
        <f>IF($A267="","",IFERROR(INDEX(Company_List!$H$3:$H$207,MATCH($A267,Company_List!$A$3:$A$207,0)),"unassigned"))</f>
        <v/>
      </c>
      <c r="BC267">
        <f>IF($A267="","",IF(COUNTIFS($A$3:$A267,$A267,$C$3:$C267,$C267,$D$3:$D267,$D267,$G$3:$G267,$G267)=1,1,0))</f>
        <v/>
      </c>
      <c r="BG267" t="inlineStr">
        <is>
          <t>no</t>
        </is>
      </c>
      <c r="BK267">
        <f>IF(OR($H267&lt;&gt;"Human",$S267="",$J267="",$Y267="",$Z267=""),"",IF(EXACT(UPPER($J267),UPPER($Y267)),1,0))</f>
        <v/>
      </c>
      <c r="BL267" t="inlineStr">
        <is>
          <t>assumed - no rater record</t>
        </is>
      </c>
      <c r="BM267" t="n">
        <v>3</v>
      </c>
      <c r="BN267" t="inlineStr">
        <is>
          <t>not publisher-identified</t>
        </is>
      </c>
      <c r="BO267" t="inlineStr">
        <is>
          <t>not publisher-identified</t>
        </is>
      </c>
      <c r="BP267" t="inlineStr">
        <is>
          <t>no</t>
        </is>
      </c>
      <c r="BQ267" t="inlineStr">
        <is>
          <t>yes</t>
        </is>
      </c>
    </row>
    <row r="268">
      <c r="A268" s="115" t="inlineStr">
        <is>
          <t>MetLife</t>
        </is>
      </c>
      <c r="B268" s="116">
        <f>IF(A268="","",_xlfn.XLOOKUP(A268, Company_List!$A:$A, Company_List!$B:$B, ""))</f>
        <v/>
      </c>
      <c r="C268" s="143" t="n">
        <v>2025</v>
      </c>
      <c r="D268" s="143" t="inlineStr">
        <is>
          <t>Q4</t>
        </is>
      </c>
      <c r="E268" s="98" t="inlineStr">
        <is>
          <t>All</t>
        </is>
      </c>
      <c r="F268" s="98" t="inlineStr">
        <is>
          <t>All</t>
        </is>
      </c>
      <c r="G268" s="143" t="inlineStr">
        <is>
          <t>Dragos</t>
        </is>
      </c>
      <c r="H268" s="106" t="inlineStr">
        <is>
          <t>Human</t>
        </is>
      </c>
      <c r="I268" s="145" t="n">
        <v>0.5</v>
      </c>
      <c r="J268" s="145">
        <f>IF(OR(I268="",Settings!$B$6=""),"",IF(I268&gt;Settings!$B$6,"BUY",IF(I268&lt;-Settings!$B$6,"SELL","HOLD")))</f>
        <v/>
      </c>
      <c r="K268" s="145" t="n">
        <v>19</v>
      </c>
      <c r="L268" s="125" t="n">
        <v>46057</v>
      </c>
      <c r="M268" s="140" t="n">
        <v>46057</v>
      </c>
      <c r="N268" s="147" t="n">
        <v>78.01000000000001</v>
      </c>
      <c r="O268" s="140" t="n">
        <v>46058</v>
      </c>
      <c r="P268" s="145" t="n">
        <v>79.5</v>
      </c>
      <c r="Q268" s="150">
        <f>IF(OR(N268="",P268=""),"",ROUND((P268-N268)/N268,4))</f>
        <v/>
      </c>
      <c r="R268" s="106">
        <f>IF(OR(N268="",P268=""),"",IF(Q268&gt;Settings!$B$3/100,"UP",IF(Q268&lt;-Settings!$B$3/100,"DOWN","FLAT")))</f>
        <v/>
      </c>
      <c r="S268" s="106">
        <f>IF(OR(N268="",P268="",J268=""),"",IF(OR(AND(J268="BUY",R268="UP"),AND(J268="SELL",R268="DOWN"),AND(J268="HOLD",R268="FLAT")),"YES","NO"))</f>
        <v/>
      </c>
      <c r="T268" s="105">
        <f>IF(J268="","",IF(J268="BUY",1,IF(J268="SELL",-1,0)))</f>
        <v/>
      </c>
      <c r="U268" s="150">
        <f>IFERROR(IF(OR(J268="",N268="",P268=""),"",IF(T268=0,0,T268*Q268-Settings!$B$4/10000-IF(T268&lt;0,Settings!$B$5/10000,0))),"")</f>
        <v/>
      </c>
      <c r="W268" s="21">
        <f>IF($K268="","",$K268*60)</f>
        <v/>
      </c>
      <c r="X268" s="91">
        <f>IF($A268="","",$A268&amp;"|"&amp;$C268&amp;"|"&amp;$D268)</f>
        <v/>
      </c>
      <c r="Y268" s="91">
        <f>IFERROR(IF($X268="","",INDEX(LLM_Data_Entry!$H$3:$H$548,MATCH($X268,INDEX(LLM_Data_Entry!$A$3:$A$548&amp;"|"&amp;LLM_Data_Entry!$C$3:$C$548&amp;"|"&amp;LLM_Data_Entry!$D$3:$D$548,0),0))),"")</f>
        <v/>
      </c>
      <c r="Z268" s="91">
        <f>IFERROR(IF($X268="","",INDEX(LLM_Data_Entry!$R$3:$R$548,MATCH($X268,INDEX(LLM_Data_Entry!$A$3:$A$548&amp;"|"&amp;LLM_Data_Entry!$C$3:$C$548&amp;"|"&amp;LLM_Data_Entry!$D$3:$D$548,0),0))),"")</f>
        <v/>
      </c>
      <c r="AB268" t="inlineStr">
        <is>
          <t>release date + stated time in the document (document)</t>
        </is>
      </c>
      <c r="AC268" t="inlineStr">
        <is>
          <t>MET</t>
        </is>
      </c>
      <c r="AD268" t="inlineStr">
        <is>
          <t>2026-02-04</t>
        </is>
      </c>
      <c r="AE268" t="n">
        <v>76.9401</v>
      </c>
      <c r="AF268" t="inlineStr">
        <is>
          <t>2026-02-05</t>
        </is>
      </c>
      <c r="AG268" t="n">
        <v>78.4097</v>
      </c>
      <c r="AH268" t="n">
        <v>0.01910011489677565</v>
      </c>
      <c r="AI268" t="inlineStr">
        <is>
          <t>FLAT</t>
        </is>
      </c>
      <c r="AJ268" t="inlineStr">
        <is>
          <t>NO</t>
        </is>
      </c>
      <c r="AK268" t="n">
        <v>0.0181</v>
      </c>
      <c r="AL268">
        <f>IF($A268="","",IFERROR(INDEX(Company_List!$G$3:$G$207,MATCH($A268,Company_List!$A$3:$A$207,0)),"unassigned"))</f>
        <v/>
      </c>
      <c r="AM268" t="inlineStr">
        <is>
          <t>Phase 2/MetLife/Q4 2025/MET-Q4-2025-press-release-SEC-EX99-1.htm; Phase 2/MetLife/Q4 2025/MET-Q4-2025-exhibit-SEC-EX99-2.htm; Phase 2/MetLife/Q4 2025/MET-Q4-2025-earnings-call-transcript-InsiderMonkey.html</t>
        </is>
      </c>
      <c r="AN268" t="inlineStr">
        <is>
          <t>https://www.insidermonkey.com/blog/metlife-inc-nysemet-q4-2025-earnings-call-transcript-1690172/; https://www.sec.gov/Archives/edgar/data/1099219/000109921926000008/ex991earningsreleasetables.htm; https://www.sec.gov/Archives/edgar/data/1099219/000109921926000008/ex992qfsq425.htm</t>
        </is>
      </c>
      <c r="AO268" t="inlineStr">
        <is>
          <t>manifest (whole bundle)</t>
        </is>
      </c>
      <c r="AP268">
        <f>IF($A268="","",IF(COUNTIFS(LLM_Data_Entry!$A$3:$A$548,$A268)&gt;0,"YES","NO"))</f>
        <v/>
      </c>
      <c r="AQ268">
        <f>IF($A268="","",IF(COUNTIFS($A$3:$A268,$A268,$C$3:$C268,$C268,$D$3:$D268,$D268)=1,"YES","NO"))</f>
        <v/>
      </c>
      <c r="AR268">
        <f>IF($A268="","",IF(AND($C268&amp;"-"&amp;$D268&gt;=Settings!$B$19,$C268&amp;"-"&amp;$D268&lt;=Settings!$B$20),"IN","OUT"))</f>
        <v/>
      </c>
      <c r="AS268">
        <f>IF($A268="","",IF($F268="Financial Results","financials",IF($F268="Outlook/Guidance","guidance",IF($F268="Transcript Q&amp;A","qanda",IF($F268="","unrecorded",IF($E268="All","full",IF($E268="","unrecorded",LOWER($E268)&amp;" only")))))))</f>
        <v/>
      </c>
      <c r="AT268">
        <f>IF(AND(OR($J268="BUY",$J268="SELL"),ISNUMBER($U268)),$U268,"")</f>
        <v/>
      </c>
      <c r="AU268">
        <f>IF(AND(OR($J268="BUY",$J268="SELL"),ISNUMBER($AK268)),$AK268,"")</f>
        <v/>
      </c>
      <c r="AV268">
        <f>IF(ISNUMBER($AT268),ABS(IF(ISNUMBER($I268),$I268,0)-Settings!$B$24),"")</f>
        <v/>
      </c>
      <c r="AW268">
        <f>IF(ISNUMBER($AV268),$AV268*$AT268,"")</f>
        <v/>
      </c>
      <c r="AX268">
        <f>IF(ISNUMBER($AU268),ABS(IF(ISNUMBER($I268),$I268,0)-Settings!$B$24),"")</f>
        <v/>
      </c>
      <c r="AY268">
        <f>IF(ISNUMBER($AX268),$AX268*$AU268,"")</f>
        <v/>
      </c>
      <c r="AZ268">
        <f>IF($A268="","",IFERROR(INDEX(Company_List!$H$3:$H$207,MATCH($A268,Company_List!$A$3:$A$207,0)),"unassigned"))</f>
        <v/>
      </c>
      <c r="BC268">
        <f>IF($A268="","",IF(COUNTIFS($A$3:$A268,$A268,$C$3:$C268,$C268,$D$3:$D268,$D268,$G$3:$G268,$G268)=1,1,0))</f>
        <v/>
      </c>
      <c r="BG268" t="inlineStr">
        <is>
          <t>no</t>
        </is>
      </c>
      <c r="BK268">
        <f>IF(OR($H268&lt;&gt;"Human",$S268="",$J268="",$Y268="",$Z268=""),"",IF(EXACT(UPPER($J268),UPPER($Y268)),1,0))</f>
        <v/>
      </c>
      <c r="BL268" t="inlineStr">
        <is>
          <t>assumed - no rater record</t>
        </is>
      </c>
      <c r="BM268" t="n">
        <v>3</v>
      </c>
      <c r="BN268" t="inlineStr">
        <is>
          <t>Insider Monkey (Koala Guide LLC)</t>
        </is>
      </c>
      <c r="BO268" t="inlineStr">
        <is>
          <t>free to read, copyright asserted</t>
        </is>
      </c>
      <c r="BP268" t="inlineStr">
        <is>
          <t>no</t>
        </is>
      </c>
      <c r="BQ268" t="inlineStr">
        <is>
          <t>yes</t>
        </is>
      </c>
    </row>
    <row r="269">
      <c r="A269" s="115" t="inlineStr">
        <is>
          <t>MetLife</t>
        </is>
      </c>
      <c r="B269" s="116">
        <f>IF(A269="","",_xlfn.XLOOKUP(A269, Company_List!$A:$A, Company_List!$B:$B, ""))</f>
        <v/>
      </c>
      <c r="C269" s="143" t="n">
        <v>2026</v>
      </c>
      <c r="D269" s="143" t="inlineStr">
        <is>
          <t>Q1</t>
        </is>
      </c>
      <c r="E269" s="98" t="inlineStr">
        <is>
          <t>All</t>
        </is>
      </c>
      <c r="F269" s="98" t="inlineStr">
        <is>
          <t>All</t>
        </is>
      </c>
      <c r="G269" s="143" t="inlineStr">
        <is>
          <t>Dragos</t>
        </is>
      </c>
      <c r="H269" s="106" t="inlineStr">
        <is>
          <t>Human</t>
        </is>
      </c>
      <c r="I269" s="145" t="n">
        <v>0.5</v>
      </c>
      <c r="J269" s="145">
        <f>IF(OR(I269="",Settings!$B$6=""),"",IF(I269&gt;Settings!$B$6,"BUY",IF(I269&lt;-Settings!$B$6,"SELL","HOLD")))</f>
        <v/>
      </c>
      <c r="K269" s="145" t="n">
        <v>25</v>
      </c>
      <c r="L269" s="125" t="n">
        <v>46148</v>
      </c>
      <c r="M269" s="140" t="n">
        <v>46148</v>
      </c>
      <c r="N269" s="147" t="n">
        <v>80.16</v>
      </c>
      <c r="O269" s="140" t="n">
        <v>46149</v>
      </c>
      <c r="P269" s="145" t="n">
        <v>80.56</v>
      </c>
      <c r="Q269" s="150">
        <f>IF(OR(N269="",P269=""),"",ROUND((P269-N269)/N269,4))</f>
        <v/>
      </c>
      <c r="R269" s="106">
        <f>IF(OR(N269="",P269=""),"",IF(Q269&gt;Settings!$B$3/100,"UP",IF(Q269&lt;-Settings!$B$3/100,"DOWN","FLAT")))</f>
        <v/>
      </c>
      <c r="S269" s="106">
        <f>IF(OR(N269="",P269="",J269=""),"",IF(OR(AND(J269="BUY",R269="UP"),AND(J269="SELL",R269="DOWN"),AND(J269="HOLD",R269="FLAT")),"YES","NO"))</f>
        <v/>
      </c>
      <c r="T269" s="105">
        <f>IF(J269="","",IF(J269="BUY",1,IF(J269="SELL",-1,0)))</f>
        <v/>
      </c>
      <c r="U269" s="150">
        <f>IFERROR(IF(OR(J269="",N269="",P269=""),"",IF(T269=0,0,T269*Q269-Settings!$B$4/10000-IF(T269&lt;0,Settings!$B$5/10000,0))),"")</f>
        <v/>
      </c>
      <c r="W269" s="21">
        <f>IF($K269="","",$K269*60)</f>
        <v/>
      </c>
      <c r="X269" s="91">
        <f>IF($A269="","",$A269&amp;"|"&amp;$C269&amp;"|"&amp;$D269)</f>
        <v/>
      </c>
      <c r="Y269" s="91">
        <f>IFERROR(IF($X269="","",INDEX(LLM_Data_Entry!$H$3:$H$548,MATCH($X269,INDEX(LLM_Data_Entry!$A$3:$A$548&amp;"|"&amp;LLM_Data_Entry!$C$3:$C$548&amp;"|"&amp;LLM_Data_Entry!$D$3:$D$548,0),0))),"")</f>
        <v/>
      </c>
      <c r="Z269" s="91">
        <f>IFERROR(IF($X269="","",INDEX(LLM_Data_Entry!$R$3:$R$548,MATCH($X269,INDEX(LLM_Data_Entry!$A$3:$A$548&amp;"|"&amp;LLM_Data_Entry!$C$3:$C$548&amp;"|"&amp;LLM_Data_Entry!$D$3:$D$548,0),0))),"")</f>
        <v/>
      </c>
      <c r="AB269" t="inlineStr">
        <is>
          <t>release date + stated time</t>
        </is>
      </c>
      <c r="AC269" t="inlineStr">
        <is>
          <t>MET</t>
        </is>
      </c>
      <c r="AD269" t="inlineStr">
        <is>
          <t>2026-05-06</t>
        </is>
      </c>
      <c r="AE269" t="n">
        <v>79.06059999999999</v>
      </c>
      <c r="AF269" t="inlineStr">
        <is>
          <t>2026-05-07</t>
        </is>
      </c>
      <c r="AG269" t="n">
        <v>79.4551</v>
      </c>
      <c r="AH269" t="n">
        <v>0.004989957181484815</v>
      </c>
      <c r="AI269" t="inlineStr">
        <is>
          <t>FLAT</t>
        </is>
      </c>
      <c r="AJ269" t="inlineStr">
        <is>
          <t>NO</t>
        </is>
      </c>
      <c r="AK269" t="n">
        <v>0.00399</v>
      </c>
      <c r="AL269">
        <f>IF($A269="","",IFERROR(INDEX(Company_List!$G$3:$G$207,MATCH($A269,Company_List!$A$3:$A$207,0)),"unassigned"))</f>
        <v/>
      </c>
      <c r="AM269" t="inlineStr">
        <is>
          <t>Phase 2/MetLife/Q1 2026/MET-Q1-2026-press-release-SEC-EX99-1.htm; Phase 2/MetLife/Q1 2026/MET-Q1-2026-exhibit-SEC-EX99-2.htm; Phase 2/MetLife/Q1 2026/MET-Q1-2026-earnings-call-transcript-InsiderMonkey.html</t>
        </is>
      </c>
      <c r="AN269" t="inlineStr">
        <is>
          <t>https://www.insidermonkey.com/blog/metlife-inc-nysemet-q1-2026-earnings-call-transcript-1756889/; https://www.sec.gov/Archives/edgar/data/1099219/000109921926000032/ex991earningsreleasetables.htm; https://www.sec.gov/Archives/edgar/data/1099219/000109921926000032/ex992qfsq126.htm</t>
        </is>
      </c>
      <c r="AO269" t="inlineStr">
        <is>
          <t>manifest (whole bundle)</t>
        </is>
      </c>
      <c r="AP269">
        <f>IF($A269="","",IF(COUNTIFS(LLM_Data_Entry!$A$3:$A$548,$A269)&gt;0,"YES","NO"))</f>
        <v/>
      </c>
      <c r="AQ269">
        <f>IF($A269="","",IF(COUNTIFS($A$3:$A269,$A269,$C$3:$C269,$C269,$D$3:$D269,$D269)=1,"YES","NO"))</f>
        <v/>
      </c>
      <c r="AR269">
        <f>IF($A269="","",IF(AND($C269&amp;"-"&amp;$D269&gt;=Settings!$B$19,$C269&amp;"-"&amp;$D269&lt;=Settings!$B$20),"IN","OUT"))</f>
        <v/>
      </c>
      <c r="AS269">
        <f>IF($A269="","",IF($F269="Financial Results","financials",IF($F269="Outlook/Guidance","guidance",IF($F269="Transcript Q&amp;A","qanda",IF($F269="","unrecorded",IF($E269="All","full",IF($E269="","unrecorded",LOWER($E269)&amp;" only")))))))</f>
        <v/>
      </c>
      <c r="AT269">
        <f>IF(AND(OR($J269="BUY",$J269="SELL"),ISNUMBER($U269)),$U269,"")</f>
        <v/>
      </c>
      <c r="AU269">
        <f>IF(AND(OR($J269="BUY",$J269="SELL"),ISNUMBER($AK269)),$AK269,"")</f>
        <v/>
      </c>
      <c r="AV269">
        <f>IF(ISNUMBER($AT269),ABS(IF(ISNUMBER($I269),$I269,0)-Settings!$B$24),"")</f>
        <v/>
      </c>
      <c r="AW269">
        <f>IF(ISNUMBER($AV269),$AV269*$AT269,"")</f>
        <v/>
      </c>
      <c r="AX269">
        <f>IF(ISNUMBER($AU269),ABS(IF(ISNUMBER($I269),$I269,0)-Settings!$B$24),"")</f>
        <v/>
      </c>
      <c r="AY269">
        <f>IF(ISNUMBER($AX269),$AX269*$AU269,"")</f>
        <v/>
      </c>
      <c r="AZ269">
        <f>IF($A269="","",IFERROR(INDEX(Company_List!$H$3:$H$207,MATCH($A269,Company_List!$A$3:$A$207,0)),"unassigned"))</f>
        <v/>
      </c>
      <c r="BC269">
        <f>IF($A269="","",IF(COUNTIFS($A$3:$A269,$A269,$C$3:$C269,$C269,$D$3:$D269,$D269,$G$3:$G269,$G269)=1,1,0))</f>
        <v/>
      </c>
      <c r="BG269" t="inlineStr">
        <is>
          <t>no</t>
        </is>
      </c>
      <c r="BK269">
        <f>IF(OR($H269&lt;&gt;"Human",$S269="",$J269="",$Y269="",$Z269=""),"",IF(EXACT(UPPER($J269),UPPER($Y269)),1,0))</f>
        <v/>
      </c>
      <c r="BL269" t="inlineStr">
        <is>
          <t>assumed - no rater record</t>
        </is>
      </c>
      <c r="BM269" t="n">
        <v>3</v>
      </c>
      <c r="BN269" t="inlineStr">
        <is>
          <t>Insider Monkey (Koala Guide LLC)</t>
        </is>
      </c>
      <c r="BO269" t="inlineStr">
        <is>
          <t>free to read, copyright asserted</t>
        </is>
      </c>
      <c r="BP269" t="inlineStr">
        <is>
          <t>no</t>
        </is>
      </c>
      <c r="BQ269" t="inlineStr">
        <is>
          <t>yes</t>
        </is>
      </c>
    </row>
    <row r="270">
      <c r="A270" s="115" t="inlineStr">
        <is>
          <t>MetLife</t>
        </is>
      </c>
      <c r="B270" s="116">
        <f>IF(A270="","",_xlfn.XLOOKUP(A270, Company_List!$A:$A, Company_List!$B:$B, ""))</f>
        <v/>
      </c>
      <c r="C270" s="143" t="n">
        <v>2023</v>
      </c>
      <c r="D270" s="143" t="inlineStr">
        <is>
          <t>Q1</t>
        </is>
      </c>
      <c r="E270" s="98" t="inlineStr">
        <is>
          <t>All</t>
        </is>
      </c>
      <c r="F270" s="98" t="inlineStr">
        <is>
          <t>All</t>
        </is>
      </c>
      <c r="G270" s="143" t="inlineStr">
        <is>
          <t>Dragos</t>
        </is>
      </c>
      <c r="H270" s="106" t="inlineStr">
        <is>
          <t>Human</t>
        </is>
      </c>
      <c r="I270" s="145" t="n">
        <v>-0.4</v>
      </c>
      <c r="J270" s="145">
        <f>IF(OR(I270="",Settings!$B$6=""),"",IF(I270&gt;Settings!$B$6,"BUY",IF(I270&lt;-Settings!$B$6,"SELL","HOLD")))</f>
        <v/>
      </c>
      <c r="K270" s="145" t="n">
        <v>31</v>
      </c>
      <c r="L270" s="125" t="n">
        <v>45049</v>
      </c>
      <c r="M270" s="140" t="n">
        <v>45049</v>
      </c>
      <c r="N270" s="147" t="n">
        <v>58.71</v>
      </c>
      <c r="O270" s="140" t="n">
        <v>45050</v>
      </c>
      <c r="P270" s="145" t="n">
        <v>58.06</v>
      </c>
      <c r="Q270" s="150">
        <f>IF(OR(N270="",P270=""),"",ROUND((P270-N270)/N270,4))</f>
        <v/>
      </c>
      <c r="R270" s="106">
        <f>IF(OR(N270="",P270=""),"",IF(Q270&gt;Settings!$B$3/100,"UP",IF(Q270&lt;-Settings!$B$3/100,"DOWN","FLAT")))</f>
        <v/>
      </c>
      <c r="S270" s="106">
        <f>IF(OR(N270="",P270="",J270=""),"",IF(OR(AND(J270="BUY",R270="UP"),AND(J270="SELL",R270="DOWN"),AND(J270="HOLD",R270="FLAT")),"YES","NO"))</f>
        <v/>
      </c>
      <c r="T270" s="105">
        <f>IF(J270="","",IF(J270="BUY",1,IF(J270="SELL",-1,0)))</f>
        <v/>
      </c>
      <c r="U270" s="150">
        <f>IFERROR(IF(OR(J270="",N270="",P270=""),"",IF(T270=0,0,T270*Q270-Settings!$B$4/10000-IF(T270&lt;0,Settings!$B$5/10000,0))),"")</f>
        <v/>
      </c>
      <c r="W270" s="21">
        <f>IF($K270="","",$K270*60)</f>
        <v/>
      </c>
      <c r="X270" s="91">
        <f>IF($A270="","",$A270&amp;"|"&amp;$C270&amp;"|"&amp;$D270)</f>
        <v/>
      </c>
      <c r="Y270" s="91">
        <f>IFERROR(IF($X270="","",INDEX(LLM_Data_Entry!$H$3:$H$548,MATCH($X270,INDEX(LLM_Data_Entry!$A$3:$A$548&amp;"|"&amp;LLM_Data_Entry!$C$3:$C$548&amp;"|"&amp;LLM_Data_Entry!$D$3:$D$548,0),0))),"")</f>
        <v/>
      </c>
      <c r="Z270" s="91">
        <f>IFERROR(IF($X270="","",INDEX(LLM_Data_Entry!$R$3:$R$548,MATCH($X270,INDEX(LLM_Data_Entry!$A$3:$A$548&amp;"|"&amp;LLM_Data_Entry!$C$3:$C$548&amp;"|"&amp;LLM_Data_Entry!$D$3:$D$548,0),0))),"")</f>
        <v/>
      </c>
      <c r="AB270" t="inlineStr">
        <is>
          <t>release date + stated time in the document (document)</t>
        </is>
      </c>
      <c r="AC270" t="inlineStr">
        <is>
          <t>MET</t>
        </is>
      </c>
      <c r="AD270" t="inlineStr">
        <is>
          <t>2023-05-03</t>
        </is>
      </c>
      <c r="AE270" t="n">
        <v>52.7689</v>
      </c>
      <c r="AF270" t="inlineStr">
        <is>
          <t>2023-05-04</t>
        </is>
      </c>
      <c r="AG270" t="n">
        <v>52.1846</v>
      </c>
      <c r="AH270" t="n">
        <v>-0.01107133200033667</v>
      </c>
      <c r="AI270" t="inlineStr">
        <is>
          <t>FLAT</t>
        </is>
      </c>
      <c r="AJ270" t="inlineStr">
        <is>
          <t>NO</t>
        </is>
      </c>
      <c r="AK270" t="n">
        <v>0.010071</v>
      </c>
      <c r="AL270">
        <f>IF($A270="","",IFERROR(INDEX(Company_List!$G$3:$G$207,MATCH($A270,Company_List!$A$3:$A$207,0)),"unassigned"))</f>
        <v/>
      </c>
      <c r="AM270" t="inlineStr">
        <is>
          <t>Phase 2/MetLife/Q1 2023/MET-Q1-2023-press-release-SEC-EX99-1.htm; Phase 2/MetLife/Q1 2023/MET-Q1-2023-exhibit-SEC-EX99-2.htm; Phase 2/MetLife/Q1 2023/MET-Q1-2023-earnings-call-transcript-news-alphastreet-com.html</t>
        </is>
      </c>
      <c r="AN270" t="inlineStr">
        <is>
          <t>https://news.alphastreet.com/metlife-inc-met-q1-2023-earnings-call-transcript/; https://www.sec.gov/Archives/edgar/data/1099219/000109921923000156/ex991earningsreleasetables.htm; https://www.sec.gov/Archives/edgar/data/1099219/000109921923000156/ex992qfsq123doc-ldti.htm</t>
        </is>
      </c>
      <c r="AO270" t="inlineStr">
        <is>
          <t>manifest (whole bundle)</t>
        </is>
      </c>
      <c r="AP270">
        <f>IF($A270="","",IF(COUNTIFS(LLM_Data_Entry!$A$3:$A$548,$A270)&gt;0,"YES","NO"))</f>
        <v/>
      </c>
      <c r="AQ270">
        <f>IF($A270="","",IF(COUNTIFS($A$3:$A270,$A270,$C$3:$C270,$C270,$D$3:$D270,$D270)=1,"YES","NO"))</f>
        <v/>
      </c>
      <c r="AR270">
        <f>IF($A270="","",IF(AND($C270&amp;"-"&amp;$D270&gt;=Settings!$B$19,$C270&amp;"-"&amp;$D270&lt;=Settings!$B$20),"IN","OUT"))</f>
        <v/>
      </c>
      <c r="AS270">
        <f>IF($A270="","",IF($F270="Financial Results","financials",IF($F270="Outlook/Guidance","guidance",IF($F270="Transcript Q&amp;A","qanda",IF($F270="","unrecorded",IF($E270="All","full",IF($E270="","unrecorded",LOWER($E270)&amp;" only")))))))</f>
        <v/>
      </c>
      <c r="AT270">
        <f>IF(AND(OR($J270="BUY",$J270="SELL"),ISNUMBER($U270)),$U270,"")</f>
        <v/>
      </c>
      <c r="AU270">
        <f>IF(AND(OR($J270="BUY",$J270="SELL"),ISNUMBER($AK270)),$AK270,"")</f>
        <v/>
      </c>
      <c r="AV270">
        <f>IF(ISNUMBER($AT270),ABS(IF(ISNUMBER($I270),$I270,0)-Settings!$B$24),"")</f>
        <v/>
      </c>
      <c r="AW270">
        <f>IF(ISNUMBER($AV270),$AV270*$AT270,"")</f>
        <v/>
      </c>
      <c r="AX270">
        <f>IF(ISNUMBER($AU270),ABS(IF(ISNUMBER($I270),$I270,0)-Settings!$B$24),"")</f>
        <v/>
      </c>
      <c r="AY270">
        <f>IF(ISNUMBER($AX270),$AX270*$AU270,"")</f>
        <v/>
      </c>
      <c r="AZ270">
        <f>IF($A270="","",IFERROR(INDEX(Company_List!$H$3:$H$207,MATCH($A270,Company_List!$A$3:$A$207,0)),"unassigned"))</f>
        <v/>
      </c>
      <c r="BC270">
        <f>IF($A270="","",IF(COUNTIFS($A$3:$A270,$A270,$C$3:$C270,$C270,$D$3:$D270,$D270,$G$3:$G270,$G270)=1,1,0))</f>
        <v/>
      </c>
      <c r="BG270" t="inlineStr">
        <is>
          <t>no</t>
        </is>
      </c>
      <c r="BK270">
        <f>IF(OR($H270&lt;&gt;"Human",$S270="",$J270="",$Y270="",$Z270=""),"",IF(EXACT(UPPER($J270),UPPER($Y270)),1,0))</f>
        <v/>
      </c>
      <c r="BL270" t="inlineStr">
        <is>
          <t>assumed - no rater record</t>
        </is>
      </c>
      <c r="BM270" t="n">
        <v>3</v>
      </c>
      <c r="BN270" t="inlineStr">
        <is>
          <t>not publisher-identified</t>
        </is>
      </c>
      <c r="BO270" t="inlineStr">
        <is>
          <t>not publisher-identified</t>
        </is>
      </c>
      <c r="BP270" t="inlineStr">
        <is>
          <t>no</t>
        </is>
      </c>
      <c r="BQ270" t="inlineStr">
        <is>
          <t>yes</t>
        </is>
      </c>
    </row>
    <row r="271">
      <c r="A271" s="115" t="inlineStr">
        <is>
          <t>MetLife</t>
        </is>
      </c>
      <c r="B271" s="116">
        <f>IF(A271="","",_xlfn.XLOOKUP(A271, Company_List!$A:$A, Company_List!$B:$B, ""))</f>
        <v/>
      </c>
      <c r="C271" s="143" t="n">
        <v>2023</v>
      </c>
      <c r="D271" s="143" t="inlineStr">
        <is>
          <t>Q2</t>
        </is>
      </c>
      <c r="E271" s="98" t="inlineStr">
        <is>
          <t>All</t>
        </is>
      </c>
      <c r="F271" s="98" t="inlineStr">
        <is>
          <t>All</t>
        </is>
      </c>
      <c r="G271" s="143" t="inlineStr">
        <is>
          <t>Dragos</t>
        </is>
      </c>
      <c r="H271" s="106" t="inlineStr">
        <is>
          <t>Human</t>
        </is>
      </c>
      <c r="I271" s="145" t="n">
        <v>0.1</v>
      </c>
      <c r="J271" s="145">
        <f>IF(OR(I271="",Settings!$B$6=""),"",IF(I271&gt;Settings!$B$6,"BUY",IF(I271&lt;-Settings!$B$6,"SELL","HOLD")))</f>
        <v/>
      </c>
      <c r="K271" s="145" t="n">
        <v>32</v>
      </c>
      <c r="L271" s="125" t="n">
        <v>45140</v>
      </c>
      <c r="M271" s="140" t="n">
        <v>45140</v>
      </c>
      <c r="N271" s="147" t="n">
        <v>62.75</v>
      </c>
      <c r="O271" s="140" t="n">
        <v>45141</v>
      </c>
      <c r="P271" s="145" t="n">
        <v>63.53</v>
      </c>
      <c r="Q271" s="150">
        <f>IF(OR(N271="",P271=""),"",ROUND((P271-N271)/N271,4))</f>
        <v/>
      </c>
      <c r="R271" s="106">
        <f>IF(OR(N271="",P271=""),"",IF(Q271&gt;Settings!$B$3/100,"UP",IF(Q271&lt;-Settings!$B$3/100,"DOWN","FLAT")))</f>
        <v/>
      </c>
      <c r="S271" s="106">
        <f>IF(OR(N271="",P271="",J271=""),"",IF(OR(AND(J271="BUY",R271="UP"),AND(J271="SELL",R271="DOWN"),AND(J271="HOLD",R271="FLAT")),"YES","NO"))</f>
        <v/>
      </c>
      <c r="T271" s="105">
        <f>IF(J271="","",IF(J271="BUY",1,IF(J271="SELL",-1,0)))</f>
        <v/>
      </c>
      <c r="U271" s="150">
        <f>IFERROR(IF(OR(J271="",N271="",P271=""),"",IF(T271=0,0,T271*Q271-Settings!$B$4/10000-IF(T271&lt;0,Settings!$B$5/10000,0))),"")</f>
        <v/>
      </c>
      <c r="W271" s="21">
        <f>IF($K271="","",$K271*60)</f>
        <v/>
      </c>
      <c r="X271" s="91">
        <f>IF($A271="","",$A271&amp;"|"&amp;$C271&amp;"|"&amp;$D271)</f>
        <v/>
      </c>
      <c r="Y271" s="91">
        <f>IFERROR(IF($X271="","",INDEX(LLM_Data_Entry!$H$3:$H$548,MATCH($X271,INDEX(LLM_Data_Entry!$A$3:$A$548&amp;"|"&amp;LLM_Data_Entry!$C$3:$C$548&amp;"|"&amp;LLM_Data_Entry!$D$3:$D$548,0),0))),"")</f>
        <v/>
      </c>
      <c r="Z271" s="91">
        <f>IFERROR(IF($X271="","",INDEX(LLM_Data_Entry!$R$3:$R$548,MATCH($X271,INDEX(LLM_Data_Entry!$A$3:$A$548&amp;"|"&amp;LLM_Data_Entry!$C$3:$C$548&amp;"|"&amp;LLM_Data_Entry!$D$3:$D$548,0),0))),"")</f>
        <v/>
      </c>
      <c r="AB271" t="inlineStr">
        <is>
          <t>release date + stated time in the document (document)</t>
        </is>
      </c>
      <c r="AC271" t="inlineStr">
        <is>
          <t>MET</t>
        </is>
      </c>
      <c r="AD271" t="inlineStr">
        <is>
          <t>2023-08-02</t>
        </is>
      </c>
      <c r="AE271" t="n">
        <v>56.9417</v>
      </c>
      <c r="AF271" t="inlineStr">
        <is>
          <t>2023-08-03</t>
        </is>
      </c>
      <c r="AG271" t="n">
        <v>57.6495</v>
      </c>
      <c r="AH271" t="n">
        <v>0.0124302520056473</v>
      </c>
      <c r="AI271" t="inlineStr">
        <is>
          <t>FLAT</t>
        </is>
      </c>
      <c r="AJ271" t="inlineStr">
        <is>
          <t>YES</t>
        </is>
      </c>
      <c r="AK271" t="n">
        <v>0</v>
      </c>
      <c r="AL271">
        <f>IF($A271="","",IFERROR(INDEX(Company_List!$G$3:$G$207,MATCH($A271,Company_List!$A$3:$A$207,0)),"unassigned"))</f>
        <v/>
      </c>
      <c r="AM271" t="inlineStr">
        <is>
          <t>Phase 2/MetLife/Q2 2023/MET-Q2-2023-press-release-SEC-EX99-1.htm; Phase 2/MetLife/Q2 2023/MET-Q2-2023-exhibit-SEC-EX99-2.htm; Phase 2/MetLife/Q2 2023/MET-Q2-2023-earnings-call-transcript-InsiderMonkey.html</t>
        </is>
      </c>
      <c r="AN271" t="inlineStr">
        <is>
          <t>https://www.insidermonkey.com/blog/metlife-inc-nysemet-q2-2023-earnings-call-transcript-1176871/; https://www.sec.gov/Archives/edgar/data/1099219/000109921923000207/ex991earningsreleasetables.htm; https://www.sec.gov/Archives/edgar/data/1099219/000109921923000207/ex992qfsq223doc.htm</t>
        </is>
      </c>
      <c r="AO271" t="inlineStr">
        <is>
          <t>manifest (whole bundle)</t>
        </is>
      </c>
      <c r="AP271">
        <f>IF($A271="","",IF(COUNTIFS(LLM_Data_Entry!$A$3:$A$548,$A271)&gt;0,"YES","NO"))</f>
        <v/>
      </c>
      <c r="AQ271">
        <f>IF($A271="","",IF(COUNTIFS($A$3:$A271,$A271,$C$3:$C271,$C271,$D$3:$D271,$D271)=1,"YES","NO"))</f>
        <v/>
      </c>
      <c r="AR271">
        <f>IF($A271="","",IF(AND($C271&amp;"-"&amp;$D271&gt;=Settings!$B$19,$C271&amp;"-"&amp;$D271&lt;=Settings!$B$20),"IN","OUT"))</f>
        <v/>
      </c>
      <c r="AS271">
        <f>IF($A271="","",IF($F271="Financial Results","financials",IF($F271="Outlook/Guidance","guidance",IF($F271="Transcript Q&amp;A","qanda",IF($F271="","unrecorded",IF($E271="All","full",IF($E271="","unrecorded",LOWER($E271)&amp;" only")))))))</f>
        <v/>
      </c>
      <c r="AT271">
        <f>IF(AND(OR($J271="BUY",$J271="SELL"),ISNUMBER($U271)),$U271,"")</f>
        <v/>
      </c>
      <c r="AU271">
        <f>IF(AND(OR($J271="BUY",$J271="SELL"),ISNUMBER($AK271)),$AK271,"")</f>
        <v/>
      </c>
      <c r="AV271">
        <f>IF(ISNUMBER($AT271),ABS(IF(ISNUMBER($I271),$I271,0)-Settings!$B$24),"")</f>
        <v/>
      </c>
      <c r="AW271">
        <f>IF(ISNUMBER($AV271),$AV271*$AT271,"")</f>
        <v/>
      </c>
      <c r="AX271">
        <f>IF(ISNUMBER($AU271),ABS(IF(ISNUMBER($I271),$I271,0)-Settings!$B$24),"")</f>
        <v/>
      </c>
      <c r="AY271">
        <f>IF(ISNUMBER($AX271),$AX271*$AU271,"")</f>
        <v/>
      </c>
      <c r="AZ271">
        <f>IF($A271="","",IFERROR(INDEX(Company_List!$H$3:$H$207,MATCH($A271,Company_List!$A$3:$A$207,0)),"unassigned"))</f>
        <v/>
      </c>
      <c r="BC271">
        <f>IF($A271="","",IF(COUNTIFS($A$3:$A271,$A271,$C$3:$C271,$C271,$D$3:$D271,$D271,$G$3:$G271,$G271)=1,1,0))</f>
        <v/>
      </c>
      <c r="BG271" t="inlineStr">
        <is>
          <t>no</t>
        </is>
      </c>
      <c r="BK271">
        <f>IF(OR($H271&lt;&gt;"Human",$S271="",$J271="",$Y271="",$Z271=""),"",IF(EXACT(UPPER($J271),UPPER($Y271)),1,0))</f>
        <v/>
      </c>
      <c r="BL271" t="inlineStr">
        <is>
          <t>assumed - no rater record</t>
        </is>
      </c>
      <c r="BM271" t="n">
        <v>3</v>
      </c>
      <c r="BN271" t="inlineStr">
        <is>
          <t>Insider Monkey (Koala Guide LLC)</t>
        </is>
      </c>
      <c r="BO271" t="inlineStr">
        <is>
          <t>free to read, copyright asserted</t>
        </is>
      </c>
      <c r="BP271" t="inlineStr">
        <is>
          <t>no</t>
        </is>
      </c>
      <c r="BQ271" t="inlineStr">
        <is>
          <t>yes</t>
        </is>
      </c>
    </row>
    <row r="272">
      <c r="A272" s="115" t="inlineStr">
        <is>
          <t>MetLife</t>
        </is>
      </c>
      <c r="B272" s="116">
        <f>IF(A272="","",_xlfn.XLOOKUP(A272, Company_List!$A:$A, Company_List!$B:$B, ""))</f>
        <v/>
      </c>
      <c r="C272" s="143" t="n">
        <v>2023</v>
      </c>
      <c r="D272" s="143" t="inlineStr">
        <is>
          <t>Q3</t>
        </is>
      </c>
      <c r="E272" s="98" t="inlineStr">
        <is>
          <t>All</t>
        </is>
      </c>
      <c r="F272" s="98" t="inlineStr">
        <is>
          <t>All</t>
        </is>
      </c>
      <c r="G272" s="143" t="inlineStr">
        <is>
          <t>Dragos</t>
        </is>
      </c>
      <c r="H272" s="106" t="inlineStr">
        <is>
          <t>Human</t>
        </is>
      </c>
      <c r="I272" s="145" t="n">
        <v>0.4</v>
      </c>
      <c r="J272" s="145">
        <f>IF(OR(I272="",Settings!$B$6=""),"",IF(I272&gt;Settings!$B$6,"BUY",IF(I272&lt;-Settings!$B$6,"SELL","HOLD")))</f>
        <v/>
      </c>
      <c r="K272" s="145" t="n">
        <v>21</v>
      </c>
      <c r="L272" s="125" t="n">
        <v>45231</v>
      </c>
      <c r="M272" s="140" t="n">
        <v>45231</v>
      </c>
      <c r="N272" s="147" t="n">
        <v>59.98</v>
      </c>
      <c r="O272" s="140" t="n">
        <v>45232</v>
      </c>
      <c r="P272" s="145" t="n">
        <v>59.99</v>
      </c>
      <c r="Q272" s="150">
        <f>IF(OR(N272="",P272=""),"",ROUND((P272-N272)/N272,4))</f>
        <v/>
      </c>
      <c r="R272" s="106">
        <f>IF(OR(N272="",P272=""),"",IF(Q272&gt;Settings!$B$3/100,"UP",IF(Q272&lt;-Settings!$B$3/100,"DOWN","FLAT")))</f>
        <v/>
      </c>
      <c r="S272" s="106">
        <f>IF(OR(N272="",P272="",J272=""),"",IF(OR(AND(J272="BUY",R272="UP"),AND(J272="SELL",R272="DOWN"),AND(J272="HOLD",R272="FLAT")),"YES","NO"))</f>
        <v/>
      </c>
      <c r="T272" s="105">
        <f>IF(J272="","",IF(J272="BUY",1,IF(J272="SELL",-1,0)))</f>
        <v/>
      </c>
      <c r="U272" s="150">
        <f>IFERROR(IF(OR(J272="",N272="",P272=""),"",IF(T272=0,0,T272*Q272-Settings!$B$4/10000-IF(T272&lt;0,Settings!$B$5/10000,0))),"")</f>
        <v/>
      </c>
      <c r="W272" s="21">
        <f>IF($K272="","",$K272*60)</f>
        <v/>
      </c>
      <c r="X272" s="91">
        <f>IF($A272="","",$A272&amp;"|"&amp;$C272&amp;"|"&amp;$D272)</f>
        <v/>
      </c>
      <c r="Y272" s="91">
        <f>IFERROR(IF($X272="","",INDEX(LLM_Data_Entry!$H$3:$H$548,MATCH($X272,INDEX(LLM_Data_Entry!$A$3:$A$548&amp;"|"&amp;LLM_Data_Entry!$C$3:$C$548&amp;"|"&amp;LLM_Data_Entry!$D$3:$D$548,0),0))),"")</f>
        <v/>
      </c>
      <c r="Z272" s="91">
        <f>IFERROR(IF($X272="","",INDEX(LLM_Data_Entry!$R$3:$R$548,MATCH($X272,INDEX(LLM_Data_Entry!$A$3:$A$548&amp;"|"&amp;LLM_Data_Entry!$C$3:$C$548&amp;"|"&amp;LLM_Data_Entry!$D$3:$D$548,0),0))),"")</f>
        <v/>
      </c>
      <c r="AB272" t="inlineStr">
        <is>
          <t>release date + stated time in the document (document)</t>
        </is>
      </c>
      <c r="AC272" t="inlineStr">
        <is>
          <t>MET</t>
        </is>
      </c>
      <c r="AD272" t="inlineStr">
        <is>
          <t>2023-11-01</t>
        </is>
      </c>
      <c r="AE272" t="n">
        <v>54.8773</v>
      </c>
      <c r="AF272" t="inlineStr">
        <is>
          <t>2023-11-02</t>
        </is>
      </c>
      <c r="AG272" t="n">
        <v>54.8865</v>
      </c>
      <c r="AH272" t="n">
        <v>0.0001667743223324939</v>
      </c>
      <c r="AI272" t="inlineStr">
        <is>
          <t>FLAT</t>
        </is>
      </c>
      <c r="AJ272" t="inlineStr">
        <is>
          <t>NO</t>
        </is>
      </c>
      <c r="AK272" t="n">
        <v>-0.000833</v>
      </c>
      <c r="AL272">
        <f>IF($A272="","",IFERROR(INDEX(Company_List!$G$3:$G$207,MATCH($A272,Company_List!$A$3:$A$207,0)),"unassigned"))</f>
        <v/>
      </c>
      <c r="AM272" t="inlineStr">
        <is>
          <t>Phase 2/MetLife/Q3 2023/MET-Q3-2023-press-release-SEC-EX99-1.htm; Phase 2/MetLife/Q3 2023/MET-Q3-2023-exhibit-SEC-EX99-2.htm; Phase 2/MetLife/Q3 2023/MET-Q3-2023-earnings-call-transcript-InsiderMonkey.html</t>
        </is>
      </c>
      <c r="AN272" t="inlineStr">
        <is>
          <t>https://www.insidermonkey.com/blog/metlife-inc-nysemet-q3-2023-earnings-call-transcript-1216220/; https://www.sec.gov/Archives/edgar/data/1099219/000109921923000266/ex991earningsreleasetables.htm; https://www.sec.gov/Archives/edgar/data/1099219/000109921923000266/ex992qfsq323doc.htm</t>
        </is>
      </c>
      <c r="AO272" t="inlineStr">
        <is>
          <t>manifest (whole bundle)</t>
        </is>
      </c>
      <c r="AP272">
        <f>IF($A272="","",IF(COUNTIFS(LLM_Data_Entry!$A$3:$A$548,$A272)&gt;0,"YES","NO"))</f>
        <v/>
      </c>
      <c r="AQ272">
        <f>IF($A272="","",IF(COUNTIFS($A$3:$A272,$A272,$C$3:$C272,$C272,$D$3:$D272,$D272)=1,"YES","NO"))</f>
        <v/>
      </c>
      <c r="AR272">
        <f>IF($A272="","",IF(AND($C272&amp;"-"&amp;$D272&gt;=Settings!$B$19,$C272&amp;"-"&amp;$D272&lt;=Settings!$B$20),"IN","OUT"))</f>
        <v/>
      </c>
      <c r="AS272">
        <f>IF($A272="","",IF($F272="Financial Results","financials",IF($F272="Outlook/Guidance","guidance",IF($F272="Transcript Q&amp;A","qanda",IF($F272="","unrecorded",IF($E272="All","full",IF($E272="","unrecorded",LOWER($E272)&amp;" only")))))))</f>
        <v/>
      </c>
      <c r="AT272">
        <f>IF(AND(OR($J272="BUY",$J272="SELL"),ISNUMBER($U272)),$U272,"")</f>
        <v/>
      </c>
      <c r="AU272">
        <f>IF(AND(OR($J272="BUY",$J272="SELL"),ISNUMBER($AK272)),$AK272,"")</f>
        <v/>
      </c>
      <c r="AV272">
        <f>IF(ISNUMBER($AT272),ABS(IF(ISNUMBER($I272),$I272,0)-Settings!$B$24),"")</f>
        <v/>
      </c>
      <c r="AW272">
        <f>IF(ISNUMBER($AV272),$AV272*$AT272,"")</f>
        <v/>
      </c>
      <c r="AX272">
        <f>IF(ISNUMBER($AU272),ABS(IF(ISNUMBER($I272),$I272,0)-Settings!$B$24),"")</f>
        <v/>
      </c>
      <c r="AY272">
        <f>IF(ISNUMBER($AX272),$AX272*$AU272,"")</f>
        <v/>
      </c>
      <c r="AZ272">
        <f>IF($A272="","",IFERROR(INDEX(Company_List!$H$3:$H$207,MATCH($A272,Company_List!$A$3:$A$207,0)),"unassigned"))</f>
        <v/>
      </c>
      <c r="BC272">
        <f>IF($A272="","",IF(COUNTIFS($A$3:$A272,$A272,$C$3:$C272,$C272,$D$3:$D272,$D272,$G$3:$G272,$G272)=1,1,0))</f>
        <v/>
      </c>
      <c r="BG272" t="inlineStr">
        <is>
          <t>no</t>
        </is>
      </c>
      <c r="BK272">
        <f>IF(OR($H272&lt;&gt;"Human",$S272="",$J272="",$Y272="",$Z272=""),"",IF(EXACT(UPPER($J272),UPPER($Y272)),1,0))</f>
        <v/>
      </c>
      <c r="BL272" t="inlineStr">
        <is>
          <t>assumed - no rater record</t>
        </is>
      </c>
      <c r="BM272" t="n">
        <v>3</v>
      </c>
      <c r="BN272" t="inlineStr">
        <is>
          <t>Insider Monkey (Koala Guide LLC)</t>
        </is>
      </c>
      <c r="BO272" t="inlineStr">
        <is>
          <t>free to read, copyright asserted</t>
        </is>
      </c>
      <c r="BP272" t="inlineStr">
        <is>
          <t>no</t>
        </is>
      </c>
      <c r="BQ272" t="inlineStr">
        <is>
          <t>yes</t>
        </is>
      </c>
    </row>
    <row r="273">
      <c r="A273" s="115" t="inlineStr">
        <is>
          <t>MetLife</t>
        </is>
      </c>
      <c r="B273" s="116">
        <f>IF(A273="","",_xlfn.XLOOKUP(A273, Company_List!$A:$A, Company_List!$B:$B, ""))</f>
        <v/>
      </c>
      <c r="C273" s="143" t="n">
        <v>2023</v>
      </c>
      <c r="D273" s="143" t="inlineStr">
        <is>
          <t>Q4</t>
        </is>
      </c>
      <c r="E273" s="98" t="inlineStr">
        <is>
          <t>All</t>
        </is>
      </c>
      <c r="F273" s="98" t="inlineStr">
        <is>
          <t>All</t>
        </is>
      </c>
      <c r="G273" s="143" t="inlineStr">
        <is>
          <t>Dragos</t>
        </is>
      </c>
      <c r="H273" s="106" t="inlineStr">
        <is>
          <t>Human</t>
        </is>
      </c>
      <c r="I273" s="145" t="n">
        <v>0.3</v>
      </c>
      <c r="J273" s="145">
        <f>IF(OR(I273="",Settings!$B$6=""),"",IF(I273&gt;Settings!$B$6,"BUY",IF(I273&lt;-Settings!$B$6,"SELL","HOLD")))</f>
        <v/>
      </c>
      <c r="K273" s="145" t="n">
        <v>39</v>
      </c>
      <c r="L273" s="125" t="n">
        <v>45322</v>
      </c>
      <c r="M273" s="140" t="n">
        <v>45322</v>
      </c>
      <c r="N273" s="147" t="n">
        <v>69.31999999999999</v>
      </c>
      <c r="O273" s="140" t="n">
        <v>45323</v>
      </c>
      <c r="P273" s="145" t="n">
        <v>66.15000000000001</v>
      </c>
      <c r="Q273" s="150">
        <f>IF(OR(N273="",P273=""),"",ROUND((P273-N273)/N273,4))</f>
        <v/>
      </c>
      <c r="R273" s="106">
        <f>IF(OR(N273="",P273=""),"",IF(Q273&gt;Settings!$B$3/100,"UP",IF(Q273&lt;-Settings!$B$3/100,"DOWN","FLAT")))</f>
        <v/>
      </c>
      <c r="S273" s="106">
        <f>IF(OR(N273="",P273="",J273=""),"",IF(OR(AND(J273="BUY",R273="UP"),AND(J273="SELL",R273="DOWN"),AND(J273="HOLD",R273="FLAT")),"YES","NO"))</f>
        <v/>
      </c>
      <c r="T273" s="105">
        <f>IF(J273="","",IF(J273="BUY",1,IF(J273="SELL",-1,0)))</f>
        <v/>
      </c>
      <c r="U273" s="150">
        <f>IFERROR(IF(OR(J273="",N273="",P273=""),"",IF(T273=0,0,T273*Q273-Settings!$B$4/10000-IF(T273&lt;0,Settings!$B$5/10000,0))),"")</f>
        <v/>
      </c>
      <c r="W273" s="21">
        <f>IF($K273="","",$K273*60)</f>
        <v/>
      </c>
      <c r="X273" s="91">
        <f>IF($A273="","",$A273&amp;"|"&amp;$C273&amp;"|"&amp;$D273)</f>
        <v/>
      </c>
      <c r="Y273" s="91">
        <f>IFERROR(IF($X273="","",INDEX(LLM_Data_Entry!$H$3:$H$548,MATCH($X273,INDEX(LLM_Data_Entry!$A$3:$A$548&amp;"|"&amp;LLM_Data_Entry!$C$3:$C$548&amp;"|"&amp;LLM_Data_Entry!$D$3:$D$548,0),0))),"")</f>
        <v/>
      </c>
      <c r="Z273" s="91">
        <f>IFERROR(IF($X273="","",INDEX(LLM_Data_Entry!$R$3:$R$548,MATCH($X273,INDEX(LLM_Data_Entry!$A$3:$A$548&amp;"|"&amp;LLM_Data_Entry!$C$3:$C$548&amp;"|"&amp;LLM_Data_Entry!$D$3:$D$548,0),0))),"")</f>
        <v/>
      </c>
      <c r="AB273" t="inlineStr">
        <is>
          <t>release date + stated time in the document (document)</t>
        </is>
      </c>
      <c r="AC273" t="inlineStr">
        <is>
          <t>MET</t>
        </is>
      </c>
      <c r="AD273" t="inlineStr">
        <is>
          <t>2024-01-31</t>
        </is>
      </c>
      <c r="AE273" t="n">
        <v>63.9767</v>
      </c>
      <c r="AF273" t="inlineStr">
        <is>
          <t>2024-02-01</t>
        </is>
      </c>
      <c r="AG273" t="n">
        <v>61.0511</v>
      </c>
      <c r="AH273" t="n">
        <v>-0.04573010255782602</v>
      </c>
      <c r="AI273" t="inlineStr">
        <is>
          <t>DOWN</t>
        </is>
      </c>
      <c r="AJ273" t="inlineStr">
        <is>
          <t>NO</t>
        </is>
      </c>
      <c r="AK273" t="n">
        <v>-0.04673</v>
      </c>
      <c r="AL273">
        <f>IF($A273="","",IFERROR(INDEX(Company_List!$G$3:$G$207,MATCH($A273,Company_List!$A$3:$A$207,0)),"unassigned"))</f>
        <v/>
      </c>
      <c r="AM273" t="inlineStr">
        <is>
          <t>Phase 2/MetLife/Q4 2023/MET-Q4-2023-press-release-SEC-EX99-1.htm; Phase 2/MetLife/Q4 2023/MET-Q4-2023-exhibit-SEC-EX99-2.htm; Phase 2/MetLife/Q4 2023/MET-Q4-2023-earnings-call-transcript-InsiderMonkey.html</t>
        </is>
      </c>
      <c r="AN273" t="inlineStr">
        <is>
          <t>https://www.insidermonkey.com/blog/metlife-inc-nysemet-q4-2023-earnings-call-transcript-1252835/; https://www.sec.gov/Archives/edgar/data/1099219/000109921924000028/ex991earningsreleasetables.htm; https://www.sec.gov/Archives/edgar/data/1099219/000109921924000028/ex992qfsq423doc.htm</t>
        </is>
      </c>
      <c r="AO273" t="inlineStr">
        <is>
          <t>manifest (whole bundle)</t>
        </is>
      </c>
      <c r="AP273">
        <f>IF($A273="","",IF(COUNTIFS(LLM_Data_Entry!$A$3:$A$548,$A273)&gt;0,"YES","NO"))</f>
        <v/>
      </c>
      <c r="AQ273">
        <f>IF($A273="","",IF(COUNTIFS($A$3:$A273,$A273,$C$3:$C273,$C273,$D$3:$D273,$D273)=1,"YES","NO"))</f>
        <v/>
      </c>
      <c r="AR273">
        <f>IF($A273="","",IF(AND($C273&amp;"-"&amp;$D273&gt;=Settings!$B$19,$C273&amp;"-"&amp;$D273&lt;=Settings!$B$20),"IN","OUT"))</f>
        <v/>
      </c>
      <c r="AS273">
        <f>IF($A273="","",IF($F273="Financial Results","financials",IF($F273="Outlook/Guidance","guidance",IF($F273="Transcript Q&amp;A","qanda",IF($F273="","unrecorded",IF($E273="All","full",IF($E273="","unrecorded",LOWER($E273)&amp;" only")))))))</f>
        <v/>
      </c>
      <c r="AT273">
        <f>IF(AND(OR($J273="BUY",$J273="SELL"),ISNUMBER($U273)),$U273,"")</f>
        <v/>
      </c>
      <c r="AU273">
        <f>IF(AND(OR($J273="BUY",$J273="SELL"),ISNUMBER($AK273)),$AK273,"")</f>
        <v/>
      </c>
      <c r="AV273">
        <f>IF(ISNUMBER($AT273),ABS(IF(ISNUMBER($I273),$I273,0)-Settings!$B$24),"")</f>
        <v/>
      </c>
      <c r="AW273">
        <f>IF(ISNUMBER($AV273),$AV273*$AT273,"")</f>
        <v/>
      </c>
      <c r="AX273">
        <f>IF(ISNUMBER($AU273),ABS(IF(ISNUMBER($I273),$I273,0)-Settings!$B$24),"")</f>
        <v/>
      </c>
      <c r="AY273">
        <f>IF(ISNUMBER($AX273),$AX273*$AU273,"")</f>
        <v/>
      </c>
      <c r="AZ273">
        <f>IF($A273="","",IFERROR(INDEX(Company_List!$H$3:$H$207,MATCH($A273,Company_List!$A$3:$A$207,0)),"unassigned"))</f>
        <v/>
      </c>
      <c r="BC273">
        <f>IF($A273="","",IF(COUNTIFS($A$3:$A273,$A273,$C$3:$C273,$C273,$D$3:$D273,$D273,$G$3:$G273,$G273)=1,1,0))</f>
        <v/>
      </c>
      <c r="BG273" t="inlineStr">
        <is>
          <t>no</t>
        </is>
      </c>
      <c r="BK273">
        <f>IF(OR($H273&lt;&gt;"Human",$S273="",$J273="",$Y273="",$Z273=""),"",IF(EXACT(UPPER($J273),UPPER($Y273)),1,0))</f>
        <v/>
      </c>
      <c r="BL273" t="inlineStr">
        <is>
          <t>assumed - no rater record</t>
        </is>
      </c>
      <c r="BM273" t="n">
        <v>3</v>
      </c>
      <c r="BN273" t="inlineStr">
        <is>
          <t>Insider Monkey (Koala Guide LLC)</t>
        </is>
      </c>
      <c r="BO273" t="inlineStr">
        <is>
          <t>free to read, copyright asserted</t>
        </is>
      </c>
      <c r="BP273" t="inlineStr">
        <is>
          <t>no</t>
        </is>
      </c>
      <c r="BQ273" t="inlineStr">
        <is>
          <t>yes</t>
        </is>
      </c>
    </row>
    <row r="274">
      <c r="A274" s="115" t="inlineStr">
        <is>
          <t>MetLife</t>
        </is>
      </c>
      <c r="B274" s="116">
        <f>IF(A274="","",_xlfn.XLOOKUP(A274, Company_List!$A:$A, Company_List!$B:$B, ""))</f>
        <v/>
      </c>
      <c r="C274" s="143" t="n">
        <v>2024</v>
      </c>
      <c r="D274" s="143" t="inlineStr">
        <is>
          <t>Q1</t>
        </is>
      </c>
      <c r="E274" s="98" t="inlineStr">
        <is>
          <t>All</t>
        </is>
      </c>
      <c r="F274" s="98" t="inlineStr">
        <is>
          <t>All</t>
        </is>
      </c>
      <c r="G274" s="143" t="inlineStr">
        <is>
          <t>Dragos</t>
        </is>
      </c>
      <c r="H274" s="106" t="inlineStr">
        <is>
          <t>Human</t>
        </is>
      </c>
      <c r="I274" s="145" t="n">
        <v>0.1</v>
      </c>
      <c r="J274" s="145">
        <f>IF(OR(I274="",Settings!$B$6=""),"",IF(I274&gt;Settings!$B$6,"BUY",IF(I274&lt;-Settings!$B$6,"SELL","HOLD")))</f>
        <v/>
      </c>
      <c r="K274" s="145" t="n">
        <v>24</v>
      </c>
      <c r="L274" s="125" t="n">
        <v>45413</v>
      </c>
      <c r="M274" s="140" t="n">
        <v>45413</v>
      </c>
      <c r="N274" s="147" t="n">
        <v>71.88</v>
      </c>
      <c r="O274" s="140" t="n">
        <v>45414</v>
      </c>
      <c r="P274" s="145" t="n">
        <v>72.40000000000001</v>
      </c>
      <c r="Q274" s="150">
        <f>IF(OR(N274="",P274=""),"",ROUND((P274-N274)/N274,4))</f>
        <v/>
      </c>
      <c r="R274" s="106">
        <f>IF(OR(N274="",P274=""),"",IF(Q274&gt;Settings!$B$3/100,"UP",IF(Q274&lt;-Settings!$B$3/100,"DOWN","FLAT")))</f>
        <v/>
      </c>
      <c r="S274" s="106">
        <f>IF(OR(N274="",P274="",J274=""),"",IF(OR(AND(J274="BUY",R274="UP"),AND(J274="SELL",R274="DOWN"),AND(J274="HOLD",R274="FLAT")),"YES","NO"))</f>
        <v/>
      </c>
      <c r="T274" s="105">
        <f>IF(J274="","",IF(J274="BUY",1,IF(J274="SELL",-1,0)))</f>
        <v/>
      </c>
      <c r="U274" s="150">
        <f>IFERROR(IF(OR(J274="",N274="",P274=""),"",IF(T274=0,0,T274*Q274-Settings!$B$4/10000-IF(T274&lt;0,Settings!$B$5/10000,0))),"")</f>
        <v/>
      </c>
      <c r="W274" s="21">
        <f>IF($K274="","",$K274*60)</f>
        <v/>
      </c>
      <c r="X274" s="91">
        <f>IF($A274="","",$A274&amp;"|"&amp;$C274&amp;"|"&amp;$D274)</f>
        <v/>
      </c>
      <c r="Y274" s="91">
        <f>IFERROR(IF($X274="","",INDEX(LLM_Data_Entry!$H$3:$H$548,MATCH($X274,INDEX(LLM_Data_Entry!$A$3:$A$548&amp;"|"&amp;LLM_Data_Entry!$C$3:$C$548&amp;"|"&amp;LLM_Data_Entry!$D$3:$D$548,0),0))),"")</f>
        <v/>
      </c>
      <c r="Z274" s="91">
        <f>IFERROR(IF($X274="","",INDEX(LLM_Data_Entry!$R$3:$R$548,MATCH($X274,INDEX(LLM_Data_Entry!$A$3:$A$548&amp;"|"&amp;LLM_Data_Entry!$C$3:$C$548&amp;"|"&amp;LLM_Data_Entry!$D$3:$D$548,0),0))),"")</f>
        <v/>
      </c>
      <c r="AB274" t="inlineStr">
        <is>
          <t>release date + stated time in the document (document)</t>
        </is>
      </c>
      <c r="AC274" t="inlineStr">
        <is>
          <t>MET</t>
        </is>
      </c>
      <c r="AD274" t="inlineStr">
        <is>
          <t>2024-05-01</t>
        </is>
      </c>
      <c r="AE274" t="n">
        <v>66.86660000000001</v>
      </c>
      <c r="AF274" t="inlineStr">
        <is>
          <t>2024-05-02</t>
        </is>
      </c>
      <c r="AG274" t="n">
        <v>67.35039999999999</v>
      </c>
      <c r="AH274" t="n">
        <v>0.007234619960189945</v>
      </c>
      <c r="AI274" t="inlineStr">
        <is>
          <t>FLAT</t>
        </is>
      </c>
      <c r="AJ274" t="inlineStr">
        <is>
          <t>YES</t>
        </is>
      </c>
      <c r="AK274" t="n">
        <v>0</v>
      </c>
      <c r="AL274">
        <f>IF($A274="","",IFERROR(INDEX(Company_List!$G$3:$G$207,MATCH($A274,Company_List!$A$3:$A$207,0)),"unassigned"))</f>
        <v/>
      </c>
      <c r="AM274" t="inlineStr">
        <is>
          <t>Phase 2/MetLife/Q1 2024/MET-Q1-2024-press-release-SEC-EX99-1.htm; Phase 2/MetLife/Q1 2024/MET-Q1-2024-exhibit-SEC-EX99-2.htm; Phase 2/MetLife/Q1 2024/MET-Q1-2024-earnings-call-transcript-InsiderMonkey.html</t>
        </is>
      </c>
      <c r="AN274" t="inlineStr">
        <is>
          <t>https://www.insidermonkey.com/blog/metlife-inc-nysemet-q1-2024-earnings-call-transcript-1296279/; https://www.sec.gov/Archives/edgar/data/1099219/000109921924000139/ex991earningsreleasetables.htm; https://www.sec.gov/Archives/edgar/data/1099219/000109921924000139/ex992qfsq124.htm</t>
        </is>
      </c>
      <c r="AO274" t="inlineStr">
        <is>
          <t>manifest (whole bundle)</t>
        </is>
      </c>
      <c r="AP274">
        <f>IF($A274="","",IF(COUNTIFS(LLM_Data_Entry!$A$3:$A$548,$A274)&gt;0,"YES","NO"))</f>
        <v/>
      </c>
      <c r="AQ274">
        <f>IF($A274="","",IF(COUNTIFS($A$3:$A274,$A274,$C$3:$C274,$C274,$D$3:$D274,$D274)=1,"YES","NO"))</f>
        <v/>
      </c>
      <c r="AR274">
        <f>IF($A274="","",IF(AND($C274&amp;"-"&amp;$D274&gt;=Settings!$B$19,$C274&amp;"-"&amp;$D274&lt;=Settings!$B$20),"IN","OUT"))</f>
        <v/>
      </c>
      <c r="AS274">
        <f>IF($A274="","",IF($F274="Financial Results","financials",IF($F274="Outlook/Guidance","guidance",IF($F274="Transcript Q&amp;A","qanda",IF($F274="","unrecorded",IF($E274="All","full",IF($E274="","unrecorded",LOWER($E274)&amp;" only")))))))</f>
        <v/>
      </c>
      <c r="AT274">
        <f>IF(AND(OR($J274="BUY",$J274="SELL"),ISNUMBER($U274)),$U274,"")</f>
        <v/>
      </c>
      <c r="AU274">
        <f>IF(AND(OR($J274="BUY",$J274="SELL"),ISNUMBER($AK274)),$AK274,"")</f>
        <v/>
      </c>
      <c r="AV274">
        <f>IF(ISNUMBER($AT274),ABS(IF(ISNUMBER($I274),$I274,0)-Settings!$B$24),"")</f>
        <v/>
      </c>
      <c r="AW274">
        <f>IF(ISNUMBER($AV274),$AV274*$AT274,"")</f>
        <v/>
      </c>
      <c r="AX274">
        <f>IF(ISNUMBER($AU274),ABS(IF(ISNUMBER($I274),$I274,0)-Settings!$B$24),"")</f>
        <v/>
      </c>
      <c r="AY274">
        <f>IF(ISNUMBER($AX274),$AX274*$AU274,"")</f>
        <v/>
      </c>
      <c r="AZ274">
        <f>IF($A274="","",IFERROR(INDEX(Company_List!$H$3:$H$207,MATCH($A274,Company_List!$A$3:$A$207,0)),"unassigned"))</f>
        <v/>
      </c>
      <c r="BC274">
        <f>IF($A274="","",IF(COUNTIFS($A$3:$A274,$A274,$C$3:$C274,$C274,$D$3:$D274,$D274,$G$3:$G274,$G274)=1,1,0))</f>
        <v/>
      </c>
      <c r="BG274" t="inlineStr">
        <is>
          <t>no</t>
        </is>
      </c>
      <c r="BK274">
        <f>IF(OR($H274&lt;&gt;"Human",$S274="",$J274="",$Y274="",$Z274=""),"",IF(EXACT(UPPER($J274),UPPER($Y274)),1,0))</f>
        <v/>
      </c>
      <c r="BL274" t="inlineStr">
        <is>
          <t>assumed - no rater record</t>
        </is>
      </c>
      <c r="BM274" t="n">
        <v>3</v>
      </c>
      <c r="BN274" t="inlineStr">
        <is>
          <t>Insider Monkey (Koala Guide LLC)</t>
        </is>
      </c>
      <c r="BO274" t="inlineStr">
        <is>
          <t>free to read, copyright asserted</t>
        </is>
      </c>
      <c r="BP274" t="inlineStr">
        <is>
          <t>no</t>
        </is>
      </c>
      <c r="BQ274" t="inlineStr">
        <is>
          <t>yes</t>
        </is>
      </c>
    </row>
    <row r="275">
      <c r="A275" s="115" t="inlineStr">
        <is>
          <t>MetLife</t>
        </is>
      </c>
      <c r="B275" s="116">
        <f>IF(A275="","",_xlfn.XLOOKUP(A275, Company_List!$A:$A, Company_List!$B:$B, ""))</f>
        <v/>
      </c>
      <c r="C275" s="143" t="n">
        <v>2024</v>
      </c>
      <c r="D275" s="143" t="inlineStr">
        <is>
          <t>Q2</t>
        </is>
      </c>
      <c r="E275" s="98" t="inlineStr">
        <is>
          <t>All</t>
        </is>
      </c>
      <c r="F275" s="98" t="inlineStr">
        <is>
          <t>All</t>
        </is>
      </c>
      <c r="G275" s="143" t="inlineStr">
        <is>
          <t>Dragos</t>
        </is>
      </c>
      <c r="H275" s="106" t="inlineStr">
        <is>
          <t>Human</t>
        </is>
      </c>
      <c r="I275" s="145" t="n">
        <v>0.5</v>
      </c>
      <c r="J275" s="145">
        <f>IF(OR(I275="",Settings!$B$6=""),"",IF(I275&gt;Settings!$B$6,"BUY",IF(I275&lt;-Settings!$B$6,"SELL","HOLD")))</f>
        <v/>
      </c>
      <c r="K275" s="145" t="n">
        <v>20</v>
      </c>
      <c r="L275" s="125" t="n">
        <v>45504</v>
      </c>
      <c r="M275" s="140" t="n">
        <v>45504</v>
      </c>
      <c r="N275" s="147" t="n">
        <v>76.84999999999999</v>
      </c>
      <c r="O275" s="140" t="n">
        <v>45505</v>
      </c>
      <c r="P275" s="145" t="n">
        <v>78.61</v>
      </c>
      <c r="Q275" s="150">
        <f>IF(OR(N275="",P275=""),"",ROUND((P275-N275)/N275,4))</f>
        <v/>
      </c>
      <c r="R275" s="106">
        <f>IF(OR(N275="",P275=""),"",IF(Q275&gt;Settings!$B$3/100,"UP",IF(Q275&lt;-Settings!$B$3/100,"DOWN","FLAT")))</f>
        <v/>
      </c>
      <c r="S275" s="106">
        <f>IF(OR(N275="",P275="",J275=""),"",IF(OR(AND(J275="BUY",R275="UP"),AND(J275="SELL",R275="DOWN"),AND(J275="HOLD",R275="FLAT")),"YES","NO"))</f>
        <v/>
      </c>
      <c r="T275" s="105">
        <f>IF(J275="","",IF(J275="BUY",1,IF(J275="SELL",-1,0)))</f>
        <v/>
      </c>
      <c r="U275" s="150">
        <f>IFERROR(IF(OR(J275="",N275="",P275=""),"",IF(T275=0,0,T275*Q275-Settings!$B$4/10000-IF(T275&lt;0,Settings!$B$5/10000,0))),"")</f>
        <v/>
      </c>
      <c r="W275" s="21">
        <f>IF($K275="","",$K275*60)</f>
        <v/>
      </c>
      <c r="X275" s="91">
        <f>IF($A275="","",$A275&amp;"|"&amp;$C275&amp;"|"&amp;$D275)</f>
        <v/>
      </c>
      <c r="Y275" s="91">
        <f>IFERROR(IF($X275="","",INDEX(LLM_Data_Entry!$H$3:$H$548,MATCH($X275,INDEX(LLM_Data_Entry!$A$3:$A$548&amp;"|"&amp;LLM_Data_Entry!$C$3:$C$548&amp;"|"&amp;LLM_Data_Entry!$D$3:$D$548,0),0))),"")</f>
        <v/>
      </c>
      <c r="Z275" s="91">
        <f>IFERROR(IF($X275="","",INDEX(LLM_Data_Entry!$R$3:$R$548,MATCH($X275,INDEX(LLM_Data_Entry!$A$3:$A$548&amp;"|"&amp;LLM_Data_Entry!$C$3:$C$548&amp;"|"&amp;LLM_Data_Entry!$D$3:$D$548,0),0))),"")</f>
        <v/>
      </c>
      <c r="AB275" t="inlineStr">
        <is>
          <t>release date + stated time in the document (document)</t>
        </is>
      </c>
      <c r="AC275" t="inlineStr">
        <is>
          <t>MET</t>
        </is>
      </c>
      <c r="AD275" t="inlineStr">
        <is>
          <t>2024-07-31</t>
        </is>
      </c>
      <c r="AE275" t="n">
        <v>72.0468</v>
      </c>
      <c r="AF275" t="inlineStr">
        <is>
          <t>2024-08-01</t>
        </is>
      </c>
      <c r="AG275" t="n">
        <v>73.6968</v>
      </c>
      <c r="AH275" t="n">
        <v>0.02290193450785315</v>
      </c>
      <c r="AI275" t="inlineStr">
        <is>
          <t>UP</t>
        </is>
      </c>
      <c r="AJ275" t="inlineStr">
        <is>
          <t>YES</t>
        </is>
      </c>
      <c r="AK275" t="n">
        <v>0.021902</v>
      </c>
      <c r="AL275">
        <f>IF($A275="","",IFERROR(INDEX(Company_List!$G$3:$G$207,MATCH($A275,Company_List!$A$3:$A$207,0)),"unassigned"))</f>
        <v/>
      </c>
      <c r="AM275" t="inlineStr">
        <is>
          <t>Phase 2/MetLife/Q2 2024/MET-Q2-2024-press-release-SEC-EX99-1.htm; Phase 2/MetLife/Q2 2024/MET-Q2-2024-exhibit-SEC-EX99-2.htm; Phase 2/MetLife/Q2 2024/MET-Q2-2024-earnings-call-transcript-stockanalysis-com.html</t>
        </is>
      </c>
      <c r="AN275" t="inlineStr">
        <is>
          <t>https://stockanalysis.com/stocks/met/transcripts/190195-q2-2024/; https://www.sec.gov/Archives/edgar/data/1099219/000109921924000196/ex991earningsreleasetables.htm; https://www.sec.gov/Archives/edgar/data/1099219/000109921924000196/ex992qfsq224.htm</t>
        </is>
      </c>
      <c r="AO275" t="inlineStr">
        <is>
          <t>manifest (whole bundle)</t>
        </is>
      </c>
      <c r="AP275">
        <f>IF($A275="","",IF(COUNTIFS(LLM_Data_Entry!$A$3:$A$548,$A275)&gt;0,"YES","NO"))</f>
        <v/>
      </c>
      <c r="AQ275">
        <f>IF($A275="","",IF(COUNTIFS($A$3:$A275,$A275,$C$3:$C275,$C275,$D$3:$D275,$D275)=1,"YES","NO"))</f>
        <v/>
      </c>
      <c r="AR275">
        <f>IF($A275="","",IF(AND($C275&amp;"-"&amp;$D275&gt;=Settings!$B$19,$C275&amp;"-"&amp;$D275&lt;=Settings!$B$20),"IN","OUT"))</f>
        <v/>
      </c>
      <c r="AS275">
        <f>IF($A275="","",IF($F275="Financial Results","financials",IF($F275="Outlook/Guidance","guidance",IF($F275="Transcript Q&amp;A","qanda",IF($F275="","unrecorded",IF($E275="All","full",IF($E275="","unrecorded",LOWER($E275)&amp;" only")))))))</f>
        <v/>
      </c>
      <c r="AT275">
        <f>IF(AND(OR($J275="BUY",$J275="SELL"),ISNUMBER($U275)),$U275,"")</f>
        <v/>
      </c>
      <c r="AU275">
        <f>IF(AND(OR($J275="BUY",$J275="SELL"),ISNUMBER($AK275)),$AK275,"")</f>
        <v/>
      </c>
      <c r="AV275">
        <f>IF(ISNUMBER($AT275),ABS(IF(ISNUMBER($I275),$I275,0)-Settings!$B$24),"")</f>
        <v/>
      </c>
      <c r="AW275">
        <f>IF(ISNUMBER($AV275),$AV275*$AT275,"")</f>
        <v/>
      </c>
      <c r="AX275">
        <f>IF(ISNUMBER($AU275),ABS(IF(ISNUMBER($I275),$I275,0)-Settings!$B$24),"")</f>
        <v/>
      </c>
      <c r="AY275">
        <f>IF(ISNUMBER($AX275),$AX275*$AU275,"")</f>
        <v/>
      </c>
      <c r="AZ275">
        <f>IF($A275="","",IFERROR(INDEX(Company_List!$H$3:$H$207,MATCH($A275,Company_List!$A$3:$A$207,0)),"unassigned"))</f>
        <v/>
      </c>
      <c r="BC275">
        <f>IF($A275="","",IF(COUNTIFS($A$3:$A275,$A275,$C$3:$C275,$C275,$D$3:$D275,$D275,$G$3:$G275,$G275)=1,1,0))</f>
        <v/>
      </c>
      <c r="BG275" t="inlineStr">
        <is>
          <t>no</t>
        </is>
      </c>
      <c r="BK275">
        <f>IF(OR($H275&lt;&gt;"Human",$S275="",$J275="",$Y275="",$Z275=""),"",IF(EXACT(UPPER($J275),UPPER($Y275)),1,0))</f>
        <v/>
      </c>
      <c r="BL275" t="inlineStr">
        <is>
          <t>assumed - no rater record</t>
        </is>
      </c>
      <c r="BM275" t="n">
        <v>3</v>
      </c>
      <c r="BN275" t="inlineStr">
        <is>
          <t>not publisher-identified</t>
        </is>
      </c>
      <c r="BO275" t="inlineStr">
        <is>
          <t>not publisher-identified</t>
        </is>
      </c>
      <c r="BP275" t="inlineStr">
        <is>
          <t>no</t>
        </is>
      </c>
      <c r="BQ275" t="inlineStr">
        <is>
          <t>yes</t>
        </is>
      </c>
    </row>
    <row r="276">
      <c r="A276" s="115" t="inlineStr">
        <is>
          <t>MetLife</t>
        </is>
      </c>
      <c r="B276" s="116">
        <f>IF(A276="","",_xlfn.XLOOKUP(A276, Company_List!$A:$A, Company_List!$B:$B, ""))</f>
        <v/>
      </c>
      <c r="C276" s="143" t="n">
        <v>2024</v>
      </c>
      <c r="D276" s="143" t="inlineStr">
        <is>
          <t>Q3</t>
        </is>
      </c>
      <c r="E276" s="98" t="inlineStr">
        <is>
          <t>All</t>
        </is>
      </c>
      <c r="F276" s="98" t="inlineStr">
        <is>
          <t>All</t>
        </is>
      </c>
      <c r="G276" s="143" t="inlineStr">
        <is>
          <t>Dragos</t>
        </is>
      </c>
      <c r="H276" s="106" t="inlineStr">
        <is>
          <t>Human</t>
        </is>
      </c>
      <c r="I276" s="145" t="n">
        <v>-0.2</v>
      </c>
      <c r="J276" s="145">
        <f>IF(OR(I276="",Settings!$B$6=""),"",IF(I276&gt;Settings!$B$6,"BUY",IF(I276&lt;-Settings!$B$6,"SELL","HOLD")))</f>
        <v/>
      </c>
      <c r="K276" s="145" t="n">
        <v>23</v>
      </c>
      <c r="L276" s="125" t="n">
        <v>45595</v>
      </c>
      <c r="M276" s="140" t="n">
        <v>45595</v>
      </c>
      <c r="N276" s="147" t="n">
        <v>83.18000000000001</v>
      </c>
      <c r="O276" s="140" t="n">
        <v>45596</v>
      </c>
      <c r="P276" s="145" t="n">
        <v>76.56999999999999</v>
      </c>
      <c r="Q276" s="150">
        <f>IF(OR(N276="",P276=""),"",ROUND((P276-N276)/N276,4))</f>
        <v/>
      </c>
      <c r="R276" s="106">
        <f>IF(OR(N276="",P276=""),"",IF(Q276&gt;Settings!$B$3/100,"UP",IF(Q276&lt;-Settings!$B$3/100,"DOWN","FLAT")))</f>
        <v/>
      </c>
      <c r="S276" s="106">
        <f>IF(OR(N276="",P276="",J276=""),"",IF(OR(AND(J276="BUY",R276="UP"),AND(J276="SELL",R276="DOWN"),AND(J276="HOLD",R276="FLAT")),"YES","NO"))</f>
        <v/>
      </c>
      <c r="T276" s="105">
        <f>IF(J276="","",IF(J276="BUY",1,IF(J276="SELL",-1,0)))</f>
        <v/>
      </c>
      <c r="U276" s="150">
        <f>IFERROR(IF(OR(J276="",N276="",P276=""),"",IF(T276=0,0,T276*Q276-Settings!$B$4/10000-IF(T276&lt;0,Settings!$B$5/10000,0))),"")</f>
        <v/>
      </c>
      <c r="W276" s="21">
        <f>IF($K276="","",$K276*60)</f>
        <v/>
      </c>
      <c r="X276" s="91">
        <f>IF($A276="","",$A276&amp;"|"&amp;$C276&amp;"|"&amp;$D276)</f>
        <v/>
      </c>
      <c r="Y276" s="91">
        <f>IFERROR(IF($X276="","",INDEX(LLM_Data_Entry!$H$3:$H$548,MATCH($X276,INDEX(LLM_Data_Entry!$A$3:$A$548&amp;"|"&amp;LLM_Data_Entry!$C$3:$C$548&amp;"|"&amp;LLM_Data_Entry!$D$3:$D$548,0),0))),"")</f>
        <v/>
      </c>
      <c r="Z276" s="91">
        <f>IFERROR(IF($X276="","",INDEX(LLM_Data_Entry!$R$3:$R$548,MATCH($X276,INDEX(LLM_Data_Entry!$A$3:$A$548&amp;"|"&amp;LLM_Data_Entry!$C$3:$C$548&amp;"|"&amp;LLM_Data_Entry!$D$3:$D$548,0),0))),"")</f>
        <v/>
      </c>
      <c r="AB276" t="inlineStr">
        <is>
          <t>release date + stated time in the document (document)</t>
        </is>
      </c>
      <c r="AC276" t="inlineStr">
        <is>
          <t>MET</t>
        </is>
      </c>
      <c r="AD276" t="inlineStr">
        <is>
          <t>2024-10-30</t>
        </is>
      </c>
      <c r="AE276" t="n">
        <v>78.6116</v>
      </c>
      <c r="AF276" t="inlineStr">
        <is>
          <t>2024-10-31</t>
        </is>
      </c>
      <c r="AG276" t="n">
        <v>72.3646</v>
      </c>
      <c r="AH276" t="n">
        <v>-0.07946624452436507</v>
      </c>
      <c r="AI276" t="inlineStr">
        <is>
          <t>DOWN</t>
        </is>
      </c>
      <c r="AJ276" t="inlineStr">
        <is>
          <t>NO</t>
        </is>
      </c>
      <c r="AK276" t="n">
        <v>0</v>
      </c>
      <c r="AL276">
        <f>IF($A276="","",IFERROR(INDEX(Company_List!$G$3:$G$207,MATCH($A276,Company_List!$A$3:$A$207,0)),"unassigned"))</f>
        <v/>
      </c>
      <c r="AM276" t="inlineStr">
        <is>
          <t>Phase 2/MetLife/Q3 2024/MET-Q3-2024-press-release-SEC-EX99-1.htm; Phase 2/MetLife/Q3 2024/MET-Q3-2024-exhibit-SEC-EX99-2.htm; Phase 2/MetLife/Q3 2024/MET-Q3-2024-earnings-call-transcript-InsiderMonkey.html</t>
        </is>
      </c>
      <c r="AN276" t="inlineStr">
        <is>
          <t>https://www.insidermonkey.com/blog/metlife-inc-nysemet-q3-2024-earnings-call-transcript-1383939/; https://www.sec.gov/Archives/edgar/data/1099219/000109921924000255/ex991earningsreleasetables.htm; https://www.sec.gov/Archives/edgar/data/1099219/000109921924000255/ex992qfsq324.htm</t>
        </is>
      </c>
      <c r="AO276" t="inlineStr">
        <is>
          <t>manifest (whole bundle)</t>
        </is>
      </c>
      <c r="AP276">
        <f>IF($A276="","",IF(COUNTIFS(LLM_Data_Entry!$A$3:$A$548,$A276)&gt;0,"YES","NO"))</f>
        <v/>
      </c>
      <c r="AQ276">
        <f>IF($A276="","",IF(COUNTIFS($A$3:$A276,$A276,$C$3:$C276,$C276,$D$3:$D276,$D276)=1,"YES","NO"))</f>
        <v/>
      </c>
      <c r="AR276">
        <f>IF($A276="","",IF(AND($C276&amp;"-"&amp;$D276&gt;=Settings!$B$19,$C276&amp;"-"&amp;$D276&lt;=Settings!$B$20),"IN","OUT"))</f>
        <v/>
      </c>
      <c r="AS276">
        <f>IF($A276="","",IF($F276="Financial Results","financials",IF($F276="Outlook/Guidance","guidance",IF($F276="Transcript Q&amp;A","qanda",IF($F276="","unrecorded",IF($E276="All","full",IF($E276="","unrecorded",LOWER($E276)&amp;" only")))))))</f>
        <v/>
      </c>
      <c r="AT276">
        <f>IF(AND(OR($J276="BUY",$J276="SELL"),ISNUMBER($U276)),$U276,"")</f>
        <v/>
      </c>
      <c r="AU276">
        <f>IF(AND(OR($J276="BUY",$J276="SELL"),ISNUMBER($AK276)),$AK276,"")</f>
        <v/>
      </c>
      <c r="AV276">
        <f>IF(ISNUMBER($AT276),ABS(IF(ISNUMBER($I276),$I276,0)-Settings!$B$24),"")</f>
        <v/>
      </c>
      <c r="AW276">
        <f>IF(ISNUMBER($AV276),$AV276*$AT276,"")</f>
        <v/>
      </c>
      <c r="AX276">
        <f>IF(ISNUMBER($AU276),ABS(IF(ISNUMBER($I276),$I276,0)-Settings!$B$24),"")</f>
        <v/>
      </c>
      <c r="AY276">
        <f>IF(ISNUMBER($AX276),$AX276*$AU276,"")</f>
        <v/>
      </c>
      <c r="AZ276">
        <f>IF($A276="","",IFERROR(INDEX(Company_List!$H$3:$H$207,MATCH($A276,Company_List!$A$3:$A$207,0)),"unassigned"))</f>
        <v/>
      </c>
      <c r="BC276">
        <f>IF($A276="","",IF(COUNTIFS($A$3:$A276,$A276,$C$3:$C276,$C276,$D$3:$D276,$D276,$G$3:$G276,$G276)=1,1,0))</f>
        <v/>
      </c>
      <c r="BG276" t="inlineStr">
        <is>
          <t>no</t>
        </is>
      </c>
      <c r="BK276">
        <f>IF(OR($H276&lt;&gt;"Human",$S276="",$J276="",$Y276="",$Z276=""),"",IF(EXACT(UPPER($J276),UPPER($Y276)),1,0))</f>
        <v/>
      </c>
      <c r="BL276" t="inlineStr">
        <is>
          <t>assumed - no rater record</t>
        </is>
      </c>
      <c r="BM276" t="n">
        <v>3</v>
      </c>
      <c r="BN276" t="inlineStr">
        <is>
          <t>Insider Monkey (Koala Guide LLC)</t>
        </is>
      </c>
      <c r="BO276" t="inlineStr">
        <is>
          <t>free to read, copyright asserted</t>
        </is>
      </c>
      <c r="BP276" t="inlineStr">
        <is>
          <t>no</t>
        </is>
      </c>
      <c r="BQ276" t="inlineStr">
        <is>
          <t>yes</t>
        </is>
      </c>
    </row>
    <row r="277">
      <c r="A277" s="115" t="inlineStr">
        <is>
          <t>MetLife</t>
        </is>
      </c>
      <c r="B277" s="116">
        <f>IF(A277="","",_xlfn.XLOOKUP(A277, Company_List!$A:$A, Company_List!$B:$B, ""))</f>
        <v/>
      </c>
      <c r="C277" s="143" t="n">
        <v>2024</v>
      </c>
      <c r="D277" s="143" t="inlineStr">
        <is>
          <t>Q4</t>
        </is>
      </c>
      <c r="E277" s="98" t="inlineStr">
        <is>
          <t>All</t>
        </is>
      </c>
      <c r="F277" s="98" t="inlineStr">
        <is>
          <t>All</t>
        </is>
      </c>
      <c r="G277" s="143" t="inlineStr">
        <is>
          <t>Dragos</t>
        </is>
      </c>
      <c r="H277" s="106" t="inlineStr">
        <is>
          <t>Human</t>
        </is>
      </c>
      <c r="I277" s="145" t="n">
        <v>0.1</v>
      </c>
      <c r="J277" s="145">
        <f>IF(OR(I277="",Settings!$B$6=""),"",IF(I277&gt;Settings!$B$6,"BUY",IF(I277&lt;-Settings!$B$6,"SELL","HOLD")))</f>
        <v/>
      </c>
      <c r="K277" s="145" t="n">
        <v>22</v>
      </c>
      <c r="L277" s="125" t="n">
        <v>45693</v>
      </c>
      <c r="M277" s="140" t="n">
        <v>45693</v>
      </c>
      <c r="N277" s="147" t="n">
        <v>85</v>
      </c>
      <c r="O277" s="140" t="n">
        <v>45694</v>
      </c>
      <c r="P277" s="145" t="n">
        <v>83.26000000000001</v>
      </c>
      <c r="Q277" s="150">
        <f>IF(OR(N277="",P277=""),"",ROUND((P277-N277)/N277,4))</f>
        <v/>
      </c>
      <c r="R277" s="106">
        <f>IF(OR(N277="",P277=""),"",IF(Q277&gt;Settings!$B$3/100,"UP",IF(Q277&lt;-Settings!$B$3/100,"DOWN","FLAT")))</f>
        <v/>
      </c>
      <c r="S277" s="106">
        <f>IF(OR(N277="",P277="",J277=""),"",IF(OR(AND(J277="BUY",R277="UP"),AND(J277="SELL",R277="DOWN"),AND(J277="HOLD",R277="FLAT")),"YES","NO"))</f>
        <v/>
      </c>
      <c r="T277" s="105">
        <f>IF(J277="","",IF(J277="BUY",1,IF(J277="SELL",-1,0)))</f>
        <v/>
      </c>
      <c r="U277" s="150">
        <f>IFERROR(IF(OR(J277="",N277="",P277=""),"",IF(T277=0,0,T277*Q277-Settings!$B$4/10000-IF(T277&lt;0,Settings!$B$5/10000,0))),"")</f>
        <v/>
      </c>
      <c r="W277" s="21">
        <f>IF($K277="","",$K277*60)</f>
        <v/>
      </c>
      <c r="X277" s="91">
        <f>IF($A277="","",$A277&amp;"|"&amp;$C277&amp;"|"&amp;$D277)</f>
        <v/>
      </c>
      <c r="Y277" s="91">
        <f>IFERROR(IF($X277="","",INDEX(LLM_Data_Entry!$H$3:$H$548,MATCH($X277,INDEX(LLM_Data_Entry!$A$3:$A$548&amp;"|"&amp;LLM_Data_Entry!$C$3:$C$548&amp;"|"&amp;LLM_Data_Entry!$D$3:$D$548,0),0))),"")</f>
        <v/>
      </c>
      <c r="Z277" s="91">
        <f>IFERROR(IF($X277="","",INDEX(LLM_Data_Entry!$R$3:$R$548,MATCH($X277,INDEX(LLM_Data_Entry!$A$3:$A$548&amp;"|"&amp;LLM_Data_Entry!$C$3:$C$548&amp;"|"&amp;LLM_Data_Entry!$D$3:$D$548,0),0))),"")</f>
        <v/>
      </c>
      <c r="AB277" t="inlineStr">
        <is>
          <t>release date + stated time in the document (document)</t>
        </is>
      </c>
      <c r="AC277" t="inlineStr">
        <is>
          <t>MET</t>
        </is>
      </c>
      <c r="AD277" t="inlineStr">
        <is>
          <t>2025-02-05</t>
        </is>
      </c>
      <c r="AE277" t="n">
        <v>81.4118</v>
      </c>
      <c r="AF277" t="inlineStr">
        <is>
          <t>2025-02-06</t>
        </is>
      </c>
      <c r="AG277" t="n">
        <v>79.7452</v>
      </c>
      <c r="AH277" t="n">
        <v>-0.0204706613637467</v>
      </c>
      <c r="AI277" t="inlineStr">
        <is>
          <t>DOWN</t>
        </is>
      </c>
      <c r="AJ277" t="inlineStr">
        <is>
          <t>NO</t>
        </is>
      </c>
      <c r="AK277" t="n">
        <v>0</v>
      </c>
      <c r="AL277">
        <f>IF($A277="","",IFERROR(INDEX(Company_List!$G$3:$G$207,MATCH($A277,Company_List!$A$3:$A$207,0)),"unassigned"))</f>
        <v/>
      </c>
      <c r="AM277" t="inlineStr">
        <is>
          <t>Phase 2/MetLife/Q4 2024/MET-Q4-2024-press-release-SEC-EX99-1.htm; Phase 2/MetLife/Q4 2024/MET-Q4-2024-exhibit-SEC-EX99-2.htm; Phase 2/MetLife/Q4 2024/MET-Q4-2024-earnings-call-transcript-InsiderMonkey.html</t>
        </is>
      </c>
      <c r="AN277" t="inlineStr">
        <is>
          <t>https://www.insidermonkey.com/blog/metlife-inc-nysemet-q4-2024-earnings-call-transcript-1445993/; https://www.sec.gov/Archives/edgar/data/1099219/000109921925000039/ex991earningsreleasetables.htm; https://www.sec.gov/Archives/edgar/data/1099219/000109921925000039/ex992qfsq424.htm</t>
        </is>
      </c>
      <c r="AO277" t="inlineStr">
        <is>
          <t>manifest (whole bundle)</t>
        </is>
      </c>
      <c r="AP277">
        <f>IF($A277="","",IF(COUNTIFS(LLM_Data_Entry!$A$3:$A$548,$A277)&gt;0,"YES","NO"))</f>
        <v/>
      </c>
      <c r="AQ277">
        <f>IF($A277="","",IF(COUNTIFS($A$3:$A277,$A277,$C$3:$C277,$C277,$D$3:$D277,$D277)=1,"YES","NO"))</f>
        <v/>
      </c>
      <c r="AR277">
        <f>IF($A277="","",IF(AND($C277&amp;"-"&amp;$D277&gt;=Settings!$B$19,$C277&amp;"-"&amp;$D277&lt;=Settings!$B$20),"IN","OUT"))</f>
        <v/>
      </c>
      <c r="AS277">
        <f>IF($A277="","",IF($F277="Financial Results","financials",IF($F277="Outlook/Guidance","guidance",IF($F277="Transcript Q&amp;A","qanda",IF($F277="","unrecorded",IF($E277="All","full",IF($E277="","unrecorded",LOWER($E277)&amp;" only")))))))</f>
        <v/>
      </c>
      <c r="AT277">
        <f>IF(AND(OR($J277="BUY",$J277="SELL"),ISNUMBER($U277)),$U277,"")</f>
        <v/>
      </c>
      <c r="AU277">
        <f>IF(AND(OR($J277="BUY",$J277="SELL"),ISNUMBER($AK277)),$AK277,"")</f>
        <v/>
      </c>
      <c r="AV277">
        <f>IF(ISNUMBER($AT277),ABS(IF(ISNUMBER($I277),$I277,0)-Settings!$B$24),"")</f>
        <v/>
      </c>
      <c r="AW277">
        <f>IF(ISNUMBER($AV277),$AV277*$AT277,"")</f>
        <v/>
      </c>
      <c r="AX277">
        <f>IF(ISNUMBER($AU277),ABS(IF(ISNUMBER($I277),$I277,0)-Settings!$B$24),"")</f>
        <v/>
      </c>
      <c r="AY277">
        <f>IF(ISNUMBER($AX277),$AX277*$AU277,"")</f>
        <v/>
      </c>
      <c r="AZ277">
        <f>IF($A277="","",IFERROR(INDEX(Company_List!$H$3:$H$207,MATCH($A277,Company_List!$A$3:$A$207,0)),"unassigned"))</f>
        <v/>
      </c>
      <c r="BC277">
        <f>IF($A277="","",IF(COUNTIFS($A$3:$A277,$A277,$C$3:$C277,$C277,$D$3:$D277,$D277,$G$3:$G277,$G277)=1,1,0))</f>
        <v/>
      </c>
      <c r="BG277" t="inlineStr">
        <is>
          <t>no</t>
        </is>
      </c>
      <c r="BK277">
        <f>IF(OR($H277&lt;&gt;"Human",$S277="",$J277="",$Y277="",$Z277=""),"",IF(EXACT(UPPER($J277),UPPER($Y277)),1,0))</f>
        <v/>
      </c>
      <c r="BL277" t="inlineStr">
        <is>
          <t>assumed - no rater record</t>
        </is>
      </c>
      <c r="BM277" t="n">
        <v>3</v>
      </c>
      <c r="BN277" t="inlineStr">
        <is>
          <t>Insider Monkey (Koala Guide LLC)</t>
        </is>
      </c>
      <c r="BO277" t="inlineStr">
        <is>
          <t>free to read, copyright asserted</t>
        </is>
      </c>
      <c r="BP277" t="inlineStr">
        <is>
          <t>no</t>
        </is>
      </c>
      <c r="BQ277" t="inlineStr">
        <is>
          <t>yes</t>
        </is>
      </c>
    </row>
    <row r="278">
      <c r="A278" s="97" t="inlineStr">
        <is>
          <t>General Mills</t>
        </is>
      </c>
      <c r="B278" s="116">
        <f>IF(A278="","",_xlfn.XLOOKUP(A278, Company_List!$A:$A, Company_List!$B:$B, ""))</f>
        <v/>
      </c>
      <c r="C278" s="143" t="n">
        <v>2026</v>
      </c>
      <c r="D278" s="143" t="inlineStr">
        <is>
          <t>Q2</t>
        </is>
      </c>
      <c r="E278" s="98" t="inlineStr">
        <is>
          <t>Transcript</t>
        </is>
      </c>
      <c r="F278" s="98" t="inlineStr">
        <is>
          <t>Transcript Q&amp;A</t>
        </is>
      </c>
      <c r="G278" s="143" t="inlineStr">
        <is>
          <t>Meriem</t>
        </is>
      </c>
      <c r="H278" s="106" t="inlineStr">
        <is>
          <t>Human</t>
        </is>
      </c>
      <c r="I278" s="145" t="n">
        <v>0.3</v>
      </c>
      <c r="J278" s="145">
        <f>IF(OR(I278="",Settings!$B$6=""),"",IF(I278&gt;Settings!$B$6,"BUY",IF(I278&lt;-Settings!$B$6,"SELL","HOLD")))</f>
        <v/>
      </c>
      <c r="K278" s="145" t="n">
        <v>45</v>
      </c>
      <c r="L278" s="126" t="n">
        <v>46008</v>
      </c>
      <c r="M278" s="126" t="n">
        <v>46008</v>
      </c>
      <c r="N278" s="147" t="n">
        <v>48.61</v>
      </c>
      <c r="O278" s="126" t="n">
        <v>46009</v>
      </c>
      <c r="P278" s="145" t="n">
        <v>48.48</v>
      </c>
      <c r="Q278" s="150">
        <f>IF(OR(N278="",P278=""),"",ROUND((P278-N278)/N278,4))</f>
        <v/>
      </c>
      <c r="R278" s="106">
        <f>IF(OR(N278="",P278=""),"",IF(Q278&gt;Settings!$B$3/100,"UP",IF(Q278&lt;-Settings!$B$3/100,"DOWN","FLAT")))</f>
        <v/>
      </c>
      <c r="S278" s="106">
        <f>IF(OR(N278="",P278="",J278=""),"",IF(OR(AND(J278="BUY",R278="UP"),AND(J278="SELL",R278="DOWN"),AND(J278="HOLD",R278="FLAT")),"YES","NO"))</f>
        <v/>
      </c>
      <c r="T278" s="105">
        <f>IF(J278="","",IF(J278="BUY",1,IF(J278="SELL",-1,0)))</f>
        <v/>
      </c>
      <c r="U278" s="150">
        <f>IFERROR(IF(OR(J278="",N278="",P278=""),"",IF(T278=0,0,T278*Q278-Settings!$B$4/10000-IF(T278&lt;0,Settings!$B$5/10000,0))),"")</f>
        <v/>
      </c>
      <c r="V278" s="7" t="inlineStr">
        <is>
          <t>Despite a volatile environment, improving volumes, stronger North American performance, and management's confident outlook suggest the business is gaining momentum.</t>
        </is>
      </c>
      <c r="W278" s="21">
        <f>IF($K278="","",$K278*60)</f>
        <v/>
      </c>
      <c r="X278" s="91">
        <f>IF($A278="","",$A278&amp;"|"&amp;$C278&amp;"|"&amp;$D278)</f>
        <v/>
      </c>
      <c r="Y278" s="91">
        <f>IFERROR(IF($X278="","",INDEX(LLM_Data_Entry!$H$3:$H$548,MATCH($X278,INDEX(LLM_Data_Entry!$A$3:$A$548&amp;"|"&amp;LLM_Data_Entry!$C$3:$C$548&amp;"|"&amp;LLM_Data_Entry!$D$3:$D$548,0),0))),"")</f>
        <v/>
      </c>
      <c r="Z278" s="91">
        <f>IFERROR(IF($X278="","",INDEX(LLM_Data_Entry!$R$3:$R$548,MATCH($X278,INDEX(LLM_Data_Entry!$A$3:$A$548&amp;"|"&amp;LLM_Data_Entry!$C$3:$C$548&amp;"|"&amp;LLM_Data_Entry!$D$3:$D$548,0),0))),"")</f>
        <v/>
      </c>
      <c r="AB278" t="inlineStr">
        <is>
          <t>release date + stated time</t>
        </is>
      </c>
      <c r="AC278" t="inlineStr">
        <is>
          <t>GIS</t>
        </is>
      </c>
      <c r="AD278" t="inlineStr">
        <is>
          <t>2025-12-16</t>
        </is>
      </c>
      <c r="AE278" t="n">
        <v>44.8215</v>
      </c>
      <c r="AF278" t="inlineStr">
        <is>
          <t>2025-12-17</t>
        </is>
      </c>
      <c r="AG278" t="n">
        <v>45.7556</v>
      </c>
      <c r="AH278" t="n">
        <v>0.02084207104511671</v>
      </c>
      <c r="AI278" t="inlineStr">
        <is>
          <t>UP</t>
        </is>
      </c>
      <c r="AJ278" t="inlineStr">
        <is>
          <t>YES</t>
        </is>
      </c>
      <c r="AK278" t="n">
        <v>0.019842</v>
      </c>
      <c r="AL278">
        <f>IF($A278="","",IFERROR(INDEX(Company_List!$G$3:$G$207,MATCH($A278,Company_List!$A$3:$A$207,0)),"unassigned"))</f>
        <v/>
      </c>
      <c r="AM278" t="inlineStr">
        <is>
          <t>Phase 3/Readings/General Mills/GIS Q2 2026 Earnings Transcript.pdf</t>
        </is>
      </c>
      <c r="AO278" t="inlineStr">
        <is>
          <t>unique filename match</t>
        </is>
      </c>
      <c r="AP278">
        <f>IF($A278="","",IF(COUNTIFS(LLM_Data_Entry!$A$3:$A$548,$A278)&gt;0,"YES","NO"))</f>
        <v/>
      </c>
      <c r="AQ278">
        <f>IF($A278="","",IF(COUNTIFS($A$3:$A278,$A278,$C$3:$C278,$C278,$D$3:$D278,$D278)=1,"YES","NO"))</f>
        <v/>
      </c>
      <c r="AR278">
        <f>IF($A278="","",IF(AND($C278&amp;"-"&amp;$D278&gt;=Settings!$B$19,$C278&amp;"-"&amp;$D278&lt;=Settings!$B$20),"IN","OUT"))</f>
        <v/>
      </c>
      <c r="AS278">
        <f>IF($A278="","",IF($F278="Financial Results","financials",IF($F278="Outlook/Guidance","guidance",IF($F278="Transcript Q&amp;A","qanda",IF($F278="","unrecorded",IF($E278="All","full",IF($E278="","unrecorded",LOWER($E278)&amp;" only")))))))</f>
        <v/>
      </c>
      <c r="AT278">
        <f>IF(AND(OR($J278="BUY",$J278="SELL"),ISNUMBER($U278)),$U278,"")</f>
        <v/>
      </c>
      <c r="AU278">
        <f>IF(AND(OR($J278="BUY",$J278="SELL"),ISNUMBER($AK278)),$AK278,"")</f>
        <v/>
      </c>
      <c r="AV278">
        <f>IF(ISNUMBER($AT278),ABS(IF(ISNUMBER($I278),$I278,0)-Settings!$B$24),"")</f>
        <v/>
      </c>
      <c r="AW278">
        <f>IF(ISNUMBER($AV278),$AV278*$AT278,"")</f>
        <v/>
      </c>
      <c r="AX278">
        <f>IF(ISNUMBER($AU278),ABS(IF(ISNUMBER($I278),$I278,0)-Settings!$B$24),"")</f>
        <v/>
      </c>
      <c r="AY278">
        <f>IF(ISNUMBER($AX278),$AX278*$AU278,"")</f>
        <v/>
      </c>
      <c r="AZ278">
        <f>IF($A278="","",IFERROR(INDEX(Company_List!$H$3:$H$207,MATCH($A278,Company_List!$A$3:$A$207,0)),"unassigned"))</f>
        <v/>
      </c>
      <c r="BC278">
        <f>IF($A278="","",IF(COUNTIFS($A$3:$A278,$A278,$C$3:$C278,$C278,$D$3:$D278,$D278,$G$3:$G278,$G278)=1,1,0))</f>
        <v/>
      </c>
      <c r="BG278" t="inlineStr">
        <is>
          <t>no</t>
        </is>
      </c>
      <c r="BK278">
        <f>IF(OR($H278&lt;&gt;"Human",$S278="",$J278="",$Y278="",$Z278=""),"",IF(EXACT(UPPER($J278),UPPER($Y278)),1,0))</f>
        <v/>
      </c>
      <c r="BL278" t="inlineStr">
        <is>
          <t>assumed - no rater record</t>
        </is>
      </c>
      <c r="BM278" t="n">
        <v>1</v>
      </c>
      <c r="BN278" t="inlineStr">
        <is>
          <t>The Motley Fool</t>
        </is>
      </c>
      <c r="BO278" t="inlineStr">
        <is>
          <t>free to read, copyright asserted</t>
        </is>
      </c>
      <c r="BP278" t="inlineStr">
        <is>
          <t>no</t>
        </is>
      </c>
      <c r="BQ278" t="inlineStr">
        <is>
          <t>no</t>
        </is>
      </c>
    </row>
    <row r="279">
      <c r="A279" s="97" t="inlineStr">
        <is>
          <t>General Mills</t>
        </is>
      </c>
      <c r="B279" s="116">
        <f>IF(A279="","",_xlfn.XLOOKUP(A279, Company_List!$A:$A, Company_List!$B:$B, ""))</f>
        <v/>
      </c>
      <c r="C279" s="143" t="n">
        <v>2026</v>
      </c>
      <c r="D279" s="143" t="inlineStr">
        <is>
          <t>Q3</t>
        </is>
      </c>
      <c r="E279" s="98" t="inlineStr">
        <is>
          <t>Press Release Document</t>
        </is>
      </c>
      <c r="F279" s="98" t="inlineStr">
        <is>
          <t>All</t>
        </is>
      </c>
      <c r="G279" s="143" t="inlineStr">
        <is>
          <t>Meriem</t>
        </is>
      </c>
      <c r="H279" s="106" t="inlineStr">
        <is>
          <t>Human</t>
        </is>
      </c>
      <c r="I279" s="145" t="n">
        <v>-0.5</v>
      </c>
      <c r="J279" s="145">
        <f>IF(OR(I279="",Settings!$B$6=""),"",IF(I279&gt;Settings!$B$6,"BUY",IF(I279&lt;-Settings!$B$6,"SELL","HOLD")))</f>
        <v/>
      </c>
      <c r="K279" s="145" t="n">
        <v>15</v>
      </c>
      <c r="L279" s="126" t="n">
        <v>46099</v>
      </c>
      <c r="M279" s="126" t="n">
        <v>46099</v>
      </c>
      <c r="N279" s="147" t="n">
        <v>37.59</v>
      </c>
      <c r="O279" s="126" t="n">
        <v>46100</v>
      </c>
      <c r="P279" s="145" t="n">
        <v>37.54</v>
      </c>
      <c r="Q279" s="150">
        <f>IF(OR(N279="",P279=""),"",ROUND((P279-N279)/N279,4))</f>
        <v/>
      </c>
      <c r="R279" s="106">
        <f>IF(OR(N279="",P279=""),"",IF(Q279&gt;Settings!$B$3/100,"UP",IF(Q279&lt;-Settings!$B$3/100,"DOWN","FLAT")))</f>
        <v/>
      </c>
      <c r="S279" s="106">
        <f>IF(OR(N279="",P279="",J279=""),"",IF(OR(AND(J279="BUY",R279="UP"),AND(J279="SELL",R279="DOWN"),AND(J279="HOLD",R279="FLAT")),"YES","NO"))</f>
        <v/>
      </c>
      <c r="T279" s="105">
        <f>IF(J279="","",IF(J279="BUY",1,IF(J279="SELL",-1,0)))</f>
        <v/>
      </c>
      <c r="U279" s="150">
        <f>IFERROR(IF(OR(J279="",N279="",P279=""),"",IF(T279=0,0,T279*Q279-Settings!$B$4/10000-IF(T279&lt;0,Settings!$B$5/10000,0))),"")</f>
        <v/>
      </c>
      <c r="V279" s="7" t="inlineStr">
        <is>
          <t>Sharp declines in sales, operating profit, and EPS indicate significant operational weakness that outweighs the company's long-term investment strategy.</t>
        </is>
      </c>
      <c r="W279" s="21">
        <f>IF($K279="","",$K279*60)</f>
        <v/>
      </c>
      <c r="X279" s="91">
        <f>IF($A279="","",$A279&amp;"|"&amp;$C279&amp;"|"&amp;$D279)</f>
        <v/>
      </c>
      <c r="Y279" s="91">
        <f>IFERROR(IF($X279="","",INDEX(LLM_Data_Entry!$H$3:$H$548,MATCH($X279,INDEX(LLM_Data_Entry!$A$3:$A$548&amp;"|"&amp;LLM_Data_Entry!$C$3:$C$548&amp;"|"&amp;LLM_Data_Entry!$D$3:$D$548,0),0))),"")</f>
        <v/>
      </c>
      <c r="Z279" s="91">
        <f>IFERROR(IF($X279="","",INDEX(LLM_Data_Entry!$R$3:$R$548,MATCH($X279,INDEX(LLM_Data_Entry!$A$3:$A$548&amp;"|"&amp;LLM_Data_Entry!$C$3:$C$548&amp;"|"&amp;LLM_Data_Entry!$D$3:$D$548,0),0))),"")</f>
        <v/>
      </c>
      <c r="AB279" t="inlineStr">
        <is>
          <t>release date + stated time</t>
        </is>
      </c>
      <c r="AC279" t="inlineStr">
        <is>
          <t>GIS</t>
        </is>
      </c>
      <c r="AD279" t="inlineStr">
        <is>
          <t>2026-03-17</t>
        </is>
      </c>
      <c r="AE279" t="n">
        <v>37.4487</v>
      </c>
      <c r="AF279" t="inlineStr">
        <is>
          <t>2026-03-18</t>
        </is>
      </c>
      <c r="AG279" t="n">
        <v>37.3617</v>
      </c>
      <c r="AH279" t="n">
        <v>-0.00232318938662682</v>
      </c>
      <c r="AI279" t="inlineStr">
        <is>
          <t>FLAT</t>
        </is>
      </c>
      <c r="AJ279" t="inlineStr">
        <is>
          <t>NO</t>
        </is>
      </c>
      <c r="AK279" t="n">
        <v>0.001323</v>
      </c>
      <c r="AL279">
        <f>IF($A279="","",IFERROR(INDEX(Company_List!$G$3:$G$207,MATCH($A279,Company_List!$A$3:$A$207,0)),"unassigned"))</f>
        <v/>
      </c>
      <c r="AM279" t="inlineStr">
        <is>
          <t>Phase 3/Readings/General Mills/General Millss 2026 Q3.pdf</t>
        </is>
      </c>
      <c r="AO279" t="inlineStr">
        <is>
          <t>unique filename match</t>
        </is>
      </c>
      <c r="AP279">
        <f>IF($A279="","",IF(COUNTIFS(LLM_Data_Entry!$A$3:$A$548,$A279)&gt;0,"YES","NO"))</f>
        <v/>
      </c>
      <c r="AQ279">
        <f>IF($A279="","",IF(COUNTIFS($A$3:$A279,$A279,$C$3:$C279,$C279,$D$3:$D279,$D279)=1,"YES","NO"))</f>
        <v/>
      </c>
      <c r="AR279">
        <f>IF($A279="","",IF(AND($C279&amp;"-"&amp;$D279&gt;=Settings!$B$19,$C279&amp;"-"&amp;$D279&lt;=Settings!$B$20),"IN","OUT"))</f>
        <v/>
      </c>
      <c r="AS279">
        <f>IF($A279="","",IF($F279="Financial Results","financials",IF($F279="Outlook/Guidance","guidance",IF($F279="Transcript Q&amp;A","qanda",IF($F279="","unrecorded",IF($E279="All","full",IF($E279="","unrecorded",LOWER($E279)&amp;" only")))))))</f>
        <v/>
      </c>
      <c r="AT279">
        <f>IF(AND(OR($J279="BUY",$J279="SELL"),ISNUMBER($U279)),$U279,"")</f>
        <v/>
      </c>
      <c r="AU279">
        <f>IF(AND(OR($J279="BUY",$J279="SELL"),ISNUMBER($AK279)),$AK279,"")</f>
        <v/>
      </c>
      <c r="AV279">
        <f>IF(ISNUMBER($AT279),ABS(IF(ISNUMBER($I279),$I279,0)-Settings!$B$24),"")</f>
        <v/>
      </c>
      <c r="AW279">
        <f>IF(ISNUMBER($AV279),$AV279*$AT279,"")</f>
        <v/>
      </c>
      <c r="AX279">
        <f>IF(ISNUMBER($AU279),ABS(IF(ISNUMBER($I279),$I279,0)-Settings!$B$24),"")</f>
        <v/>
      </c>
      <c r="AY279">
        <f>IF(ISNUMBER($AX279),$AX279*$AU279,"")</f>
        <v/>
      </c>
      <c r="AZ279">
        <f>IF($A279="","",IFERROR(INDEX(Company_List!$H$3:$H$207,MATCH($A279,Company_List!$A$3:$A$207,0)),"unassigned"))</f>
        <v/>
      </c>
      <c r="BC279">
        <f>IF($A279="","",IF(COUNTIFS($A$3:$A279,$A279,$C$3:$C279,$C279,$D$3:$D279,$D279,$G$3:$G279,$G279)=1,1,0))</f>
        <v/>
      </c>
      <c r="BG279" t="inlineStr">
        <is>
          <t>no</t>
        </is>
      </c>
      <c r="BK279">
        <f>IF(OR($H279&lt;&gt;"Human",$S279="",$J279="",$Y279="",$Z279=""),"",IF(EXACT(UPPER($J279),UPPER($Y279)),1,0))</f>
        <v/>
      </c>
      <c r="BL279" t="inlineStr">
        <is>
          <t>assumed - no rater record</t>
        </is>
      </c>
      <c r="BM279" t="n">
        <v>1</v>
      </c>
      <c r="BN279" t="inlineStr">
        <is>
          <t>not publisher-identified</t>
        </is>
      </c>
      <c r="BO279" t="inlineStr">
        <is>
          <t>not publisher-identified</t>
        </is>
      </c>
      <c r="BP279" t="inlineStr">
        <is>
          <t>no</t>
        </is>
      </c>
      <c r="BQ279" t="inlineStr">
        <is>
          <t>no</t>
        </is>
      </c>
    </row>
    <row r="280">
      <c r="A280" s="97" t="inlineStr">
        <is>
          <t>General Mills</t>
        </is>
      </c>
      <c r="B280" s="116">
        <f>IF(A280="","",_xlfn.XLOOKUP(A280, Company_List!$A:$A, Company_List!$B:$B, ""))</f>
        <v/>
      </c>
      <c r="C280" s="143" t="n">
        <v>2026</v>
      </c>
      <c r="D280" s="143" t="inlineStr">
        <is>
          <t>Q4</t>
        </is>
      </c>
      <c r="E280" s="98" t="inlineStr">
        <is>
          <t>Transcript</t>
        </is>
      </c>
      <c r="F280" s="98" t="inlineStr">
        <is>
          <t>Financial Results</t>
        </is>
      </c>
      <c r="G280" s="143" t="inlineStr">
        <is>
          <t>Meriem</t>
        </is>
      </c>
      <c r="H280" s="106" t="inlineStr">
        <is>
          <t>Human</t>
        </is>
      </c>
      <c r="I280" s="145" t="n">
        <v>-0.1</v>
      </c>
      <c r="J280" s="145">
        <f>IF(OR(I280="",Settings!$B$6=""),"",IF(I280&gt;Settings!$B$6,"BUY",IF(I280&lt;-Settings!$B$6,"SELL","HOLD")))</f>
        <v/>
      </c>
      <c r="K280" s="145" t="n">
        <v>13</v>
      </c>
      <c r="L280" s="126" t="n">
        <v>46204</v>
      </c>
      <c r="M280" s="126" t="n">
        <v>46204</v>
      </c>
      <c r="N280" s="147" t="n">
        <v>37.77</v>
      </c>
      <c r="O280" s="126" t="n">
        <v>46205</v>
      </c>
      <c r="P280" s="145" t="n">
        <v>38</v>
      </c>
      <c r="Q280" s="150">
        <f>IF(OR(N280="",P280=""),"",ROUND((P280-N280)/N280,4))</f>
        <v/>
      </c>
      <c r="R280" s="106">
        <f>IF(OR(N280="",P280=""),"",IF(Q280&gt;Settings!$B$3/100,"UP",IF(Q280&lt;-Settings!$B$3/100,"DOWN","FLAT")))</f>
        <v/>
      </c>
      <c r="S280" s="106">
        <f>IF(OR(N280="",P280="",J280=""),"",IF(OR(AND(J280="BUY",R280="UP"),AND(J280="SELL",R280="DOWN"),AND(J280="HOLD",R280="FLAT")),"YES","NO"))</f>
        <v/>
      </c>
      <c r="T280" s="105">
        <f>IF(J280="","",IF(J280="BUY",1,IF(J280="SELL",-1,0)))</f>
        <v/>
      </c>
      <c r="U280" s="150">
        <f>IFERROR(IF(OR(J280="",N280="",P280=""),"",IF(T280=0,0,T280*Q280-Settings!$B$4/10000-IF(T280&lt;0,Settings!$B$5/10000,0))),"")</f>
        <v/>
      </c>
      <c r="V280" s="7" t="inlineStr">
        <is>
          <t>Early signs of recovery and improved profitability are encouraging, but ongoing operating losses and expected inflation pressures warrant a cautious hold.</t>
        </is>
      </c>
      <c r="W280" s="21">
        <f>IF($K280="","",$K280*60)</f>
        <v/>
      </c>
      <c r="X280" s="91">
        <f>IF($A280="","",$A280&amp;"|"&amp;$C280&amp;"|"&amp;$D280)</f>
        <v/>
      </c>
      <c r="Y280" s="91">
        <f>IFERROR(IF($X280="","",INDEX(LLM_Data_Entry!$H$3:$H$548,MATCH($X280,INDEX(LLM_Data_Entry!$A$3:$A$548&amp;"|"&amp;LLM_Data_Entry!$C$3:$C$548&amp;"|"&amp;LLM_Data_Entry!$D$3:$D$548,0),0))),"")</f>
        <v/>
      </c>
      <c r="Z280" s="91">
        <f>IFERROR(IF($X280="","",INDEX(LLM_Data_Entry!$R$3:$R$548,MATCH($X280,INDEX(LLM_Data_Entry!$A$3:$A$548&amp;"|"&amp;LLM_Data_Entry!$C$3:$C$548&amp;"|"&amp;LLM_Data_Entry!$D$3:$D$548,0),0))),"")</f>
        <v/>
      </c>
      <c r="AB280" t="inlineStr">
        <is>
          <t>release date + stated time</t>
        </is>
      </c>
      <c r="AC280" t="inlineStr">
        <is>
          <t>GIS</t>
        </is>
      </c>
      <c r="AD280" t="inlineStr">
        <is>
          <t>2026-06-30</t>
        </is>
      </c>
      <c r="AE280" t="n">
        <v>34.2079</v>
      </c>
      <c r="AF280" t="inlineStr">
        <is>
          <t>2026-07-01</t>
        </is>
      </c>
      <c r="AG280" t="n">
        <v>37.0782</v>
      </c>
      <c r="AH280" t="n">
        <v>0.08390805978829378</v>
      </c>
      <c r="AI280" t="inlineStr">
        <is>
          <t>UP</t>
        </is>
      </c>
      <c r="AJ280" t="inlineStr">
        <is>
          <t>NO</t>
        </is>
      </c>
      <c r="AK280" t="n">
        <v>0</v>
      </c>
      <c r="AL280">
        <f>IF($A280="","",IFERROR(INDEX(Company_List!$G$3:$G$207,MATCH($A280,Company_List!$A$3:$A$207,0)),"unassigned"))</f>
        <v/>
      </c>
      <c r="AM280" t="inlineStr">
        <is>
          <t>Phase 3/Readings/General Mills/GIS Q4 2026 Earnings Call Transcript.pdf</t>
        </is>
      </c>
      <c r="AO280" t="inlineStr">
        <is>
          <t>unique filename match</t>
        </is>
      </c>
      <c r="AP280">
        <f>IF($A280="","",IF(COUNTIFS(LLM_Data_Entry!$A$3:$A$548,$A280)&gt;0,"YES","NO"))</f>
        <v/>
      </c>
      <c r="AQ280">
        <f>IF($A280="","",IF(COUNTIFS($A$3:$A280,$A280,$C$3:$C280,$C280,$D$3:$D280,$D280)=1,"YES","NO"))</f>
        <v/>
      </c>
      <c r="AR280">
        <f>IF($A280="","",IF(AND($C280&amp;"-"&amp;$D280&gt;=Settings!$B$19,$C280&amp;"-"&amp;$D280&lt;=Settings!$B$20),"IN","OUT"))</f>
        <v/>
      </c>
      <c r="AS280">
        <f>IF($A280="","",IF($F280="Financial Results","financials",IF($F280="Outlook/Guidance","guidance",IF($F280="Transcript Q&amp;A","qanda",IF($F280="","unrecorded",IF($E280="All","full",IF($E280="","unrecorded",LOWER($E280)&amp;" only")))))))</f>
        <v/>
      </c>
      <c r="AT280">
        <f>IF(AND(OR($J280="BUY",$J280="SELL"),ISNUMBER($U280)),$U280,"")</f>
        <v/>
      </c>
      <c r="AU280">
        <f>IF(AND(OR($J280="BUY",$J280="SELL"),ISNUMBER($AK280)),$AK280,"")</f>
        <v/>
      </c>
      <c r="AV280">
        <f>IF(ISNUMBER($AT280),ABS(IF(ISNUMBER($I280),$I280,0)-Settings!$B$24),"")</f>
        <v/>
      </c>
      <c r="AW280">
        <f>IF(ISNUMBER($AV280),$AV280*$AT280,"")</f>
        <v/>
      </c>
      <c r="AX280">
        <f>IF(ISNUMBER($AU280),ABS(IF(ISNUMBER($I280),$I280,0)-Settings!$B$24),"")</f>
        <v/>
      </c>
      <c r="AY280">
        <f>IF(ISNUMBER($AX280),$AX280*$AU280,"")</f>
        <v/>
      </c>
      <c r="AZ280">
        <f>IF($A280="","",IFERROR(INDEX(Company_List!$H$3:$H$207,MATCH($A280,Company_List!$A$3:$A$207,0)),"unassigned"))</f>
        <v/>
      </c>
      <c r="BC280">
        <f>IF($A280="","",IF(COUNTIFS($A$3:$A280,$A280,$C$3:$C280,$C280,$D$3:$D280,$D280,$G$3:$G280,$G280)=1,1,0))</f>
        <v/>
      </c>
      <c r="BG280" t="inlineStr">
        <is>
          <t>no</t>
        </is>
      </c>
      <c r="BK280">
        <f>IF(OR($H280&lt;&gt;"Human",$S280="",$J280="",$Y280="",$Z280=""),"",IF(EXACT(UPPER($J280),UPPER($Y280)),1,0))</f>
        <v/>
      </c>
      <c r="BL280" t="inlineStr">
        <is>
          <t>assumed - no rater record</t>
        </is>
      </c>
      <c r="BM280" t="n">
        <v>1</v>
      </c>
      <c r="BN280" t="inlineStr">
        <is>
          <t>The Motley Fool</t>
        </is>
      </c>
      <c r="BO280" t="inlineStr">
        <is>
          <t>free to read, copyright asserted</t>
        </is>
      </c>
      <c r="BP280" t="inlineStr">
        <is>
          <t>no</t>
        </is>
      </c>
      <c r="BQ280" t="inlineStr">
        <is>
          <t>no</t>
        </is>
      </c>
    </row>
    <row r="281">
      <c r="A281" s="97" t="inlineStr">
        <is>
          <t>Siemens</t>
        </is>
      </c>
      <c r="B281" s="116">
        <f>IF(A281="","",_xlfn.XLOOKUP(A281, Company_List!$A:$A, Company_List!$B:$B, ""))</f>
        <v/>
      </c>
      <c r="C281" s="143" t="n">
        <v>2025</v>
      </c>
      <c r="D281" s="143" t="inlineStr">
        <is>
          <t>Q4</t>
        </is>
      </c>
      <c r="E281" s="144" t="inlineStr">
        <is>
          <t>Press Release Document</t>
        </is>
      </c>
      <c r="F281" s="144" t="inlineStr">
        <is>
          <t>All</t>
        </is>
      </c>
      <c r="G281" s="143" t="inlineStr">
        <is>
          <t>Meriem</t>
        </is>
      </c>
      <c r="H281" s="106" t="inlineStr">
        <is>
          <t>Human</t>
        </is>
      </c>
      <c r="I281" s="145" t="n">
        <v>-0.5</v>
      </c>
      <c r="J281" s="145">
        <f>IF(OR(I281="",Settings!$B$6=""),"",IF(I281&gt;Settings!$B$6,"BUY",IF(I281&lt;-Settings!$B$6,"SELL","HOLD")))</f>
        <v/>
      </c>
      <c r="K281" s="145" t="n">
        <v>25</v>
      </c>
      <c r="L281" s="123" t="n">
        <v>45974</v>
      </c>
      <c r="M281" s="123" t="n">
        <v>45974</v>
      </c>
      <c r="N281" s="147" t="n">
        <v>227</v>
      </c>
      <c r="O281" s="123" t="n">
        <v>45975</v>
      </c>
      <c r="P281" s="145" t="n">
        <v>227.7</v>
      </c>
      <c r="Q281" s="151">
        <f>IF(OR(N281="",P281=""),"",ROUND((P281-N281)/N281,4))</f>
        <v/>
      </c>
      <c r="R281" s="118">
        <f>IF(OR(N281="",P281=""),"",IF(Q281&gt;Settings!$B$3/100,"UP",IF(Q281&lt;-Settings!$B$3/100,"DOWN","FLAT")))</f>
        <v/>
      </c>
      <c r="S281" s="118">
        <f>IF(OR(N281="",P281="",J281=""),"",IF(OR(AND(J281="BUY",R281="UP"),AND(J281="SELL",R281="DOWN"),AND(J281="HOLD",R281="FLAT")),"YES","NO"))</f>
        <v/>
      </c>
      <c r="T281" s="119">
        <f>IF(J281="","",IF(J281="BUY",1,IF(J281="SELL",-1,0)))</f>
        <v/>
      </c>
      <c r="U281" s="150">
        <f>IFERROR(IF(OR(J281="",N281="",P281=""),"",IF(T281=0,0,T281*Q281-Settings!$B$4/10000-IF(T281&lt;0,Settings!$B$5/10000,0))),"")</f>
        <v/>
      </c>
      <c r="V281" s="7" t="inlineStr">
        <is>
          <t>Missed earnings expectations, weaker profitability, and continued currency headwinds point to deteriorating near-term performance despite a stabilising economic outlook.</t>
        </is>
      </c>
      <c r="W281" s="21">
        <f>IF($K281="","",$K281*60)</f>
        <v/>
      </c>
      <c r="X281" s="91">
        <f>IF($A281="","",$A281&amp;"|"&amp;$C281&amp;"|"&amp;$D281)</f>
        <v/>
      </c>
      <c r="Y281" s="91">
        <f>IFERROR(IF($X281="","",INDEX(LLM_Data_Entry!$H$3:$H$548,MATCH($X281,INDEX(LLM_Data_Entry!$A$3:$A$548&amp;"|"&amp;LLM_Data_Entry!$C$3:$C$548&amp;"|"&amp;LLM_Data_Entry!$D$3:$D$548,0),0))),"")</f>
        <v/>
      </c>
      <c r="Z281" s="91">
        <f>IFERROR(IF($X281="","",INDEX(LLM_Data_Entry!$R$3:$R$548,MATCH($X281,INDEX(LLM_Data_Entry!$A$3:$A$548&amp;"|"&amp;LLM_Data_Entry!$C$3:$C$548&amp;"|"&amp;LLM_Data_Entry!$D$3:$D$548,0),0))),"")</f>
        <v/>
      </c>
      <c r="AB281" t="inlineStr">
        <is>
          <t>release date + stated time</t>
        </is>
      </c>
      <c r="AC281" t="inlineStr">
        <is>
          <t>SIE.DE</t>
        </is>
      </c>
      <c r="AD281" t="inlineStr">
        <is>
          <t>2025-11-12</t>
        </is>
      </c>
      <c r="AE281" t="n">
        <v>245.1874</v>
      </c>
      <c r="AF281" t="inlineStr">
        <is>
          <t>2025-11-13</t>
        </is>
      </c>
      <c r="AG281" t="n">
        <v>238.48</v>
      </c>
      <c r="AH281" t="n">
        <v>-0.02735618576686381</v>
      </c>
      <c r="AI281" t="inlineStr">
        <is>
          <t>DOWN</t>
        </is>
      </c>
      <c r="AJ281" t="inlineStr">
        <is>
          <t>YES</t>
        </is>
      </c>
      <c r="AK281" t="n">
        <v>0.026356</v>
      </c>
      <c r="AL281">
        <f>IF($A281="","",IFERROR(INDEX(Company_List!$G$3:$G$207,MATCH($A281,Company_List!$A$3:$A$207,0)),"unassigned"))</f>
        <v/>
      </c>
      <c r="AM281" t="inlineStr">
        <is>
          <t>Phase 3/Readings/Siemens/Siemens Q4 2025 earnings release.pdf</t>
        </is>
      </c>
      <c r="AO281" t="inlineStr">
        <is>
          <t>unique filename match</t>
        </is>
      </c>
      <c r="AP281">
        <f>IF($A281="","",IF(COUNTIFS(LLM_Data_Entry!$A$3:$A$548,$A281)&gt;0,"YES","NO"))</f>
        <v/>
      </c>
      <c r="AQ281">
        <f>IF($A281="","",IF(COUNTIFS($A$3:$A281,$A281,$C$3:$C281,$C281,$D$3:$D281,$D281)=1,"YES","NO"))</f>
        <v/>
      </c>
      <c r="AR281">
        <f>IF($A281="","",IF(AND($C281&amp;"-"&amp;$D281&gt;=Settings!$B$19,$C281&amp;"-"&amp;$D281&lt;=Settings!$B$20),"IN","OUT"))</f>
        <v/>
      </c>
      <c r="AS281">
        <f>IF($A281="","",IF($F281="Financial Results","financials",IF($F281="Outlook/Guidance","guidance",IF($F281="Transcript Q&amp;A","qanda",IF($F281="","unrecorded",IF($E281="All","full",IF($E281="","unrecorded",LOWER($E281)&amp;" only")))))))</f>
        <v/>
      </c>
      <c r="AT281">
        <f>IF(AND(OR($J281="BUY",$J281="SELL"),ISNUMBER($U281)),$U281,"")</f>
        <v/>
      </c>
      <c r="AU281">
        <f>IF(AND(OR($J281="BUY",$J281="SELL"),ISNUMBER($AK281)),$AK281,"")</f>
        <v/>
      </c>
      <c r="AV281">
        <f>IF(ISNUMBER($AT281),ABS(IF(ISNUMBER($I281),$I281,0)-Settings!$B$24),"")</f>
        <v/>
      </c>
      <c r="AW281">
        <f>IF(ISNUMBER($AV281),$AV281*$AT281,"")</f>
        <v/>
      </c>
      <c r="AX281">
        <f>IF(ISNUMBER($AU281),ABS(IF(ISNUMBER($I281),$I281,0)-Settings!$B$24),"")</f>
        <v/>
      </c>
      <c r="AY281">
        <f>IF(ISNUMBER($AX281),$AX281*$AU281,"")</f>
        <v/>
      </c>
      <c r="AZ281">
        <f>IF($A281="","",IFERROR(INDEX(Company_List!$H$3:$H$207,MATCH($A281,Company_List!$A$3:$A$207,0)),"unassigned"))</f>
        <v/>
      </c>
      <c r="BC281">
        <f>IF($A281="","",IF(COUNTIFS($A$3:$A281,$A281,$C$3:$C281,$C281,$D$3:$D281,$D281,$G$3:$G281,$G281)=1,1,0))</f>
        <v/>
      </c>
      <c r="BG281" t="inlineStr">
        <is>
          <t>no</t>
        </is>
      </c>
      <c r="BK281">
        <f>IF(OR($H281&lt;&gt;"Human",$S281="",$J281="",$Y281="",$Z281=""),"",IF(EXACT(UPPER($J281),UPPER($Y281)),1,0))</f>
        <v/>
      </c>
      <c r="BL281" t="inlineStr">
        <is>
          <t>assumed - no rater record</t>
        </is>
      </c>
      <c r="BM281" t="n">
        <v>1</v>
      </c>
      <c r="BN281" t="inlineStr">
        <is>
          <t>not publisher-identified</t>
        </is>
      </c>
      <c r="BO281" t="inlineStr">
        <is>
          <t>not publisher-identified</t>
        </is>
      </c>
      <c r="BP281" t="inlineStr">
        <is>
          <t>no</t>
        </is>
      </c>
      <c r="BQ281" t="inlineStr">
        <is>
          <t>no</t>
        </is>
      </c>
    </row>
    <row r="282">
      <c r="A282" s="97" t="inlineStr">
        <is>
          <t>Siemens</t>
        </is>
      </c>
      <c r="B282" s="116">
        <f>IF(A282="","",_xlfn.XLOOKUP(A282, Company_List!$A:$A, Company_List!$B:$B, ""))</f>
        <v/>
      </c>
      <c r="C282" s="143" t="n">
        <v>2026</v>
      </c>
      <c r="D282" s="143" t="inlineStr">
        <is>
          <t>Q1</t>
        </is>
      </c>
      <c r="E282" s="144" t="inlineStr">
        <is>
          <t>Press Release Document</t>
        </is>
      </c>
      <c r="F282" s="144" t="inlineStr">
        <is>
          <t>All</t>
        </is>
      </c>
      <c r="G282" s="143" t="inlineStr">
        <is>
          <t>Meriem</t>
        </is>
      </c>
      <c r="H282" s="106" t="inlineStr">
        <is>
          <t>Human</t>
        </is>
      </c>
      <c r="I282" s="145" t="n">
        <v>0.2</v>
      </c>
      <c r="J282" s="145">
        <f>IF(OR(I282="",Settings!$B$6=""),"",IF(I282&gt;Settings!$B$6,"BUY",IF(I282&lt;-Settings!$B$6,"SELL","HOLD")))</f>
        <v/>
      </c>
      <c r="K282" s="145" t="n">
        <v>28</v>
      </c>
      <c r="L282" s="123" t="n">
        <v>46065</v>
      </c>
      <c r="M282" s="123" t="n">
        <v>46065</v>
      </c>
      <c r="N282" s="147" t="n">
        <v>257</v>
      </c>
      <c r="O282" s="123" t="n">
        <v>46066</v>
      </c>
      <c r="P282" s="145" t="n">
        <v>252</v>
      </c>
      <c r="Q282" s="151">
        <f>IF(OR(N282="",P282=""),"",ROUND((P282-N282)/N282,4))</f>
        <v/>
      </c>
      <c r="R282" s="118">
        <f>IF(OR(N282="",P282=""),"",IF(Q282&gt;Settings!$B$3/100,"UP",IF(Q282&lt;-Settings!$B$3/100,"DOWN","FLAT")))</f>
        <v/>
      </c>
      <c r="S282" s="118">
        <f>IF(OR(N282="",P282="",J282=""),"",IF(OR(AND(J282="BUY",R282="UP"),AND(J282="SELL",R282="DOWN"),AND(J282="HOLD",R282="FLAT")),"YES","NO"))</f>
        <v/>
      </c>
      <c r="T282" s="119">
        <f>IF(J282="","",IF(J282="BUY",1,IF(J282="SELL",-1,0)))</f>
        <v/>
      </c>
      <c r="U282" s="150">
        <f>IFERROR(IF(OR(J282="",N282="",P282=""),"",IF(T282=0,0,T282*Q282-Settings!$B$4/10000-IF(T282&lt;0,Settings!$B$5/10000,0))),"")</f>
        <v/>
      </c>
      <c r="V282" s="7" t="inlineStr">
        <is>
          <t>Revenue and operating margins improved across most businesses, but the sharp decline in EPS and continued currency impacts temper the positive results.</t>
        </is>
      </c>
      <c r="W282" s="21">
        <f>IF($K282="","",$K282*60)</f>
        <v/>
      </c>
      <c r="X282" s="91">
        <f>IF($A282="","",$A282&amp;"|"&amp;$C282&amp;"|"&amp;$D282)</f>
        <v/>
      </c>
      <c r="Y282" s="91">
        <f>IFERROR(IF($X282="","",INDEX(LLM_Data_Entry!$H$3:$H$548,MATCH($X282,INDEX(LLM_Data_Entry!$A$3:$A$548&amp;"|"&amp;LLM_Data_Entry!$C$3:$C$548&amp;"|"&amp;LLM_Data_Entry!$D$3:$D$548,0),0))),"")</f>
        <v/>
      </c>
      <c r="Z282" s="91">
        <f>IFERROR(IF($X282="","",INDEX(LLM_Data_Entry!$R$3:$R$548,MATCH($X282,INDEX(LLM_Data_Entry!$A$3:$A$548&amp;"|"&amp;LLM_Data_Entry!$C$3:$C$548&amp;"|"&amp;LLM_Data_Entry!$D$3:$D$548,0),0))),"")</f>
        <v/>
      </c>
      <c r="AB282" t="inlineStr">
        <is>
          <t>release date + stated time</t>
        </is>
      </c>
      <c r="AC282" t="inlineStr">
        <is>
          <t>SIE.DE</t>
        </is>
      </c>
      <c r="AD282" t="inlineStr">
        <is>
          <t>2026-02-11</t>
        </is>
      </c>
      <c r="AE282" t="n">
        <v>250.9156</v>
      </c>
      <c r="AF282" t="inlineStr">
        <is>
          <t>2026-02-12</t>
        </is>
      </c>
      <c r="AG282" t="n">
        <v>265.9461</v>
      </c>
      <c r="AH282" t="n">
        <v>0.05990247432660638</v>
      </c>
      <c r="AI282" t="inlineStr">
        <is>
          <t>UP</t>
        </is>
      </c>
      <c r="AJ282" t="inlineStr">
        <is>
          <t>NO</t>
        </is>
      </c>
      <c r="AK282" t="n">
        <v>0</v>
      </c>
      <c r="AL282">
        <f>IF($A282="","",IFERROR(INDEX(Company_List!$G$3:$G$207,MATCH($A282,Company_List!$A$3:$A$207,0)),"unassigned"))</f>
        <v/>
      </c>
      <c r="AM282" t="inlineStr">
        <is>
          <t>Phase 3/Readings/Siemens/Siemens Q1 2026 earnings release.pdf</t>
        </is>
      </c>
      <c r="AO282" t="inlineStr">
        <is>
          <t>unique filename match</t>
        </is>
      </c>
      <c r="AP282">
        <f>IF($A282="","",IF(COUNTIFS(LLM_Data_Entry!$A$3:$A$548,$A282)&gt;0,"YES","NO"))</f>
        <v/>
      </c>
      <c r="AQ282">
        <f>IF($A282="","",IF(COUNTIFS($A$3:$A282,$A282,$C$3:$C282,$C282,$D$3:$D282,$D282)=1,"YES","NO"))</f>
        <v/>
      </c>
      <c r="AR282">
        <f>IF($A282="","",IF(AND($C282&amp;"-"&amp;$D282&gt;=Settings!$B$19,$C282&amp;"-"&amp;$D282&lt;=Settings!$B$20),"IN","OUT"))</f>
        <v/>
      </c>
      <c r="AS282">
        <f>IF($A282="","",IF($F282="Financial Results","financials",IF($F282="Outlook/Guidance","guidance",IF($F282="Transcript Q&amp;A","qanda",IF($F282="","unrecorded",IF($E282="All","full",IF($E282="","unrecorded",LOWER($E282)&amp;" only")))))))</f>
        <v/>
      </c>
      <c r="AT282">
        <f>IF(AND(OR($J282="BUY",$J282="SELL"),ISNUMBER($U282)),$U282,"")</f>
        <v/>
      </c>
      <c r="AU282">
        <f>IF(AND(OR($J282="BUY",$J282="SELL"),ISNUMBER($AK282)),$AK282,"")</f>
        <v/>
      </c>
      <c r="AV282">
        <f>IF(ISNUMBER($AT282),ABS(IF(ISNUMBER($I282),$I282,0)-Settings!$B$24),"")</f>
        <v/>
      </c>
      <c r="AW282">
        <f>IF(ISNUMBER($AV282),$AV282*$AT282,"")</f>
        <v/>
      </c>
      <c r="AX282">
        <f>IF(ISNUMBER($AU282),ABS(IF(ISNUMBER($I282),$I282,0)-Settings!$B$24),"")</f>
        <v/>
      </c>
      <c r="AY282">
        <f>IF(ISNUMBER($AX282),$AX282*$AU282,"")</f>
        <v/>
      </c>
      <c r="AZ282">
        <f>IF($A282="","",IFERROR(INDEX(Company_List!$H$3:$H$207,MATCH($A282,Company_List!$A$3:$A$207,0)),"unassigned"))</f>
        <v/>
      </c>
      <c r="BC282">
        <f>IF($A282="","",IF(COUNTIFS($A$3:$A282,$A282,$C$3:$C282,$C282,$D$3:$D282,$D282,$G$3:$G282,$G282)=1,1,0))</f>
        <v/>
      </c>
      <c r="BG282" t="inlineStr">
        <is>
          <t>no</t>
        </is>
      </c>
      <c r="BK282">
        <f>IF(OR($H282&lt;&gt;"Human",$S282="",$J282="",$Y282="",$Z282=""),"",IF(EXACT(UPPER($J282),UPPER($Y282)),1,0))</f>
        <v/>
      </c>
      <c r="BL282" t="inlineStr">
        <is>
          <t>assumed - no rater record</t>
        </is>
      </c>
      <c r="BM282" t="n">
        <v>1</v>
      </c>
      <c r="BN282" t="inlineStr">
        <is>
          <t>not publisher-identified</t>
        </is>
      </c>
      <c r="BO282" t="inlineStr">
        <is>
          <t>not publisher-identified</t>
        </is>
      </c>
      <c r="BP282" t="inlineStr">
        <is>
          <t>no</t>
        </is>
      </c>
      <c r="BQ282" t="inlineStr">
        <is>
          <t>no</t>
        </is>
      </c>
    </row>
    <row r="283">
      <c r="A283" s="97" t="inlineStr">
        <is>
          <t>Siemens</t>
        </is>
      </c>
      <c r="B283" s="116">
        <f>IF(A283="","",_xlfn.XLOOKUP(A283, Company_List!$A:$A, Company_List!$B:$B, ""))</f>
        <v/>
      </c>
      <c r="C283" s="143" t="n">
        <v>2026</v>
      </c>
      <c r="D283" s="143" t="inlineStr">
        <is>
          <t>Q2</t>
        </is>
      </c>
      <c r="E283" s="144" t="inlineStr">
        <is>
          <t>Press Release Document</t>
        </is>
      </c>
      <c r="F283" s="144" t="inlineStr">
        <is>
          <t>All</t>
        </is>
      </c>
      <c r="G283" s="143" t="inlineStr">
        <is>
          <t>Meriem</t>
        </is>
      </c>
      <c r="H283" s="106" t="inlineStr">
        <is>
          <t>Human</t>
        </is>
      </c>
      <c r="I283" s="145" t="n">
        <v>0.1</v>
      </c>
      <c r="J283" s="145">
        <f>IF(OR(I283="",Settings!$B$6=""),"",IF(I283&gt;Settings!$B$6,"BUY",IF(I283&lt;-Settings!$B$6,"SELL","HOLD")))</f>
        <v/>
      </c>
      <c r="K283" s="145" t="n">
        <v>23</v>
      </c>
      <c r="L283" s="123" t="n">
        <v>46155</v>
      </c>
      <c r="M283" s="123" t="n">
        <v>46155</v>
      </c>
      <c r="N283" s="147" t="n">
        <v>266.8</v>
      </c>
      <c r="O283" s="123" t="n">
        <v>46156</v>
      </c>
      <c r="P283" s="145" t="n">
        <v>270</v>
      </c>
      <c r="Q283" s="151">
        <f>IF(OR(N283="",P283=""),"",ROUND((P283-N283)/N283,4))</f>
        <v/>
      </c>
      <c r="R283" s="118">
        <f>IF(OR(N283="",P283=""),"",IF(Q283&gt;Settings!$B$3/100,"UP",IF(Q283&lt;-Settings!$B$3/100,"DOWN","FLAT")))</f>
        <v/>
      </c>
      <c r="S283" s="118">
        <f>IF(OR(N283="",P283="",J283=""),"",IF(OR(AND(J283="BUY",R283="UP"),AND(J283="SELL",R283="DOWN"),AND(J283="HOLD",R283="FLAT")),"YES","NO"))</f>
        <v/>
      </c>
      <c r="T283" s="119">
        <f>IF(J283="","",IF(J283="BUY",1,IF(J283="SELL",-1,0)))</f>
        <v/>
      </c>
      <c r="U283" s="150">
        <f>IFERROR(IF(OR(J283="",N283="",P283=""),"",IF(T283=0,0,T283*Q283-Settings!$B$4/10000-IF(T283&lt;0,Settings!$B$5/10000,0))),"")</f>
        <v/>
      </c>
      <c r="V283" s="7" t="inlineStr">
        <is>
          <t>Financial performance remained relatively stable despite modest declines in revenue and EPS, while unchanged guidance provides little catalyst for either a buy or sell decision.</t>
        </is>
      </c>
      <c r="W283" s="21">
        <f>IF($K283="","",$K283*60)</f>
        <v/>
      </c>
      <c r="X283" s="91">
        <f>IF($A283="","",$A283&amp;"|"&amp;$C283&amp;"|"&amp;$D283)</f>
        <v/>
      </c>
      <c r="Y283" s="91">
        <f>IFERROR(IF($X283="","",INDEX(LLM_Data_Entry!$H$3:$H$548,MATCH($X283,INDEX(LLM_Data_Entry!$A$3:$A$548&amp;"|"&amp;LLM_Data_Entry!$C$3:$C$548&amp;"|"&amp;LLM_Data_Entry!$D$3:$D$548,0),0))),"")</f>
        <v/>
      </c>
      <c r="Z283" s="91">
        <f>IFERROR(IF($X283="","",INDEX(LLM_Data_Entry!$R$3:$R$548,MATCH($X283,INDEX(LLM_Data_Entry!$A$3:$A$548&amp;"|"&amp;LLM_Data_Entry!$C$3:$C$548&amp;"|"&amp;LLM_Data_Entry!$D$3:$D$548,0),0))),"")</f>
        <v/>
      </c>
      <c r="AB283" t="inlineStr">
        <is>
          <t>release date + stated time</t>
        </is>
      </c>
      <c r="AC283" t="inlineStr">
        <is>
          <t>SIE.DE</t>
        </is>
      </c>
      <c r="AD283" t="inlineStr">
        <is>
          <t>2026-05-12</t>
        </is>
      </c>
      <c r="AE283" t="n">
        <v>264.6</v>
      </c>
      <c r="AF283" t="inlineStr">
        <is>
          <t>2026-05-13</t>
        </is>
      </c>
      <c r="AG283" t="n">
        <v>267.15</v>
      </c>
      <c r="AH283" t="n">
        <v>0.009637142638613488</v>
      </c>
      <c r="AI283" t="inlineStr">
        <is>
          <t>FLAT</t>
        </is>
      </c>
      <c r="AJ283" t="inlineStr">
        <is>
          <t>YES</t>
        </is>
      </c>
      <c r="AK283" t="n">
        <v>0</v>
      </c>
      <c r="AL283">
        <f>IF($A283="","",IFERROR(INDEX(Company_List!$G$3:$G$207,MATCH($A283,Company_List!$A$3:$A$207,0)),"unassigned"))</f>
        <v/>
      </c>
      <c r="AM283" t="inlineStr">
        <is>
          <t>Phase 3/Readings/Siemens/Siemens Q2 2026 earnings release.pdf</t>
        </is>
      </c>
      <c r="AO283" t="inlineStr">
        <is>
          <t>unique filename match</t>
        </is>
      </c>
      <c r="AP283">
        <f>IF($A283="","",IF(COUNTIFS(LLM_Data_Entry!$A$3:$A$548,$A283)&gt;0,"YES","NO"))</f>
        <v/>
      </c>
      <c r="AQ283">
        <f>IF($A283="","",IF(COUNTIFS($A$3:$A283,$A283,$C$3:$C283,$C283,$D$3:$D283,$D283)=1,"YES","NO"))</f>
        <v/>
      </c>
      <c r="AR283">
        <f>IF($A283="","",IF(AND($C283&amp;"-"&amp;$D283&gt;=Settings!$B$19,$C283&amp;"-"&amp;$D283&lt;=Settings!$B$20),"IN","OUT"))</f>
        <v/>
      </c>
      <c r="AS283">
        <f>IF($A283="","",IF($F283="Financial Results","financials",IF($F283="Outlook/Guidance","guidance",IF($F283="Transcript Q&amp;A","qanda",IF($F283="","unrecorded",IF($E283="All","full",IF($E283="","unrecorded",LOWER($E283)&amp;" only")))))))</f>
        <v/>
      </c>
      <c r="AT283">
        <f>IF(AND(OR($J283="BUY",$J283="SELL"),ISNUMBER($U283)),$U283,"")</f>
        <v/>
      </c>
      <c r="AU283">
        <f>IF(AND(OR($J283="BUY",$J283="SELL"),ISNUMBER($AK283)),$AK283,"")</f>
        <v/>
      </c>
      <c r="AV283">
        <f>IF(ISNUMBER($AT283),ABS(IF(ISNUMBER($I283),$I283,0)-Settings!$B$24),"")</f>
        <v/>
      </c>
      <c r="AW283">
        <f>IF(ISNUMBER($AV283),$AV283*$AT283,"")</f>
        <v/>
      </c>
      <c r="AX283">
        <f>IF(ISNUMBER($AU283),ABS(IF(ISNUMBER($I283),$I283,0)-Settings!$B$24),"")</f>
        <v/>
      </c>
      <c r="AY283">
        <f>IF(ISNUMBER($AX283),$AX283*$AU283,"")</f>
        <v/>
      </c>
      <c r="AZ283">
        <f>IF($A283="","",IFERROR(INDEX(Company_List!$H$3:$H$207,MATCH($A283,Company_List!$A$3:$A$207,0)),"unassigned"))</f>
        <v/>
      </c>
      <c r="BC283">
        <f>IF($A283="","",IF(COUNTIFS($A$3:$A283,$A283,$C$3:$C283,$C283,$D$3:$D283,$D283,$G$3:$G283,$G283)=1,1,0))</f>
        <v/>
      </c>
      <c r="BG283" t="inlineStr">
        <is>
          <t>no</t>
        </is>
      </c>
      <c r="BK283">
        <f>IF(OR($H283&lt;&gt;"Human",$S283="",$J283="",$Y283="",$Z283=""),"",IF(EXACT(UPPER($J283),UPPER($Y283)),1,0))</f>
        <v/>
      </c>
      <c r="BL283" t="inlineStr">
        <is>
          <t>assumed - no rater record</t>
        </is>
      </c>
      <c r="BM283" t="n">
        <v>1</v>
      </c>
      <c r="BN283" t="inlineStr">
        <is>
          <t>not publisher-identified</t>
        </is>
      </c>
      <c r="BO283" t="inlineStr">
        <is>
          <t>not publisher-identified</t>
        </is>
      </c>
      <c r="BP283" t="inlineStr">
        <is>
          <t>no</t>
        </is>
      </c>
      <c r="BQ283" t="inlineStr">
        <is>
          <t>no</t>
        </is>
      </c>
    </row>
    <row r="284">
      <c r="A284" s="97" t="inlineStr">
        <is>
          <t>Costco</t>
        </is>
      </c>
      <c r="B284" s="116">
        <f>IF(A284="","",_xlfn.XLOOKUP(A284, Company_List!$A:$A, Company_List!$B:$B, ""))</f>
        <v/>
      </c>
      <c r="C284" s="143" t="n">
        <v>2026</v>
      </c>
      <c r="D284" s="143" t="inlineStr">
        <is>
          <t>Q1</t>
        </is>
      </c>
      <c r="E284" s="144" t="inlineStr">
        <is>
          <t>All</t>
        </is>
      </c>
      <c r="F284" s="144" t="inlineStr">
        <is>
          <t>All</t>
        </is>
      </c>
      <c r="G284" s="143" t="inlineStr">
        <is>
          <t>Meriem</t>
        </is>
      </c>
      <c r="H284" s="106" t="inlineStr">
        <is>
          <t>Human</t>
        </is>
      </c>
      <c r="I284" s="145" t="n">
        <v>0.4</v>
      </c>
      <c r="J284" s="145">
        <f>IF(OR(I284="",Settings!$B$6=""),"",IF(I284&gt;Settings!$B$6,"BUY",IF(I284&lt;-Settings!$B$6,"SELL","HOLD")))</f>
        <v/>
      </c>
      <c r="K284" s="145" t="n">
        <v>40</v>
      </c>
      <c r="L284" s="123" t="n">
        <v>46002</v>
      </c>
      <c r="M284" s="123" t="n">
        <v>46002</v>
      </c>
      <c r="N284" s="147" t="n">
        <v>884.48</v>
      </c>
      <c r="O284" s="123" t="n">
        <v>46003</v>
      </c>
      <c r="P284" s="145" t="n">
        <v>883.3</v>
      </c>
      <c r="Q284" s="151">
        <f>IF(OR(N284="",P284=""),"",ROUND((P284-N284)/N284,4))</f>
        <v/>
      </c>
      <c r="R284" s="118">
        <f>IF(OR(N284="",P284=""),"",IF(Q284&gt;Settings!$B$3/100,"UP",IF(Q284&lt;-Settings!$B$3/100,"DOWN","FLAT")))</f>
        <v/>
      </c>
      <c r="S284" s="118">
        <f>IF(OR(N284="",P284="",J284=""),"",IF(OR(AND(J284="BUY",R284="UP"),AND(J284="SELL",R284="DOWN"),AND(J284="HOLD",R284="FLAT")),"YES","NO"))</f>
        <v/>
      </c>
      <c r="T284" s="119">
        <f>IF(J284="","",IF(J284="BUY",1,IF(J284="SELL",-1,0)))</f>
        <v/>
      </c>
      <c r="U284" s="150">
        <f>IFERROR(IF(OR(J284="",N284="",P284=""),"",IF(T284=0,0,T284*Q284-Settings!$B$4/10000-IF(T284&lt;0,Settings!$B$5/10000,0))),"")</f>
        <v/>
      </c>
      <c r="V284" s="7" t="inlineStr">
        <is>
          <t>Strong sales, earnings and membership growth outweighed modest renewal rate declines and tariff-related uncertainty, supporting a BUY.</t>
        </is>
      </c>
      <c r="W284" s="21">
        <f>IF($K284="","",$K284*60)</f>
        <v/>
      </c>
      <c r="X284" s="91">
        <f>IF($A284="","",$A284&amp;"|"&amp;$C284&amp;"|"&amp;$D284)</f>
        <v/>
      </c>
      <c r="Y284" s="91">
        <f>IFERROR(IF($X284="","",INDEX(LLM_Data_Entry!$H$3:$H$548,MATCH($X284,INDEX(LLM_Data_Entry!$A$3:$A$548&amp;"|"&amp;LLM_Data_Entry!$C$3:$C$548&amp;"|"&amp;LLM_Data_Entry!$D$3:$D$548,0),0))),"")</f>
        <v/>
      </c>
      <c r="Z284" s="91">
        <f>IFERROR(IF($X284="","",INDEX(LLM_Data_Entry!$R$3:$R$548,MATCH($X284,INDEX(LLM_Data_Entry!$A$3:$A$548&amp;"|"&amp;LLM_Data_Entry!$C$3:$C$548&amp;"|"&amp;LLM_Data_Entry!$D$3:$D$548,0),0))),"")</f>
        <v/>
      </c>
      <c r="AB284" t="inlineStr">
        <is>
          <t>release date + stated time in the document (rater worksheet)</t>
        </is>
      </c>
      <c r="AC284" t="inlineStr">
        <is>
          <t>COST</t>
        </is>
      </c>
      <c r="AD284" t="inlineStr">
        <is>
          <t>2025-12-11</t>
        </is>
      </c>
      <c r="AE284" t="n">
        <v>880.5934</v>
      </c>
      <c r="AF284" t="inlineStr">
        <is>
          <t>2025-12-12</t>
        </is>
      </c>
      <c r="AG284" t="n">
        <v>879.4186999999999</v>
      </c>
      <c r="AH284" t="n">
        <v>-0.001334090039663578</v>
      </c>
      <c r="AI284" t="inlineStr">
        <is>
          <t>FLAT</t>
        </is>
      </c>
      <c r="AJ284" t="inlineStr">
        <is>
          <t>NO</t>
        </is>
      </c>
      <c r="AK284" t="n">
        <v>-0.002334</v>
      </c>
      <c r="AL284">
        <f>IF($A284="","",IFERROR(INDEX(Company_List!$G$3:$G$207,MATCH($A284,Company_List!$A$3:$A$207,0)),"unassigned"))</f>
        <v/>
      </c>
      <c r="AM284" t="inlineStr">
        <is>
          <t>Phase 3/Readings/Costco/Q1 26/Costco Wholesale Q1 26 - Costco Wholesale Corporation Reports First Quarter Fiscal Year 2026 O.pdf; Phase 3/Readings/Costco/Q1 26/Costco (COST) Q1 2026 Earnings Call Transcript.pdf</t>
        </is>
      </c>
      <c r="AO284" t="inlineStr">
        <is>
          <t>whole bundle (Document = All)</t>
        </is>
      </c>
      <c r="AP284">
        <f>IF($A284="","",IF(COUNTIFS(LLM_Data_Entry!$A$3:$A$548,$A284)&gt;0,"YES","NO"))</f>
        <v/>
      </c>
      <c r="AQ284">
        <f>IF($A284="","",IF(COUNTIFS($A$3:$A284,$A284,$C$3:$C284,$C284,$D$3:$D284,$D284)=1,"YES","NO"))</f>
        <v/>
      </c>
      <c r="AR284">
        <f>IF($A284="","",IF(AND($C284&amp;"-"&amp;$D284&gt;=Settings!$B$19,$C284&amp;"-"&amp;$D284&lt;=Settings!$B$20),"IN","OUT"))</f>
        <v/>
      </c>
      <c r="AS284">
        <f>IF($A284="","",IF($F284="Financial Results","financials",IF($F284="Outlook/Guidance","guidance",IF($F284="Transcript Q&amp;A","qanda",IF($F284="","unrecorded",IF($E284="All","full",IF($E284="","unrecorded",LOWER($E284)&amp;" only")))))))</f>
        <v/>
      </c>
      <c r="AT284">
        <f>IF(AND(OR($J284="BUY",$J284="SELL"),ISNUMBER($U284)),$U284,"")</f>
        <v/>
      </c>
      <c r="AU284">
        <f>IF(AND(OR($J284="BUY",$J284="SELL"),ISNUMBER($AK284)),$AK284,"")</f>
        <v/>
      </c>
      <c r="AV284">
        <f>IF(ISNUMBER($AT284),ABS(IF(ISNUMBER($I284),$I284,0)-Settings!$B$24),"")</f>
        <v/>
      </c>
      <c r="AW284">
        <f>IF(ISNUMBER($AV284),$AV284*$AT284,"")</f>
        <v/>
      </c>
      <c r="AX284">
        <f>IF(ISNUMBER($AU284),ABS(IF(ISNUMBER($I284),$I284,0)-Settings!$B$24),"")</f>
        <v/>
      </c>
      <c r="AY284">
        <f>IF(ISNUMBER($AX284),$AX284*$AU284,"")</f>
        <v/>
      </c>
      <c r="AZ284">
        <f>IF($A284="","",IFERROR(INDEX(Company_List!$H$3:$H$207,MATCH($A284,Company_List!$A$3:$A$207,0)),"unassigned"))</f>
        <v/>
      </c>
      <c r="BC284">
        <f>IF($A284="","",IF(COUNTIFS($A$3:$A284,$A284,$C$3:$C284,$C284,$D$3:$D284,$D284,$G$3:$G284,$G284)=1,1,0))</f>
        <v/>
      </c>
      <c r="BG284" t="inlineStr">
        <is>
          <t>no</t>
        </is>
      </c>
      <c r="BK284">
        <f>IF(OR($H284&lt;&gt;"Human",$S284="",$J284="",$Y284="",$Z284=""),"",IF(EXACT(UPPER($J284),UPPER($Y284)),1,0))</f>
        <v/>
      </c>
      <c r="BL284" t="inlineStr">
        <is>
          <t>assumed - no rater record</t>
        </is>
      </c>
      <c r="BM284" t="n">
        <v>2</v>
      </c>
      <c r="BN284" t="inlineStr">
        <is>
          <t>The Motley Fool</t>
        </is>
      </c>
      <c r="BO284" t="inlineStr">
        <is>
          <t>free to read, copyright asserted</t>
        </is>
      </c>
      <c r="BP284" t="inlineStr">
        <is>
          <t>no</t>
        </is>
      </c>
      <c r="BQ284" t="inlineStr">
        <is>
          <t>no</t>
        </is>
      </c>
    </row>
    <row r="285">
      <c r="A285" s="97" t="inlineStr">
        <is>
          <t>Costco</t>
        </is>
      </c>
      <c r="B285" s="116">
        <f>IF(A285="","",_xlfn.XLOOKUP(A285, Company_List!$A:$A, Company_List!$B:$B, ""))</f>
        <v/>
      </c>
      <c r="C285" s="143" t="n">
        <v>2026</v>
      </c>
      <c r="D285" s="143" t="inlineStr">
        <is>
          <t>Q2</t>
        </is>
      </c>
      <c r="E285" s="144" t="inlineStr">
        <is>
          <t>All</t>
        </is>
      </c>
      <c r="F285" s="144" t="inlineStr">
        <is>
          <t>All</t>
        </is>
      </c>
      <c r="G285" s="143" t="inlineStr">
        <is>
          <t>Meriem</t>
        </is>
      </c>
      <c r="H285" s="106" t="inlineStr">
        <is>
          <t>Human</t>
        </is>
      </c>
      <c r="I285" s="145" t="n">
        <v>0.3</v>
      </c>
      <c r="J285" s="145">
        <f>IF(OR(I285="",Settings!$B$6=""),"",IF(I285&gt;Settings!$B$6,"BUY",IF(I285&lt;-Settings!$B$6,"SELL","HOLD")))</f>
        <v/>
      </c>
      <c r="K285" s="145" t="n">
        <v>46</v>
      </c>
      <c r="L285" s="123" t="n">
        <v>46086</v>
      </c>
      <c r="M285" s="123" t="n">
        <v>46086</v>
      </c>
      <c r="N285" s="147" t="n">
        <v>982.5700000000001</v>
      </c>
      <c r="O285" s="123" t="n">
        <v>46087</v>
      </c>
      <c r="P285" s="145" t="n">
        <v>967.01</v>
      </c>
      <c r="Q285" s="151">
        <f>IF(OR(N285="",P285=""),"",ROUND((P285-N285)/N285,4))</f>
        <v/>
      </c>
      <c r="R285" s="118">
        <f>IF(OR(N285="",P285=""),"",IF(Q285&gt;Settings!$B$3/100,"UP",IF(Q285&lt;-Settings!$B$3/100,"DOWN","FLAT")))</f>
        <v/>
      </c>
      <c r="S285" s="118">
        <f>IF(OR(N285="",P285="",J285=""),"",IF(OR(AND(J285="BUY",R285="UP"),AND(J285="SELL",R285="DOWN"),AND(J285="HOLD",R285="FLAT")),"YES","NO"))</f>
        <v/>
      </c>
      <c r="T285" s="119">
        <f>IF(J285="","",IF(J285="BUY",1,IF(J285="SELL",-1,0)))</f>
        <v/>
      </c>
      <c r="U285" s="150">
        <f>IFERROR(IF(OR(J285="",N285="",P285=""),"",IF(T285=0,0,T285*Q285-Settings!$B$4/10000-IF(T285&lt;0,Settings!$B$5/10000,0))),"")</f>
        <v/>
      </c>
      <c r="V285" s="7" t="inlineStr">
        <is>
          <t>Continued revenue growth, warehouse expansion and positive long-term plans offset sourcing and geopolitical risks, leading to a BUY.</t>
        </is>
      </c>
      <c r="W285" s="21">
        <f>IF($K285="","",$K285*60)</f>
        <v/>
      </c>
      <c r="X285" s="91">
        <f>IF($A285="","",$A285&amp;"|"&amp;$C285&amp;"|"&amp;$D285)</f>
        <v/>
      </c>
      <c r="Y285" s="91">
        <f>IFERROR(IF($X285="","",INDEX(LLM_Data_Entry!$H$3:$H$548,MATCH($X285,INDEX(LLM_Data_Entry!$A$3:$A$548&amp;"|"&amp;LLM_Data_Entry!$C$3:$C$548&amp;"|"&amp;LLM_Data_Entry!$D$3:$D$548,0),0))),"")</f>
        <v/>
      </c>
      <c r="Z285" s="91">
        <f>IFERROR(IF($X285="","",INDEX(LLM_Data_Entry!$R$3:$R$548,MATCH($X285,INDEX(LLM_Data_Entry!$A$3:$A$548&amp;"|"&amp;LLM_Data_Entry!$C$3:$C$548&amp;"|"&amp;LLM_Data_Entry!$D$3:$D$548,0),0))),"")</f>
        <v/>
      </c>
      <c r="AB285" t="inlineStr">
        <is>
          <t>release date + stated time in the document (rater worksheet)</t>
        </is>
      </c>
      <c r="AC285" t="inlineStr">
        <is>
          <t>COST</t>
        </is>
      </c>
      <c r="AD285" t="inlineStr">
        <is>
          <t>2026-03-05</t>
        </is>
      </c>
      <c r="AE285" t="n">
        <v>979.5889</v>
      </c>
      <c r="AF285" t="inlineStr">
        <is>
          <t>2026-03-06</t>
        </is>
      </c>
      <c r="AG285" t="n">
        <v>964.0761</v>
      </c>
      <c r="AH285" t="n">
        <v>-0.01583608167794512</v>
      </c>
      <c r="AI285" t="inlineStr">
        <is>
          <t>FLAT</t>
        </is>
      </c>
      <c r="AJ285" t="inlineStr">
        <is>
          <t>NO</t>
        </is>
      </c>
      <c r="AK285" t="n">
        <v>-0.016836</v>
      </c>
      <c r="AL285">
        <f>IF($A285="","",IFERROR(INDEX(Company_List!$G$3:$G$207,MATCH($A285,Company_List!$A$3:$A$207,0)),"unassigned"))</f>
        <v/>
      </c>
      <c r="AM285" t="inlineStr">
        <is>
          <t>Phase 2/Costco/2026-Q2/COST-2026-Q2-press-release-SEC-EX-99-1.htm</t>
        </is>
      </c>
      <c r="AN285" t="inlineStr">
        <is>
          <t>https://www.sec.gov/Archives/edgar/data/909832/000090983226000025/costex9918-k3526.htm</t>
        </is>
      </c>
      <c r="AO285" t="inlineStr">
        <is>
          <t>manifest</t>
        </is>
      </c>
      <c r="AP285">
        <f>IF($A285="","",IF(COUNTIFS(LLM_Data_Entry!$A$3:$A$548,$A285)&gt;0,"YES","NO"))</f>
        <v/>
      </c>
      <c r="AQ285">
        <f>IF($A285="","",IF(COUNTIFS($A$3:$A285,$A285,$C$3:$C285,$C285,$D$3:$D285,$D285)=1,"YES","NO"))</f>
        <v/>
      </c>
      <c r="AR285">
        <f>IF($A285="","",IF(AND($C285&amp;"-"&amp;$D285&gt;=Settings!$B$19,$C285&amp;"-"&amp;$D285&lt;=Settings!$B$20),"IN","OUT"))</f>
        <v/>
      </c>
      <c r="AS285">
        <f>IF($A285="","",IF($F285="Financial Results","financials",IF($F285="Outlook/Guidance","guidance",IF($F285="Transcript Q&amp;A","qanda",IF($F285="","unrecorded",IF($E285="All","full",IF($E285="","unrecorded",LOWER($E285)&amp;" only")))))))</f>
        <v/>
      </c>
      <c r="AT285">
        <f>IF(AND(OR($J285="BUY",$J285="SELL"),ISNUMBER($U285)),$U285,"")</f>
        <v/>
      </c>
      <c r="AU285">
        <f>IF(AND(OR($J285="BUY",$J285="SELL"),ISNUMBER($AK285)),$AK285,"")</f>
        <v/>
      </c>
      <c r="AV285">
        <f>IF(ISNUMBER($AT285),ABS(IF(ISNUMBER($I285),$I285,0)-Settings!$B$24),"")</f>
        <v/>
      </c>
      <c r="AW285">
        <f>IF(ISNUMBER($AV285),$AV285*$AT285,"")</f>
        <v/>
      </c>
      <c r="AX285">
        <f>IF(ISNUMBER($AU285),ABS(IF(ISNUMBER($I285),$I285,0)-Settings!$B$24),"")</f>
        <v/>
      </c>
      <c r="AY285">
        <f>IF(ISNUMBER($AX285),$AX285*$AU285,"")</f>
        <v/>
      </c>
      <c r="AZ285">
        <f>IF($A285="","",IFERROR(INDEX(Company_List!$H$3:$H$207,MATCH($A285,Company_List!$A$3:$A$207,0)),"unassigned"))</f>
        <v/>
      </c>
      <c r="BC285">
        <f>IF($A285="","",IF(COUNTIFS($A$3:$A285,$A285,$C$3:$C285,$C285,$D$3:$D285,$D285,$G$3:$G285,$G285)=1,1,0))</f>
        <v/>
      </c>
      <c r="BG285" t="inlineStr">
        <is>
          <t>no</t>
        </is>
      </c>
      <c r="BK285">
        <f>IF(OR($H285&lt;&gt;"Human",$S285="",$J285="",$Y285="",$Z285=""),"",IF(EXACT(UPPER($J285),UPPER($Y285)),1,0))</f>
        <v/>
      </c>
      <c r="BL285" t="inlineStr">
        <is>
          <t>assumed - no rater record</t>
        </is>
      </c>
      <c r="BM285" t="n">
        <v>1</v>
      </c>
      <c r="BN285" t="inlineStr">
        <is>
          <t>not publisher-identified</t>
        </is>
      </c>
      <c r="BO285" t="inlineStr">
        <is>
          <t>not publisher-identified</t>
        </is>
      </c>
      <c r="BP285" t="inlineStr">
        <is>
          <t>no</t>
        </is>
      </c>
      <c r="BQ285" t="inlineStr">
        <is>
          <t>yes</t>
        </is>
      </c>
    </row>
    <row r="286">
      <c r="A286" s="97" t="inlineStr">
        <is>
          <t>Costco</t>
        </is>
      </c>
      <c r="B286" s="116">
        <f>IF(A286="","",_xlfn.XLOOKUP(A286, Company_List!$A:$A, Company_List!$B:$B, ""))</f>
        <v/>
      </c>
      <c r="C286" s="143" t="n">
        <v>2026</v>
      </c>
      <c r="D286" s="143" t="inlineStr">
        <is>
          <t>Q3</t>
        </is>
      </c>
      <c r="E286" s="144" t="inlineStr">
        <is>
          <t>All</t>
        </is>
      </c>
      <c r="F286" s="144" t="inlineStr">
        <is>
          <t>All</t>
        </is>
      </c>
      <c r="G286" s="143" t="inlineStr">
        <is>
          <t>Meriem</t>
        </is>
      </c>
      <c r="H286" s="106" t="inlineStr">
        <is>
          <t>Human</t>
        </is>
      </c>
      <c r="I286" s="145" t="n">
        <v>0.5</v>
      </c>
      <c r="J286" s="145">
        <f>IF(OR(I286="",Settings!$B$6=""),"",IF(I286&gt;Settings!$B$6,"BUY",IF(I286&lt;-Settings!$B$6,"SELL","HOLD")))</f>
        <v/>
      </c>
      <c r="K286" s="145" t="n">
        <v>50</v>
      </c>
      <c r="L286" s="123" t="n">
        <v>46170</v>
      </c>
      <c r="M286" s="123" t="n">
        <v>46170</v>
      </c>
      <c r="N286" s="147" t="n">
        <v>995.2</v>
      </c>
      <c r="O286" s="123" t="n">
        <v>46171</v>
      </c>
      <c r="P286" s="145" t="n">
        <v>986.5700000000001</v>
      </c>
      <c r="Q286" s="151">
        <f>IF(OR(N286="",P286=""),"",ROUND((P286-N286)/N286,4))</f>
        <v/>
      </c>
      <c r="R286" s="118">
        <f>IF(OR(N286="",P286=""),"",IF(Q286&gt;Settings!$B$3/100,"UP",IF(Q286&lt;-Settings!$B$3/100,"DOWN","FLAT")))</f>
        <v/>
      </c>
      <c r="S286" s="118">
        <f>IF(OR(N286="",P286="",J286=""),"",IF(OR(AND(J286="BUY",R286="UP"),AND(J286="SELL",R286="DOWN"),AND(J286="HOLD",R286="FLAT")),"YES","NO"))</f>
        <v/>
      </c>
      <c r="T286" s="119">
        <f>IF(J286="","",IF(J286="BUY",1,IF(J286="SELL",-1,0)))</f>
        <v/>
      </c>
      <c r="U286" s="150">
        <f>IFERROR(IF(OR(J286="",N286="",P286=""),"",IF(T286=0,0,T286*Q286-Settings!$B$4/10000-IF(T286&lt;0,Settings!$B$5/10000,0))),"")</f>
        <v/>
      </c>
      <c r="V286" s="7" t="inlineStr">
        <is>
          <t>Strong sales, earnings and digital engagement more than compensated for margin pressure and slower membership growth, supporting a confident BUY.</t>
        </is>
      </c>
      <c r="W286" s="21">
        <f>IF($K286="","",$K286*60)</f>
        <v/>
      </c>
      <c r="X286" s="91">
        <f>IF($A286="","",$A286&amp;"|"&amp;$C286&amp;"|"&amp;$D286)</f>
        <v/>
      </c>
      <c r="Y286" s="91">
        <f>IFERROR(IF($X286="","",INDEX(LLM_Data_Entry!$H$3:$H$548,MATCH($X286,INDEX(LLM_Data_Entry!$A$3:$A$548&amp;"|"&amp;LLM_Data_Entry!$C$3:$C$548&amp;"|"&amp;LLM_Data_Entry!$D$3:$D$548,0),0))),"")</f>
        <v/>
      </c>
      <c r="Z286" s="91">
        <f>IFERROR(IF($X286="","",INDEX(LLM_Data_Entry!$R$3:$R$548,MATCH($X286,INDEX(LLM_Data_Entry!$A$3:$A$548&amp;"|"&amp;LLM_Data_Entry!$C$3:$C$548&amp;"|"&amp;LLM_Data_Entry!$D$3:$D$548,0),0))),"")</f>
        <v/>
      </c>
      <c r="AB286" t="inlineStr">
        <is>
          <t>earnings calendar, seconded independently</t>
        </is>
      </c>
      <c r="AC286" t="inlineStr">
        <is>
          <t>COST</t>
        </is>
      </c>
      <c r="AD286" t="inlineStr">
        <is>
          <t>2026-05-28</t>
        </is>
      </c>
      <c r="AE286" t="n">
        <v>993.6202</v>
      </c>
      <c r="AF286" t="inlineStr">
        <is>
          <t>2026-05-29</t>
        </is>
      </c>
      <c r="AG286" t="n">
        <v>985.0039</v>
      </c>
      <c r="AH286" t="n">
        <v>-0.008671639954925163</v>
      </c>
      <c r="AI286" t="inlineStr">
        <is>
          <t>FLAT</t>
        </is>
      </c>
      <c r="AJ286" t="inlineStr">
        <is>
          <t>NO</t>
        </is>
      </c>
      <c r="AK286" t="n">
        <v>-0.009672</v>
      </c>
      <c r="AL286">
        <f>IF($A286="","",IFERROR(INDEX(Company_List!$G$3:$G$207,MATCH($A286,Company_List!$A$3:$A$207,0)),"unassigned"))</f>
        <v/>
      </c>
      <c r="AM286" t="inlineStr">
        <is>
          <t>Phase 3/Readings/Costco/Q3 26/Costco (COST) Q3 2026 Earnings Transcript.pdf</t>
        </is>
      </c>
      <c r="AO286" t="inlineStr">
        <is>
          <t>unique filename match</t>
        </is>
      </c>
      <c r="AP286">
        <f>IF($A286="","",IF(COUNTIFS(LLM_Data_Entry!$A$3:$A$548,$A286)&gt;0,"YES","NO"))</f>
        <v/>
      </c>
      <c r="AQ286">
        <f>IF($A286="","",IF(COUNTIFS($A$3:$A286,$A286,$C$3:$C286,$C286,$D$3:$D286,$D286)=1,"YES","NO"))</f>
        <v/>
      </c>
      <c r="AR286">
        <f>IF($A286="","",IF(AND($C286&amp;"-"&amp;$D286&gt;=Settings!$B$19,$C286&amp;"-"&amp;$D286&lt;=Settings!$B$20),"IN","OUT"))</f>
        <v/>
      </c>
      <c r="AS286">
        <f>IF($A286="","",IF($F286="Financial Results","financials",IF($F286="Outlook/Guidance","guidance",IF($F286="Transcript Q&amp;A","qanda",IF($F286="","unrecorded",IF($E286="All","full",IF($E286="","unrecorded",LOWER($E286)&amp;" only")))))))</f>
        <v/>
      </c>
      <c r="AT286">
        <f>IF(AND(OR($J286="BUY",$J286="SELL"),ISNUMBER($U286)),$U286,"")</f>
        <v/>
      </c>
      <c r="AU286">
        <f>IF(AND(OR($J286="BUY",$J286="SELL"),ISNUMBER($AK286)),$AK286,"")</f>
        <v/>
      </c>
      <c r="AV286">
        <f>IF(ISNUMBER($AT286),ABS(IF(ISNUMBER($I286),$I286,0)-Settings!$B$24),"")</f>
        <v/>
      </c>
      <c r="AW286">
        <f>IF(ISNUMBER($AV286),$AV286*$AT286,"")</f>
        <v/>
      </c>
      <c r="AX286">
        <f>IF(ISNUMBER($AU286),ABS(IF(ISNUMBER($I286),$I286,0)-Settings!$B$24),"")</f>
        <v/>
      </c>
      <c r="AY286">
        <f>IF(ISNUMBER($AX286),$AX286*$AU286,"")</f>
        <v/>
      </c>
      <c r="AZ286">
        <f>IF($A286="","",IFERROR(INDEX(Company_List!$H$3:$H$207,MATCH($A286,Company_List!$A$3:$A$207,0)),"unassigned"))</f>
        <v/>
      </c>
      <c r="BC286">
        <f>IF($A286="","",IF(COUNTIFS($A$3:$A286,$A286,$C$3:$C286,$C286,$D$3:$D286,$D286,$G$3:$G286,$G286)=1,1,0))</f>
        <v/>
      </c>
      <c r="BG286" t="inlineStr">
        <is>
          <t>no</t>
        </is>
      </c>
      <c r="BK286">
        <f>IF(OR($H286&lt;&gt;"Human",$S286="",$J286="",$Y286="",$Z286=""),"",IF(EXACT(UPPER($J286),UPPER($Y286)),1,0))</f>
        <v/>
      </c>
      <c r="BL286" t="inlineStr">
        <is>
          <t>assumed - no rater record</t>
        </is>
      </c>
      <c r="BM286" t="n">
        <v>1</v>
      </c>
      <c r="BN286" t="inlineStr">
        <is>
          <t>The Motley Fool</t>
        </is>
      </c>
      <c r="BO286" t="inlineStr">
        <is>
          <t>free to read, copyright asserted</t>
        </is>
      </c>
      <c r="BP286" t="inlineStr">
        <is>
          <t>no</t>
        </is>
      </c>
      <c r="BQ286" t="inlineStr">
        <is>
          <t>no</t>
        </is>
      </c>
    </row>
    <row r="287">
      <c r="A287" s="97" t="inlineStr">
        <is>
          <t>Shopify</t>
        </is>
      </c>
      <c r="B287" s="116">
        <f>IF(A287="","",_xlfn.XLOOKUP(A287, Company_List!$A:$A, Company_List!$B:$B, ""))</f>
        <v/>
      </c>
      <c r="C287" s="143" t="n">
        <v>2025</v>
      </c>
      <c r="D287" s="143" t="inlineStr">
        <is>
          <t>Q3</t>
        </is>
      </c>
      <c r="E287" s="144" t="inlineStr">
        <is>
          <t>All</t>
        </is>
      </c>
      <c r="F287" s="144" t="inlineStr">
        <is>
          <t>All</t>
        </is>
      </c>
      <c r="G287" s="143" t="inlineStr">
        <is>
          <t>Meriem</t>
        </is>
      </c>
      <c r="H287" s="106" t="inlineStr">
        <is>
          <t>Human</t>
        </is>
      </c>
      <c r="I287" s="145" t="n">
        <v>0.4</v>
      </c>
      <c r="J287" s="145">
        <f>IF(OR(I287="",Settings!$B$6=""),"",IF(I287&gt;Settings!$B$6,"BUY",IF(I287&lt;-Settings!$B$6,"SELL","HOLD")))</f>
        <v/>
      </c>
      <c r="K287" s="145" t="n">
        <v>45</v>
      </c>
      <c r="L287" s="123" t="n">
        <v>45965</v>
      </c>
      <c r="M287" s="123" t="n">
        <v>45965</v>
      </c>
      <c r="N287" s="147" t="n">
        <v>160.94</v>
      </c>
      <c r="O287" s="123" t="n">
        <v>45966</v>
      </c>
      <c r="P287" s="145" t="n">
        <v>159.56</v>
      </c>
      <c r="Q287" s="151">
        <f>IF(OR(N287="",P287=""),"",ROUND((P287-N287)/N287,4))</f>
        <v/>
      </c>
      <c r="R287" s="118">
        <f>IF(OR(N287="",P287=""),"",IF(Q287&gt;Settings!$B$3/100,"UP",IF(Q287&lt;-Settings!$B$3/100,"DOWN","FLAT")))</f>
        <v/>
      </c>
      <c r="S287" s="118">
        <f>IF(OR(N287="",P287="",J287=""),"",IF(OR(AND(J287="BUY",R287="UP"),AND(J287="SELL",R287="DOWN"),AND(J287="HOLD",R287="FLAT")),"YES","NO"))</f>
        <v/>
      </c>
      <c r="T287" s="119">
        <f>IF(J287="","",IF(J287="BUY",1,IF(J287="SELL",-1,0)))</f>
        <v/>
      </c>
      <c r="U287" s="150">
        <f>IFERROR(IF(OR(J287="",N287="",P287=""),"",IF(T287=0,0,T287*Q287-Settings!$B$4/10000-IF(T287&lt;0,Settings!$B$5/10000,0))),"")</f>
        <v/>
      </c>
      <c r="V287" s="7" t="inlineStr">
        <is>
          <t>Solid financial results and major customer wins offset lower gross margins and a more moderate growth outlook, supporting a BUY.</t>
        </is>
      </c>
      <c r="W287" s="21">
        <f>IF($K287="","",$K287*60)</f>
        <v/>
      </c>
      <c r="X287" s="91">
        <f>IF($A287="","",$A287&amp;"|"&amp;$C287&amp;"|"&amp;$D287)</f>
        <v/>
      </c>
      <c r="Y287" s="91">
        <f>IFERROR(IF($X287="","",INDEX(LLM_Data_Entry!$H$3:$H$548,MATCH($X287,INDEX(LLM_Data_Entry!$A$3:$A$548&amp;"|"&amp;LLM_Data_Entry!$C$3:$C$548&amp;"|"&amp;LLM_Data_Entry!$D$3:$D$548,0),0))),"")</f>
        <v/>
      </c>
      <c r="Z287" s="91">
        <f>IFERROR(IF($X287="","",INDEX(LLM_Data_Entry!$R$3:$R$548,MATCH($X287,INDEX(LLM_Data_Entry!$A$3:$A$548&amp;"|"&amp;LLM_Data_Entry!$C$3:$C$548&amp;"|"&amp;LLM_Data_Entry!$D$3:$D$548,0),0))),"")</f>
        <v/>
      </c>
      <c r="AB287" t="inlineStr">
        <is>
          <t>release date + stated time</t>
        </is>
      </c>
      <c r="AC287" t="inlineStr">
        <is>
          <t>SHOP</t>
        </is>
      </c>
      <c r="AD287" t="inlineStr">
        <is>
          <t>2025-11-03</t>
        </is>
      </c>
      <c r="AE287" t="n">
        <v>172.94</v>
      </c>
      <c r="AF287" t="inlineStr">
        <is>
          <t>2025-11-04</t>
        </is>
      </c>
      <c r="AG287" t="n">
        <v>163.065</v>
      </c>
      <c r="AH287" t="n">
        <v>-0.05710072791603183</v>
      </c>
      <c r="AI287" t="inlineStr">
        <is>
          <t>DOWN</t>
        </is>
      </c>
      <c r="AJ287" t="inlineStr">
        <is>
          <t>NO</t>
        </is>
      </c>
      <c r="AK287" t="n">
        <v>-0.058101</v>
      </c>
      <c r="AL287">
        <f>IF($A287="","",IFERROR(INDEX(Company_List!$G$3:$G$207,MATCH($A287,Company_List!$A$3:$A$207,0)),"unassigned"))</f>
        <v/>
      </c>
      <c r="AM287" t="inlineStr">
        <is>
          <t>Phase 3/Readings/Shopify/Q3 25/Website-Financials-Q3-2025.pdf; Phase 3/Readings/Shopify/Q3 25/Q3-2025-Press-Release.pdf; Phase 3/Readings/Shopify/Q3 25/Q3 2025 Press Release.pdf</t>
        </is>
      </c>
      <c r="AO287" t="inlineStr">
        <is>
          <t>whole bundle (Document = All)</t>
        </is>
      </c>
      <c r="AP287">
        <f>IF($A287="","",IF(COUNTIFS(LLM_Data_Entry!$A$3:$A$548,$A287)&gt;0,"YES","NO"))</f>
        <v/>
      </c>
      <c r="AQ287">
        <f>IF($A287="","",IF(COUNTIFS($A$3:$A287,$A287,$C$3:$C287,$C287,$D$3:$D287,$D287)=1,"YES","NO"))</f>
        <v/>
      </c>
      <c r="AR287">
        <f>IF($A287="","",IF(AND($C287&amp;"-"&amp;$D287&gt;=Settings!$B$19,$C287&amp;"-"&amp;$D287&lt;=Settings!$B$20),"IN","OUT"))</f>
        <v/>
      </c>
      <c r="AS287">
        <f>IF($A287="","",IF($F287="Financial Results","financials",IF($F287="Outlook/Guidance","guidance",IF($F287="Transcript Q&amp;A","qanda",IF($F287="","unrecorded",IF($E287="All","full",IF($E287="","unrecorded",LOWER($E287)&amp;" only")))))))</f>
        <v/>
      </c>
      <c r="AT287">
        <f>IF(AND(OR($J287="BUY",$J287="SELL"),ISNUMBER($U287)),$U287,"")</f>
        <v/>
      </c>
      <c r="AU287">
        <f>IF(AND(OR($J287="BUY",$J287="SELL"),ISNUMBER($AK287)),$AK287,"")</f>
        <v/>
      </c>
      <c r="AV287">
        <f>IF(ISNUMBER($AT287),ABS(IF(ISNUMBER($I287),$I287,0)-Settings!$B$24),"")</f>
        <v/>
      </c>
      <c r="AW287">
        <f>IF(ISNUMBER($AV287),$AV287*$AT287,"")</f>
        <v/>
      </c>
      <c r="AX287">
        <f>IF(ISNUMBER($AU287),ABS(IF(ISNUMBER($I287),$I287,0)-Settings!$B$24),"")</f>
        <v/>
      </c>
      <c r="AY287">
        <f>IF(ISNUMBER($AX287),$AX287*$AU287,"")</f>
        <v/>
      </c>
      <c r="AZ287">
        <f>IF($A287="","",IFERROR(INDEX(Company_List!$H$3:$H$207,MATCH($A287,Company_List!$A$3:$A$207,0)),"unassigned"))</f>
        <v/>
      </c>
      <c r="BC287">
        <f>IF($A287="","",IF(COUNTIFS($A$3:$A287,$A287,$C$3:$C287,$C287,$D$3:$D287,$D287,$G$3:$G287,$G287)=1,1,0))</f>
        <v/>
      </c>
      <c r="BG287" t="inlineStr">
        <is>
          <t>no</t>
        </is>
      </c>
      <c r="BK287">
        <f>IF(OR($H287&lt;&gt;"Human",$S287="",$J287="",$Y287="",$Z287=""),"",IF(EXACT(UPPER($J287),UPPER($Y287)),1,0))</f>
        <v/>
      </c>
      <c r="BL287" t="inlineStr">
        <is>
          <t>assumed - no rater record</t>
        </is>
      </c>
      <c r="BM287" t="n">
        <v>3</v>
      </c>
      <c r="BN287" t="inlineStr">
        <is>
          <t>not publisher-identified</t>
        </is>
      </c>
      <c r="BO287" t="inlineStr">
        <is>
          <t>not publisher-identified</t>
        </is>
      </c>
      <c r="BP287" t="inlineStr">
        <is>
          <t>no</t>
        </is>
      </c>
      <c r="BQ287" t="inlineStr">
        <is>
          <t>no</t>
        </is>
      </c>
    </row>
    <row r="288">
      <c r="A288" s="97" t="inlineStr">
        <is>
          <t>Shopify</t>
        </is>
      </c>
      <c r="B288" s="116">
        <f>IF(A288="","",_xlfn.XLOOKUP(A288, Company_List!$A:$A, Company_List!$B:$B, ""))</f>
        <v/>
      </c>
      <c r="C288" s="143" t="n">
        <v>2025</v>
      </c>
      <c r="D288" s="143" t="inlineStr">
        <is>
          <t>Q4</t>
        </is>
      </c>
      <c r="E288" s="144" t="inlineStr">
        <is>
          <t>All</t>
        </is>
      </c>
      <c r="F288" s="144" t="inlineStr">
        <is>
          <t>All</t>
        </is>
      </c>
      <c r="G288" s="143" t="inlineStr">
        <is>
          <t>Meriem</t>
        </is>
      </c>
      <c r="H288" s="106" t="inlineStr">
        <is>
          <t>Human</t>
        </is>
      </c>
      <c r="I288" s="145" t="n">
        <v>0.5</v>
      </c>
      <c r="J288" s="145">
        <f>IF(OR(I288="",Settings!$B$6=""),"",IF(I288&gt;Settings!$B$6,"BUY",IF(I288&lt;-Settings!$B$6,"SELL","HOLD")))</f>
        <v/>
      </c>
      <c r="K288" s="145" t="n">
        <v>43</v>
      </c>
      <c r="L288" s="123" t="n">
        <v>46064</v>
      </c>
      <c r="M288" s="123" t="n">
        <v>46064</v>
      </c>
      <c r="N288" s="147" t="n">
        <v>118.71</v>
      </c>
      <c r="O288" s="123" t="n">
        <v>46065</v>
      </c>
      <c r="P288" s="145" t="n">
        <v>120.69</v>
      </c>
      <c r="Q288" s="151">
        <f>IF(OR(N288="",P288=""),"",ROUND((P288-N288)/N288,4))</f>
        <v/>
      </c>
      <c r="R288" s="118">
        <f>IF(OR(N288="",P288=""),"",IF(Q288&gt;Settings!$B$3/100,"UP",IF(Q288&lt;-Settings!$B$3/100,"DOWN","FLAT")))</f>
        <v/>
      </c>
      <c r="S288" s="118">
        <f>IF(OR(N288="",P288="",J288=""),"",IF(OR(AND(J288="BUY",R288="UP"),AND(J288="SELL",R288="DOWN"),AND(J288="HOLD",R288="FLAT")),"YES","NO"))</f>
        <v/>
      </c>
      <c r="T288" s="119">
        <f>IF(J288="","",IF(J288="BUY",1,IF(J288="SELL",-1,0)))</f>
        <v/>
      </c>
      <c r="U288" s="150">
        <f>IFERROR(IF(OR(J288="",N288="",P288=""),"",IF(T288=0,0,T288*Q288-Settings!$B$4/10000-IF(T288&lt;0,Settings!$B$5/10000,0))),"")</f>
        <v/>
      </c>
      <c r="V288" s="7" t="inlineStr">
        <is>
          <t>Excellent financial performance, international expansion, and optimistic guidance outweighed a slight decline in free cash flow margin, leading to a BUY.</t>
        </is>
      </c>
      <c r="W288" s="21">
        <f>IF($K288="","",$K288*60)</f>
        <v/>
      </c>
      <c r="X288" s="91">
        <f>IF($A288="","",$A288&amp;"|"&amp;$C288&amp;"|"&amp;$D288)</f>
        <v/>
      </c>
      <c r="Y288" s="91">
        <f>IFERROR(IF($X288="","",INDEX(LLM_Data_Entry!$H$3:$H$548,MATCH($X288,INDEX(LLM_Data_Entry!$A$3:$A$548&amp;"|"&amp;LLM_Data_Entry!$C$3:$C$548&amp;"|"&amp;LLM_Data_Entry!$D$3:$D$548,0),0))),"")</f>
        <v/>
      </c>
      <c r="Z288" s="91">
        <f>IFERROR(IF($X288="","",INDEX(LLM_Data_Entry!$R$3:$R$548,MATCH($X288,INDEX(LLM_Data_Entry!$A$3:$A$548&amp;"|"&amp;LLM_Data_Entry!$C$3:$C$548&amp;"|"&amp;LLM_Data_Entry!$D$3:$D$548,0),0))),"")</f>
        <v/>
      </c>
      <c r="AB288" t="inlineStr">
        <is>
          <t>release date + stated time</t>
        </is>
      </c>
      <c r="AC288" t="inlineStr">
        <is>
          <t>SHOP</t>
        </is>
      </c>
      <c r="AD288" t="inlineStr">
        <is>
          <t>2026-02-10</t>
        </is>
      </c>
      <c r="AE288" t="n">
        <v>127.24</v>
      </c>
      <c r="AF288" t="inlineStr">
        <is>
          <t>2026-02-11</t>
        </is>
      </c>
      <c r="AG288" t="n">
        <v>138.9</v>
      </c>
      <c r="AH288" t="n">
        <v>0.0916378197365265</v>
      </c>
      <c r="AI288" t="inlineStr">
        <is>
          <t>UP</t>
        </is>
      </c>
      <c r="AJ288" t="inlineStr">
        <is>
          <t>YES</t>
        </is>
      </c>
      <c r="AK288" t="n">
        <v>0.090638</v>
      </c>
      <c r="AL288">
        <f>IF($A288="","",IFERROR(INDEX(Company_List!$G$3:$G$207,MATCH($A288,Company_List!$A$3:$A$207,0)),"unassigned"))</f>
        <v/>
      </c>
      <c r="AM288" t="inlineStr">
        <is>
          <t>Phase 3/Readings/Shopify/Q4 25/Website-Financials-Q4-2025.pdf; Phase 3/Readings/Shopify/Q4 25/Shopify (SHOP) Q4 2025 Earnings Call Transcript.pdf</t>
        </is>
      </c>
      <c r="AO288" t="inlineStr">
        <is>
          <t>whole bundle (Document = All)</t>
        </is>
      </c>
      <c r="AP288">
        <f>IF($A288="","",IF(COUNTIFS(LLM_Data_Entry!$A$3:$A$548,$A288)&gt;0,"YES","NO"))</f>
        <v/>
      </c>
      <c r="AQ288">
        <f>IF($A288="","",IF(COUNTIFS($A$3:$A288,$A288,$C$3:$C288,$C288,$D$3:$D288,$D288)=1,"YES","NO"))</f>
        <v/>
      </c>
      <c r="AR288">
        <f>IF($A288="","",IF(AND($C288&amp;"-"&amp;$D288&gt;=Settings!$B$19,$C288&amp;"-"&amp;$D288&lt;=Settings!$B$20),"IN","OUT"))</f>
        <v/>
      </c>
      <c r="AS288">
        <f>IF($A288="","",IF($F288="Financial Results","financials",IF($F288="Outlook/Guidance","guidance",IF($F288="Transcript Q&amp;A","qanda",IF($F288="","unrecorded",IF($E288="All","full",IF($E288="","unrecorded",LOWER($E288)&amp;" only")))))))</f>
        <v/>
      </c>
      <c r="AT288">
        <f>IF(AND(OR($J288="BUY",$J288="SELL"),ISNUMBER($U288)),$U288,"")</f>
        <v/>
      </c>
      <c r="AU288">
        <f>IF(AND(OR($J288="BUY",$J288="SELL"),ISNUMBER($AK288)),$AK288,"")</f>
        <v/>
      </c>
      <c r="AV288">
        <f>IF(ISNUMBER($AT288),ABS(IF(ISNUMBER($I288),$I288,0)-Settings!$B$24),"")</f>
        <v/>
      </c>
      <c r="AW288">
        <f>IF(ISNUMBER($AV288),$AV288*$AT288,"")</f>
        <v/>
      </c>
      <c r="AX288">
        <f>IF(ISNUMBER($AU288),ABS(IF(ISNUMBER($I288),$I288,0)-Settings!$B$24),"")</f>
        <v/>
      </c>
      <c r="AY288">
        <f>IF(ISNUMBER($AX288),$AX288*$AU288,"")</f>
        <v/>
      </c>
      <c r="AZ288">
        <f>IF($A288="","",IFERROR(INDEX(Company_List!$H$3:$H$207,MATCH($A288,Company_List!$A$3:$A$207,0)),"unassigned"))</f>
        <v/>
      </c>
      <c r="BC288">
        <f>IF($A288="","",IF(COUNTIFS($A$3:$A288,$A288,$C$3:$C288,$C288,$D$3:$D288,$D288,$G$3:$G288,$G288)=1,1,0))</f>
        <v/>
      </c>
      <c r="BG288" t="inlineStr">
        <is>
          <t>no</t>
        </is>
      </c>
      <c r="BK288">
        <f>IF(OR($H288&lt;&gt;"Human",$S288="",$J288="",$Y288="",$Z288=""),"",IF(EXACT(UPPER($J288),UPPER($Y288)),1,0))</f>
        <v/>
      </c>
      <c r="BL288" t="inlineStr">
        <is>
          <t>assumed - no rater record</t>
        </is>
      </c>
      <c r="BM288" t="n">
        <v>2</v>
      </c>
      <c r="BN288" t="inlineStr">
        <is>
          <t>The Motley Fool</t>
        </is>
      </c>
      <c r="BO288" t="inlineStr">
        <is>
          <t>free to read, copyright asserted</t>
        </is>
      </c>
      <c r="BP288" t="inlineStr">
        <is>
          <t>no</t>
        </is>
      </c>
      <c r="BQ288" t="inlineStr">
        <is>
          <t>no</t>
        </is>
      </c>
    </row>
    <row r="289">
      <c r="A289" s="97" t="inlineStr">
        <is>
          <t>Shopify</t>
        </is>
      </c>
      <c r="B289" s="116">
        <f>IF(A289="","",_xlfn.XLOOKUP(A289, Company_List!$A:$A, Company_List!$B:$B, ""))</f>
        <v/>
      </c>
      <c r="C289" s="143" t="n">
        <v>2026</v>
      </c>
      <c r="D289" s="143" t="inlineStr">
        <is>
          <t>Q1</t>
        </is>
      </c>
      <c r="E289" s="144" t="inlineStr">
        <is>
          <t>All</t>
        </is>
      </c>
      <c r="F289" s="144" t="inlineStr">
        <is>
          <t>All</t>
        </is>
      </c>
      <c r="G289" s="143" t="inlineStr">
        <is>
          <t>Meriem</t>
        </is>
      </c>
      <c r="H289" s="106" t="inlineStr">
        <is>
          <t>Human</t>
        </is>
      </c>
      <c r="I289" s="145" t="n">
        <v>0.5</v>
      </c>
      <c r="J289" s="145">
        <f>IF(OR(I289="",Settings!$B$6=""),"",IF(I289&gt;Settings!$B$6,"BUY",IF(I289&lt;-Settings!$B$6,"SELL","HOLD")))</f>
        <v/>
      </c>
      <c r="K289" s="145" t="n">
        <v>50</v>
      </c>
      <c r="L289" s="123" t="n">
        <v>46147</v>
      </c>
      <c r="M289" s="123" t="n">
        <v>46147</v>
      </c>
      <c r="N289" s="147" t="n">
        <v>107.63</v>
      </c>
      <c r="O289" s="123" t="n">
        <v>46148</v>
      </c>
      <c r="P289" s="145" t="n">
        <v>108.61</v>
      </c>
      <c r="Q289" s="151">
        <f>IF(OR(N289="",P289=""),"",ROUND((P289-N289)/N289,4))</f>
        <v/>
      </c>
      <c r="R289" s="118">
        <f>IF(OR(N289="",P289=""),"",IF(Q289&gt;Settings!$B$3/100,"UP",IF(Q289&lt;-Settings!$B$3/100,"DOWN","FLAT")))</f>
        <v/>
      </c>
      <c r="S289" s="118">
        <f>IF(OR(N289="",P289="",J289=""),"",IF(OR(AND(J289="BUY",R289="UP"),AND(J289="SELL",R289="DOWN"),AND(J289="HOLD",R289="FLAT")),"YES","NO"))</f>
        <v/>
      </c>
      <c r="T289" s="119">
        <f>IF(J289="","",IF(J289="BUY",1,IF(J289="SELL",-1,0)))</f>
        <v/>
      </c>
      <c r="U289" s="150">
        <f>IFERROR(IF(OR(J289="",N289="",P289=""),"",IF(T289=0,0,T289*Q289-Settings!$B$4/10000-IF(T289&lt;0,Settings!$B$5/10000,0))),"")</f>
        <v/>
      </c>
      <c r="V289" s="7" t="inlineStr">
        <is>
          <t>Strong revenue growth, expanding cash generation, and accelerating AI adoption supported a confident outlook and justified a BUY decision</t>
        </is>
      </c>
      <c r="W289" s="21">
        <f>IF($K289="","",$K289*60)</f>
        <v/>
      </c>
      <c r="X289" s="91">
        <f>IF($A289="","",$A289&amp;"|"&amp;$C289&amp;"|"&amp;$D289)</f>
        <v/>
      </c>
      <c r="Y289" s="91">
        <f>IFERROR(IF($X289="","",INDEX(LLM_Data_Entry!$H$3:$H$548,MATCH($X289,INDEX(LLM_Data_Entry!$A$3:$A$548&amp;"|"&amp;LLM_Data_Entry!$C$3:$C$548&amp;"|"&amp;LLM_Data_Entry!$D$3:$D$548,0),0))),"")</f>
        <v/>
      </c>
      <c r="Z289" s="91">
        <f>IFERROR(IF($X289="","",INDEX(LLM_Data_Entry!$R$3:$R$548,MATCH($X289,INDEX(LLM_Data_Entry!$A$3:$A$548&amp;"|"&amp;LLM_Data_Entry!$C$3:$C$548&amp;"|"&amp;LLM_Data_Entry!$D$3:$D$548,0),0))),"")</f>
        <v/>
      </c>
      <c r="AB289" t="inlineStr">
        <is>
          <t>release date + stated time</t>
        </is>
      </c>
      <c r="AC289" t="inlineStr">
        <is>
          <t>SHOP</t>
        </is>
      </c>
      <c r="AD289" t="inlineStr">
        <is>
          <t>2026-05-04</t>
        </is>
      </c>
      <c r="AE289" t="n">
        <v>127.55</v>
      </c>
      <c r="AF289" t="inlineStr">
        <is>
          <t>2026-05-05</t>
        </is>
      </c>
      <c r="AG289" t="n">
        <v>116.05</v>
      </c>
      <c r="AH289" t="n">
        <v>-0.09016071916517321</v>
      </c>
      <c r="AI289" t="inlineStr">
        <is>
          <t>DOWN</t>
        </is>
      </c>
      <c r="AJ289" t="inlineStr">
        <is>
          <t>NO</t>
        </is>
      </c>
      <c r="AK289" t="n">
        <v>-0.09116100000000001</v>
      </c>
      <c r="AL289">
        <f>IF($A289="","",IFERROR(INDEX(Company_List!$G$3:$G$207,MATCH($A289,Company_List!$A$3:$A$207,0)),"unassigned"))</f>
        <v/>
      </c>
      <c r="AM289" t="inlineStr">
        <is>
          <t>Phase 3/Readings/Shopify/Q1 26/Shopify (SHOP) Q1 2026 Earnings Transcript.pdf</t>
        </is>
      </c>
      <c r="AO289" t="inlineStr">
        <is>
          <t>unique filename match</t>
        </is>
      </c>
      <c r="AP289">
        <f>IF($A289="","",IF(COUNTIFS(LLM_Data_Entry!$A$3:$A$548,$A289)&gt;0,"YES","NO"))</f>
        <v/>
      </c>
      <c r="AQ289">
        <f>IF($A289="","",IF(COUNTIFS($A$3:$A289,$A289,$C$3:$C289,$C289,$D$3:$D289,$D289)=1,"YES","NO"))</f>
        <v/>
      </c>
      <c r="AR289">
        <f>IF($A289="","",IF(AND($C289&amp;"-"&amp;$D289&gt;=Settings!$B$19,$C289&amp;"-"&amp;$D289&lt;=Settings!$B$20),"IN","OUT"))</f>
        <v/>
      </c>
      <c r="AS289">
        <f>IF($A289="","",IF($F289="Financial Results","financials",IF($F289="Outlook/Guidance","guidance",IF($F289="Transcript Q&amp;A","qanda",IF($F289="","unrecorded",IF($E289="All","full",IF($E289="","unrecorded",LOWER($E289)&amp;" only")))))))</f>
        <v/>
      </c>
      <c r="AT289">
        <f>IF(AND(OR($J289="BUY",$J289="SELL"),ISNUMBER($U289)),$U289,"")</f>
        <v/>
      </c>
      <c r="AU289">
        <f>IF(AND(OR($J289="BUY",$J289="SELL"),ISNUMBER($AK289)),$AK289,"")</f>
        <v/>
      </c>
      <c r="AV289">
        <f>IF(ISNUMBER($AT289),ABS(IF(ISNUMBER($I289),$I289,0)-Settings!$B$24),"")</f>
        <v/>
      </c>
      <c r="AW289">
        <f>IF(ISNUMBER($AV289),$AV289*$AT289,"")</f>
        <v/>
      </c>
      <c r="AX289">
        <f>IF(ISNUMBER($AU289),ABS(IF(ISNUMBER($I289),$I289,0)-Settings!$B$24),"")</f>
        <v/>
      </c>
      <c r="AY289">
        <f>IF(ISNUMBER($AX289),$AX289*$AU289,"")</f>
        <v/>
      </c>
      <c r="AZ289">
        <f>IF($A289="","",IFERROR(INDEX(Company_List!$H$3:$H$207,MATCH($A289,Company_List!$A$3:$A$207,0)),"unassigned"))</f>
        <v/>
      </c>
      <c r="BC289">
        <f>IF($A289="","",IF(COUNTIFS($A$3:$A289,$A289,$C$3:$C289,$C289,$D$3:$D289,$D289,$G$3:$G289,$G289)=1,1,0))</f>
        <v/>
      </c>
      <c r="BG289" t="inlineStr">
        <is>
          <t>no</t>
        </is>
      </c>
      <c r="BK289">
        <f>IF(OR($H289&lt;&gt;"Human",$S289="",$J289="",$Y289="",$Z289=""),"",IF(EXACT(UPPER($J289),UPPER($Y289)),1,0))</f>
        <v/>
      </c>
      <c r="BL289" t="inlineStr">
        <is>
          <t>assumed - no rater record</t>
        </is>
      </c>
      <c r="BM289" t="n">
        <v>1</v>
      </c>
      <c r="BN289" t="inlineStr">
        <is>
          <t>The Motley Fool</t>
        </is>
      </c>
      <c r="BO289" t="inlineStr">
        <is>
          <t>free to read, copyright asserted</t>
        </is>
      </c>
      <c r="BP289" t="inlineStr">
        <is>
          <t>no</t>
        </is>
      </c>
      <c r="BQ289" t="inlineStr">
        <is>
          <t>no</t>
        </is>
      </c>
    </row>
    <row r="290">
      <c r="A290" s="97" t="inlineStr">
        <is>
          <t>Sony</t>
        </is>
      </c>
      <c r="B290" s="116">
        <f>IF(A290="","",_xlfn.XLOOKUP(A290, Company_List!$A:$A, Company_List!$B:$B, ""))</f>
        <v/>
      </c>
      <c r="C290" s="143" t="n">
        <v>2025</v>
      </c>
      <c r="D290" s="143" t="inlineStr">
        <is>
          <t>Q2</t>
        </is>
      </c>
      <c r="E290" s="144" t="inlineStr">
        <is>
          <t>All</t>
        </is>
      </c>
      <c r="F290" s="144" t="inlineStr">
        <is>
          <t>All</t>
        </is>
      </c>
      <c r="G290" s="143" t="inlineStr">
        <is>
          <t>Meriem</t>
        </is>
      </c>
      <c r="H290" s="106" t="inlineStr">
        <is>
          <t>Human</t>
        </is>
      </c>
      <c r="I290" s="145" t="n">
        <v>0.1</v>
      </c>
      <c r="J290" s="145">
        <f>IF(OR(I290="",Settings!$B$6=""),"",IF(I290&gt;Settings!$B$6,"BUY",IF(I290&lt;-Settings!$B$6,"SELL","HOLD")))</f>
        <v/>
      </c>
      <c r="K290" s="145" t="n">
        <v>37</v>
      </c>
      <c r="L290" s="123" t="n">
        <v>45972</v>
      </c>
      <c r="M290" s="123" t="n">
        <v>45972</v>
      </c>
      <c r="N290" s="147" t="n">
        <v>29.16</v>
      </c>
      <c r="O290" s="123" t="n">
        <v>45973</v>
      </c>
      <c r="P290" s="145" t="n">
        <v>30.12</v>
      </c>
      <c r="Q290" s="151">
        <f>IF(OR(N290="",P290=""),"",ROUND((P290-N290)/N290,4))</f>
        <v/>
      </c>
      <c r="R290" s="118">
        <f>IF(OR(N290="",P290=""),"",IF(Q290&gt;Settings!$B$3/100,"UP",IF(Q290&lt;-Settings!$B$3/100,"DOWN","FLAT")))</f>
        <v/>
      </c>
      <c r="S290" s="118">
        <f>IF(OR(N290="",P290="",J290=""),"",IF(OR(AND(J290="BUY",R290="UP"),AND(J290="SELL",R290="DOWN"),AND(J290="HOLD",R290="FLAT")),"YES","NO"))</f>
        <v/>
      </c>
      <c r="T290" s="119">
        <f>IF(J290="","",IF(J290="BUY",1,IF(J290="SELL",-1,0)))</f>
        <v/>
      </c>
      <c r="U290" s="150">
        <f>IFERROR(IF(OR(J290="",N290="",P290=""),"",IF(T290=0,0,T290*Q290-Settings!$B$4/10000-IF(T290&lt;0,Settings!$B$5/10000,0))),"")</f>
        <v/>
      </c>
      <c r="V290" s="7" t="inlineStr">
        <is>
          <t>Improving sales were balanced by weaker forecasts, supply chain risks and tariff uncertainty, resulting in a cautious HOLD.</t>
        </is>
      </c>
      <c r="W290" s="21">
        <f>IF($K290="","",$K290*60)</f>
        <v/>
      </c>
      <c r="X290" s="91">
        <f>IF($A290="","",$A290&amp;"|"&amp;$C290&amp;"|"&amp;$D290)</f>
        <v/>
      </c>
      <c r="Y290" s="91">
        <f>IFERROR(IF($X290="","",INDEX(LLM_Data_Entry!$H$3:$H$548,MATCH($X290,INDEX(LLM_Data_Entry!$A$3:$A$548&amp;"|"&amp;LLM_Data_Entry!$C$3:$C$548&amp;"|"&amp;LLM_Data_Entry!$D$3:$D$548,0),0))),"")</f>
        <v/>
      </c>
      <c r="Z290" s="91">
        <f>IFERROR(IF($X290="","",INDEX(LLM_Data_Entry!$R$3:$R$548,MATCH($X290,INDEX(LLM_Data_Entry!$A$3:$A$548&amp;"|"&amp;LLM_Data_Entry!$C$3:$C$548&amp;"|"&amp;LLM_Data_Entry!$D$3:$D$548,0),0))),"")</f>
        <v/>
      </c>
      <c r="AB290" t="inlineStr">
        <is>
          <t>repriced on the issuer's primary listing</t>
        </is>
      </c>
      <c r="AC290" t="inlineStr">
        <is>
          <t>6758.T</t>
        </is>
      </c>
      <c r="AD290" t="inlineStr">
        <is>
          <t>2025-11-11</t>
        </is>
      </c>
      <c r="AE290" t="n">
        <v>4502.3936</v>
      </c>
      <c r="AF290" t="inlineStr">
        <is>
          <t>2025-11-12</t>
        </is>
      </c>
      <c r="AG290" t="n">
        <v>4625.9102</v>
      </c>
      <c r="AH290" t="n">
        <v>0.02743354806046784</v>
      </c>
      <c r="AI290" t="inlineStr">
        <is>
          <t>UP</t>
        </is>
      </c>
      <c r="AJ290" t="inlineStr">
        <is>
          <t>NO</t>
        </is>
      </c>
      <c r="AK290" t="n">
        <v>0</v>
      </c>
      <c r="AL290">
        <f>IF($A290="","",IFERROR(INDEX(Company_List!$G$3:$G$207,MATCH($A290,Company_List!$A$3:$A$207,0)),"unassigned"))</f>
        <v/>
      </c>
      <c r="AM290" t="inlineStr">
        <is>
          <t>Phase 3/Readings/Sony/2025-Q2/SONY-2025-Q2-results-SEC-6-K.htm</t>
        </is>
      </c>
      <c r="AN290" t="inlineStr">
        <is>
          <t>https://www.sec.gov/Archives/edgar/data/313838/000110465925109537/tm2530473d2_6k.htm</t>
        </is>
      </c>
      <c r="AO290" t="inlineStr">
        <is>
          <t>manifest</t>
        </is>
      </c>
      <c r="AP290">
        <f>IF($A290="","",IF(COUNTIFS(LLM_Data_Entry!$A$3:$A$548,$A290)&gt;0,"YES","NO"))</f>
        <v/>
      </c>
      <c r="AQ290">
        <f>IF($A290="","",IF(COUNTIFS($A$3:$A290,$A290,$C$3:$C290,$C290,$D$3:$D290,$D290)=1,"YES","NO"))</f>
        <v/>
      </c>
      <c r="AR290">
        <f>IF($A290="","",IF(AND($C290&amp;"-"&amp;$D290&gt;=Settings!$B$19,$C290&amp;"-"&amp;$D290&lt;=Settings!$B$20),"IN","OUT"))</f>
        <v/>
      </c>
      <c r="AS290">
        <f>IF($A290="","",IF($F290="Financial Results","financials",IF($F290="Outlook/Guidance","guidance",IF($F290="Transcript Q&amp;A","qanda",IF($F290="","unrecorded",IF($E290="All","full",IF($E290="","unrecorded",LOWER($E290)&amp;" only")))))))</f>
        <v/>
      </c>
      <c r="AT290">
        <f>IF(AND(OR($J290="BUY",$J290="SELL"),ISNUMBER($U290)),$U290,"")</f>
        <v/>
      </c>
      <c r="AU290">
        <f>IF(AND(OR($J290="BUY",$J290="SELL"),ISNUMBER($AK290)),$AK290,"")</f>
        <v/>
      </c>
      <c r="AV290">
        <f>IF(ISNUMBER($AT290),ABS(IF(ISNUMBER($I290),$I290,0)-Settings!$B$24),"")</f>
        <v/>
      </c>
      <c r="AW290">
        <f>IF(ISNUMBER($AV290),$AV290*$AT290,"")</f>
        <v/>
      </c>
      <c r="AX290">
        <f>IF(ISNUMBER($AU290),ABS(IF(ISNUMBER($I290),$I290,0)-Settings!$B$24),"")</f>
        <v/>
      </c>
      <c r="AY290">
        <f>IF(ISNUMBER($AX290),$AX290*$AU290,"")</f>
        <v/>
      </c>
      <c r="AZ290">
        <f>IF($A290="","",IFERROR(INDEX(Company_List!$H$3:$H$207,MATCH($A290,Company_List!$A$3:$A$207,0)),"unassigned"))</f>
        <v/>
      </c>
      <c r="BC290">
        <f>IF($A290="","",IF(COUNTIFS($A$3:$A290,$A290,$C$3:$C290,$C290,$D$3:$D290,$D290,$G$3:$G290,$G290)=1,1,0))</f>
        <v/>
      </c>
      <c r="BG290" t="inlineStr">
        <is>
          <t>no</t>
        </is>
      </c>
      <c r="BK290">
        <f>IF(OR($H290&lt;&gt;"Human",$S290="",$J290="",$Y290="",$Z290=""),"",IF(EXACT(UPPER($J290),UPPER($Y290)),1,0))</f>
        <v/>
      </c>
      <c r="BL290" t="inlineStr">
        <is>
          <t>assumed - no rater record</t>
        </is>
      </c>
      <c r="BM290" t="n">
        <v>1</v>
      </c>
      <c r="BN290" t="inlineStr">
        <is>
          <t>not publisher-identified</t>
        </is>
      </c>
      <c r="BO290" t="inlineStr">
        <is>
          <t>not publisher-identified</t>
        </is>
      </c>
      <c r="BP290" t="inlineStr">
        <is>
          <t>no</t>
        </is>
      </c>
      <c r="BQ290" t="inlineStr">
        <is>
          <t>yes</t>
        </is>
      </c>
    </row>
    <row r="291">
      <c r="A291" s="97" t="inlineStr">
        <is>
          <t>Sony</t>
        </is>
      </c>
      <c r="B291" s="116">
        <f>IF(A291="","",_xlfn.XLOOKUP(A291, Company_List!$A:$A, Company_List!$B:$B, ""))</f>
        <v/>
      </c>
      <c r="C291" s="143" t="n">
        <v>2025</v>
      </c>
      <c r="D291" s="143" t="inlineStr">
        <is>
          <t>Q3</t>
        </is>
      </c>
      <c r="E291" s="144" t="inlineStr">
        <is>
          <t>All</t>
        </is>
      </c>
      <c r="F291" s="144" t="inlineStr">
        <is>
          <t>All</t>
        </is>
      </c>
      <c r="G291" s="143" t="inlineStr">
        <is>
          <t>Meriem</t>
        </is>
      </c>
      <c r="H291" s="106" t="inlineStr">
        <is>
          <t>Human</t>
        </is>
      </c>
      <c r="I291" s="145" t="n">
        <v>0.2</v>
      </c>
      <c r="J291" s="145">
        <f>IF(OR(I291="",Settings!$B$6=""),"",IF(I291&gt;Settings!$B$6,"BUY",IF(I291&lt;-Settings!$B$6,"SELL","HOLD")))</f>
        <v/>
      </c>
      <c r="K291" s="145" t="n">
        <v>30</v>
      </c>
      <c r="L291" s="123" t="n">
        <v>46058</v>
      </c>
      <c r="M291" s="123" t="n">
        <v>46058</v>
      </c>
      <c r="N291" s="147" t="n">
        <v>21.24</v>
      </c>
      <c r="O291" s="123" t="n">
        <v>46059</v>
      </c>
      <c r="P291" s="145" t="n">
        <v>22.84</v>
      </c>
      <c r="Q291" s="151">
        <f>IF(OR(N291="",P291=""),"",ROUND((P291-N291)/N291,4))</f>
        <v/>
      </c>
      <c r="R291" s="118">
        <f>IF(OR(N291="",P291=""),"",IF(Q291&gt;Settings!$B$3/100,"UP",IF(Q291&lt;-Settings!$B$3/100,"DOWN","FLAT")))</f>
        <v/>
      </c>
      <c r="S291" s="118">
        <f>IF(OR(N291="",P291="",J291=""),"",IF(OR(AND(J291="BUY",R291="UP"),AND(J291="SELL",R291="DOWN"),AND(J291="HOLD",R291="FLAT")),"YES","NO"))</f>
        <v/>
      </c>
      <c r="T291" s="119">
        <f>IF(J291="","",IF(J291="BUY",1,IF(J291="SELL",-1,0)))</f>
        <v/>
      </c>
      <c r="U291" s="150">
        <f>IFERROR(IF(OR(J291="",N291="",P291=""),"",IF(T291=0,0,T291*Q291-Settings!$B$4/10000-IF(T291&lt;0,Settings!$B$5/10000,0))),"")</f>
        <v/>
      </c>
      <c r="V291" s="7" t="inlineStr">
        <is>
          <t>Good overall financial performance and strategic partnerships were offset by mixed segment performance and industry concerns, supporting a HOLD.</t>
        </is>
      </c>
      <c r="W291" s="21">
        <f>IF($K291="","",$K291*60)</f>
        <v/>
      </c>
      <c r="X291" s="91">
        <f>IF($A291="","",$A291&amp;"|"&amp;$C291&amp;"|"&amp;$D291)</f>
        <v/>
      </c>
      <c r="Y291" s="91">
        <f>IFERROR(IF($X291="","",INDEX(LLM_Data_Entry!$H$3:$H$548,MATCH($X291,INDEX(LLM_Data_Entry!$A$3:$A$548&amp;"|"&amp;LLM_Data_Entry!$C$3:$C$548&amp;"|"&amp;LLM_Data_Entry!$D$3:$D$548,0),0))),"")</f>
        <v/>
      </c>
      <c r="Z291" s="91">
        <f>IFERROR(IF($X291="","",INDEX(LLM_Data_Entry!$R$3:$R$548,MATCH($X291,INDEX(LLM_Data_Entry!$A$3:$A$548&amp;"|"&amp;LLM_Data_Entry!$C$3:$C$548&amp;"|"&amp;LLM_Data_Entry!$D$3:$D$548,0),0))),"")</f>
        <v/>
      </c>
      <c r="AB291" t="inlineStr">
        <is>
          <t>repriced on the issuer's primary listing</t>
        </is>
      </c>
      <c r="AC291" t="inlineStr">
        <is>
          <t>6758.T</t>
        </is>
      </c>
      <c r="AD291" t="inlineStr">
        <is>
          <t>2026-02-05</t>
        </is>
      </c>
      <c r="AE291" t="n">
        <v>3334.9585</v>
      </c>
      <c r="AF291" t="inlineStr">
        <is>
          <t>2026-02-06</t>
        </is>
      </c>
      <c r="AG291" t="n">
        <v>3404.686</v>
      </c>
      <c r="AH291" t="n">
        <v>0.02090806719667119</v>
      </c>
      <c r="AI291" t="inlineStr">
        <is>
          <t>UP</t>
        </is>
      </c>
      <c r="AJ291" t="inlineStr">
        <is>
          <t>NO</t>
        </is>
      </c>
      <c r="AK291" t="n">
        <v>0</v>
      </c>
      <c r="AL291">
        <f>IF($A291="","",IFERROR(INDEX(Company_List!$G$3:$G$207,MATCH($A291,Company_List!$A$3:$A$207,0)),"unassigned"))</f>
        <v/>
      </c>
      <c r="AM291" t="inlineStr">
        <is>
          <t>Phase 3/Readings/Sony/2025-Q3/SONY-2025-Q3-results-SEC-6-K.htm</t>
        </is>
      </c>
      <c r="AN291" t="inlineStr">
        <is>
          <t>https://www.sec.gov/Archives/edgar/data/313838/000110465926010560/tm264796d5_6k.htm</t>
        </is>
      </c>
      <c r="AO291" t="inlineStr">
        <is>
          <t>manifest</t>
        </is>
      </c>
      <c r="AP291">
        <f>IF($A291="","",IF(COUNTIFS(LLM_Data_Entry!$A$3:$A$548,$A291)&gt;0,"YES","NO"))</f>
        <v/>
      </c>
      <c r="AQ291">
        <f>IF($A291="","",IF(COUNTIFS($A$3:$A291,$A291,$C$3:$C291,$C291,$D$3:$D291,$D291)=1,"YES","NO"))</f>
        <v/>
      </c>
      <c r="AR291">
        <f>IF($A291="","",IF(AND($C291&amp;"-"&amp;$D291&gt;=Settings!$B$19,$C291&amp;"-"&amp;$D291&lt;=Settings!$B$20),"IN","OUT"))</f>
        <v/>
      </c>
      <c r="AS291">
        <f>IF($A291="","",IF($F291="Financial Results","financials",IF($F291="Outlook/Guidance","guidance",IF($F291="Transcript Q&amp;A","qanda",IF($F291="","unrecorded",IF($E291="All","full",IF($E291="","unrecorded",LOWER($E291)&amp;" only")))))))</f>
        <v/>
      </c>
      <c r="AT291">
        <f>IF(AND(OR($J291="BUY",$J291="SELL"),ISNUMBER($U291)),$U291,"")</f>
        <v/>
      </c>
      <c r="AU291">
        <f>IF(AND(OR($J291="BUY",$J291="SELL"),ISNUMBER($AK291)),$AK291,"")</f>
        <v/>
      </c>
      <c r="AV291">
        <f>IF(ISNUMBER($AT291),ABS(IF(ISNUMBER($I291),$I291,0)-Settings!$B$24),"")</f>
        <v/>
      </c>
      <c r="AW291">
        <f>IF(ISNUMBER($AV291),$AV291*$AT291,"")</f>
        <v/>
      </c>
      <c r="AX291">
        <f>IF(ISNUMBER($AU291),ABS(IF(ISNUMBER($I291),$I291,0)-Settings!$B$24),"")</f>
        <v/>
      </c>
      <c r="AY291">
        <f>IF(ISNUMBER($AX291),$AX291*$AU291,"")</f>
        <v/>
      </c>
      <c r="AZ291">
        <f>IF($A291="","",IFERROR(INDEX(Company_List!$H$3:$H$207,MATCH($A291,Company_List!$A$3:$A$207,0)),"unassigned"))</f>
        <v/>
      </c>
      <c r="BC291">
        <f>IF($A291="","",IF(COUNTIFS($A$3:$A291,$A291,$C$3:$C291,$C291,$D$3:$D291,$D291,$G$3:$G291,$G291)=1,1,0))</f>
        <v/>
      </c>
      <c r="BG291" t="inlineStr">
        <is>
          <t>no</t>
        </is>
      </c>
      <c r="BK291">
        <f>IF(OR($H291&lt;&gt;"Human",$S291="",$J291="",$Y291="",$Z291=""),"",IF(EXACT(UPPER($J291),UPPER($Y291)),1,0))</f>
        <v/>
      </c>
      <c r="BL291" t="inlineStr">
        <is>
          <t>assumed - no rater record</t>
        </is>
      </c>
      <c r="BM291" t="n">
        <v>1</v>
      </c>
      <c r="BN291" t="inlineStr">
        <is>
          <t>not publisher-identified</t>
        </is>
      </c>
      <c r="BO291" t="inlineStr">
        <is>
          <t>not publisher-identified</t>
        </is>
      </c>
      <c r="BP291" t="inlineStr">
        <is>
          <t>no</t>
        </is>
      </c>
      <c r="BQ291" t="inlineStr">
        <is>
          <t>yes</t>
        </is>
      </c>
    </row>
    <row r="292">
      <c r="A292" s="97" t="inlineStr">
        <is>
          <t>Sony</t>
        </is>
      </c>
      <c r="B292" s="116">
        <f>IF(A292="","",_xlfn.XLOOKUP(A292, Company_List!$A:$A, Company_List!$B:$B, ""))</f>
        <v/>
      </c>
      <c r="C292" s="143" t="n">
        <v>2026</v>
      </c>
      <c r="D292" s="143" t="inlineStr">
        <is>
          <t>Q1</t>
        </is>
      </c>
      <c r="E292" s="144" t="inlineStr">
        <is>
          <t>All</t>
        </is>
      </c>
      <c r="F292" s="144" t="inlineStr">
        <is>
          <t>All</t>
        </is>
      </c>
      <c r="G292" s="143" t="inlineStr">
        <is>
          <t>Meriem</t>
        </is>
      </c>
      <c r="H292" s="106" t="inlineStr">
        <is>
          <t>Human</t>
        </is>
      </c>
      <c r="I292" s="145" t="n">
        <v>0.3</v>
      </c>
      <c r="J292" s="145">
        <f>IF(OR(I292="",Settings!$B$6=""),"",IF(I292&gt;Settings!$B$6,"BUY",IF(I292&lt;-Settings!$B$6,"SELL","HOLD")))</f>
        <v/>
      </c>
      <c r="K292" s="145" t="n">
        <v>44</v>
      </c>
      <c r="L292" s="123" t="n">
        <v>46234</v>
      </c>
      <c r="M292" s="123" t="n">
        <v>46234</v>
      </c>
      <c r="N292" s="147" t="n">
        <v>23.26</v>
      </c>
      <c r="O292" s="123" t="n">
        <v>46237</v>
      </c>
      <c r="P292" s="145" t="n">
        <v>22.7</v>
      </c>
      <c r="Q292" s="151">
        <f>IF(OR(N292="",P292=""),"",ROUND((P292-N292)/N292,4))</f>
        <v/>
      </c>
      <c r="R292" s="118">
        <f>IF(OR(N292="",P292=""),"",IF(Q292&gt;Settings!$B$3/100,"UP",IF(Q292&lt;-Settings!$B$3/100,"DOWN","FLAT")))</f>
        <v/>
      </c>
      <c r="S292" s="118">
        <f>IF(OR(N292="",P292="",J292=""),"",IF(OR(AND(J292="BUY",R292="UP"),AND(J292="SELL",R292="DOWN"),AND(J292="HOLD",R292="FLAT")),"YES","NO"))</f>
        <v/>
      </c>
      <c r="T292" s="119">
        <f>IF(J292="","",IF(J292="BUY",1,IF(J292="SELL",-1,0)))</f>
        <v/>
      </c>
      <c r="U292" s="150">
        <f>IFERROR(IF(OR(J292="",N292="",P292=""),"",IF(T292=0,0,T292*Q292-Settings!$B$4/10000-IF(T292&lt;0,Settings!$B$5/10000,0))),"")</f>
        <v/>
      </c>
      <c r="V292" s="7" t="inlineStr">
        <is>
          <t>Strong earnings growth and improved profitability, together with limited expected impact from the earthquake, justified a moderate BUY.</t>
        </is>
      </c>
      <c r="W292" s="21">
        <f>IF($K292="","",$K292*60)</f>
        <v/>
      </c>
      <c r="X292" s="91">
        <f>IF($A292="","",$A292&amp;"|"&amp;$C292&amp;"|"&amp;$D292)</f>
        <v/>
      </c>
      <c r="Y292" s="91">
        <f>IFERROR(IF($X292="","",INDEX(LLM_Data_Entry!$H$3:$H$548,MATCH($X292,INDEX(LLM_Data_Entry!$A$3:$A$548&amp;"|"&amp;LLM_Data_Entry!$C$3:$C$548&amp;"|"&amp;LLM_Data_Entry!$D$3:$D$548,0),0))),"")</f>
        <v/>
      </c>
      <c r="Z292" s="91">
        <f>IFERROR(IF($X292="","",INDEX(LLM_Data_Entry!$R$3:$R$548,MATCH($X292,INDEX(LLM_Data_Entry!$A$3:$A$548&amp;"|"&amp;LLM_Data_Entry!$C$3:$C$548&amp;"|"&amp;LLM_Data_Entry!$D$3:$D$548,0),0))),"")</f>
        <v/>
      </c>
      <c r="AB292" t="inlineStr">
        <is>
          <t>repriced on the issuer's primary listing</t>
        </is>
      </c>
      <c r="AC292" t="inlineStr">
        <is>
          <t>6758.T</t>
        </is>
      </c>
      <c r="AD292" t="inlineStr">
        <is>
          <t>2026-07-31</t>
        </is>
      </c>
      <c r="AE292" t="n">
        <v>3787</v>
      </c>
      <c r="AF292" t="inlineStr">
        <is>
          <t>2026-08-03</t>
        </is>
      </c>
      <c r="AG292" t="n">
        <v>3598</v>
      </c>
      <c r="AH292" t="n">
        <v>-0.04990757855822551</v>
      </c>
      <c r="AI292" t="inlineStr">
        <is>
          <t>DOWN</t>
        </is>
      </c>
      <c r="AJ292" t="inlineStr">
        <is>
          <t>NO</t>
        </is>
      </c>
      <c r="AK292" t="n">
        <v>-0.050908</v>
      </c>
      <c r="AL292">
        <f>IF($A292="","",IFERROR(INDEX(Company_List!$G$3:$G$207,MATCH($A292,Company_List!$A$3:$A$207,0)),"unassigned"))</f>
        <v/>
      </c>
      <c r="AM292" t="inlineStr">
        <is>
          <t>Phase 3/Readings/Sony/2026-Q1/SONY-2026-Q1-results-SEC-6-K.htm</t>
        </is>
      </c>
      <c r="AN292" t="inlineStr">
        <is>
          <t>https://www.sec.gov/Archives/edgar/data/313838/000110465926088922/tm2621477d2_6k.htm</t>
        </is>
      </c>
      <c r="AO292" t="inlineStr">
        <is>
          <t>manifest</t>
        </is>
      </c>
      <c r="AP292">
        <f>IF($A292="","",IF(COUNTIFS(LLM_Data_Entry!$A$3:$A$548,$A292)&gt;0,"YES","NO"))</f>
        <v/>
      </c>
      <c r="AQ292">
        <f>IF($A292="","",IF(COUNTIFS($A$3:$A292,$A292,$C$3:$C292,$C292,$D$3:$D292,$D292)=1,"YES","NO"))</f>
        <v/>
      </c>
      <c r="AR292">
        <f>IF($A292="","",IF(AND($C292&amp;"-"&amp;$D292&gt;=Settings!$B$19,$C292&amp;"-"&amp;$D292&lt;=Settings!$B$20),"IN","OUT"))</f>
        <v/>
      </c>
      <c r="AS292">
        <f>IF($A292="","",IF($F292="Financial Results","financials",IF($F292="Outlook/Guidance","guidance",IF($F292="Transcript Q&amp;A","qanda",IF($F292="","unrecorded",IF($E292="All","full",IF($E292="","unrecorded",LOWER($E292)&amp;" only")))))))</f>
        <v/>
      </c>
      <c r="AT292">
        <f>IF(AND(OR($J292="BUY",$J292="SELL"),ISNUMBER($U292)),$U292,"")</f>
        <v/>
      </c>
      <c r="AU292">
        <f>IF(AND(OR($J292="BUY",$J292="SELL"),ISNUMBER($AK292)),$AK292,"")</f>
        <v/>
      </c>
      <c r="AV292">
        <f>IF(ISNUMBER($AT292),ABS(IF(ISNUMBER($I292),$I292,0)-Settings!$B$24),"")</f>
        <v/>
      </c>
      <c r="AW292">
        <f>IF(ISNUMBER($AV292),$AV292*$AT292,"")</f>
        <v/>
      </c>
      <c r="AX292">
        <f>IF(ISNUMBER($AU292),ABS(IF(ISNUMBER($I292),$I292,0)-Settings!$B$24),"")</f>
        <v/>
      </c>
      <c r="AY292">
        <f>IF(ISNUMBER($AX292),$AX292*$AU292,"")</f>
        <v/>
      </c>
      <c r="AZ292">
        <f>IF($A292="","",IFERROR(INDEX(Company_List!$H$3:$H$207,MATCH($A292,Company_List!$A$3:$A$207,0)),"unassigned"))</f>
        <v/>
      </c>
      <c r="BC292">
        <f>IF($A292="","",IF(COUNTIFS($A$3:$A292,$A292,$C$3:$C292,$C292,$D$3:$D292,$D292,$G$3:$G292,$G292)=1,1,0))</f>
        <v/>
      </c>
      <c r="BG292" t="inlineStr">
        <is>
          <t>no</t>
        </is>
      </c>
      <c r="BK292">
        <f>IF(OR($H292&lt;&gt;"Human",$S292="",$J292="",$Y292="",$Z292=""),"",IF(EXACT(UPPER($J292),UPPER($Y292)),1,0))</f>
        <v/>
      </c>
      <c r="BL292" t="inlineStr">
        <is>
          <t>assumed - no rater record</t>
        </is>
      </c>
      <c r="BM292" t="n">
        <v>1</v>
      </c>
      <c r="BN292" t="inlineStr">
        <is>
          <t>not publisher-identified</t>
        </is>
      </c>
      <c r="BO292" t="inlineStr">
        <is>
          <t>not publisher-identified</t>
        </is>
      </c>
      <c r="BP292" t="inlineStr">
        <is>
          <t>no</t>
        </is>
      </c>
      <c r="BQ292" t="inlineStr">
        <is>
          <t>yes</t>
        </is>
      </c>
    </row>
    <row r="293">
      <c r="A293" s="97" t="inlineStr">
        <is>
          <t>Nestle</t>
        </is>
      </c>
      <c r="B293" s="116">
        <f>IF(A293="","",_xlfn.XLOOKUP(A293, Company_List!$A:$A, Company_List!$B:$B, ""))</f>
        <v/>
      </c>
      <c r="C293" s="143" t="n">
        <v>2024</v>
      </c>
      <c r="D293" s="143" t="inlineStr">
        <is>
          <t>Q3</t>
        </is>
      </c>
      <c r="E293" s="144" t="inlineStr">
        <is>
          <t>All</t>
        </is>
      </c>
      <c r="F293" s="144" t="inlineStr">
        <is>
          <t>All</t>
        </is>
      </c>
      <c r="G293" s="143" t="inlineStr">
        <is>
          <t>Meriem</t>
        </is>
      </c>
      <c r="H293" s="106" t="inlineStr">
        <is>
          <t>Human</t>
        </is>
      </c>
      <c r="I293" s="145" t="n">
        <v>0.3</v>
      </c>
      <c r="J293" s="145">
        <f>IF(OR(I293="",Settings!$B$6=""),"",IF(I293&gt;Settings!$B$6,"BUY",IF(I293&lt;-Settings!$B$6,"SELL","HOLD")))</f>
        <v/>
      </c>
      <c r="K293" s="145" t="n">
        <v>40</v>
      </c>
      <c r="L293" s="123" t="n">
        <v>45582</v>
      </c>
      <c r="M293" s="123" t="n">
        <v>45582</v>
      </c>
      <c r="N293" s="147" t="n">
        <v>98.81999999999999</v>
      </c>
      <c r="O293" s="123" t="n">
        <v>45583</v>
      </c>
      <c r="P293" s="145" t="n">
        <v>99.03</v>
      </c>
      <c r="Q293" s="151">
        <f>IF(OR(N293="",P293=""),"",ROUND((P293-N293)/N293,4))</f>
        <v/>
      </c>
      <c r="R293" s="118">
        <f>IF(OR(N293="",P293=""),"",IF(Q293&gt;Settings!$B$3/100,"UP",IF(Q293&lt;-Settings!$B$3/100,"DOWN","FLAT")))</f>
        <v/>
      </c>
      <c r="S293" s="118">
        <f>IF(OR(N293="",P293="",J293=""),"",IF(OR(AND(J293="BUY",R293="UP"),AND(J293="SELL",R293="DOWN"),AND(J293="HOLD",R293="FLAT")),"YES","NO"))</f>
        <v/>
      </c>
      <c r="T293" s="119">
        <f>IF(J293="","",IF(J293="BUY",1,IF(J293="SELL",-1,0)))</f>
        <v/>
      </c>
      <c r="U293" s="150">
        <f>IFERROR(IF(OR(J293="",N293="",P293=""),"",IF(T293=0,0,T293*Q293-Settings!$B$4/10000-IF(T293&lt;0,Settings!$B$5/10000,0))),"")</f>
        <v/>
      </c>
      <c r="V293" s="7" t="inlineStr">
        <is>
          <t>Steady organic growth and strong coffee performance were tempered by weaker consumer demand, lower guidance and market share concerns, resulting in a HOLD.</t>
        </is>
      </c>
      <c r="W293" s="21">
        <f>IF($K293="","",$K293*60)</f>
        <v/>
      </c>
      <c r="X293" s="91">
        <f>IF($A293="","",$A293&amp;"|"&amp;$C293&amp;"|"&amp;$D293)</f>
        <v/>
      </c>
      <c r="Y293" s="91">
        <f>IFERROR(IF($X293="","",INDEX(LLM_Data_Entry!$H$3:$H$548,MATCH($X293,INDEX(LLM_Data_Entry!$A$3:$A$548&amp;"|"&amp;LLM_Data_Entry!$C$3:$C$548&amp;"|"&amp;LLM_Data_Entry!$D$3:$D$548,0),0))),"")</f>
        <v/>
      </c>
      <c r="Z293" s="91">
        <f>IFERROR(IF($X293="","",INDEX(LLM_Data_Entry!$R$3:$R$548,MATCH($X293,INDEX(LLM_Data_Entry!$A$3:$A$548&amp;"|"&amp;LLM_Data_Entry!$C$3:$C$548&amp;"|"&amp;LLM_Data_Entry!$D$3:$D$548,0),0))),"")</f>
        <v/>
      </c>
      <c r="AB293" t="inlineStr">
        <is>
          <t>release date + stated time</t>
        </is>
      </c>
      <c r="AC293" t="inlineStr">
        <is>
          <t>NESN.SW</t>
        </is>
      </c>
      <c r="AD293" t="inlineStr">
        <is>
          <t>2024-10-16</t>
        </is>
      </c>
      <c r="AE293" t="n">
        <v>77.7955</v>
      </c>
      <c r="AF293" t="inlineStr">
        <is>
          <t>2024-10-17</t>
        </is>
      </c>
      <c r="AG293" t="n">
        <v>76.79389999999999</v>
      </c>
      <c r="AH293" t="n">
        <v>-0.01287544267777568</v>
      </c>
      <c r="AI293" t="inlineStr">
        <is>
          <t>FLAT</t>
        </is>
      </c>
      <c r="AJ293" t="inlineStr">
        <is>
          <t>NO</t>
        </is>
      </c>
      <c r="AK293" t="n">
        <v>-0.013875</v>
      </c>
      <c r="AL293">
        <f>IF($A293="","",IFERROR(INDEX(Company_List!$G$3:$G$207,MATCH($A293,Company_List!$A$3:$A$207,0)),"unassigned"))</f>
        <v/>
      </c>
      <c r="AM293" t="inlineStr">
        <is>
          <t>Phase 3/Readings/Nestlé/Q3 24/Nestlé Q3 FY2024 Earnings Call Transcript.pdf; Phase 3/Readings/Nestlé/Q3 24/2024-Q3.pdf</t>
        </is>
      </c>
      <c r="AO293" t="inlineStr">
        <is>
          <t>whole bundle (Document = All)</t>
        </is>
      </c>
      <c r="AP293">
        <f>IF($A293="","",IF(COUNTIFS(LLM_Data_Entry!$A$3:$A$548,$A293)&gt;0,"YES","NO"))</f>
        <v/>
      </c>
      <c r="AQ293">
        <f>IF($A293="","",IF(COUNTIFS($A$3:$A293,$A293,$C$3:$C293,$C293,$D$3:$D293,$D293)=1,"YES","NO"))</f>
        <v/>
      </c>
      <c r="AR293">
        <f>IF($A293="","",IF(AND($C293&amp;"-"&amp;$D293&gt;=Settings!$B$19,$C293&amp;"-"&amp;$D293&lt;=Settings!$B$20),"IN","OUT"))</f>
        <v/>
      </c>
      <c r="AS293">
        <f>IF($A293="","",IF($F293="Financial Results","financials",IF($F293="Outlook/Guidance","guidance",IF($F293="Transcript Q&amp;A","qanda",IF($F293="","unrecorded",IF($E293="All","full",IF($E293="","unrecorded",LOWER($E293)&amp;" only")))))))</f>
        <v/>
      </c>
      <c r="AT293">
        <f>IF(AND(OR($J293="BUY",$J293="SELL"),ISNUMBER($U293)),$U293,"")</f>
        <v/>
      </c>
      <c r="AU293">
        <f>IF(AND(OR($J293="BUY",$J293="SELL"),ISNUMBER($AK293)),$AK293,"")</f>
        <v/>
      </c>
      <c r="AV293">
        <f>IF(ISNUMBER($AT293),ABS(IF(ISNUMBER($I293),$I293,0)-Settings!$B$24),"")</f>
        <v/>
      </c>
      <c r="AW293">
        <f>IF(ISNUMBER($AV293),$AV293*$AT293,"")</f>
        <v/>
      </c>
      <c r="AX293">
        <f>IF(ISNUMBER($AU293),ABS(IF(ISNUMBER($I293),$I293,0)-Settings!$B$24),"")</f>
        <v/>
      </c>
      <c r="AY293">
        <f>IF(ISNUMBER($AX293),$AX293*$AU293,"")</f>
        <v/>
      </c>
      <c r="AZ293">
        <f>IF($A293="","",IFERROR(INDEX(Company_List!$H$3:$H$207,MATCH($A293,Company_List!$A$3:$A$207,0)),"unassigned"))</f>
        <v/>
      </c>
      <c r="BC293">
        <f>IF($A293="","",IF(COUNTIFS($A$3:$A293,$A293,$C$3:$C293,$C293,$D$3:$D293,$D293,$G$3:$G293,$G293)=1,1,0))</f>
        <v/>
      </c>
      <c r="BG293" t="inlineStr">
        <is>
          <t>no</t>
        </is>
      </c>
      <c r="BK293">
        <f>IF(OR($H293&lt;&gt;"Human",$S293="",$J293="",$Y293="",$Z293=""),"",IF(EXACT(UPPER($J293),UPPER($Y293)),1,0))</f>
        <v/>
      </c>
      <c r="BL293" t="inlineStr">
        <is>
          <t>assumed - no rater record</t>
        </is>
      </c>
      <c r="BM293" t="n">
        <v>2</v>
      </c>
      <c r="BN293" t="inlineStr">
        <is>
          <t>not publisher-identified</t>
        </is>
      </c>
      <c r="BO293" t="inlineStr">
        <is>
          <t>not publisher-identified</t>
        </is>
      </c>
      <c r="BP293" t="inlineStr">
        <is>
          <t>no</t>
        </is>
      </c>
      <c r="BQ293" t="inlineStr">
        <is>
          <t>no</t>
        </is>
      </c>
    </row>
    <row r="294">
      <c r="A294" s="97" t="inlineStr">
        <is>
          <t>Nestle</t>
        </is>
      </c>
      <c r="B294" s="116">
        <f>IF(A294="","",_xlfn.XLOOKUP(A294, Company_List!$A:$A, Company_List!$B:$B, ""))</f>
        <v/>
      </c>
      <c r="C294" s="143" t="n">
        <v>2026</v>
      </c>
      <c r="D294" s="143" t="inlineStr">
        <is>
          <t>Q1</t>
        </is>
      </c>
      <c r="E294" s="144" t="inlineStr">
        <is>
          <t>All</t>
        </is>
      </c>
      <c r="F294" s="144" t="inlineStr">
        <is>
          <t>All</t>
        </is>
      </c>
      <c r="G294" s="143" t="inlineStr">
        <is>
          <t>Meriem</t>
        </is>
      </c>
      <c r="H294" s="106" t="inlineStr">
        <is>
          <t>Human</t>
        </is>
      </c>
      <c r="I294" s="145" t="n">
        <v>0.2</v>
      </c>
      <c r="J294" s="145">
        <f>IF(OR(I294="",Settings!$B$6=""),"",IF(I294&gt;Settings!$B$6,"BUY",IF(I294&lt;-Settings!$B$6,"SELL","HOLD")))</f>
        <v/>
      </c>
      <c r="K294" s="145" t="n">
        <v>38</v>
      </c>
      <c r="L294" s="123" t="n">
        <v>46135</v>
      </c>
      <c r="M294" s="123" t="n">
        <v>46135</v>
      </c>
      <c r="N294" s="147" t="n">
        <v>101.06</v>
      </c>
      <c r="O294" s="123" t="n">
        <v>46136</v>
      </c>
      <c r="P294" s="145" t="n">
        <v>102.66</v>
      </c>
      <c r="Q294" s="151">
        <f>IF(OR(N294="",P294=""),"",ROUND((P294-N294)/N294,4))</f>
        <v/>
      </c>
      <c r="R294" s="118">
        <f>IF(OR(N294="",P294=""),"",IF(Q294&gt;Settings!$B$3/100,"UP",IF(Q294&lt;-Settings!$B$3/100,"DOWN","FLAT")))</f>
        <v/>
      </c>
      <c r="S294" s="118">
        <f>IF(OR(N294="",P294="",J294=""),"",IF(OR(AND(J294="BUY",R294="UP"),AND(J294="SELL",R294="DOWN"),AND(J294="HOLD",R294="FLAT")),"YES","NO"))</f>
        <v/>
      </c>
      <c r="T294" s="119">
        <f>IF(J294="","",IF(J294="BUY",1,IF(J294="SELL",-1,0)))</f>
        <v/>
      </c>
      <c r="U294" s="150">
        <f>IFERROR(IF(OR(J294="",N294="",P294=""),"",IF(T294=0,0,T294*Q294-Settings!$B$4/10000-IF(T294&lt;0,Settings!$B$5/10000,0))),"")</f>
        <v/>
      </c>
      <c r="V294" s="7" t="inlineStr">
        <is>
          <t>Solid organic growth and a resilient full-year outlook outweighed foreign exchange, recall and geopolitical headwinds, supporting a BUY.</t>
        </is>
      </c>
      <c r="W294" s="21">
        <f>IF($K294="","",$K294*60)</f>
        <v/>
      </c>
      <c r="X294" s="91">
        <f>IF($A294="","",$A294&amp;"|"&amp;$C294&amp;"|"&amp;$D294)</f>
        <v/>
      </c>
      <c r="Y294" s="91">
        <f>IFERROR(IF($X294="","",INDEX(LLM_Data_Entry!$H$3:$H$548,MATCH($X294,INDEX(LLM_Data_Entry!$A$3:$A$548&amp;"|"&amp;LLM_Data_Entry!$C$3:$C$548&amp;"|"&amp;LLM_Data_Entry!$D$3:$D$548,0),0))),"")</f>
        <v/>
      </c>
      <c r="Z294" s="91">
        <f>IFERROR(IF($X294="","",INDEX(LLM_Data_Entry!$R$3:$R$548,MATCH($X294,INDEX(LLM_Data_Entry!$A$3:$A$548&amp;"|"&amp;LLM_Data_Entry!$C$3:$C$548&amp;"|"&amp;LLM_Data_Entry!$D$3:$D$548,0),0))),"")</f>
        <v/>
      </c>
      <c r="AB294" t="inlineStr">
        <is>
          <t>release date + stated time</t>
        </is>
      </c>
      <c r="AC294" t="inlineStr">
        <is>
          <t>NESN.SW</t>
        </is>
      </c>
      <c r="AD294" t="inlineStr">
        <is>
          <t>2026-04-22</t>
        </is>
      </c>
      <c r="AE294" t="n">
        <v>75.54000000000001</v>
      </c>
      <c r="AF294" t="inlineStr">
        <is>
          <t>2026-04-23</t>
        </is>
      </c>
      <c r="AG294" t="n">
        <v>79.55</v>
      </c>
      <c r="AH294" t="n">
        <v>0.05308448433830441</v>
      </c>
      <c r="AI294" t="inlineStr">
        <is>
          <t>UP</t>
        </is>
      </c>
      <c r="AJ294" t="inlineStr">
        <is>
          <t>NO</t>
        </is>
      </c>
      <c r="AK294" t="n">
        <v>0</v>
      </c>
      <c r="AL294">
        <f>IF($A294="","",IFERROR(INDEX(Company_List!$G$3:$G$207,MATCH($A294,Company_List!$A$3:$A$207,0)),"unassigned"))</f>
        <v/>
      </c>
      <c r="AM294" t="inlineStr">
        <is>
          <t>Phase 3/Readings/Nestlé/Q1 26/Q1-2026-en.pdf; Phase 3/Readings/Nestlé/Q1 26/NESR Q1 2026 Earnings Call Transcript.pdf</t>
        </is>
      </c>
      <c r="AO294" t="inlineStr">
        <is>
          <t>whole bundle (Document = All)</t>
        </is>
      </c>
      <c r="AP294">
        <f>IF($A294="","",IF(COUNTIFS(LLM_Data_Entry!$A$3:$A$548,$A294)&gt;0,"YES","NO"))</f>
        <v/>
      </c>
      <c r="AQ294">
        <f>IF($A294="","",IF(COUNTIFS($A$3:$A294,$A294,$C$3:$C294,$C294,$D$3:$D294,$D294)=1,"YES","NO"))</f>
        <v/>
      </c>
      <c r="AR294">
        <f>IF($A294="","",IF(AND($C294&amp;"-"&amp;$D294&gt;=Settings!$B$19,$C294&amp;"-"&amp;$D294&lt;=Settings!$B$20),"IN","OUT"))</f>
        <v/>
      </c>
      <c r="AS294">
        <f>IF($A294="","",IF($F294="Financial Results","financials",IF($F294="Outlook/Guidance","guidance",IF($F294="Transcript Q&amp;A","qanda",IF($F294="","unrecorded",IF($E294="All","full",IF($E294="","unrecorded",LOWER($E294)&amp;" only")))))))</f>
        <v/>
      </c>
      <c r="AT294">
        <f>IF(AND(OR($J294="BUY",$J294="SELL"),ISNUMBER($U294)),$U294,"")</f>
        <v/>
      </c>
      <c r="AU294">
        <f>IF(AND(OR($J294="BUY",$J294="SELL"),ISNUMBER($AK294)),$AK294,"")</f>
        <v/>
      </c>
      <c r="AV294">
        <f>IF(ISNUMBER($AT294),ABS(IF(ISNUMBER($I294),$I294,0)-Settings!$B$24),"")</f>
        <v/>
      </c>
      <c r="AW294">
        <f>IF(ISNUMBER($AV294),$AV294*$AT294,"")</f>
        <v/>
      </c>
      <c r="AX294">
        <f>IF(ISNUMBER($AU294),ABS(IF(ISNUMBER($I294),$I294,0)-Settings!$B$24),"")</f>
        <v/>
      </c>
      <c r="AY294">
        <f>IF(ISNUMBER($AX294),$AX294*$AU294,"")</f>
        <v/>
      </c>
      <c r="AZ294">
        <f>IF($A294="","",IFERROR(INDEX(Company_List!$H$3:$H$207,MATCH($A294,Company_List!$A$3:$A$207,0)),"unassigned"))</f>
        <v/>
      </c>
      <c r="BC294">
        <f>IF($A294="","",IF(COUNTIFS($A$3:$A294,$A294,$C$3:$C294,$C294,$D$3:$D294,$D294,$G$3:$G294,$G294)=1,1,0))</f>
        <v/>
      </c>
      <c r="BG294" t="inlineStr">
        <is>
          <t>no</t>
        </is>
      </c>
      <c r="BK294">
        <f>IF(OR($H294&lt;&gt;"Human",$S294="",$J294="",$Y294="",$Z294=""),"",IF(EXACT(UPPER($J294),UPPER($Y294)),1,0))</f>
        <v/>
      </c>
      <c r="BL294" t="inlineStr">
        <is>
          <t>assumed - no rater record</t>
        </is>
      </c>
      <c r="BM294" t="n">
        <v>2</v>
      </c>
      <c r="BN294" t="inlineStr">
        <is>
          <t>The Motley Fool</t>
        </is>
      </c>
      <c r="BO294" t="inlineStr">
        <is>
          <t>free to read, copyright asserted</t>
        </is>
      </c>
      <c r="BP294" t="inlineStr">
        <is>
          <t>no</t>
        </is>
      </c>
      <c r="BQ294" t="inlineStr">
        <is>
          <t>no</t>
        </is>
      </c>
    </row>
    <row r="295">
      <c r="A295" s="1" t="inlineStr">
        <is>
          <t>Alphabet</t>
        </is>
      </c>
      <c r="B295" s="117">
        <f>IF(A295="","",_xlfn.XLOOKUP(A295, Company_List!$A:$A, Company_List!$B:$B, ""))</f>
        <v/>
      </c>
      <c r="C295" s="143" t="n">
        <v>2026</v>
      </c>
      <c r="D295" s="143" t="inlineStr">
        <is>
          <t>Q1</t>
        </is>
      </c>
      <c r="E295" s="98" t="inlineStr">
        <is>
          <t>Transcript</t>
        </is>
      </c>
      <c r="F295" s="98" t="inlineStr">
        <is>
          <t>Outlook/Guidance</t>
        </is>
      </c>
      <c r="G295" s="143" t="inlineStr">
        <is>
          <t>David</t>
        </is>
      </c>
      <c r="H295" s="106" t="inlineStr">
        <is>
          <t>Human</t>
        </is>
      </c>
      <c r="I295" s="145" t="n">
        <v>-0.4</v>
      </c>
      <c r="J295" s="145">
        <f>IF(OR(I295="",Settings!$B$6=""),"",IF(I295&gt;Settings!$B$6,"BUY",IF(I295&lt;-Settings!$B$6,"SELL","HOLD")))</f>
        <v/>
      </c>
      <c r="K295" s="145" t="n">
        <v>34</v>
      </c>
      <c r="L295" s="126" t="n">
        <v>46141</v>
      </c>
      <c r="M295" s="140" t="n">
        <v>46141</v>
      </c>
      <c r="N295" s="147" t="n">
        <v>349.94</v>
      </c>
      <c r="O295" s="140" t="n">
        <v>46142</v>
      </c>
      <c r="P295" s="145" t="n">
        <v>374.07</v>
      </c>
      <c r="Q295" s="151">
        <f>IF(OR(N295="",P295=""),"",ROUND((P295-N295)/N295,4))</f>
        <v/>
      </c>
      <c r="R295" s="118">
        <f>IF(OR(N295="",P295=""),"",IF(Q295&gt;Settings!$B$3/100,"UP",IF(Q295&lt;-Settings!$B$3/100,"DOWN","FLAT")))</f>
        <v/>
      </c>
      <c r="S295" s="118">
        <f>IF(OR(N295="",P295="",J295=""),"",IF(OR(AND(J295="BUY",R295="UP"),AND(J295="SELL",R295="DOWN"),AND(J295="HOLD",R295="FLAT")),"YES","NO"))</f>
        <v/>
      </c>
      <c r="T295" s="119">
        <f>IF(J295="","",IF(J295="BUY",1,IF(J295="SELL",-1,0)))</f>
        <v/>
      </c>
      <c r="U295" s="150">
        <f>IFERROR(IF(OR(J295="",N295="",P295=""),"",IF(T295=0,0,T295*Q295-Settings!$B$4/10000-IF(T295&lt;0,Settings!$B$5/10000,0))),"")</f>
        <v/>
      </c>
      <c r="W295" s="21">
        <f>IF($K295="","",$K295*60)</f>
        <v/>
      </c>
      <c r="X295" s="91">
        <f>IF($A295="","",$A295&amp;"|"&amp;$C295&amp;"|"&amp;$D295)</f>
        <v/>
      </c>
      <c r="Y295" s="91">
        <f>IFERROR(IF($X295="","",INDEX(LLM_Data_Entry!$H$3:$H$548,MATCH($X295,INDEX(LLM_Data_Entry!$A$3:$A$548&amp;"|"&amp;LLM_Data_Entry!$C$3:$C$548&amp;"|"&amp;LLM_Data_Entry!$D$3:$D$548,0),0))),"")</f>
        <v/>
      </c>
      <c r="Z295" s="91">
        <f>IFERROR(IF($X295="","",INDEX(LLM_Data_Entry!$R$3:$R$548,MATCH($X295,INDEX(LLM_Data_Entry!$A$3:$A$548&amp;"|"&amp;LLM_Data_Entry!$C$3:$C$548&amp;"|"&amp;LLM_Data_Entry!$D$3:$D$548,0),0))),"")</f>
        <v/>
      </c>
      <c r="AB295" t="inlineStr">
        <is>
          <t>release date + stated time in the document (rater worksheet)</t>
        </is>
      </c>
      <c r="AC295" t="inlineStr">
        <is>
          <t>GOOGL</t>
        </is>
      </c>
      <c r="AD295" t="inlineStr">
        <is>
          <t>2026-04-29</t>
        </is>
      </c>
      <c r="AE295" t="n">
        <v>349.7311</v>
      </c>
      <c r="AF295" t="inlineStr">
        <is>
          <t>2026-04-30</t>
        </is>
      </c>
      <c r="AG295" t="n">
        <v>373.8467</v>
      </c>
      <c r="AH295" t="n">
        <v>0.06895467850234777</v>
      </c>
      <c r="AI295" t="inlineStr">
        <is>
          <t>UP</t>
        </is>
      </c>
      <c r="AJ295" t="inlineStr">
        <is>
          <t>NO</t>
        </is>
      </c>
      <c r="AK295" t="n">
        <v>-0.069955</v>
      </c>
      <c r="AL295">
        <f>IF($A295="","",IFERROR(INDEX(Company_List!$G$3:$G$207,MATCH($A295,Company_List!$A$3:$A$207,0)),"unassigned"))</f>
        <v/>
      </c>
      <c r="AM295" t="inlineStr">
        <is>
          <t>Phase 2/Alphabet/2026-Q1/GOOGL-2026-Q1-earnings-call-transcript-fool-com.html</t>
        </is>
      </c>
      <c r="AN295" t="inlineStr">
        <is>
          <t>https://www.fool.com/earnings/call-transcripts/2026/04/29/alphabet-googl-q1-2026-earnings-call-transcript/</t>
        </is>
      </c>
      <c r="AO295" t="inlineStr">
        <is>
          <t>manifest</t>
        </is>
      </c>
      <c r="AP295">
        <f>IF($A295="","",IF(COUNTIFS(LLM_Data_Entry!$A$3:$A$548,$A295)&gt;0,"YES","NO"))</f>
        <v/>
      </c>
      <c r="AQ295">
        <f>IF($A295="","",IF(COUNTIFS($A$3:$A295,$A295,$C$3:$C295,$C295,$D$3:$D295,$D295)=1,"YES","NO"))</f>
        <v/>
      </c>
      <c r="AR295">
        <f>IF($A295="","",IF(AND($C295&amp;"-"&amp;$D295&gt;=Settings!$B$19,$C295&amp;"-"&amp;$D295&lt;=Settings!$B$20),"IN","OUT"))</f>
        <v/>
      </c>
      <c r="AS295">
        <f>IF($A295="","",IF($F295="Financial Results","financials",IF($F295="Outlook/Guidance","guidance",IF($F295="Transcript Q&amp;A","qanda",IF($F295="","unrecorded",IF($E295="All","full",IF($E295="","unrecorded",LOWER($E295)&amp;" only")))))))</f>
        <v/>
      </c>
      <c r="AT295">
        <f>IF(AND(OR($J295="BUY",$J295="SELL"),ISNUMBER($U295)),$U295,"")</f>
        <v/>
      </c>
      <c r="AU295">
        <f>IF(AND(OR($J295="BUY",$J295="SELL"),ISNUMBER($AK295)),$AK295,"")</f>
        <v/>
      </c>
      <c r="AV295">
        <f>IF(ISNUMBER($AT295),ABS(IF(ISNUMBER($I295),$I295,0)-Settings!$B$24),"")</f>
        <v/>
      </c>
      <c r="AW295">
        <f>IF(ISNUMBER($AV295),$AV295*$AT295,"")</f>
        <v/>
      </c>
      <c r="AX295">
        <f>IF(ISNUMBER($AU295),ABS(IF(ISNUMBER($I295),$I295,0)-Settings!$B$24),"")</f>
        <v/>
      </c>
      <c r="AY295">
        <f>IF(ISNUMBER($AX295),$AX295*$AU295,"")</f>
        <v/>
      </c>
      <c r="AZ295">
        <f>IF($A295="","",IFERROR(INDEX(Company_List!$H$3:$H$207,MATCH($A295,Company_List!$A$3:$A$207,0)),"unassigned"))</f>
        <v/>
      </c>
      <c r="BC295">
        <f>IF($A295="","",IF(COUNTIFS($A$3:$A295,$A295,$C$3:$C295,$C295,$D$3:$D295,$D295,$G$3:$G295,$G295)=1,1,0))</f>
        <v/>
      </c>
      <c r="BG295" t="inlineStr">
        <is>
          <t>no</t>
        </is>
      </c>
      <c r="BK295">
        <f>IF(OR($H295&lt;&gt;"Human",$S295="",$J295="",$Y295="",$Z295=""),"",IF(EXACT(UPPER($J295),UPPER($Y295)),1,0))</f>
        <v/>
      </c>
      <c r="BL295" t="inlineStr">
        <is>
          <t>assumed - no rater record</t>
        </is>
      </c>
      <c r="BM295" t="n">
        <v>1</v>
      </c>
      <c r="BN295" t="inlineStr">
        <is>
          <t>The Motley Fool</t>
        </is>
      </c>
      <c r="BO295" t="inlineStr">
        <is>
          <t>free to read, copyright asserted</t>
        </is>
      </c>
      <c r="BP295" t="inlineStr">
        <is>
          <t>no</t>
        </is>
      </c>
      <c r="BQ295" t="inlineStr">
        <is>
          <t>yes</t>
        </is>
      </c>
    </row>
    <row r="296">
      <c r="A296" s="1" t="inlineStr">
        <is>
          <t>Alphabet</t>
        </is>
      </c>
      <c r="B296" s="142">
        <f>IF(A296="","",_xlfn.XLOOKUP(A296, Company_List!$A:$A, Company_List!$B:$B, ""))</f>
        <v/>
      </c>
      <c r="C296" s="143" t="n">
        <v>2025</v>
      </c>
      <c r="D296" s="143" t="inlineStr">
        <is>
          <t>Q3</t>
        </is>
      </c>
      <c r="E296" s="98" t="inlineStr">
        <is>
          <t>Transcript</t>
        </is>
      </c>
      <c r="F296" s="98" t="inlineStr">
        <is>
          <t>Transcript Q&amp;A</t>
        </is>
      </c>
      <c r="G296" s="143" t="inlineStr">
        <is>
          <t>David</t>
        </is>
      </c>
      <c r="H296" s="106" t="inlineStr">
        <is>
          <t>Human</t>
        </is>
      </c>
      <c r="I296" s="145" t="n">
        <v>-0.35</v>
      </c>
      <c r="J296" s="145">
        <f>IF(OR(I296="",Settings!$B$6=""),"",IF(I296&gt;Settings!$B$6,"BUY",IF(I296&lt;-Settings!$B$6,"SELL","HOLD")))</f>
        <v/>
      </c>
      <c r="K296" s="145" t="n">
        <v>43</v>
      </c>
      <c r="L296" s="125" t="n">
        <v>45959</v>
      </c>
      <c r="M296" s="140" t="n">
        <v>45959</v>
      </c>
      <c r="N296" s="147" t="n">
        <v>274.57</v>
      </c>
      <c r="O296" s="140" t="n">
        <v>45960</v>
      </c>
      <c r="P296" s="145" t="n">
        <v>291.59</v>
      </c>
      <c r="Q296" s="151">
        <f>IF(OR(N296="",P296=""),"",ROUND((P296-N296)/N296,4))</f>
        <v/>
      </c>
      <c r="R296" s="118">
        <f>IF(OR(N296="",P296=""),"",IF(Q296&gt;Settings!$B$3/100,"UP",IF(Q296&lt;-Settings!$B$3/100,"DOWN","FLAT")))</f>
        <v/>
      </c>
      <c r="S296" s="118">
        <f>IF(OR(N296="",P296="",J296=""),"",IF(OR(AND(J296="BUY",R296="UP"),AND(J296="SELL",R296="DOWN"),AND(J296="HOLD",R296="FLAT")),"YES","NO"))</f>
        <v/>
      </c>
      <c r="T296" s="119">
        <f>IF(J296="","",IF(J296="BUY",1,IF(J296="SELL",-1,0)))</f>
        <v/>
      </c>
      <c r="U296" s="150">
        <f>IFERROR(IF(OR(J296="",N296="",P296=""),"",IF(T296=0,0,T296*Q296-Settings!$B$4/10000-IF(T296&lt;0,Settings!$B$5/10000,0))),"")</f>
        <v/>
      </c>
      <c r="W296" s="21">
        <f>IF($K296="","",$K296*60)</f>
        <v/>
      </c>
      <c r="X296" s="91">
        <f>IF($A296="","",$A296&amp;"|"&amp;$C296&amp;"|"&amp;$D296)</f>
        <v/>
      </c>
      <c r="Y296" s="91">
        <f>IFERROR(IF($X296="","",INDEX(LLM_Data_Entry!$H$3:$H$548,MATCH($X296,INDEX(LLM_Data_Entry!$A$3:$A$548&amp;"|"&amp;LLM_Data_Entry!$C$3:$C$548&amp;"|"&amp;LLM_Data_Entry!$D$3:$D$548,0),0))),"")</f>
        <v/>
      </c>
      <c r="Z296" s="91">
        <f>IFERROR(IF($X296="","",INDEX(LLM_Data_Entry!$R$3:$R$548,MATCH($X296,INDEX(LLM_Data_Entry!$A$3:$A$548&amp;"|"&amp;LLM_Data_Entry!$C$3:$C$548&amp;"|"&amp;LLM_Data_Entry!$D$3:$D$548,0),0))),"")</f>
        <v/>
      </c>
      <c r="AB296" t="inlineStr">
        <is>
          <t>release date + stated time in the document (rater worksheet)</t>
        </is>
      </c>
      <c r="AC296" t="inlineStr">
        <is>
          <t>GOOGL</t>
        </is>
      </c>
      <c r="AD296" t="inlineStr">
        <is>
          <t>2025-10-29</t>
        </is>
      </c>
      <c r="AE296" t="n">
        <v>274.0338</v>
      </c>
      <c r="AF296" t="inlineStr">
        <is>
          <t>2025-10-30</t>
        </is>
      </c>
      <c r="AG296" t="n">
        <v>291.0206</v>
      </c>
      <c r="AH296" t="n">
        <v>0.06198793072815025</v>
      </c>
      <c r="AI296" t="inlineStr">
        <is>
          <t>UP</t>
        </is>
      </c>
      <c r="AJ296" t="inlineStr">
        <is>
          <t>NO</t>
        </is>
      </c>
      <c r="AK296" t="n">
        <v>-0.062988</v>
      </c>
      <c r="AL296">
        <f>IF($A296="","",IFERROR(INDEX(Company_List!$G$3:$G$207,MATCH($A296,Company_List!$A$3:$A$207,0)),"unassigned"))</f>
        <v/>
      </c>
      <c r="AM296" t="inlineStr">
        <is>
          <t>Phase 2/Alphabet/2025-Q3/GOOGL-2025-Q3-earnings-call-transcript-fool-com.html</t>
        </is>
      </c>
      <c r="AN296" t="inlineStr">
        <is>
          <t>https://www.fool.com/earnings/call-transcripts/2025/10/30/alphabet-goog-q3-2025-earnings-call-transcript/</t>
        </is>
      </c>
      <c r="AO296" t="inlineStr">
        <is>
          <t>manifest</t>
        </is>
      </c>
      <c r="AP296">
        <f>IF($A296="","",IF(COUNTIFS(LLM_Data_Entry!$A$3:$A$548,$A296)&gt;0,"YES","NO"))</f>
        <v/>
      </c>
      <c r="AQ296">
        <f>IF($A296="","",IF(COUNTIFS($A$3:$A296,$A296,$C$3:$C296,$C296,$D$3:$D296,$D296)=1,"YES","NO"))</f>
        <v/>
      </c>
      <c r="AR296">
        <f>IF($A296="","",IF(AND($C296&amp;"-"&amp;$D296&gt;=Settings!$B$19,$C296&amp;"-"&amp;$D296&lt;=Settings!$B$20),"IN","OUT"))</f>
        <v/>
      </c>
      <c r="AS296">
        <f>IF($A296="","",IF($F296="Financial Results","financials",IF($F296="Outlook/Guidance","guidance",IF($F296="Transcript Q&amp;A","qanda",IF($F296="","unrecorded",IF($E296="All","full",IF($E296="","unrecorded",LOWER($E296)&amp;" only")))))))</f>
        <v/>
      </c>
      <c r="AT296">
        <f>IF(AND(OR($J296="BUY",$J296="SELL"),ISNUMBER($U296)),$U296,"")</f>
        <v/>
      </c>
      <c r="AU296">
        <f>IF(AND(OR($J296="BUY",$J296="SELL"),ISNUMBER($AK296)),$AK296,"")</f>
        <v/>
      </c>
      <c r="AV296">
        <f>IF(ISNUMBER($AT296),ABS(IF(ISNUMBER($I296),$I296,0)-Settings!$B$24),"")</f>
        <v/>
      </c>
      <c r="AW296">
        <f>IF(ISNUMBER($AV296),$AV296*$AT296,"")</f>
        <v/>
      </c>
      <c r="AX296">
        <f>IF(ISNUMBER($AU296),ABS(IF(ISNUMBER($I296),$I296,0)-Settings!$B$24),"")</f>
        <v/>
      </c>
      <c r="AY296">
        <f>IF(ISNUMBER($AX296),$AX296*$AU296,"")</f>
        <v/>
      </c>
      <c r="AZ296">
        <f>IF($A296="","",IFERROR(INDEX(Company_List!$H$3:$H$207,MATCH($A296,Company_List!$A$3:$A$207,0)),"unassigned"))</f>
        <v/>
      </c>
      <c r="BC296">
        <f>IF($A296="","",IF(COUNTIFS($A$3:$A296,$A296,$C$3:$C296,$C296,$D$3:$D296,$D296,$G$3:$G296,$G296)=1,1,0))</f>
        <v/>
      </c>
      <c r="BG296" t="inlineStr">
        <is>
          <t>no</t>
        </is>
      </c>
      <c r="BK296">
        <f>IF(OR($H296&lt;&gt;"Human",$S296="",$J296="",$Y296="",$Z296=""),"",IF(EXACT(UPPER($J296),UPPER($Y296)),1,0))</f>
        <v/>
      </c>
      <c r="BL296" t="inlineStr">
        <is>
          <t>assumed - no rater record</t>
        </is>
      </c>
      <c r="BM296" t="n">
        <v>1</v>
      </c>
      <c r="BN296" t="inlineStr">
        <is>
          <t>The Motley Fool</t>
        </is>
      </c>
      <c r="BO296" t="inlineStr">
        <is>
          <t>free to read, copyright asserted</t>
        </is>
      </c>
      <c r="BP296" t="inlineStr">
        <is>
          <t>no</t>
        </is>
      </c>
      <c r="BQ296" t="inlineStr">
        <is>
          <t>yes</t>
        </is>
      </c>
    </row>
    <row r="297">
      <c r="A297" s="1" t="inlineStr">
        <is>
          <t>Alphabet</t>
        </is>
      </c>
      <c r="B297" s="142">
        <f>IF(A297="","",_xlfn.XLOOKUP(A297, Company_List!$A:$A, Company_List!$B:$B, ""))</f>
        <v/>
      </c>
      <c r="C297" s="143" t="n">
        <v>2025</v>
      </c>
      <c r="D297" s="143" t="inlineStr">
        <is>
          <t>Q4</t>
        </is>
      </c>
      <c r="E297" s="98" t="inlineStr">
        <is>
          <t>Press Release Document</t>
        </is>
      </c>
      <c r="F297" s="98" t="inlineStr">
        <is>
          <t>Financial Results</t>
        </is>
      </c>
      <c r="G297" s="143" t="inlineStr">
        <is>
          <t>David</t>
        </is>
      </c>
      <c r="H297" s="106" t="inlineStr">
        <is>
          <t>Human</t>
        </is>
      </c>
      <c r="I297" s="145" t="n">
        <v>0.75</v>
      </c>
      <c r="J297" s="145">
        <f>IF(OR(I297="",Settings!$B$6=""),"",IF(I297&gt;Settings!$B$6,"BUY",IF(I297&lt;-Settings!$B$6,"SELL","HOLD")))</f>
        <v/>
      </c>
      <c r="K297" s="145" t="n">
        <v>36</v>
      </c>
      <c r="L297" s="125" t="n">
        <v>46057</v>
      </c>
      <c r="M297" s="140" t="n">
        <v>46057</v>
      </c>
      <c r="N297" s="147" t="n">
        <v>333.04</v>
      </c>
      <c r="O297" s="140" t="n">
        <v>46058</v>
      </c>
      <c r="P297" s="145" t="n">
        <v>312.22</v>
      </c>
      <c r="Q297" s="151">
        <f>IF(OR(N297="",P297=""),"",ROUND((P297-N297)/N297,4))</f>
        <v/>
      </c>
      <c r="R297" s="118">
        <f>IF(OR(N297="",P297=""),"",IF(Q297&gt;Settings!$B$3/100,"UP",IF(Q297&lt;-Settings!$B$3/100,"DOWN","FLAT")))</f>
        <v/>
      </c>
      <c r="S297" s="118">
        <f>IF(OR(N297="",P297="",J297=""),"",IF(OR(AND(J297="BUY",R297="UP"),AND(J297="SELL",R297="DOWN"),AND(J297="HOLD",R297="FLAT")),"YES","NO"))</f>
        <v/>
      </c>
      <c r="T297" s="119">
        <f>IF(J297="","",IF(J297="BUY",1,IF(J297="SELL",-1,0)))</f>
        <v/>
      </c>
      <c r="U297" s="150">
        <f>IFERROR(IF(OR(J297="",N297="",P297=""),"",IF(T297=0,0,T297*Q297-Settings!$B$4/10000-IF(T297&lt;0,Settings!$B$5/10000,0))),"")</f>
        <v/>
      </c>
      <c r="W297" s="21">
        <f>IF($K297="","",$K297*60)</f>
        <v/>
      </c>
      <c r="X297" s="91">
        <f>IF($A297="","",$A297&amp;"|"&amp;$C297&amp;"|"&amp;$D297)</f>
        <v/>
      </c>
      <c r="Y297" s="91">
        <f>IFERROR(IF($X297="","",INDEX(LLM_Data_Entry!$H$3:$H$548,MATCH($X297,INDEX(LLM_Data_Entry!$A$3:$A$548&amp;"|"&amp;LLM_Data_Entry!$C$3:$C$548&amp;"|"&amp;LLM_Data_Entry!$D$3:$D$548,0),0))),"")</f>
        <v/>
      </c>
      <c r="Z297" s="91">
        <f>IFERROR(IF($X297="","",INDEX(LLM_Data_Entry!$R$3:$R$548,MATCH($X297,INDEX(LLM_Data_Entry!$A$3:$A$548&amp;"|"&amp;LLM_Data_Entry!$C$3:$C$548&amp;"|"&amp;LLM_Data_Entry!$D$3:$D$548,0),0))),"")</f>
        <v/>
      </c>
      <c r="AB297" t="inlineStr">
        <is>
          <t>price signal — only this window shows an abnormal move</t>
        </is>
      </c>
      <c r="AC297" t="inlineStr">
        <is>
          <t>GOOGL</t>
        </is>
      </c>
      <c r="AD297" t="inlineStr">
        <is>
          <t>2026-02-04</t>
        </is>
      </c>
      <c r="AE297" t="n">
        <v>332.6071</v>
      </c>
      <c r="AF297" t="inlineStr">
        <is>
          <t>2026-02-05</t>
        </is>
      </c>
      <c r="AG297" t="n">
        <v>311.8141</v>
      </c>
      <c r="AH297" t="n">
        <v>-0.0625150549714361</v>
      </c>
      <c r="AI297" t="inlineStr">
        <is>
          <t>DOWN</t>
        </is>
      </c>
      <c r="AJ297" t="inlineStr">
        <is>
          <t>NO</t>
        </is>
      </c>
      <c r="AK297" t="n">
        <v>-0.063515</v>
      </c>
      <c r="AL297">
        <f>IF($A297="","",IFERROR(INDEX(Company_List!$G$3:$G$207,MATCH($A297,Company_List!$A$3:$A$207,0)),"unassigned"))</f>
        <v/>
      </c>
      <c r="AM297" t="inlineStr">
        <is>
          <t>Phase 2/Alphabet/2025-Q4/GOOGL-2025-Q4-press-release-SEC-EX-99-1.htm</t>
        </is>
      </c>
      <c r="AN297" t="inlineStr">
        <is>
          <t>https://www.sec.gov/Archives/edgar/data/1652044/000165204426000012/googexhibit991q42025.htm</t>
        </is>
      </c>
      <c r="AO297" t="inlineStr">
        <is>
          <t>manifest</t>
        </is>
      </c>
      <c r="AP297">
        <f>IF($A297="","",IF(COUNTIFS(LLM_Data_Entry!$A$3:$A$548,$A297)&gt;0,"YES","NO"))</f>
        <v/>
      </c>
      <c r="AQ297">
        <f>IF($A297="","",IF(COUNTIFS($A$3:$A297,$A297,$C$3:$C297,$C297,$D$3:$D297,$D297)=1,"YES","NO"))</f>
        <v/>
      </c>
      <c r="AR297">
        <f>IF($A297="","",IF(AND($C297&amp;"-"&amp;$D297&gt;=Settings!$B$19,$C297&amp;"-"&amp;$D297&lt;=Settings!$B$20),"IN","OUT"))</f>
        <v/>
      </c>
      <c r="AS297">
        <f>IF($A297="","",IF($F297="Financial Results","financials",IF($F297="Outlook/Guidance","guidance",IF($F297="Transcript Q&amp;A","qanda",IF($F297="","unrecorded",IF($E297="All","full",IF($E297="","unrecorded",LOWER($E297)&amp;" only")))))))</f>
        <v/>
      </c>
      <c r="AT297">
        <f>IF(AND(OR($J297="BUY",$J297="SELL"),ISNUMBER($U297)),$U297,"")</f>
        <v/>
      </c>
      <c r="AU297">
        <f>IF(AND(OR($J297="BUY",$J297="SELL"),ISNUMBER($AK297)),$AK297,"")</f>
        <v/>
      </c>
      <c r="AV297">
        <f>IF(ISNUMBER($AT297),ABS(IF(ISNUMBER($I297),$I297,0)-Settings!$B$24),"")</f>
        <v/>
      </c>
      <c r="AW297">
        <f>IF(ISNUMBER($AV297),$AV297*$AT297,"")</f>
        <v/>
      </c>
      <c r="AX297">
        <f>IF(ISNUMBER($AU297),ABS(IF(ISNUMBER($I297),$I297,0)-Settings!$B$24),"")</f>
        <v/>
      </c>
      <c r="AY297">
        <f>IF(ISNUMBER($AX297),$AX297*$AU297,"")</f>
        <v/>
      </c>
      <c r="AZ297">
        <f>IF($A297="","",IFERROR(INDEX(Company_List!$H$3:$H$207,MATCH($A297,Company_List!$A$3:$A$207,0)),"unassigned"))</f>
        <v/>
      </c>
      <c r="BC297">
        <f>IF($A297="","",IF(COUNTIFS($A$3:$A297,$A297,$C$3:$C297,$C297,$D$3:$D297,$D297,$G$3:$G297,$G297)=1,1,0))</f>
        <v/>
      </c>
      <c r="BG297" t="inlineStr">
        <is>
          <t>no</t>
        </is>
      </c>
      <c r="BK297">
        <f>IF(OR($H297&lt;&gt;"Human",$S297="",$J297="",$Y297="",$Z297=""),"",IF(EXACT(UPPER($J297),UPPER($Y297)),1,0))</f>
        <v/>
      </c>
      <c r="BL297" t="inlineStr">
        <is>
          <t>assumed - no rater record</t>
        </is>
      </c>
      <c r="BM297" t="n">
        <v>1</v>
      </c>
      <c r="BN297" t="inlineStr">
        <is>
          <t>not publisher-identified</t>
        </is>
      </c>
      <c r="BO297" t="inlineStr">
        <is>
          <t>not publisher-identified</t>
        </is>
      </c>
      <c r="BP297" t="inlineStr">
        <is>
          <t>no</t>
        </is>
      </c>
      <c r="BQ297" t="inlineStr">
        <is>
          <t>yes</t>
        </is>
      </c>
    </row>
    <row r="298">
      <c r="A298" s="1" t="inlineStr">
        <is>
          <t>Booking Holdings</t>
        </is>
      </c>
      <c r="B298" s="142">
        <f>IF(A298="","",_xlfn.XLOOKUP(A298, Company_List!$A:$A, Company_List!$B:$B, ""))</f>
        <v/>
      </c>
      <c r="C298" s="143" t="n">
        <v>2025</v>
      </c>
      <c r="D298" s="143" t="inlineStr">
        <is>
          <t>Q2</t>
        </is>
      </c>
      <c r="E298" s="98" t="inlineStr">
        <is>
          <t>Press Release Document</t>
        </is>
      </c>
      <c r="F298" s="98" t="inlineStr">
        <is>
          <t>Financial Results</t>
        </is>
      </c>
      <c r="G298" s="143" t="inlineStr">
        <is>
          <t>David</t>
        </is>
      </c>
      <c r="H298" s="106" t="inlineStr">
        <is>
          <t>Human</t>
        </is>
      </c>
      <c r="I298" s="145" t="n">
        <v>0.3</v>
      </c>
      <c r="J298" s="145">
        <f>IF(OR(I298="",Settings!$B$6=""),"",IF(I298&gt;Settings!$B$6,"BUY",IF(I298&lt;-Settings!$B$6,"SELL","HOLD")))</f>
        <v/>
      </c>
      <c r="K298" s="145" t="n">
        <v>31</v>
      </c>
      <c r="L298" s="125" t="n">
        <v>45867</v>
      </c>
      <c r="M298" s="140" t="n">
        <v>45867</v>
      </c>
      <c r="N298" s="147" t="n">
        <v>223.63</v>
      </c>
      <c r="O298" s="140" t="n">
        <v>45868</v>
      </c>
      <c r="P298" s="145" t="n">
        <v>219.6</v>
      </c>
      <c r="Q298" s="151">
        <f>IF(OR(N298="",P298=""),"",ROUND((P298-N298)/N298,4))</f>
        <v/>
      </c>
      <c r="R298" s="118">
        <f>IF(OR(N298="",P298=""),"",IF(Q298&gt;Settings!$B$3/100,"UP",IF(Q298&lt;-Settings!$B$3/100,"DOWN","FLAT")))</f>
        <v/>
      </c>
      <c r="S298" s="118">
        <f>IF(OR(N298="",P298="",J298=""),"",IF(OR(AND(J298="BUY",R298="UP"),AND(J298="SELL",R298="DOWN"),AND(J298="HOLD",R298="FLAT")),"YES","NO"))</f>
        <v/>
      </c>
      <c r="T298" s="119">
        <f>IF(J298="","",IF(J298="BUY",1,IF(J298="SELL",-1,0)))</f>
        <v/>
      </c>
      <c r="U298" s="150">
        <f>IFERROR(IF(OR(J298="",N298="",P298=""),"",IF(T298=0,0,T298*Q298-Settings!$B$4/10000-IF(T298&lt;0,Settings!$B$5/10000,0))),"")</f>
        <v/>
      </c>
      <c r="W298" s="21">
        <f>IF($K298="","",$K298*60)</f>
        <v/>
      </c>
      <c r="X298" s="91">
        <f>IF($A298="","",$A298&amp;"|"&amp;$C298&amp;"|"&amp;$D298)</f>
        <v/>
      </c>
      <c r="Y298" s="91">
        <f>IFERROR(IF($X298="","",INDEX(LLM_Data_Entry!$H$3:$H$548,MATCH($X298,INDEX(LLM_Data_Entry!$A$3:$A$548&amp;"|"&amp;LLM_Data_Entry!$C$3:$C$548&amp;"|"&amp;LLM_Data_Entry!$D$3:$D$548,0),0))),"")</f>
        <v/>
      </c>
      <c r="Z298" s="91">
        <f>IFERROR(IF($X298="","",INDEX(LLM_Data_Entry!$R$3:$R$548,MATCH($X298,INDEX(LLM_Data_Entry!$A$3:$A$548&amp;"|"&amp;LLM_Data_Entry!$C$3:$C$548&amp;"|"&amp;LLM_Data_Entry!$D$3:$D$548,0),0))),"")</f>
        <v/>
      </c>
      <c r="AB298" t="inlineStr">
        <is>
          <t>release date + stated time in the document (rater worksheet)</t>
        </is>
      </c>
      <c r="AC298" t="inlineStr">
        <is>
          <t>BKNG</t>
        </is>
      </c>
      <c r="AD298" t="inlineStr">
        <is>
          <t>2025-07-29</t>
        </is>
      </c>
      <c r="AE298" t="n">
        <v>221.7555</v>
      </c>
      <c r="AF298" t="inlineStr">
        <is>
          <t>2025-07-30</t>
        </is>
      </c>
      <c r="AG298" t="n">
        <v>217.7585</v>
      </c>
      <c r="AH298" t="n">
        <v>-0.01802440648764589</v>
      </c>
      <c r="AI298" t="inlineStr">
        <is>
          <t>FLAT</t>
        </is>
      </c>
      <c r="AJ298" t="inlineStr">
        <is>
          <t>NO</t>
        </is>
      </c>
      <c r="AK298" t="n">
        <v>-0.019024</v>
      </c>
      <c r="AL298">
        <f>IF($A298="","",IFERROR(INDEX(Company_List!$G$3:$G$207,MATCH($A298,Company_List!$A$3:$A$207,0)),"unassigned"))</f>
        <v/>
      </c>
      <c r="AM298" t="inlineStr">
        <is>
          <t>Phase 3/Readings/Booking Holdings/Q2/Booking-Holdings-Inc-BKNG-US-Q2-2025-Earnings-Call-29-July-2025-4_30-PM-ET.pdf</t>
        </is>
      </c>
      <c r="AO298" t="inlineStr">
        <is>
          <t>unique filename match</t>
        </is>
      </c>
      <c r="AP298">
        <f>IF($A298="","",IF(COUNTIFS(LLM_Data_Entry!$A$3:$A$548,$A298)&gt;0,"YES","NO"))</f>
        <v/>
      </c>
      <c r="AQ298">
        <f>IF($A298="","",IF(COUNTIFS($A$3:$A298,$A298,$C$3:$C298,$C298,$D$3:$D298,$D298)=1,"YES","NO"))</f>
        <v/>
      </c>
      <c r="AR298">
        <f>IF($A298="","",IF(AND($C298&amp;"-"&amp;$D298&gt;=Settings!$B$19,$C298&amp;"-"&amp;$D298&lt;=Settings!$B$20),"IN","OUT"))</f>
        <v/>
      </c>
      <c r="AS298">
        <f>IF($A298="","",IF($F298="Financial Results","financials",IF($F298="Outlook/Guidance","guidance",IF($F298="Transcript Q&amp;A","qanda",IF($F298="","unrecorded",IF($E298="All","full",IF($E298="","unrecorded",LOWER($E298)&amp;" only")))))))</f>
        <v/>
      </c>
      <c r="AT298">
        <f>IF(AND(OR($J298="BUY",$J298="SELL"),ISNUMBER($U298)),$U298,"")</f>
        <v/>
      </c>
      <c r="AU298">
        <f>IF(AND(OR($J298="BUY",$J298="SELL"),ISNUMBER($AK298)),$AK298,"")</f>
        <v/>
      </c>
      <c r="AV298">
        <f>IF(ISNUMBER($AT298),ABS(IF(ISNUMBER($I298),$I298,0)-Settings!$B$24),"")</f>
        <v/>
      </c>
      <c r="AW298">
        <f>IF(ISNUMBER($AV298),$AV298*$AT298,"")</f>
        <v/>
      </c>
      <c r="AX298">
        <f>IF(ISNUMBER($AU298),ABS(IF(ISNUMBER($I298),$I298,0)-Settings!$B$24),"")</f>
        <v/>
      </c>
      <c r="AY298">
        <f>IF(ISNUMBER($AX298),$AX298*$AU298,"")</f>
        <v/>
      </c>
      <c r="AZ298">
        <f>IF($A298="","",IFERROR(INDEX(Company_List!$H$3:$H$207,MATCH($A298,Company_List!$A$3:$A$207,0)),"unassigned"))</f>
        <v/>
      </c>
      <c r="BC298">
        <f>IF($A298="","",IF(COUNTIFS($A$3:$A298,$A298,$C$3:$C298,$C298,$D$3:$D298,$D298,$G$3:$G298,$G298)=1,1,0))</f>
        <v/>
      </c>
      <c r="BG298" t="inlineStr">
        <is>
          <t>no</t>
        </is>
      </c>
      <c r="BK298">
        <f>IF(OR($H298&lt;&gt;"Human",$S298="",$J298="",$Y298="",$Z298=""),"",IF(EXACT(UPPER($J298),UPPER($Y298)),1,0))</f>
        <v/>
      </c>
      <c r="BL298" t="inlineStr">
        <is>
          <t>assumed - no rater record</t>
        </is>
      </c>
      <c r="BM298" t="n">
        <v>1</v>
      </c>
      <c r="BN298" t="inlineStr">
        <is>
          <t>FactSet CallStreet</t>
        </is>
      </c>
      <c r="BO298" t="inlineStr">
        <is>
          <t>licensed vendor</t>
        </is>
      </c>
      <c r="BP298" t="inlineStr">
        <is>
          <t>no</t>
        </is>
      </c>
      <c r="BQ298" t="inlineStr">
        <is>
          <t>no</t>
        </is>
      </c>
    </row>
    <row r="299">
      <c r="A299" s="1" t="inlineStr">
        <is>
          <t>Booking Holdings</t>
        </is>
      </c>
      <c r="B299" s="142">
        <f>IF(A299="","",_xlfn.XLOOKUP(A299, Company_List!$A:$A, Company_List!$B:$B, ""))</f>
        <v/>
      </c>
      <c r="C299" s="143" t="n">
        <v>2025</v>
      </c>
      <c r="D299" s="143" t="inlineStr">
        <is>
          <t>Q3</t>
        </is>
      </c>
      <c r="E299" s="98" t="inlineStr">
        <is>
          <t>Transcript</t>
        </is>
      </c>
      <c r="F299" s="98" t="inlineStr">
        <is>
          <t>Outlook/Guidance</t>
        </is>
      </c>
      <c r="G299" s="143" t="inlineStr">
        <is>
          <t>David</t>
        </is>
      </c>
      <c r="H299" s="106" t="inlineStr">
        <is>
          <t>Human</t>
        </is>
      </c>
      <c r="I299" s="145" t="n">
        <v>0.2</v>
      </c>
      <c r="J299" s="145">
        <f>IF(OR(I299="",Settings!$B$6=""),"",IF(I299&gt;Settings!$B$6,"BUY",IF(I299&lt;-Settings!$B$6,"SELL","HOLD")))</f>
        <v/>
      </c>
      <c r="K299" s="145" t="n">
        <v>33</v>
      </c>
      <c r="L299" s="125" t="n">
        <v>45958</v>
      </c>
      <c r="M299" s="140" t="n">
        <v>45958</v>
      </c>
      <c r="N299" s="147" t="n">
        <v>204.82</v>
      </c>
      <c r="O299" s="140" t="n">
        <v>45959</v>
      </c>
      <c r="P299" s="145" t="n">
        <v>208</v>
      </c>
      <c r="Q299" s="151">
        <f>IF(OR(N299="",P299=""),"",ROUND((P299-N299)/N299,4))</f>
        <v/>
      </c>
      <c r="R299" s="118">
        <f>IF(OR(N299="",P299=""),"",IF(Q299&gt;Settings!$B$3/100,"UP",IF(Q299&lt;-Settings!$B$3/100,"DOWN","FLAT")))</f>
        <v/>
      </c>
      <c r="S299" s="118">
        <f>IF(OR(N299="",P299="",J299=""),"",IF(OR(AND(J299="BUY",R299="UP"),AND(J299="SELL",R299="DOWN"),AND(J299="HOLD",R299="FLAT")),"YES","NO"))</f>
        <v/>
      </c>
      <c r="T299" s="119">
        <f>IF(J299="","",IF(J299="BUY",1,IF(J299="SELL",-1,0)))</f>
        <v/>
      </c>
      <c r="U299" s="150">
        <f>IFERROR(IF(OR(J299="",N299="",P299=""),"",IF(T299=0,0,T299*Q299-Settings!$B$4/10000-IF(T299&lt;0,Settings!$B$5/10000,0))),"")</f>
        <v/>
      </c>
      <c r="W299" s="21">
        <f>IF($K299="","",$K299*60)</f>
        <v/>
      </c>
      <c r="X299" s="91">
        <f>IF($A299="","",$A299&amp;"|"&amp;$C299&amp;"|"&amp;$D299)</f>
        <v/>
      </c>
      <c r="Y299" s="91">
        <f>IFERROR(IF($X299="","",INDEX(LLM_Data_Entry!$H$3:$H$548,MATCH($X299,INDEX(LLM_Data_Entry!$A$3:$A$548&amp;"|"&amp;LLM_Data_Entry!$C$3:$C$548&amp;"|"&amp;LLM_Data_Entry!$D$3:$D$548,0),0))),"")</f>
        <v/>
      </c>
      <c r="Z299" s="91">
        <f>IFERROR(IF($X299="","",INDEX(LLM_Data_Entry!$R$3:$R$548,MATCH($X299,INDEX(LLM_Data_Entry!$A$3:$A$548&amp;"|"&amp;LLM_Data_Entry!$C$3:$C$548&amp;"|"&amp;LLM_Data_Entry!$D$3:$D$548,0),0))),"")</f>
        <v/>
      </c>
      <c r="AB299" t="inlineStr">
        <is>
          <t>release date + stated time in the document (rater worksheet)</t>
        </is>
      </c>
      <c r="AC299" t="inlineStr">
        <is>
          <t>BKNG</t>
        </is>
      </c>
      <c r="AD299" t="inlineStr">
        <is>
          <t>2025-10-28</t>
        </is>
      </c>
      <c r="AE299" t="n">
        <v>203.4549</v>
      </c>
      <c r="AF299" t="inlineStr">
        <is>
          <t>2025-10-29</t>
        </is>
      </c>
      <c r="AG299" t="n">
        <v>206.6113</v>
      </c>
      <c r="AH299" t="n">
        <v>0.01551397903404391</v>
      </c>
      <c r="AI299" t="inlineStr">
        <is>
          <t>FLAT</t>
        </is>
      </c>
      <c r="AJ299" t="inlineStr">
        <is>
          <t>YES</t>
        </is>
      </c>
      <c r="AK299" t="n">
        <v>0</v>
      </c>
      <c r="AL299">
        <f>IF($A299="","",IFERROR(INDEX(Company_List!$G$3:$G$207,MATCH($A299,Company_List!$A$3:$A$207,0)),"unassigned"))</f>
        <v/>
      </c>
      <c r="AM299" t="inlineStr">
        <is>
          <t>Phase 3/Readings/Booking Holdings/Q3/CORRECTED-TRANSCRIPT_-Booking-Holdings-Inc-BKNG-US-Q3-2025-Earnings-Call-28-October-2025-4_30-PM-ET.pdf</t>
        </is>
      </c>
      <c r="AO299" t="inlineStr">
        <is>
          <t>unique filename match</t>
        </is>
      </c>
      <c r="AP299">
        <f>IF($A299="","",IF(COUNTIFS(LLM_Data_Entry!$A$3:$A$548,$A299)&gt;0,"YES","NO"))</f>
        <v/>
      </c>
      <c r="AQ299">
        <f>IF($A299="","",IF(COUNTIFS($A$3:$A299,$A299,$C$3:$C299,$C299,$D$3:$D299,$D299)=1,"YES","NO"))</f>
        <v/>
      </c>
      <c r="AR299">
        <f>IF($A299="","",IF(AND($C299&amp;"-"&amp;$D299&gt;=Settings!$B$19,$C299&amp;"-"&amp;$D299&lt;=Settings!$B$20),"IN","OUT"))</f>
        <v/>
      </c>
      <c r="AS299">
        <f>IF($A299="","",IF($F299="Financial Results","financials",IF($F299="Outlook/Guidance","guidance",IF($F299="Transcript Q&amp;A","qanda",IF($F299="","unrecorded",IF($E299="All","full",IF($E299="","unrecorded",LOWER($E299)&amp;" only")))))))</f>
        <v/>
      </c>
      <c r="AT299">
        <f>IF(AND(OR($J299="BUY",$J299="SELL"),ISNUMBER($U299)),$U299,"")</f>
        <v/>
      </c>
      <c r="AU299">
        <f>IF(AND(OR($J299="BUY",$J299="SELL"),ISNUMBER($AK299)),$AK299,"")</f>
        <v/>
      </c>
      <c r="AV299">
        <f>IF(ISNUMBER($AT299),ABS(IF(ISNUMBER($I299),$I299,0)-Settings!$B$24),"")</f>
        <v/>
      </c>
      <c r="AW299">
        <f>IF(ISNUMBER($AV299),$AV299*$AT299,"")</f>
        <v/>
      </c>
      <c r="AX299">
        <f>IF(ISNUMBER($AU299),ABS(IF(ISNUMBER($I299),$I299,0)-Settings!$B$24),"")</f>
        <v/>
      </c>
      <c r="AY299">
        <f>IF(ISNUMBER($AX299),$AX299*$AU299,"")</f>
        <v/>
      </c>
      <c r="AZ299">
        <f>IF($A299="","",IFERROR(INDEX(Company_List!$H$3:$H$207,MATCH($A299,Company_List!$A$3:$A$207,0)),"unassigned"))</f>
        <v/>
      </c>
      <c r="BC299">
        <f>IF($A299="","",IF(COUNTIFS($A$3:$A299,$A299,$C$3:$C299,$C299,$D$3:$D299,$D299,$G$3:$G299,$G299)=1,1,0))</f>
        <v/>
      </c>
      <c r="BG299" t="inlineStr">
        <is>
          <t>no</t>
        </is>
      </c>
      <c r="BK299">
        <f>IF(OR($H299&lt;&gt;"Human",$S299="",$J299="",$Y299="",$Z299=""),"",IF(EXACT(UPPER($J299),UPPER($Y299)),1,0))</f>
        <v/>
      </c>
      <c r="BL299" t="inlineStr">
        <is>
          <t>assumed - no rater record</t>
        </is>
      </c>
      <c r="BM299" t="n">
        <v>1</v>
      </c>
      <c r="BN299" t="inlineStr">
        <is>
          <t>FactSet CallStreet</t>
        </is>
      </c>
      <c r="BO299" t="inlineStr">
        <is>
          <t>licensed vendor</t>
        </is>
      </c>
      <c r="BP299" t="inlineStr">
        <is>
          <t>no</t>
        </is>
      </c>
      <c r="BQ299" t="inlineStr">
        <is>
          <t>no</t>
        </is>
      </c>
    </row>
    <row r="300">
      <c r="A300" s="1" t="inlineStr">
        <is>
          <t>Booking Holdings</t>
        </is>
      </c>
      <c r="B300" s="142">
        <f>IF(A300="","",_xlfn.XLOOKUP(A300, Company_List!$A:$A, Company_List!$B:$B, ""))</f>
        <v/>
      </c>
      <c r="C300" s="143" t="n">
        <v>2025</v>
      </c>
      <c r="D300" s="143" t="inlineStr">
        <is>
          <t>Q4</t>
        </is>
      </c>
      <c r="E300" s="98" t="inlineStr">
        <is>
          <t>Transcript</t>
        </is>
      </c>
      <c r="F300" s="98" t="inlineStr">
        <is>
          <t>Transcript Q&amp;A</t>
        </is>
      </c>
      <c r="G300" s="143" t="inlineStr">
        <is>
          <t>David</t>
        </is>
      </c>
      <c r="H300" s="106" t="inlineStr">
        <is>
          <t>Human</t>
        </is>
      </c>
      <c r="I300" s="145" t="n">
        <v>-0.35</v>
      </c>
      <c r="J300" s="145">
        <f>IF(OR(I300="",Settings!$B$6=""),"",IF(I300&gt;Settings!$B$6,"BUY",IF(I300&lt;-Settings!$B$6,"SELL","HOLD")))</f>
        <v/>
      </c>
      <c r="K300" s="145" t="n">
        <v>45</v>
      </c>
      <c r="L300" s="125" t="n">
        <v>46071</v>
      </c>
      <c r="M300" s="140" t="n">
        <v>46071</v>
      </c>
      <c r="N300" s="147" t="n">
        <v>170.8</v>
      </c>
      <c r="O300" s="140" t="n">
        <v>46072</v>
      </c>
      <c r="P300" s="145" t="n">
        <v>163.55</v>
      </c>
      <c r="Q300" s="151">
        <f>IF(OR(N300="",P300=""),"",ROUND((P300-N300)/N300,4))</f>
        <v/>
      </c>
      <c r="R300" s="118">
        <f>IF(OR(N300="",P300=""),"",IF(Q300&gt;Settings!$B$3/100,"UP",IF(Q300&lt;-Settings!$B$3/100,"DOWN","FLAT")))</f>
        <v/>
      </c>
      <c r="S300" s="118">
        <f>IF(OR(N300="",P300="",J300=""),"",IF(OR(AND(J300="BUY",R300="UP"),AND(J300="SELL",R300="DOWN"),AND(J300="HOLD",R300="FLAT")),"YES","NO"))</f>
        <v/>
      </c>
      <c r="T300" s="119">
        <f>IF(J300="","",IF(J300="BUY",1,IF(J300="SELL",-1,0)))</f>
        <v/>
      </c>
      <c r="U300" s="150">
        <f>IFERROR(IF(OR(J300="",N300="",P300=""),"",IF(T300=0,0,T300*Q300-Settings!$B$4/10000-IF(T300&lt;0,Settings!$B$5/10000,0))),"")</f>
        <v/>
      </c>
      <c r="W300" s="21">
        <f>IF($K300="","",$K300*60)</f>
        <v/>
      </c>
      <c r="X300" s="91">
        <f>IF($A300="","",$A300&amp;"|"&amp;$C300&amp;"|"&amp;$D300)</f>
        <v/>
      </c>
      <c r="Y300" s="91">
        <f>IFERROR(IF($X300="","",INDEX(LLM_Data_Entry!$H$3:$H$548,MATCH($X300,INDEX(LLM_Data_Entry!$A$3:$A$548&amp;"|"&amp;LLM_Data_Entry!$C$3:$C$548&amp;"|"&amp;LLM_Data_Entry!$D$3:$D$548,0),0))),"")</f>
        <v/>
      </c>
      <c r="Z300" s="91">
        <f>IFERROR(IF($X300="","",INDEX(LLM_Data_Entry!$R$3:$R$548,MATCH($X300,INDEX(LLM_Data_Entry!$A$3:$A$548&amp;"|"&amp;LLM_Data_Entry!$C$3:$C$548&amp;"|"&amp;LLM_Data_Entry!$D$3:$D$548,0),0))),"")</f>
        <v/>
      </c>
      <c r="AB300" t="inlineStr">
        <is>
          <t>release date + stated time in the document (rater worksheet)</t>
        </is>
      </c>
      <c r="AC300" t="inlineStr">
        <is>
          <t>BKNG</t>
        </is>
      </c>
      <c r="AD300" t="inlineStr">
        <is>
          <t>2026-02-18</t>
        </is>
      </c>
      <c r="AE300" t="n">
        <v>169.9835</v>
      </c>
      <c r="AF300" t="inlineStr">
        <is>
          <t>2026-02-19</t>
        </is>
      </c>
      <c r="AG300" t="n">
        <v>162.7733</v>
      </c>
      <c r="AH300" t="n">
        <v>-0.04241706599239561</v>
      </c>
      <c r="AI300" t="inlineStr">
        <is>
          <t>DOWN</t>
        </is>
      </c>
      <c r="AJ300" t="inlineStr">
        <is>
          <t>YES</t>
        </is>
      </c>
      <c r="AK300" t="n">
        <v>0.041417</v>
      </c>
      <c r="AL300">
        <f>IF($A300="","",IFERROR(INDEX(Company_List!$G$3:$G$207,MATCH($A300,Company_List!$A$3:$A$207,0)),"unassigned"))</f>
        <v/>
      </c>
      <c r="AM300" t="inlineStr">
        <is>
          <t>Phase 3/Readings/Booking Holdings/Q4/CORRECTED-TRANSCRIPT_-Booking-Holdings-Inc-BKNG-US-Q4-2025-Earnings-Call-18-February-2026-4_30-PM-ET.pdf</t>
        </is>
      </c>
      <c r="AO300" t="inlineStr">
        <is>
          <t>unique filename match</t>
        </is>
      </c>
      <c r="AP300">
        <f>IF($A300="","",IF(COUNTIFS(LLM_Data_Entry!$A$3:$A$548,$A300)&gt;0,"YES","NO"))</f>
        <v/>
      </c>
      <c r="AQ300">
        <f>IF($A300="","",IF(COUNTIFS($A$3:$A300,$A300,$C$3:$C300,$C300,$D$3:$D300,$D300)=1,"YES","NO"))</f>
        <v/>
      </c>
      <c r="AR300">
        <f>IF($A300="","",IF(AND($C300&amp;"-"&amp;$D300&gt;=Settings!$B$19,$C300&amp;"-"&amp;$D300&lt;=Settings!$B$20),"IN","OUT"))</f>
        <v/>
      </c>
      <c r="AS300">
        <f>IF($A300="","",IF($F300="Financial Results","financials",IF($F300="Outlook/Guidance","guidance",IF($F300="Transcript Q&amp;A","qanda",IF($F300="","unrecorded",IF($E300="All","full",IF($E300="","unrecorded",LOWER($E300)&amp;" only")))))))</f>
        <v/>
      </c>
      <c r="AT300">
        <f>IF(AND(OR($J300="BUY",$J300="SELL"),ISNUMBER($U300)),$U300,"")</f>
        <v/>
      </c>
      <c r="AU300">
        <f>IF(AND(OR($J300="BUY",$J300="SELL"),ISNUMBER($AK300)),$AK300,"")</f>
        <v/>
      </c>
      <c r="AV300">
        <f>IF(ISNUMBER($AT300),ABS(IF(ISNUMBER($I300),$I300,0)-Settings!$B$24),"")</f>
        <v/>
      </c>
      <c r="AW300">
        <f>IF(ISNUMBER($AV300),$AV300*$AT300,"")</f>
        <v/>
      </c>
      <c r="AX300">
        <f>IF(ISNUMBER($AU300),ABS(IF(ISNUMBER($I300),$I300,0)-Settings!$B$24),"")</f>
        <v/>
      </c>
      <c r="AY300">
        <f>IF(ISNUMBER($AX300),$AX300*$AU300,"")</f>
        <v/>
      </c>
      <c r="AZ300">
        <f>IF($A300="","",IFERROR(INDEX(Company_List!$H$3:$H$207,MATCH($A300,Company_List!$A$3:$A$207,0)),"unassigned"))</f>
        <v/>
      </c>
      <c r="BC300">
        <f>IF($A300="","",IF(COUNTIFS($A$3:$A300,$A300,$C$3:$C300,$C300,$D$3:$D300,$D300,$G$3:$G300,$G300)=1,1,0))</f>
        <v/>
      </c>
      <c r="BG300" t="inlineStr">
        <is>
          <t>no</t>
        </is>
      </c>
      <c r="BK300">
        <f>IF(OR($H300&lt;&gt;"Human",$S300="",$J300="",$Y300="",$Z300=""),"",IF(EXACT(UPPER($J300),UPPER($Y300)),1,0))</f>
        <v/>
      </c>
      <c r="BL300" t="inlineStr">
        <is>
          <t>assumed - no rater record</t>
        </is>
      </c>
      <c r="BM300" t="n">
        <v>1</v>
      </c>
      <c r="BN300" t="inlineStr">
        <is>
          <t>FactSet CallStreet</t>
        </is>
      </c>
      <c r="BO300" t="inlineStr">
        <is>
          <t>licensed vendor</t>
        </is>
      </c>
      <c r="BP300" t="inlineStr">
        <is>
          <t>no</t>
        </is>
      </c>
      <c r="BQ300" t="inlineStr">
        <is>
          <t>no</t>
        </is>
      </c>
    </row>
    <row r="301">
      <c r="A301" s="1" t="inlineStr">
        <is>
          <t>Broadcom</t>
        </is>
      </c>
      <c r="B301" s="142">
        <f>IF(A301="","",_xlfn.XLOOKUP(A301, Company_List!$A:$A, Company_List!$B:$B, ""))</f>
        <v/>
      </c>
      <c r="C301" s="143" t="n">
        <v>2026</v>
      </c>
      <c r="D301" s="143" t="inlineStr">
        <is>
          <t>Q1</t>
        </is>
      </c>
      <c r="E301" s="98" t="inlineStr">
        <is>
          <t>Transcript</t>
        </is>
      </c>
      <c r="F301" s="98" t="inlineStr">
        <is>
          <t>Transcript Q&amp;A</t>
        </is>
      </c>
      <c r="G301" s="143" t="inlineStr">
        <is>
          <t>David</t>
        </is>
      </c>
      <c r="H301" s="106" t="inlineStr">
        <is>
          <t>Human</t>
        </is>
      </c>
      <c r="I301" s="145" t="n">
        <v>-0.2</v>
      </c>
      <c r="J301" s="145">
        <f>IF(OR(I301="",Settings!$B$6=""),"",IF(I301&gt;Settings!$B$6,"BUY",IF(I301&lt;-Settings!$B$6,"SELL","HOLD")))</f>
        <v/>
      </c>
      <c r="K301" s="145" t="n">
        <v>47</v>
      </c>
      <c r="L301" s="125" t="n">
        <v>46085</v>
      </c>
      <c r="M301" s="140" t="n">
        <v>46085</v>
      </c>
      <c r="N301" s="147" t="n">
        <v>317.53</v>
      </c>
      <c r="O301" s="140" t="n">
        <v>46086</v>
      </c>
      <c r="P301" s="145" t="n">
        <v>330.18</v>
      </c>
      <c r="Q301" s="151">
        <f>IF(OR(N301="",P301=""),"",ROUND((P301-N301)/N301,4))</f>
        <v/>
      </c>
      <c r="R301" s="118">
        <f>IF(OR(N301="",P301=""),"",IF(Q301&gt;Settings!$B$3/100,"UP",IF(Q301&lt;-Settings!$B$3/100,"DOWN","FLAT")))</f>
        <v/>
      </c>
      <c r="S301" s="118">
        <f>IF(OR(N301="",P301="",J301=""),"",IF(OR(AND(J301="BUY",R301="UP"),AND(J301="SELL",R301="DOWN"),AND(J301="HOLD",R301="FLAT")),"YES","NO"))</f>
        <v/>
      </c>
      <c r="T301" s="119">
        <f>IF(J301="","",IF(J301="BUY",1,IF(J301="SELL",-1,0)))</f>
        <v/>
      </c>
      <c r="U301" s="150">
        <f>IFERROR(IF(OR(J301="",N301="",P301=""),"",IF(T301=0,0,T301*Q301-Settings!$B$4/10000-IF(T301&lt;0,Settings!$B$5/10000,0))),"")</f>
        <v/>
      </c>
      <c r="W301" s="21">
        <f>IF($K301="","",$K301*60)</f>
        <v/>
      </c>
      <c r="X301" s="91">
        <f>IF($A301="","",$A301&amp;"|"&amp;$C301&amp;"|"&amp;$D301)</f>
        <v/>
      </c>
      <c r="Y301" s="91">
        <f>IFERROR(IF($X301="","",INDEX(LLM_Data_Entry!$H$3:$H$548,MATCH($X301,INDEX(LLM_Data_Entry!$A$3:$A$548&amp;"|"&amp;LLM_Data_Entry!$C$3:$C$548&amp;"|"&amp;LLM_Data_Entry!$D$3:$D$548,0),0))),"")</f>
        <v/>
      </c>
      <c r="Z301" s="91">
        <f>IFERROR(IF($X301="","",INDEX(LLM_Data_Entry!$R$3:$R$548,MATCH($X301,INDEX(LLM_Data_Entry!$A$3:$A$548&amp;"|"&amp;LLM_Data_Entry!$C$3:$C$548&amp;"|"&amp;LLM_Data_Entry!$D$3:$D$548,0),0))),"")</f>
        <v/>
      </c>
      <c r="AB301" t="inlineStr">
        <is>
          <t>release date + stated time in the document (rater worksheet)</t>
        </is>
      </c>
      <c r="AC301" t="inlineStr">
        <is>
          <t>AVGO</t>
        </is>
      </c>
      <c r="AD301" t="inlineStr">
        <is>
          <t>2026-03-04</t>
        </is>
      </c>
      <c r="AE301" t="n">
        <v>316.3646</v>
      </c>
      <c r="AF301" t="inlineStr">
        <is>
          <t>2026-03-05</t>
        </is>
      </c>
      <c r="AG301" t="n">
        <v>328.9682</v>
      </c>
      <c r="AH301" t="n">
        <v>0.03983872131246651</v>
      </c>
      <c r="AI301" t="inlineStr">
        <is>
          <t>UP</t>
        </is>
      </c>
      <c r="AJ301" t="inlineStr">
        <is>
          <t>NO</t>
        </is>
      </c>
      <c r="AK301" t="n">
        <v>0</v>
      </c>
      <c r="AL301">
        <f>IF($A301="","",IFERROR(INDEX(Company_List!$G$3:$G$207,MATCH($A301,Company_List!$A$3:$A$207,0)),"unassigned"))</f>
        <v/>
      </c>
      <c r="AM301" t="inlineStr">
        <is>
          <t>Phase 2/Broadcom/2026-Q1/AVGO-2026-Q1-earnings-call-transcript-fool-com.html</t>
        </is>
      </c>
      <c r="AN301" t="inlineStr">
        <is>
          <t>https://www.fool.com/earnings/call-transcripts/2026/03/04/broadcom-avgo-q1-2026-earnings-call-transcript/</t>
        </is>
      </c>
      <c r="AO301" t="inlineStr">
        <is>
          <t>manifest</t>
        </is>
      </c>
      <c r="AP301">
        <f>IF($A301="","",IF(COUNTIFS(LLM_Data_Entry!$A$3:$A$548,$A301)&gt;0,"YES","NO"))</f>
        <v/>
      </c>
      <c r="AQ301">
        <f>IF($A301="","",IF(COUNTIFS($A$3:$A301,$A301,$C$3:$C301,$C301,$D$3:$D301,$D301)=1,"YES","NO"))</f>
        <v/>
      </c>
      <c r="AR301">
        <f>IF($A301="","",IF(AND($C301&amp;"-"&amp;$D301&gt;=Settings!$B$19,$C301&amp;"-"&amp;$D301&lt;=Settings!$B$20),"IN","OUT"))</f>
        <v/>
      </c>
      <c r="AS301">
        <f>IF($A301="","",IF($F301="Financial Results","financials",IF($F301="Outlook/Guidance","guidance",IF($F301="Transcript Q&amp;A","qanda",IF($F301="","unrecorded",IF($E301="All","full",IF($E301="","unrecorded",LOWER($E301)&amp;" only")))))))</f>
        <v/>
      </c>
      <c r="AT301">
        <f>IF(AND(OR($J301="BUY",$J301="SELL"),ISNUMBER($U301)),$U301,"")</f>
        <v/>
      </c>
      <c r="AU301">
        <f>IF(AND(OR($J301="BUY",$J301="SELL"),ISNUMBER($AK301)),$AK301,"")</f>
        <v/>
      </c>
      <c r="AV301">
        <f>IF(ISNUMBER($AT301),ABS(IF(ISNUMBER($I301),$I301,0)-Settings!$B$24),"")</f>
        <v/>
      </c>
      <c r="AW301">
        <f>IF(ISNUMBER($AV301),$AV301*$AT301,"")</f>
        <v/>
      </c>
      <c r="AX301">
        <f>IF(ISNUMBER($AU301),ABS(IF(ISNUMBER($I301),$I301,0)-Settings!$B$24),"")</f>
        <v/>
      </c>
      <c r="AY301">
        <f>IF(ISNUMBER($AX301),$AX301*$AU301,"")</f>
        <v/>
      </c>
      <c r="AZ301">
        <f>IF($A301="","",IFERROR(INDEX(Company_List!$H$3:$H$207,MATCH($A301,Company_List!$A$3:$A$207,0)),"unassigned"))</f>
        <v/>
      </c>
      <c r="BC301">
        <f>IF($A301="","",IF(COUNTIFS($A$3:$A301,$A301,$C$3:$C301,$C301,$D$3:$D301,$D301,$G$3:$G301,$G301)=1,1,0))</f>
        <v/>
      </c>
      <c r="BG301" t="inlineStr">
        <is>
          <t>no</t>
        </is>
      </c>
      <c r="BK301">
        <f>IF(OR($H301&lt;&gt;"Human",$S301="",$J301="",$Y301="",$Z301=""),"",IF(EXACT(UPPER($J301),UPPER($Y301)),1,0))</f>
        <v/>
      </c>
      <c r="BL301" t="inlineStr">
        <is>
          <t>assumed - no rater record</t>
        </is>
      </c>
      <c r="BM301" t="n">
        <v>1</v>
      </c>
      <c r="BN301" t="inlineStr">
        <is>
          <t>The Motley Fool</t>
        </is>
      </c>
      <c r="BO301" t="inlineStr">
        <is>
          <t>free to read, copyright asserted</t>
        </is>
      </c>
      <c r="BP301" t="inlineStr">
        <is>
          <t>no</t>
        </is>
      </c>
      <c r="BQ301" t="inlineStr">
        <is>
          <t>yes</t>
        </is>
      </c>
    </row>
    <row r="302">
      <c r="A302" s="1" t="inlineStr">
        <is>
          <t>Broadcom</t>
        </is>
      </c>
      <c r="B302" s="142">
        <f>IF(A302="","",_xlfn.XLOOKUP(A302, Company_List!$A:$A, Company_List!$B:$B, ""))</f>
        <v/>
      </c>
      <c r="C302" s="143" t="n">
        <v>2025</v>
      </c>
      <c r="D302" s="143" t="inlineStr">
        <is>
          <t>Q3</t>
        </is>
      </c>
      <c r="E302" s="98" t="inlineStr">
        <is>
          <t>Press Release Document</t>
        </is>
      </c>
      <c r="F302" s="98" t="inlineStr">
        <is>
          <t>Financial Results</t>
        </is>
      </c>
      <c r="G302" s="143" t="inlineStr">
        <is>
          <t>David</t>
        </is>
      </c>
      <c r="H302" s="106" t="inlineStr">
        <is>
          <t>Human</t>
        </is>
      </c>
      <c r="I302" s="145" t="n">
        <v>-0.25</v>
      </c>
      <c r="J302" s="145">
        <f>IF(OR(I302="",Settings!$B$6=""),"",IF(I302&gt;Settings!$B$6,"BUY",IF(I302&lt;-Settings!$B$6,"SELL","HOLD")))</f>
        <v/>
      </c>
      <c r="K302" s="145" t="n">
        <v>32</v>
      </c>
      <c r="L302" s="125" t="n">
        <v>45904</v>
      </c>
      <c r="M302" s="140" t="n">
        <v>45904</v>
      </c>
      <c r="N302" s="147" t="n">
        <v>306.1</v>
      </c>
      <c r="O302" s="140" t="n">
        <v>45905</v>
      </c>
      <c r="P302" s="145" t="n">
        <v>355.78</v>
      </c>
      <c r="Q302" s="151">
        <f>IF(OR(N302="",P302=""),"",ROUND((P302-N302)/N302,4))</f>
        <v/>
      </c>
      <c r="R302" s="118">
        <f>IF(OR(N302="",P302=""),"",IF(Q302&gt;Settings!$B$3/100,"UP",IF(Q302&lt;-Settings!$B$3/100,"DOWN","FLAT")))</f>
        <v/>
      </c>
      <c r="S302" s="118">
        <f>IF(OR(N302="",P302="",J302=""),"",IF(OR(AND(J302="BUY",R302="UP"),AND(J302="SELL",R302="DOWN"),AND(J302="HOLD",R302="FLAT")),"YES","NO"))</f>
        <v/>
      </c>
      <c r="T302" s="119">
        <f>IF(J302="","",IF(J302="BUY",1,IF(J302="SELL",-1,0)))</f>
        <v/>
      </c>
      <c r="U302" s="150">
        <f>IFERROR(IF(OR(J302="",N302="",P302=""),"",IF(T302=0,0,T302*Q302-Settings!$B$4/10000-IF(T302&lt;0,Settings!$B$5/10000,0))),"")</f>
        <v/>
      </c>
      <c r="W302" s="21">
        <f>IF($K302="","",$K302*60)</f>
        <v/>
      </c>
      <c r="X302" s="91">
        <f>IF($A302="","",$A302&amp;"|"&amp;$C302&amp;"|"&amp;$D302)</f>
        <v/>
      </c>
      <c r="Y302" s="91">
        <f>IFERROR(IF($X302="","",INDEX(LLM_Data_Entry!$H$3:$H$548,MATCH($X302,INDEX(LLM_Data_Entry!$A$3:$A$548&amp;"|"&amp;LLM_Data_Entry!$C$3:$C$548&amp;"|"&amp;LLM_Data_Entry!$D$3:$D$548,0),0))),"")</f>
        <v/>
      </c>
      <c r="Z302" s="91">
        <f>IFERROR(IF($X302="","",INDEX(LLM_Data_Entry!$R$3:$R$548,MATCH($X302,INDEX(LLM_Data_Entry!$A$3:$A$548&amp;"|"&amp;LLM_Data_Entry!$C$3:$C$548&amp;"|"&amp;LLM_Data_Entry!$D$3:$D$548,0),0))),"")</f>
        <v/>
      </c>
      <c r="AB302" t="inlineStr">
        <is>
          <t>price signal — only this window shows an abnormal move</t>
        </is>
      </c>
      <c r="AC302" t="inlineStr">
        <is>
          <t>AVGO</t>
        </is>
      </c>
      <c r="AD302" t="inlineStr">
        <is>
          <t>2025-09-04</t>
        </is>
      </c>
      <c r="AE302" t="n">
        <v>303.8735</v>
      </c>
      <c r="AF302" t="inlineStr">
        <is>
          <t>2025-09-05</t>
        </is>
      </c>
      <c r="AG302" t="n">
        <v>353.1921</v>
      </c>
      <c r="AH302" t="n">
        <v>0.1622998755933408</v>
      </c>
      <c r="AI302" t="inlineStr">
        <is>
          <t>UP</t>
        </is>
      </c>
      <c r="AJ302" t="inlineStr">
        <is>
          <t>NO</t>
        </is>
      </c>
      <c r="AK302" t="n">
        <v>-0.1633</v>
      </c>
      <c r="AL302">
        <f>IF($A302="","",IFERROR(INDEX(Company_List!$G$3:$G$207,MATCH($A302,Company_List!$A$3:$A$207,0)),"unassigned"))</f>
        <v/>
      </c>
      <c r="AM302" t="inlineStr">
        <is>
          <t>Phase 2/Broadcom/2025-Q3/AVGO-2025-Q3-press-release-SEC-EX-99-1.htm</t>
        </is>
      </c>
      <c r="AN302" t="inlineStr">
        <is>
          <t>https://www.sec.gov/Archives/edgar/data/1730168/000173016825000094/avgo-08032025x8kxex99.htm</t>
        </is>
      </c>
      <c r="AO302" t="inlineStr">
        <is>
          <t>manifest</t>
        </is>
      </c>
      <c r="AP302">
        <f>IF($A302="","",IF(COUNTIFS(LLM_Data_Entry!$A$3:$A$548,$A302)&gt;0,"YES","NO"))</f>
        <v/>
      </c>
      <c r="AQ302">
        <f>IF($A302="","",IF(COUNTIFS($A$3:$A302,$A302,$C$3:$C302,$C302,$D$3:$D302,$D302)=1,"YES","NO"))</f>
        <v/>
      </c>
      <c r="AR302">
        <f>IF($A302="","",IF(AND($C302&amp;"-"&amp;$D302&gt;=Settings!$B$19,$C302&amp;"-"&amp;$D302&lt;=Settings!$B$20),"IN","OUT"))</f>
        <v/>
      </c>
      <c r="AS302">
        <f>IF($A302="","",IF($F302="Financial Results","financials",IF($F302="Outlook/Guidance","guidance",IF($F302="Transcript Q&amp;A","qanda",IF($F302="","unrecorded",IF($E302="All","full",IF($E302="","unrecorded",LOWER($E302)&amp;" only")))))))</f>
        <v/>
      </c>
      <c r="AT302">
        <f>IF(AND(OR($J302="BUY",$J302="SELL"),ISNUMBER($U302)),$U302,"")</f>
        <v/>
      </c>
      <c r="AU302">
        <f>IF(AND(OR($J302="BUY",$J302="SELL"),ISNUMBER($AK302)),$AK302,"")</f>
        <v/>
      </c>
      <c r="AV302">
        <f>IF(ISNUMBER($AT302),ABS(IF(ISNUMBER($I302),$I302,0)-Settings!$B$24),"")</f>
        <v/>
      </c>
      <c r="AW302">
        <f>IF(ISNUMBER($AV302),$AV302*$AT302,"")</f>
        <v/>
      </c>
      <c r="AX302">
        <f>IF(ISNUMBER($AU302),ABS(IF(ISNUMBER($I302),$I302,0)-Settings!$B$24),"")</f>
        <v/>
      </c>
      <c r="AY302">
        <f>IF(ISNUMBER($AX302),$AX302*$AU302,"")</f>
        <v/>
      </c>
      <c r="AZ302">
        <f>IF($A302="","",IFERROR(INDEX(Company_List!$H$3:$H$207,MATCH($A302,Company_List!$A$3:$A$207,0)),"unassigned"))</f>
        <v/>
      </c>
      <c r="BC302">
        <f>IF($A302="","",IF(COUNTIFS($A$3:$A302,$A302,$C$3:$C302,$C302,$D$3:$D302,$D302,$G$3:$G302,$G302)=1,1,0))</f>
        <v/>
      </c>
      <c r="BG302" t="inlineStr">
        <is>
          <t>no</t>
        </is>
      </c>
      <c r="BK302">
        <f>IF(OR($H302&lt;&gt;"Human",$S302="",$J302="",$Y302="",$Z302=""),"",IF(EXACT(UPPER($J302),UPPER($Y302)),1,0))</f>
        <v/>
      </c>
      <c r="BL302" t="inlineStr">
        <is>
          <t>assumed - no rater record</t>
        </is>
      </c>
      <c r="BM302" t="n">
        <v>1</v>
      </c>
      <c r="BN302" t="inlineStr">
        <is>
          <t>not publisher-identified</t>
        </is>
      </c>
      <c r="BO302" t="inlineStr">
        <is>
          <t>not publisher-identified</t>
        </is>
      </c>
      <c r="BP302" t="inlineStr">
        <is>
          <t>no</t>
        </is>
      </c>
      <c r="BQ302" t="inlineStr">
        <is>
          <t>yes</t>
        </is>
      </c>
    </row>
    <row r="303">
      <c r="A303" s="1" t="inlineStr">
        <is>
          <t>Broadcom</t>
        </is>
      </c>
      <c r="B303" s="142">
        <f>IF(A303="","",_xlfn.XLOOKUP(A303, Company_List!$A:$A, Company_List!$B:$B, ""))</f>
        <v/>
      </c>
      <c r="C303" s="143" t="n">
        <v>2025</v>
      </c>
      <c r="D303" s="143" t="inlineStr">
        <is>
          <t>Q4</t>
        </is>
      </c>
      <c r="E303" s="98" t="inlineStr">
        <is>
          <t>Transcript</t>
        </is>
      </c>
      <c r="F303" s="98" t="inlineStr">
        <is>
          <t>Outlook/Guidance</t>
        </is>
      </c>
      <c r="G303" s="143" t="inlineStr">
        <is>
          <t>David</t>
        </is>
      </c>
      <c r="H303" s="106" t="inlineStr">
        <is>
          <t>Human</t>
        </is>
      </c>
      <c r="I303" s="145" t="n">
        <v>0.8</v>
      </c>
      <c r="J303" s="145">
        <f>IF(OR(I303="",Settings!$B$6=""),"",IF(I303&gt;Settings!$B$6,"BUY",IF(I303&lt;-Settings!$B$6,"SELL","HOLD")))</f>
        <v/>
      </c>
      <c r="K303" s="145" t="n">
        <v>35</v>
      </c>
      <c r="L303" s="125" t="n">
        <v>46002</v>
      </c>
      <c r="M303" s="140" t="n">
        <v>46002</v>
      </c>
      <c r="N303" s="147" t="n">
        <v>406.37</v>
      </c>
      <c r="O303" s="140" t="n">
        <v>46003</v>
      </c>
      <c r="P303" s="145" t="n">
        <v>379.96</v>
      </c>
      <c r="Q303" s="151">
        <f>IF(OR(N303="",P303=""),"",ROUND((P303-N303)/N303,4))</f>
        <v/>
      </c>
      <c r="R303" s="118">
        <f>IF(OR(N303="",P303=""),"",IF(Q303&gt;Settings!$B$3/100,"UP",IF(Q303&lt;-Settings!$B$3/100,"DOWN","FLAT")))</f>
        <v/>
      </c>
      <c r="S303" s="118">
        <f>IF(OR(N303="",P303="",J303=""),"",IF(OR(AND(J303="BUY",R303="UP"),AND(J303="SELL",R303="DOWN"),AND(J303="HOLD",R303="FLAT")),"YES","NO"))</f>
        <v/>
      </c>
      <c r="T303" s="119">
        <f>IF(J303="","",IF(J303="BUY",1,IF(J303="SELL",-1,0)))</f>
        <v/>
      </c>
      <c r="U303" s="150">
        <f>IFERROR(IF(OR(J303="",N303="",P303=""),"",IF(T303=0,0,T303*Q303-Settings!$B$4/10000-IF(T303&lt;0,Settings!$B$5/10000,0))),"")</f>
        <v/>
      </c>
      <c r="W303" s="21">
        <f>IF($K303="","",$K303*60)</f>
        <v/>
      </c>
      <c r="X303" s="91">
        <f>IF($A303="","",$A303&amp;"|"&amp;$C303&amp;"|"&amp;$D303)</f>
        <v/>
      </c>
      <c r="Y303" s="91">
        <f>IFERROR(IF($X303="","",INDEX(LLM_Data_Entry!$H$3:$H$548,MATCH($X303,INDEX(LLM_Data_Entry!$A$3:$A$548&amp;"|"&amp;LLM_Data_Entry!$C$3:$C$548&amp;"|"&amp;LLM_Data_Entry!$D$3:$D$548,0),0))),"")</f>
        <v/>
      </c>
      <c r="Z303" s="91">
        <f>IFERROR(IF($X303="","",INDEX(LLM_Data_Entry!$R$3:$R$548,MATCH($X303,INDEX(LLM_Data_Entry!$A$3:$A$548&amp;"|"&amp;LLM_Data_Entry!$C$3:$C$548&amp;"|"&amp;LLM_Data_Entry!$D$3:$D$548,0),0))),"")</f>
        <v/>
      </c>
      <c r="AB303" t="inlineStr">
        <is>
          <t>release date + stated time in the document (rater worksheet)</t>
        </is>
      </c>
      <c r="AC303" t="inlineStr">
        <is>
          <t>AVGO</t>
        </is>
      </c>
      <c r="AD303" t="inlineStr">
        <is>
          <t>2025-12-11</t>
        </is>
      </c>
      <c r="AE303" t="n">
        <v>404.1053</v>
      </c>
      <c r="AF303" t="inlineStr">
        <is>
          <t>2025-12-12</t>
        </is>
      </c>
      <c r="AG303" t="n">
        <v>377.8425</v>
      </c>
      <c r="AH303" t="n">
        <v>-0.06499001492387034</v>
      </c>
      <c r="AI303" t="inlineStr">
        <is>
          <t>DOWN</t>
        </is>
      </c>
      <c r="AJ303" t="inlineStr">
        <is>
          <t>NO</t>
        </is>
      </c>
      <c r="AK303" t="n">
        <v>-0.06598999999999999</v>
      </c>
      <c r="AL303">
        <f>IF($A303="","",IFERROR(INDEX(Company_List!$G$3:$G$207,MATCH($A303,Company_List!$A$3:$A$207,0)),"unassigned"))</f>
        <v/>
      </c>
      <c r="AM303" t="inlineStr">
        <is>
          <t>Phase 2/Broadcom/2025-Q4/AVGO-2025-Q4-earnings-call-transcript-fool-com.html</t>
        </is>
      </c>
      <c r="AN303" t="inlineStr">
        <is>
          <t>https://www.fool.com/earnings/call-transcripts/2025/12/12/broadcom-avgo-q4-2025-earnings-call-transcript/</t>
        </is>
      </c>
      <c r="AO303" t="inlineStr">
        <is>
          <t>manifest</t>
        </is>
      </c>
      <c r="AP303">
        <f>IF($A303="","",IF(COUNTIFS(LLM_Data_Entry!$A$3:$A$548,$A303)&gt;0,"YES","NO"))</f>
        <v/>
      </c>
      <c r="AQ303">
        <f>IF($A303="","",IF(COUNTIFS($A$3:$A303,$A303,$C$3:$C303,$C303,$D$3:$D303,$D303)=1,"YES","NO"))</f>
        <v/>
      </c>
      <c r="AR303">
        <f>IF($A303="","",IF(AND($C303&amp;"-"&amp;$D303&gt;=Settings!$B$19,$C303&amp;"-"&amp;$D303&lt;=Settings!$B$20),"IN","OUT"))</f>
        <v/>
      </c>
      <c r="AS303">
        <f>IF($A303="","",IF($F303="Financial Results","financials",IF($F303="Outlook/Guidance","guidance",IF($F303="Transcript Q&amp;A","qanda",IF($F303="","unrecorded",IF($E303="All","full",IF($E303="","unrecorded",LOWER($E303)&amp;" only")))))))</f>
        <v/>
      </c>
      <c r="AT303">
        <f>IF(AND(OR($J303="BUY",$J303="SELL"),ISNUMBER($U303)),$U303,"")</f>
        <v/>
      </c>
      <c r="AU303">
        <f>IF(AND(OR($J303="BUY",$J303="SELL"),ISNUMBER($AK303)),$AK303,"")</f>
        <v/>
      </c>
      <c r="AV303">
        <f>IF(ISNUMBER($AT303),ABS(IF(ISNUMBER($I303),$I303,0)-Settings!$B$24),"")</f>
        <v/>
      </c>
      <c r="AW303">
        <f>IF(ISNUMBER($AV303),$AV303*$AT303,"")</f>
        <v/>
      </c>
      <c r="AX303">
        <f>IF(ISNUMBER($AU303),ABS(IF(ISNUMBER($I303),$I303,0)-Settings!$B$24),"")</f>
        <v/>
      </c>
      <c r="AY303">
        <f>IF(ISNUMBER($AX303),$AX303*$AU303,"")</f>
        <v/>
      </c>
      <c r="AZ303">
        <f>IF($A303="","",IFERROR(INDEX(Company_List!$H$3:$H$207,MATCH($A303,Company_List!$A$3:$A$207,0)),"unassigned"))</f>
        <v/>
      </c>
      <c r="BC303">
        <f>IF($A303="","",IF(COUNTIFS($A$3:$A303,$A303,$C$3:$C303,$C303,$D$3:$D303,$D303,$G$3:$G303,$G303)=1,1,0))</f>
        <v/>
      </c>
      <c r="BG303" t="inlineStr">
        <is>
          <t>no</t>
        </is>
      </c>
      <c r="BK303">
        <f>IF(OR($H303&lt;&gt;"Human",$S303="",$J303="",$Y303="",$Z303=""),"",IF(EXACT(UPPER($J303),UPPER($Y303)),1,0))</f>
        <v/>
      </c>
      <c r="BL303" t="inlineStr">
        <is>
          <t>assumed - no rater record</t>
        </is>
      </c>
      <c r="BM303" t="n">
        <v>1</v>
      </c>
      <c r="BN303" t="inlineStr">
        <is>
          <t>The Motley Fool</t>
        </is>
      </c>
      <c r="BO303" t="inlineStr">
        <is>
          <t>free to read, copyright asserted</t>
        </is>
      </c>
      <c r="BP303" t="inlineStr">
        <is>
          <t>no</t>
        </is>
      </c>
      <c r="BQ303" t="inlineStr">
        <is>
          <t>yes</t>
        </is>
      </c>
    </row>
    <row r="304">
      <c r="A304" s="1" t="inlineStr">
        <is>
          <t>Costco</t>
        </is>
      </c>
      <c r="B304" s="142">
        <f>IF(A304="","",_xlfn.XLOOKUP(A304, Company_List!$A:$A, Company_List!$B:$B, ""))</f>
        <v/>
      </c>
      <c r="C304" s="143" t="n">
        <v>2026</v>
      </c>
      <c r="D304" s="143" t="inlineStr">
        <is>
          <t>Q1</t>
        </is>
      </c>
      <c r="E304" s="98" t="inlineStr">
        <is>
          <t>Transcript</t>
        </is>
      </c>
      <c r="F304" s="98" t="inlineStr">
        <is>
          <t>Transcript Q&amp;A</t>
        </is>
      </c>
      <c r="G304" s="143" t="inlineStr">
        <is>
          <t>David</t>
        </is>
      </c>
      <c r="H304" s="106" t="inlineStr">
        <is>
          <t>Human</t>
        </is>
      </c>
      <c r="I304" s="145" t="n">
        <v>0.05</v>
      </c>
      <c r="J304" s="145">
        <f>IF(OR(I304="",Settings!$B$6=""),"",IF(I304&gt;Settings!$B$6,"BUY",IF(I304&lt;-Settings!$B$6,"SELL","HOLD")))</f>
        <v/>
      </c>
      <c r="K304" s="145" t="n">
        <v>41</v>
      </c>
      <c r="L304" s="125" t="n">
        <v>46002</v>
      </c>
      <c r="M304" s="140" t="n">
        <v>46002</v>
      </c>
      <c r="N304" s="147" t="n">
        <v>884.48</v>
      </c>
      <c r="O304" s="140" t="n">
        <v>46003</v>
      </c>
      <c r="P304" s="145" t="n">
        <v>883.3</v>
      </c>
      <c r="Q304" s="151">
        <f>IF(OR(N304="",P304=""),"",ROUND((P304-N304)/N304,4))</f>
        <v/>
      </c>
      <c r="R304" s="118">
        <f>IF(OR(N304="",P304=""),"",IF(Q304&gt;Settings!$B$3/100,"UP",IF(Q304&lt;-Settings!$B$3/100,"DOWN","FLAT")))</f>
        <v/>
      </c>
      <c r="S304" s="118">
        <f>IF(OR(N304="",P304="",J304=""),"",IF(OR(AND(J304="BUY",R304="UP"),AND(J304="SELL",R304="DOWN"),AND(J304="HOLD",R304="FLAT")),"YES","NO"))</f>
        <v/>
      </c>
      <c r="T304" s="119">
        <f>IF(J304="","",IF(J304="BUY",1,IF(J304="SELL",-1,0)))</f>
        <v/>
      </c>
      <c r="U304" s="150">
        <f>IFERROR(IF(OR(J304="",N304="",P304=""),"",IF(T304=0,0,T304*Q304-Settings!$B$4/10000-IF(T304&lt;0,Settings!$B$5/10000,0))),"")</f>
        <v/>
      </c>
      <c r="W304" s="21">
        <f>IF($K304="","",$K304*60)</f>
        <v/>
      </c>
      <c r="X304" s="91">
        <f>IF($A304="","",$A304&amp;"|"&amp;$C304&amp;"|"&amp;$D304)</f>
        <v/>
      </c>
      <c r="Y304" s="91">
        <f>IFERROR(IF($X304="","",INDEX(LLM_Data_Entry!$H$3:$H$548,MATCH($X304,INDEX(LLM_Data_Entry!$A$3:$A$548&amp;"|"&amp;LLM_Data_Entry!$C$3:$C$548&amp;"|"&amp;LLM_Data_Entry!$D$3:$D$548,0),0))),"")</f>
        <v/>
      </c>
      <c r="Z304" s="91">
        <f>IFERROR(IF($X304="","",INDEX(LLM_Data_Entry!$R$3:$R$548,MATCH($X304,INDEX(LLM_Data_Entry!$A$3:$A$548&amp;"|"&amp;LLM_Data_Entry!$C$3:$C$548&amp;"|"&amp;LLM_Data_Entry!$D$3:$D$548,0),0))),"")</f>
        <v/>
      </c>
      <c r="AB304" t="inlineStr">
        <is>
          <t>release date + stated time in the document (rater worksheet)</t>
        </is>
      </c>
      <c r="AC304" t="inlineStr">
        <is>
          <t>COST</t>
        </is>
      </c>
      <c r="AD304" t="inlineStr">
        <is>
          <t>2025-12-11</t>
        </is>
      </c>
      <c r="AE304" t="n">
        <v>880.5934</v>
      </c>
      <c r="AF304" t="inlineStr">
        <is>
          <t>2025-12-12</t>
        </is>
      </c>
      <c r="AG304" t="n">
        <v>879.4186999999999</v>
      </c>
      <c r="AH304" t="n">
        <v>-0.001334090039663578</v>
      </c>
      <c r="AI304" t="inlineStr">
        <is>
          <t>FLAT</t>
        </is>
      </c>
      <c r="AJ304" t="inlineStr">
        <is>
          <t>YES</t>
        </is>
      </c>
      <c r="AK304" t="n">
        <v>0</v>
      </c>
      <c r="AL304">
        <f>IF($A304="","",IFERROR(INDEX(Company_List!$G$3:$G$207,MATCH($A304,Company_List!$A$3:$A$207,0)),"unassigned"))</f>
        <v/>
      </c>
      <c r="AM304" t="inlineStr">
        <is>
          <t>Phase 3/Readings/Costco/Q1 26/Costco (COST) Q1 2026 Earnings Call Transcript.pdf</t>
        </is>
      </c>
      <c r="AO304" t="inlineStr">
        <is>
          <t>unique filename match</t>
        </is>
      </c>
      <c r="AP304">
        <f>IF($A304="","",IF(COUNTIFS(LLM_Data_Entry!$A$3:$A$548,$A304)&gt;0,"YES","NO"))</f>
        <v/>
      </c>
      <c r="AQ304">
        <f>IF($A304="","",IF(COUNTIFS($A$3:$A304,$A304,$C$3:$C304,$C304,$D$3:$D304,$D304)=1,"YES","NO"))</f>
        <v/>
      </c>
      <c r="AR304">
        <f>IF($A304="","",IF(AND($C304&amp;"-"&amp;$D304&gt;=Settings!$B$19,$C304&amp;"-"&amp;$D304&lt;=Settings!$B$20),"IN","OUT"))</f>
        <v/>
      </c>
      <c r="AS304">
        <f>IF($A304="","",IF($F304="Financial Results","financials",IF($F304="Outlook/Guidance","guidance",IF($F304="Transcript Q&amp;A","qanda",IF($F304="","unrecorded",IF($E304="All","full",IF($E304="","unrecorded",LOWER($E304)&amp;" only")))))))</f>
        <v/>
      </c>
      <c r="AT304">
        <f>IF(AND(OR($J304="BUY",$J304="SELL"),ISNUMBER($U304)),$U304,"")</f>
        <v/>
      </c>
      <c r="AU304">
        <f>IF(AND(OR($J304="BUY",$J304="SELL"),ISNUMBER($AK304)),$AK304,"")</f>
        <v/>
      </c>
      <c r="AV304">
        <f>IF(ISNUMBER($AT304),ABS(IF(ISNUMBER($I304),$I304,0)-Settings!$B$24),"")</f>
        <v/>
      </c>
      <c r="AW304">
        <f>IF(ISNUMBER($AV304),$AV304*$AT304,"")</f>
        <v/>
      </c>
      <c r="AX304">
        <f>IF(ISNUMBER($AU304),ABS(IF(ISNUMBER($I304),$I304,0)-Settings!$B$24),"")</f>
        <v/>
      </c>
      <c r="AY304">
        <f>IF(ISNUMBER($AX304),$AX304*$AU304,"")</f>
        <v/>
      </c>
      <c r="AZ304">
        <f>IF($A304="","",IFERROR(INDEX(Company_List!$H$3:$H$207,MATCH($A304,Company_List!$A$3:$A$207,0)),"unassigned"))</f>
        <v/>
      </c>
      <c r="BC304">
        <f>IF($A304="","",IF(COUNTIFS($A$3:$A304,$A304,$C$3:$C304,$C304,$D$3:$D304,$D304,$G$3:$G304,$G304)=1,1,0))</f>
        <v/>
      </c>
      <c r="BG304" t="inlineStr">
        <is>
          <t>no</t>
        </is>
      </c>
      <c r="BK304">
        <f>IF(OR($H304&lt;&gt;"Human",$S304="",$J304="",$Y304="",$Z304=""),"",IF(EXACT(UPPER($J304),UPPER($Y304)),1,0))</f>
        <v/>
      </c>
      <c r="BL304" t="inlineStr">
        <is>
          <t>assumed - no rater record</t>
        </is>
      </c>
      <c r="BM304" t="n">
        <v>1</v>
      </c>
      <c r="BN304" t="inlineStr">
        <is>
          <t>The Motley Fool</t>
        </is>
      </c>
      <c r="BO304" t="inlineStr">
        <is>
          <t>free to read, copyright asserted</t>
        </is>
      </c>
      <c r="BP304" t="inlineStr">
        <is>
          <t>no</t>
        </is>
      </c>
      <c r="BQ304" t="inlineStr">
        <is>
          <t>no</t>
        </is>
      </c>
    </row>
    <row r="305">
      <c r="A305" s="1" t="inlineStr">
        <is>
          <t>Costco</t>
        </is>
      </c>
      <c r="B305" s="142">
        <f>IF(A305="","",_xlfn.XLOOKUP(A305, Company_List!$A:$A, Company_List!$B:$B, ""))</f>
        <v/>
      </c>
      <c r="C305" s="143" t="n">
        <v>2026</v>
      </c>
      <c r="D305" s="143" t="inlineStr">
        <is>
          <t>Q2</t>
        </is>
      </c>
      <c r="E305" s="98" t="inlineStr">
        <is>
          <t>Press Release Document</t>
        </is>
      </c>
      <c r="F305" s="98" t="inlineStr">
        <is>
          <t>Financial Results</t>
        </is>
      </c>
      <c r="G305" s="143" t="inlineStr">
        <is>
          <t>David</t>
        </is>
      </c>
      <c r="H305" s="106" t="inlineStr">
        <is>
          <t>Human</t>
        </is>
      </c>
      <c r="I305" s="145" t="n">
        <v>0.25</v>
      </c>
      <c r="J305" s="145">
        <f>IF(OR(I305="",Settings!$B$6=""),"",IF(I305&gt;Settings!$B$6,"BUY",IF(I305&lt;-Settings!$B$6,"SELL","HOLD")))</f>
        <v/>
      </c>
      <c r="K305" s="145" t="n">
        <v>33</v>
      </c>
      <c r="L305" s="125" t="n">
        <v>46086</v>
      </c>
      <c r="M305" s="140" t="n">
        <v>46086</v>
      </c>
      <c r="N305" s="147" t="n">
        <v>982.5700000000001</v>
      </c>
      <c r="O305" s="140" t="n">
        <v>46087</v>
      </c>
      <c r="P305" s="145" t="n">
        <v>967.01</v>
      </c>
      <c r="Q305" s="151">
        <f>IF(OR(N305="",P305=""),"",ROUND((P305-N305)/N305,4))</f>
        <v/>
      </c>
      <c r="R305" s="118">
        <f>IF(OR(N305="",P305=""),"",IF(Q305&gt;Settings!$B$3/100,"UP",IF(Q305&lt;-Settings!$B$3/100,"DOWN","FLAT")))</f>
        <v/>
      </c>
      <c r="S305" s="118">
        <f>IF(OR(N305="",P305="",J305=""),"",IF(OR(AND(J305="BUY",R305="UP"),AND(J305="SELL",R305="DOWN"),AND(J305="HOLD",R305="FLAT")),"YES","NO"))</f>
        <v/>
      </c>
      <c r="T305" s="119">
        <f>IF(J305="","",IF(J305="BUY",1,IF(J305="SELL",-1,0)))</f>
        <v/>
      </c>
      <c r="U305" s="150">
        <f>IFERROR(IF(OR(J305="",N305="",P305=""),"",IF(T305=0,0,T305*Q305-Settings!$B$4/10000-IF(T305&lt;0,Settings!$B$5/10000,0))),"")</f>
        <v/>
      </c>
      <c r="W305" s="21">
        <f>IF($K305="","",$K305*60)</f>
        <v/>
      </c>
      <c r="X305" s="91">
        <f>IF($A305="","",$A305&amp;"|"&amp;$C305&amp;"|"&amp;$D305)</f>
        <v/>
      </c>
      <c r="Y305" s="91">
        <f>IFERROR(IF($X305="","",INDEX(LLM_Data_Entry!$H$3:$H$548,MATCH($X305,INDEX(LLM_Data_Entry!$A$3:$A$548&amp;"|"&amp;LLM_Data_Entry!$C$3:$C$548&amp;"|"&amp;LLM_Data_Entry!$D$3:$D$548,0),0))),"")</f>
        <v/>
      </c>
      <c r="Z305" s="91">
        <f>IFERROR(IF($X305="","",INDEX(LLM_Data_Entry!$R$3:$R$548,MATCH($X305,INDEX(LLM_Data_Entry!$A$3:$A$548&amp;"|"&amp;LLM_Data_Entry!$C$3:$C$548&amp;"|"&amp;LLM_Data_Entry!$D$3:$D$548,0),0))),"")</f>
        <v/>
      </c>
      <c r="AB305" t="inlineStr">
        <is>
          <t>release date + stated time in the document (rater worksheet)</t>
        </is>
      </c>
      <c r="AC305" t="inlineStr">
        <is>
          <t>COST</t>
        </is>
      </c>
      <c r="AD305" t="inlineStr">
        <is>
          <t>2026-03-05</t>
        </is>
      </c>
      <c r="AE305" t="n">
        <v>979.5889</v>
      </c>
      <c r="AF305" t="inlineStr">
        <is>
          <t>2026-03-06</t>
        </is>
      </c>
      <c r="AG305" t="n">
        <v>964.0761</v>
      </c>
      <c r="AH305" t="n">
        <v>-0.01583608167794512</v>
      </c>
      <c r="AI305" t="inlineStr">
        <is>
          <t>FLAT</t>
        </is>
      </c>
      <c r="AJ305" t="inlineStr">
        <is>
          <t>NO</t>
        </is>
      </c>
      <c r="AK305" t="n">
        <v>-0.016836</v>
      </c>
      <c r="AL305">
        <f>IF($A305="","",IFERROR(INDEX(Company_List!$G$3:$G$207,MATCH($A305,Company_List!$A$3:$A$207,0)),"unassigned"))</f>
        <v/>
      </c>
      <c r="AM305" t="inlineStr">
        <is>
          <t>Phase 2/Costco/2026-Q2/COST-2026-Q2-press-release-SEC-EX-99-1.htm</t>
        </is>
      </c>
      <c r="AN305" t="inlineStr">
        <is>
          <t>https://www.sec.gov/Archives/edgar/data/909832/000090983226000025/costex9918-k3526.htm</t>
        </is>
      </c>
      <c r="AO305" t="inlineStr">
        <is>
          <t>manifest</t>
        </is>
      </c>
      <c r="AP305">
        <f>IF($A305="","",IF(COUNTIFS(LLM_Data_Entry!$A$3:$A$548,$A305)&gt;0,"YES","NO"))</f>
        <v/>
      </c>
      <c r="AQ305">
        <f>IF($A305="","",IF(COUNTIFS($A$3:$A305,$A305,$C$3:$C305,$C305,$D$3:$D305,$D305)=1,"YES","NO"))</f>
        <v/>
      </c>
      <c r="AR305">
        <f>IF($A305="","",IF(AND($C305&amp;"-"&amp;$D305&gt;=Settings!$B$19,$C305&amp;"-"&amp;$D305&lt;=Settings!$B$20),"IN","OUT"))</f>
        <v/>
      </c>
      <c r="AS305">
        <f>IF($A305="","",IF($F305="Financial Results","financials",IF($F305="Outlook/Guidance","guidance",IF($F305="Transcript Q&amp;A","qanda",IF($F305="","unrecorded",IF($E305="All","full",IF($E305="","unrecorded",LOWER($E305)&amp;" only")))))))</f>
        <v/>
      </c>
      <c r="AT305">
        <f>IF(AND(OR($J305="BUY",$J305="SELL"),ISNUMBER($U305)),$U305,"")</f>
        <v/>
      </c>
      <c r="AU305">
        <f>IF(AND(OR($J305="BUY",$J305="SELL"),ISNUMBER($AK305)),$AK305,"")</f>
        <v/>
      </c>
      <c r="AV305">
        <f>IF(ISNUMBER($AT305),ABS(IF(ISNUMBER($I305),$I305,0)-Settings!$B$24),"")</f>
        <v/>
      </c>
      <c r="AW305">
        <f>IF(ISNUMBER($AV305),$AV305*$AT305,"")</f>
        <v/>
      </c>
      <c r="AX305">
        <f>IF(ISNUMBER($AU305),ABS(IF(ISNUMBER($I305),$I305,0)-Settings!$B$24),"")</f>
        <v/>
      </c>
      <c r="AY305">
        <f>IF(ISNUMBER($AX305),$AX305*$AU305,"")</f>
        <v/>
      </c>
      <c r="AZ305">
        <f>IF($A305="","",IFERROR(INDEX(Company_List!$H$3:$H$207,MATCH($A305,Company_List!$A$3:$A$207,0)),"unassigned"))</f>
        <v/>
      </c>
      <c r="BC305">
        <f>IF($A305="","",IF(COUNTIFS($A$3:$A305,$A305,$C$3:$C305,$C305,$D$3:$D305,$D305,$G$3:$G305,$G305)=1,1,0))</f>
        <v/>
      </c>
      <c r="BG305" t="inlineStr">
        <is>
          <t>no</t>
        </is>
      </c>
      <c r="BK305">
        <f>IF(OR($H305&lt;&gt;"Human",$S305="",$J305="",$Y305="",$Z305=""),"",IF(EXACT(UPPER($J305),UPPER($Y305)),1,0))</f>
        <v/>
      </c>
      <c r="BL305" t="inlineStr">
        <is>
          <t>assumed - no rater record</t>
        </is>
      </c>
      <c r="BM305" t="n">
        <v>1</v>
      </c>
      <c r="BN305" t="inlineStr">
        <is>
          <t>not publisher-identified</t>
        </is>
      </c>
      <c r="BO305" t="inlineStr">
        <is>
          <t>not publisher-identified</t>
        </is>
      </c>
      <c r="BP305" t="inlineStr">
        <is>
          <t>no</t>
        </is>
      </c>
      <c r="BQ305" t="inlineStr">
        <is>
          <t>yes</t>
        </is>
      </c>
    </row>
    <row r="306">
      <c r="A306" s="1" t="inlineStr">
        <is>
          <t>Costco</t>
        </is>
      </c>
      <c r="B306" s="142">
        <f>IF(A306="","",_xlfn.XLOOKUP(A306, Company_List!$A:$A, Company_List!$B:$B, ""))</f>
        <v/>
      </c>
      <c r="C306" s="143" t="n">
        <v>2025</v>
      </c>
      <c r="D306" s="143" t="inlineStr">
        <is>
          <t>Q4</t>
        </is>
      </c>
      <c r="E306" s="98" t="inlineStr">
        <is>
          <t>Transcript</t>
        </is>
      </c>
      <c r="F306" s="98" t="inlineStr">
        <is>
          <t>Outlook/Guidance</t>
        </is>
      </c>
      <c r="G306" s="143" t="inlineStr">
        <is>
          <t>David</t>
        </is>
      </c>
      <c r="H306" s="106" t="inlineStr">
        <is>
          <t>Human</t>
        </is>
      </c>
      <c r="I306" s="145" t="n">
        <v>0.1</v>
      </c>
      <c r="J306" s="145">
        <f>IF(OR(I306="",Settings!$B$6=""),"",IF(I306&gt;Settings!$B$6,"BUY",IF(I306&lt;-Settings!$B$6,"SELL","HOLD")))</f>
        <v/>
      </c>
      <c r="K306" s="145" t="n">
        <v>30</v>
      </c>
      <c r="L306" s="125" t="n">
        <v>45925</v>
      </c>
      <c r="M306" s="140" t="n">
        <v>45925</v>
      </c>
      <c r="N306" s="147" t="n">
        <v>943.3099999999999</v>
      </c>
      <c r="O306" s="140" t="n">
        <v>45926</v>
      </c>
      <c r="P306" s="145" t="n">
        <v>925.55</v>
      </c>
      <c r="Q306" s="151">
        <f>IF(OR(N306="",P306=""),"",ROUND((P306-N306)/N306,4))</f>
        <v/>
      </c>
      <c r="R306" s="118">
        <f>IF(OR(N306="",P306=""),"",IF(Q306&gt;Settings!$B$3/100,"UP",IF(Q306&lt;-Settings!$B$3/100,"DOWN","FLAT")))</f>
        <v/>
      </c>
      <c r="S306" s="118">
        <f>IF(OR(N306="",P306="",J306=""),"",IF(OR(AND(J306="BUY",R306="UP"),AND(J306="SELL",R306="DOWN"),AND(J306="HOLD",R306="FLAT")),"YES","NO"))</f>
        <v/>
      </c>
      <c r="T306" s="119">
        <f>IF(J306="","",IF(J306="BUY",1,IF(J306="SELL",-1,0)))</f>
        <v/>
      </c>
      <c r="U306" s="150">
        <f>IFERROR(IF(OR(J306="",N306="",P306=""),"",IF(T306=0,0,T306*Q306-Settings!$B$4/10000-IF(T306&lt;0,Settings!$B$5/10000,0))),"")</f>
        <v/>
      </c>
      <c r="W306" s="21">
        <f>IF($K306="","",$K306*60)</f>
        <v/>
      </c>
      <c r="X306" s="91">
        <f>IF($A306="","",$A306&amp;"|"&amp;$C306&amp;"|"&amp;$D306)</f>
        <v/>
      </c>
      <c r="Y306" s="91">
        <f>IFERROR(IF($X306="","",INDEX(LLM_Data_Entry!$H$3:$H$548,MATCH($X306,INDEX(LLM_Data_Entry!$A$3:$A$548&amp;"|"&amp;LLM_Data_Entry!$C$3:$C$548&amp;"|"&amp;LLM_Data_Entry!$D$3:$D$548,0),0))),"")</f>
        <v/>
      </c>
      <c r="Z306" s="91">
        <f>IFERROR(IF($X306="","",INDEX(LLM_Data_Entry!$R$3:$R$548,MATCH($X306,INDEX(LLM_Data_Entry!$A$3:$A$548&amp;"|"&amp;LLM_Data_Entry!$C$3:$C$548&amp;"|"&amp;LLM_Data_Entry!$D$3:$D$548,0),0))),"")</f>
        <v/>
      </c>
      <c r="AB306" t="inlineStr">
        <is>
          <t>release date + stated time in the document (rater worksheet)</t>
        </is>
      </c>
      <c r="AC306" t="inlineStr">
        <is>
          <t>COST</t>
        </is>
      </c>
      <c r="AD306" t="inlineStr">
        <is>
          <t>2025-09-25</t>
        </is>
      </c>
      <c r="AE306" t="n">
        <v>937.8382</v>
      </c>
      <c r="AF306" t="inlineStr">
        <is>
          <t>2025-09-26</t>
        </is>
      </c>
      <c r="AG306" t="n">
        <v>920.1811</v>
      </c>
      <c r="AH306" t="n">
        <v>-0.0188274116614698</v>
      </c>
      <c r="AI306" t="inlineStr">
        <is>
          <t>FLAT</t>
        </is>
      </c>
      <c r="AJ306" t="inlineStr">
        <is>
          <t>YES</t>
        </is>
      </c>
      <c r="AK306" t="n">
        <v>0</v>
      </c>
      <c r="AL306">
        <f>IF($A306="","",IFERROR(INDEX(Company_List!$G$3:$G$207,MATCH($A306,Company_List!$A$3:$A$207,0)),"unassigned"))</f>
        <v/>
      </c>
      <c r="AM306" t="inlineStr">
        <is>
          <t>Phase 2/Costco/2025-Q4/COST-2025-Q4-earnings-call-transcript-news-alphastreet-com.html</t>
        </is>
      </c>
      <c r="AN306" t="inlineStr">
        <is>
          <t>https://news.alphastreet.com/costco-wholesale-corporation-cost-q4-2025-earnings-call-transcript/</t>
        </is>
      </c>
      <c r="AO306" t="inlineStr">
        <is>
          <t>manifest</t>
        </is>
      </c>
      <c r="AP306">
        <f>IF($A306="","",IF(COUNTIFS(LLM_Data_Entry!$A$3:$A$548,$A306)&gt;0,"YES","NO"))</f>
        <v/>
      </c>
      <c r="AQ306">
        <f>IF($A306="","",IF(COUNTIFS($A$3:$A306,$A306,$C$3:$C306,$C306,$D$3:$D306,$D306)=1,"YES","NO"))</f>
        <v/>
      </c>
      <c r="AR306">
        <f>IF($A306="","",IF(AND($C306&amp;"-"&amp;$D306&gt;=Settings!$B$19,$C306&amp;"-"&amp;$D306&lt;=Settings!$B$20),"IN","OUT"))</f>
        <v/>
      </c>
      <c r="AS306">
        <f>IF($A306="","",IF($F306="Financial Results","financials",IF($F306="Outlook/Guidance","guidance",IF($F306="Transcript Q&amp;A","qanda",IF($F306="","unrecorded",IF($E306="All","full",IF($E306="","unrecorded",LOWER($E306)&amp;" only")))))))</f>
        <v/>
      </c>
      <c r="AT306">
        <f>IF(AND(OR($J306="BUY",$J306="SELL"),ISNUMBER($U306)),$U306,"")</f>
        <v/>
      </c>
      <c r="AU306">
        <f>IF(AND(OR($J306="BUY",$J306="SELL"),ISNUMBER($AK306)),$AK306,"")</f>
        <v/>
      </c>
      <c r="AV306">
        <f>IF(ISNUMBER($AT306),ABS(IF(ISNUMBER($I306),$I306,0)-Settings!$B$24),"")</f>
        <v/>
      </c>
      <c r="AW306">
        <f>IF(ISNUMBER($AV306),$AV306*$AT306,"")</f>
        <v/>
      </c>
      <c r="AX306">
        <f>IF(ISNUMBER($AU306),ABS(IF(ISNUMBER($I306),$I306,0)-Settings!$B$24),"")</f>
        <v/>
      </c>
      <c r="AY306">
        <f>IF(ISNUMBER($AX306),$AX306*$AU306,"")</f>
        <v/>
      </c>
      <c r="AZ306">
        <f>IF($A306="","",IFERROR(INDEX(Company_List!$H$3:$H$207,MATCH($A306,Company_List!$A$3:$A$207,0)),"unassigned"))</f>
        <v/>
      </c>
      <c r="BC306">
        <f>IF($A306="","",IF(COUNTIFS($A$3:$A306,$A306,$C$3:$C306,$C306,$D$3:$D306,$D306,$G$3:$G306,$G306)=1,1,0))</f>
        <v/>
      </c>
      <c r="BG306" t="inlineStr">
        <is>
          <t>no</t>
        </is>
      </c>
      <c r="BK306">
        <f>IF(OR($H306&lt;&gt;"Human",$S306="",$J306="",$Y306="",$Z306=""),"",IF(EXACT(UPPER($J306),UPPER($Y306)),1,0))</f>
        <v/>
      </c>
      <c r="BL306" t="inlineStr">
        <is>
          <t>assumed - no rater record</t>
        </is>
      </c>
      <c r="BM306" t="n">
        <v>1</v>
      </c>
      <c r="BN306" t="inlineStr">
        <is>
          <t>not publisher-identified</t>
        </is>
      </c>
      <c r="BO306" t="inlineStr">
        <is>
          <t>not publisher-identified</t>
        </is>
      </c>
      <c r="BP306" t="inlineStr">
        <is>
          <t>no</t>
        </is>
      </c>
      <c r="BQ306" t="inlineStr">
        <is>
          <t>yes</t>
        </is>
      </c>
    </row>
    <row r="307">
      <c r="A307" s="1" t="inlineStr">
        <is>
          <t>Oracle</t>
        </is>
      </c>
      <c r="B307" s="142">
        <f>IF(A307="","",_xlfn.XLOOKUP(A307, Company_List!$A:$A, Company_List!$B:$B, ""))</f>
        <v/>
      </c>
      <c r="C307" s="143" t="n">
        <v>2026</v>
      </c>
      <c r="D307" s="143" t="inlineStr">
        <is>
          <t>Q1</t>
        </is>
      </c>
      <c r="E307" s="98" t="inlineStr">
        <is>
          <t>Transcript</t>
        </is>
      </c>
      <c r="F307" s="98" t="inlineStr">
        <is>
          <t>Transcript Q&amp;A</t>
        </is>
      </c>
      <c r="G307" s="143" t="inlineStr">
        <is>
          <t>David</t>
        </is>
      </c>
      <c r="H307" s="106" t="inlineStr">
        <is>
          <t>Human</t>
        </is>
      </c>
      <c r="I307" s="145" t="n">
        <v>-0.25</v>
      </c>
      <c r="J307" s="145">
        <f>IF(OR(I307="",Settings!$B$6=""),"",IF(I307&gt;Settings!$B$6,"BUY",IF(I307&lt;-Settings!$B$6,"SELL","HOLD")))</f>
        <v/>
      </c>
      <c r="K307" s="145" t="n">
        <v>44</v>
      </c>
      <c r="L307" s="125" t="n">
        <v>45909</v>
      </c>
      <c r="M307" s="140" t="n">
        <v>45909</v>
      </c>
      <c r="N307" s="147" t="n">
        <v>241.51</v>
      </c>
      <c r="O307" s="140" t="n">
        <v>45910</v>
      </c>
      <c r="P307" s="145" t="n">
        <v>319.19</v>
      </c>
      <c r="Q307" s="151">
        <f>IF(OR(N307="",P307=""),"",ROUND((P307-N307)/N307,4))</f>
        <v/>
      </c>
      <c r="R307" s="118">
        <f>IF(OR(N307="",P307=""),"",IF(Q307&gt;Settings!$B$3/100,"UP",IF(Q307&lt;-Settings!$B$3/100,"DOWN","FLAT")))</f>
        <v/>
      </c>
      <c r="S307" s="118">
        <f>IF(OR(N307="",P307="",J307=""),"",IF(OR(AND(J307="BUY",R307="UP"),AND(J307="SELL",R307="DOWN"),AND(J307="HOLD",R307="FLAT")),"YES","NO"))</f>
        <v/>
      </c>
      <c r="T307" s="119">
        <f>IF(J307="","",IF(J307="BUY",1,IF(J307="SELL",-1,0)))</f>
        <v/>
      </c>
      <c r="U307" s="150">
        <f>IFERROR(IF(OR(J307="",N307="",P307=""),"",IF(T307=0,0,T307*Q307-Settings!$B$4/10000-IF(T307&lt;0,Settings!$B$5/10000,0))),"")</f>
        <v/>
      </c>
      <c r="W307" s="21">
        <f>IF($K307="","",$K307*60)</f>
        <v/>
      </c>
      <c r="X307" s="91">
        <f>IF($A307="","",$A307&amp;"|"&amp;$C307&amp;"|"&amp;$D307)</f>
        <v/>
      </c>
      <c r="Y307" s="91">
        <f>IFERROR(IF($X307="","",INDEX(LLM_Data_Entry!$H$3:$H$548,MATCH($X307,INDEX(LLM_Data_Entry!$A$3:$A$548&amp;"|"&amp;LLM_Data_Entry!$C$3:$C$548&amp;"|"&amp;LLM_Data_Entry!$D$3:$D$548,0),0))),"")</f>
        <v/>
      </c>
      <c r="Z307" s="91">
        <f>IFERROR(IF($X307="","",INDEX(LLM_Data_Entry!$R$3:$R$548,MATCH($X307,INDEX(LLM_Data_Entry!$A$3:$A$548&amp;"|"&amp;LLM_Data_Entry!$C$3:$C$548&amp;"|"&amp;LLM_Data_Entry!$D$3:$D$548,0),0))),"")</f>
        <v/>
      </c>
      <c r="AB307" t="inlineStr">
        <is>
          <t>release date + stated time in the document (rater worksheet)</t>
        </is>
      </c>
      <c r="AC307" t="inlineStr">
        <is>
          <t>ORCL</t>
        </is>
      </c>
      <c r="AD307" t="inlineStr">
        <is>
          <t>2025-09-09</t>
        </is>
      </c>
      <c r="AE307" t="n">
        <v>238.7884</v>
      </c>
      <c r="AF307" t="inlineStr">
        <is>
          <t>2025-09-10</t>
        </is>
      </c>
      <c r="AG307" t="n">
        <v>315.593</v>
      </c>
      <c r="AH307" t="n">
        <v>0.3216432243295881</v>
      </c>
      <c r="AI307" t="inlineStr">
        <is>
          <t>UP</t>
        </is>
      </c>
      <c r="AJ307" t="inlineStr">
        <is>
          <t>NO</t>
        </is>
      </c>
      <c r="AK307" t="n">
        <v>-0.322643</v>
      </c>
      <c r="AL307">
        <f>IF($A307="","",IFERROR(INDEX(Company_List!$G$3:$G$207,MATCH($A307,Company_List!$A$3:$A$207,0)),"unassigned"))</f>
        <v/>
      </c>
      <c r="AM307" t="inlineStr">
        <is>
          <t>Phase 2/Oracle/2026-Q1/ORCL-2026-Q1-earnings-call-transcript-news-alphastreet-com.html</t>
        </is>
      </c>
      <c r="AN307" t="inlineStr">
        <is>
          <t>https://news.alphastreet.com/oracle-corporation-orcl-q1-2026-earnings-call-transcript/</t>
        </is>
      </c>
      <c r="AO307" t="inlineStr">
        <is>
          <t>manifest</t>
        </is>
      </c>
      <c r="AP307">
        <f>IF($A307="","",IF(COUNTIFS(LLM_Data_Entry!$A$3:$A$548,$A307)&gt;0,"YES","NO"))</f>
        <v/>
      </c>
      <c r="AQ307">
        <f>IF($A307="","",IF(COUNTIFS($A$3:$A307,$A307,$C$3:$C307,$C307,$D$3:$D307,$D307)=1,"YES","NO"))</f>
        <v/>
      </c>
      <c r="AR307">
        <f>IF($A307="","",IF(AND($C307&amp;"-"&amp;$D307&gt;=Settings!$B$19,$C307&amp;"-"&amp;$D307&lt;=Settings!$B$20),"IN","OUT"))</f>
        <v/>
      </c>
      <c r="AS307">
        <f>IF($A307="","",IF($F307="Financial Results","financials",IF($F307="Outlook/Guidance","guidance",IF($F307="Transcript Q&amp;A","qanda",IF($F307="","unrecorded",IF($E307="All","full",IF($E307="","unrecorded",LOWER($E307)&amp;" only")))))))</f>
        <v/>
      </c>
      <c r="AT307">
        <f>IF(AND(OR($J307="BUY",$J307="SELL"),ISNUMBER($U307)),$U307,"")</f>
        <v/>
      </c>
      <c r="AU307">
        <f>IF(AND(OR($J307="BUY",$J307="SELL"),ISNUMBER($AK307)),$AK307,"")</f>
        <v/>
      </c>
      <c r="AV307">
        <f>IF(ISNUMBER($AT307),ABS(IF(ISNUMBER($I307),$I307,0)-Settings!$B$24),"")</f>
        <v/>
      </c>
      <c r="AW307">
        <f>IF(ISNUMBER($AV307),$AV307*$AT307,"")</f>
        <v/>
      </c>
      <c r="AX307">
        <f>IF(ISNUMBER($AU307),ABS(IF(ISNUMBER($I307),$I307,0)-Settings!$B$24),"")</f>
        <v/>
      </c>
      <c r="AY307">
        <f>IF(ISNUMBER($AX307),$AX307*$AU307,"")</f>
        <v/>
      </c>
      <c r="AZ307">
        <f>IF($A307="","",IFERROR(INDEX(Company_List!$H$3:$H$207,MATCH($A307,Company_List!$A$3:$A$207,0)),"unassigned"))</f>
        <v/>
      </c>
      <c r="BC307">
        <f>IF($A307="","",IF(COUNTIFS($A$3:$A307,$A307,$C$3:$C307,$C307,$D$3:$D307,$D307,$G$3:$G307,$G307)=1,1,0))</f>
        <v/>
      </c>
      <c r="BG307" t="inlineStr">
        <is>
          <t>no</t>
        </is>
      </c>
      <c r="BK307">
        <f>IF(OR($H307&lt;&gt;"Human",$S307="",$J307="",$Y307="",$Z307=""),"",IF(EXACT(UPPER($J307),UPPER($Y307)),1,0))</f>
        <v/>
      </c>
      <c r="BL307" t="inlineStr">
        <is>
          <t>assumed - no rater record</t>
        </is>
      </c>
      <c r="BM307" t="n">
        <v>1</v>
      </c>
      <c r="BN307" t="inlineStr">
        <is>
          <t>not publisher-identified</t>
        </is>
      </c>
      <c r="BO307" t="inlineStr">
        <is>
          <t>not publisher-identified</t>
        </is>
      </c>
      <c r="BP307" t="inlineStr">
        <is>
          <t>no</t>
        </is>
      </c>
      <c r="BQ307" t="inlineStr">
        <is>
          <t>yes</t>
        </is>
      </c>
    </row>
    <row r="308">
      <c r="A308" s="1" t="inlineStr">
        <is>
          <t>Oracle</t>
        </is>
      </c>
      <c r="B308" s="142">
        <f>IF(A308="","",_xlfn.XLOOKUP(A308, Company_List!$A:$A, Company_List!$B:$B, ""))</f>
        <v/>
      </c>
      <c r="C308" s="143" t="n">
        <v>2026</v>
      </c>
      <c r="D308" s="143" t="inlineStr">
        <is>
          <t>Q2</t>
        </is>
      </c>
      <c r="E308" s="98" t="inlineStr">
        <is>
          <t>Press Release Document</t>
        </is>
      </c>
      <c r="F308" s="98" t="inlineStr">
        <is>
          <t>Financial Results</t>
        </is>
      </c>
      <c r="G308" s="143" t="inlineStr">
        <is>
          <t>David</t>
        </is>
      </c>
      <c r="H308" s="106" t="inlineStr">
        <is>
          <t>Human</t>
        </is>
      </c>
      <c r="I308" s="145" t="n">
        <v>0.7</v>
      </c>
      <c r="J308" s="145">
        <f>IF(OR(I308="",Settings!$B$6=""),"",IF(I308&gt;Settings!$B$6,"BUY",IF(I308&lt;-Settings!$B$6,"SELL","HOLD")))</f>
        <v/>
      </c>
      <c r="K308" s="145" t="n">
        <v>38</v>
      </c>
      <c r="L308" s="125" t="n">
        <v>46001</v>
      </c>
      <c r="M308" s="140" t="n">
        <v>46001</v>
      </c>
      <c r="N308" s="147" t="n">
        <v>223.01</v>
      </c>
      <c r="O308" s="140" t="n">
        <v>46002</v>
      </c>
      <c r="P308" s="145" t="n">
        <v>190.62</v>
      </c>
      <c r="Q308" s="151">
        <f>IF(OR(N308="",P308=""),"",ROUND((P308-N308)/N308,4))</f>
        <v/>
      </c>
      <c r="R308" s="118">
        <f>IF(OR(N308="",P308=""),"",IF(Q308&gt;Settings!$B$3/100,"UP",IF(Q308&lt;-Settings!$B$3/100,"DOWN","FLAT")))</f>
        <v/>
      </c>
      <c r="S308" s="118">
        <f>IF(OR(N308="",P308="",J308=""),"",IF(OR(AND(J308="BUY",R308="UP"),AND(J308="SELL",R308="DOWN"),AND(J308="HOLD",R308="FLAT")),"YES","NO"))</f>
        <v/>
      </c>
      <c r="T308" s="119">
        <f>IF(J308="","",IF(J308="BUY",1,IF(J308="SELL",-1,0)))</f>
        <v/>
      </c>
      <c r="U308" s="150">
        <f>IFERROR(IF(OR(J308="",N308="",P308=""),"",IF(T308=0,0,T308*Q308-Settings!$B$4/10000-IF(T308&lt;0,Settings!$B$5/10000,0))),"")</f>
        <v/>
      </c>
      <c r="W308" s="21">
        <f>IF($K308="","",$K308*60)</f>
        <v/>
      </c>
      <c r="X308" s="91">
        <f>IF($A308="","",$A308&amp;"|"&amp;$C308&amp;"|"&amp;$D308)</f>
        <v/>
      </c>
      <c r="Y308" s="91">
        <f>IFERROR(IF($X308="","",INDEX(LLM_Data_Entry!$H$3:$H$548,MATCH($X308,INDEX(LLM_Data_Entry!$A$3:$A$548&amp;"|"&amp;LLM_Data_Entry!$C$3:$C$548&amp;"|"&amp;LLM_Data_Entry!$D$3:$D$548,0),0))),"")</f>
        <v/>
      </c>
      <c r="Z308" s="91">
        <f>IFERROR(IF($X308="","",INDEX(LLM_Data_Entry!$R$3:$R$548,MATCH($X308,INDEX(LLM_Data_Entry!$A$3:$A$548&amp;"|"&amp;LLM_Data_Entry!$C$3:$C$548&amp;"|"&amp;LLM_Data_Entry!$D$3:$D$548,0),0))),"")</f>
        <v/>
      </c>
      <c r="AB308" t="inlineStr">
        <is>
          <t>price signal — only this window shows an abnormal move</t>
        </is>
      </c>
      <c r="AC308" t="inlineStr">
        <is>
          <t>ORCL</t>
        </is>
      </c>
      <c r="AD308" t="inlineStr">
        <is>
          <t>2025-12-10</t>
        </is>
      </c>
      <c r="AE308" t="n">
        <v>220.8795</v>
      </c>
      <c r="AF308" t="inlineStr">
        <is>
          <t>2025-12-11</t>
        </is>
      </c>
      <c r="AG308" t="n">
        <v>188.7989</v>
      </c>
      <c r="AH308" t="n">
        <v>-0.1452401443321627</v>
      </c>
      <c r="AI308" t="inlineStr">
        <is>
          <t>DOWN</t>
        </is>
      </c>
      <c r="AJ308" t="inlineStr">
        <is>
          <t>NO</t>
        </is>
      </c>
      <c r="AK308" t="n">
        <v>-0.14624</v>
      </c>
      <c r="AL308">
        <f>IF($A308="","",IFERROR(INDEX(Company_List!$G$3:$G$207,MATCH($A308,Company_List!$A$3:$A$207,0)),"unassigned"))</f>
        <v/>
      </c>
      <c r="AM308" t="inlineStr">
        <is>
          <t>Phase 2/Oracle/2026-Q2/ORCL-2026-Q2-press-release-SEC-EX-99-1.htm</t>
        </is>
      </c>
      <c r="AN308" t="inlineStr">
        <is>
          <t>https://www.sec.gov/Archives/edgar/data/1341439/000119312525314207/orcl-ex99_1.htm</t>
        </is>
      </c>
      <c r="AO308" t="inlineStr">
        <is>
          <t>manifest</t>
        </is>
      </c>
      <c r="AP308">
        <f>IF($A308="","",IF(COUNTIFS(LLM_Data_Entry!$A$3:$A$548,$A308)&gt;0,"YES","NO"))</f>
        <v/>
      </c>
      <c r="AQ308">
        <f>IF($A308="","",IF(COUNTIFS($A$3:$A308,$A308,$C$3:$C308,$C308,$D$3:$D308,$D308)=1,"YES","NO"))</f>
        <v/>
      </c>
      <c r="AR308">
        <f>IF($A308="","",IF(AND($C308&amp;"-"&amp;$D308&gt;=Settings!$B$19,$C308&amp;"-"&amp;$D308&lt;=Settings!$B$20),"IN","OUT"))</f>
        <v/>
      </c>
      <c r="AS308">
        <f>IF($A308="","",IF($F308="Financial Results","financials",IF($F308="Outlook/Guidance","guidance",IF($F308="Transcript Q&amp;A","qanda",IF($F308="","unrecorded",IF($E308="All","full",IF($E308="","unrecorded",LOWER($E308)&amp;" only")))))))</f>
        <v/>
      </c>
      <c r="AT308">
        <f>IF(AND(OR($J308="BUY",$J308="SELL"),ISNUMBER($U308)),$U308,"")</f>
        <v/>
      </c>
      <c r="AU308">
        <f>IF(AND(OR($J308="BUY",$J308="SELL"),ISNUMBER($AK308)),$AK308,"")</f>
        <v/>
      </c>
      <c r="AV308">
        <f>IF(ISNUMBER($AT308),ABS(IF(ISNUMBER($I308),$I308,0)-Settings!$B$24),"")</f>
        <v/>
      </c>
      <c r="AW308">
        <f>IF(ISNUMBER($AV308),$AV308*$AT308,"")</f>
        <v/>
      </c>
      <c r="AX308">
        <f>IF(ISNUMBER($AU308),ABS(IF(ISNUMBER($I308),$I308,0)-Settings!$B$24),"")</f>
        <v/>
      </c>
      <c r="AY308">
        <f>IF(ISNUMBER($AX308),$AX308*$AU308,"")</f>
        <v/>
      </c>
      <c r="AZ308">
        <f>IF($A308="","",IFERROR(INDEX(Company_List!$H$3:$H$207,MATCH($A308,Company_List!$A$3:$A$207,0)),"unassigned"))</f>
        <v/>
      </c>
      <c r="BC308">
        <f>IF($A308="","",IF(COUNTIFS($A$3:$A308,$A308,$C$3:$C308,$C308,$D$3:$D308,$D308,$G$3:$G308,$G308)=1,1,0))</f>
        <v/>
      </c>
      <c r="BG308" t="inlineStr">
        <is>
          <t>no</t>
        </is>
      </c>
      <c r="BK308">
        <f>IF(OR($H308&lt;&gt;"Human",$S308="",$J308="",$Y308="",$Z308=""),"",IF(EXACT(UPPER($J308),UPPER($Y308)),1,0))</f>
        <v/>
      </c>
      <c r="BL308" t="inlineStr">
        <is>
          <t>assumed - no rater record</t>
        </is>
      </c>
      <c r="BM308" t="n">
        <v>1</v>
      </c>
      <c r="BN308" t="inlineStr">
        <is>
          <t>not publisher-identified</t>
        </is>
      </c>
      <c r="BO308" t="inlineStr">
        <is>
          <t>not publisher-identified</t>
        </is>
      </c>
      <c r="BP308" t="inlineStr">
        <is>
          <t>no</t>
        </is>
      </c>
      <c r="BQ308" t="inlineStr">
        <is>
          <t>yes</t>
        </is>
      </c>
    </row>
    <row r="309">
      <c r="A309" s="1" t="inlineStr">
        <is>
          <t>Oracle</t>
        </is>
      </c>
      <c r="B309" s="142">
        <f>IF(A309="","",_xlfn.XLOOKUP(A309, Company_List!$A:$A, Company_List!$B:$B, ""))</f>
        <v/>
      </c>
      <c r="C309" s="143" t="n">
        <v>2026</v>
      </c>
      <c r="D309" s="143" t="inlineStr">
        <is>
          <t>Q3</t>
        </is>
      </c>
      <c r="E309" s="98" t="inlineStr">
        <is>
          <t>Transcript</t>
        </is>
      </c>
      <c r="F309" s="98" t="inlineStr">
        <is>
          <t>Outlook/Guidance</t>
        </is>
      </c>
      <c r="G309" s="143" t="inlineStr">
        <is>
          <t>David</t>
        </is>
      </c>
      <c r="H309" s="106" t="inlineStr">
        <is>
          <t>Human</t>
        </is>
      </c>
      <c r="I309" s="145" t="n">
        <v>-0.45</v>
      </c>
      <c r="J309" s="145">
        <f>IF(OR(I309="",Settings!$B$6=""),"",IF(I309&gt;Settings!$B$6,"BUY",IF(I309&lt;-Settings!$B$6,"SELL","HOLD")))</f>
        <v/>
      </c>
      <c r="K309" s="145" t="n">
        <v>37</v>
      </c>
      <c r="L309" s="125" t="n">
        <v>46091</v>
      </c>
      <c r="M309" s="140" t="n">
        <v>46091</v>
      </c>
      <c r="N309" s="147" t="n">
        <v>149.4</v>
      </c>
      <c r="O309" s="140" t="n">
        <v>46092</v>
      </c>
      <c r="P309" s="145" t="n">
        <v>166.38</v>
      </c>
      <c r="Q309" s="151">
        <f>IF(OR(N309="",P309=""),"",ROUND((P309-N309)/N309,4))</f>
        <v/>
      </c>
      <c r="R309" s="118">
        <f>IF(OR(N309="",P309=""),"",IF(Q309&gt;Settings!$B$3/100,"UP",IF(Q309&lt;-Settings!$B$3/100,"DOWN","FLAT")))</f>
        <v/>
      </c>
      <c r="S309" s="118">
        <f>IF(OR(N309="",P309="",J309=""),"",IF(OR(AND(J309="BUY",R309="UP"),AND(J309="SELL",R309="DOWN"),AND(J309="HOLD",R309="FLAT")),"YES","NO"))</f>
        <v/>
      </c>
      <c r="T309" s="119">
        <f>IF(J309="","",IF(J309="BUY",1,IF(J309="SELL",-1,0)))</f>
        <v/>
      </c>
      <c r="U309" s="150">
        <f>IFERROR(IF(OR(J309="",N309="",P309=""),"",IF(T309=0,0,T309*Q309-Settings!$B$4/10000-IF(T309&lt;0,Settings!$B$5/10000,0))),"")</f>
        <v/>
      </c>
      <c r="W309" s="21">
        <f>IF($K309="","",$K309*60)</f>
        <v/>
      </c>
      <c r="X309" s="91">
        <f>IF($A309="","",$A309&amp;"|"&amp;$C309&amp;"|"&amp;$D309)</f>
        <v/>
      </c>
      <c r="Y309" s="91">
        <f>IFERROR(IF($X309="","",INDEX(LLM_Data_Entry!$H$3:$H$548,MATCH($X309,INDEX(LLM_Data_Entry!$A$3:$A$548&amp;"|"&amp;LLM_Data_Entry!$C$3:$C$548&amp;"|"&amp;LLM_Data_Entry!$D$3:$D$548,0),0))),"")</f>
        <v/>
      </c>
      <c r="Z309" s="91">
        <f>IFERROR(IF($X309="","",INDEX(LLM_Data_Entry!$R$3:$R$548,MATCH($X309,INDEX(LLM_Data_Entry!$A$3:$A$548&amp;"|"&amp;LLM_Data_Entry!$C$3:$C$548&amp;"|"&amp;LLM_Data_Entry!$D$3:$D$548,0),0))),"")</f>
        <v/>
      </c>
      <c r="AB309" t="inlineStr">
        <is>
          <t>release date + stated time in the document (rater worksheet)</t>
        </is>
      </c>
      <c r="AC309" t="inlineStr">
        <is>
          <t>ORCL</t>
        </is>
      </c>
      <c r="AD309" t="inlineStr">
        <is>
          <t>2026-03-10</t>
        </is>
      </c>
      <c r="AE309" t="n">
        <v>148.3639</v>
      </c>
      <c r="AF309" t="inlineStr">
        <is>
          <t>2026-03-11</t>
        </is>
      </c>
      <c r="AG309" t="n">
        <v>165.2261</v>
      </c>
      <c r="AH309" t="n">
        <v>0.1136546846451149</v>
      </c>
      <c r="AI309" t="inlineStr">
        <is>
          <t>UP</t>
        </is>
      </c>
      <c r="AJ309" t="inlineStr">
        <is>
          <t>NO</t>
        </is>
      </c>
      <c r="AK309" t="n">
        <v>-0.114655</v>
      </c>
      <c r="AL309">
        <f>IF($A309="","",IFERROR(INDEX(Company_List!$G$3:$G$207,MATCH($A309,Company_List!$A$3:$A$207,0)),"unassigned"))</f>
        <v/>
      </c>
      <c r="AM309" t="inlineStr">
        <is>
          <t>Phase 2/Oracle/2026-Q3/ORCL-2026-Q3-earnings-call-transcript-fool-com.html</t>
        </is>
      </c>
      <c r="AN309" t="inlineStr">
        <is>
          <t>https://www.fool.com/earnings/call-transcripts/2026/03/10/oracle-orcl-q3-2026-earnings-call-transcript/</t>
        </is>
      </c>
      <c r="AO309" t="inlineStr">
        <is>
          <t>manifest</t>
        </is>
      </c>
      <c r="AP309">
        <f>IF($A309="","",IF(COUNTIFS(LLM_Data_Entry!$A$3:$A$548,$A309)&gt;0,"YES","NO"))</f>
        <v/>
      </c>
      <c r="AQ309">
        <f>IF($A309="","",IF(COUNTIFS($A$3:$A309,$A309,$C$3:$C309,$C309,$D$3:$D309,$D309)=1,"YES","NO"))</f>
        <v/>
      </c>
      <c r="AR309">
        <f>IF($A309="","",IF(AND($C309&amp;"-"&amp;$D309&gt;=Settings!$B$19,$C309&amp;"-"&amp;$D309&lt;=Settings!$B$20),"IN","OUT"))</f>
        <v/>
      </c>
      <c r="AS309">
        <f>IF($A309="","",IF($F309="Financial Results","financials",IF($F309="Outlook/Guidance","guidance",IF($F309="Transcript Q&amp;A","qanda",IF($F309="","unrecorded",IF($E309="All","full",IF($E309="","unrecorded",LOWER($E309)&amp;" only")))))))</f>
        <v/>
      </c>
      <c r="AT309">
        <f>IF(AND(OR($J309="BUY",$J309="SELL"),ISNUMBER($U309)),$U309,"")</f>
        <v/>
      </c>
      <c r="AU309">
        <f>IF(AND(OR($J309="BUY",$J309="SELL"),ISNUMBER($AK309)),$AK309,"")</f>
        <v/>
      </c>
      <c r="AV309">
        <f>IF(ISNUMBER($AT309),ABS(IF(ISNUMBER($I309),$I309,0)-Settings!$B$24),"")</f>
        <v/>
      </c>
      <c r="AW309">
        <f>IF(ISNUMBER($AV309),$AV309*$AT309,"")</f>
        <v/>
      </c>
      <c r="AX309">
        <f>IF(ISNUMBER($AU309),ABS(IF(ISNUMBER($I309),$I309,0)-Settings!$B$24),"")</f>
        <v/>
      </c>
      <c r="AY309">
        <f>IF(ISNUMBER($AX309),$AX309*$AU309,"")</f>
        <v/>
      </c>
      <c r="AZ309">
        <f>IF($A309="","",IFERROR(INDEX(Company_List!$H$3:$H$207,MATCH($A309,Company_List!$A$3:$A$207,0)),"unassigned"))</f>
        <v/>
      </c>
      <c r="BC309">
        <f>IF($A309="","",IF(COUNTIFS($A$3:$A309,$A309,$C$3:$C309,$C309,$D$3:$D309,$D309,$G$3:$G309,$G309)=1,1,0))</f>
        <v/>
      </c>
      <c r="BG309" t="inlineStr">
        <is>
          <t>no</t>
        </is>
      </c>
      <c r="BK309">
        <f>IF(OR($H309&lt;&gt;"Human",$S309="",$J309="",$Y309="",$Z309=""),"",IF(EXACT(UPPER($J309),UPPER($Y309)),1,0))</f>
        <v/>
      </c>
      <c r="BL309" t="inlineStr">
        <is>
          <t>assumed - no rater record</t>
        </is>
      </c>
      <c r="BM309" t="n">
        <v>1</v>
      </c>
      <c r="BN309" t="inlineStr">
        <is>
          <t>The Motley Fool</t>
        </is>
      </c>
      <c r="BO309" t="inlineStr">
        <is>
          <t>free to read, copyright asserted</t>
        </is>
      </c>
      <c r="BP309" t="inlineStr">
        <is>
          <t>no</t>
        </is>
      </c>
      <c r="BQ309" t="inlineStr">
        <is>
          <t>yes</t>
        </is>
      </c>
    </row>
    <row r="310">
      <c r="A310" s="1" t="inlineStr">
        <is>
          <t>Starbucks</t>
        </is>
      </c>
      <c r="B310" s="142">
        <f>IF(A310="","",_xlfn.XLOOKUP(A310, Company_List!$A:$A, Company_List!$B:$B, ""))</f>
        <v/>
      </c>
      <c r="C310" s="143" t="n">
        <v>2026</v>
      </c>
      <c r="D310" s="143" t="inlineStr">
        <is>
          <t>Q1</t>
        </is>
      </c>
      <c r="E310" s="98" t="inlineStr">
        <is>
          <t>Press Release Document</t>
        </is>
      </c>
      <c r="F310" s="98" t="inlineStr">
        <is>
          <t>Financial Results</t>
        </is>
      </c>
      <c r="G310" s="143" t="inlineStr">
        <is>
          <t>David</t>
        </is>
      </c>
      <c r="H310" s="106" t="inlineStr">
        <is>
          <t>Human</t>
        </is>
      </c>
      <c r="I310" s="145" t="n">
        <v>-0.45</v>
      </c>
      <c r="J310" s="145">
        <f>IF(OR(I310="",Settings!$B$6=""),"",IF(I310&gt;Settings!$B$6,"BUY",IF(I310&lt;-Settings!$B$6,"SELL","HOLD")))</f>
        <v/>
      </c>
      <c r="K310" s="145" t="n">
        <v>35</v>
      </c>
      <c r="L310" s="125" t="n">
        <v>46050</v>
      </c>
      <c r="M310" s="140" t="n">
        <v>46049</v>
      </c>
      <c r="N310" s="147" t="n">
        <v>95.72</v>
      </c>
      <c r="O310" s="140" t="n">
        <v>46050</v>
      </c>
      <c r="P310" s="145" t="n">
        <v>102.3</v>
      </c>
      <c r="Q310" s="151">
        <f>IF(OR(N310="",P310=""),"",ROUND((P310-N310)/N310,4))</f>
        <v/>
      </c>
      <c r="R310" s="118">
        <f>IF(OR(N310="",P310=""),"",IF(Q310&gt;Settings!$B$3/100,"UP",IF(Q310&lt;-Settings!$B$3/100,"DOWN","FLAT")))</f>
        <v/>
      </c>
      <c r="S310" s="118">
        <f>IF(OR(N310="",P310="",J310=""),"",IF(OR(AND(J310="BUY",R310="UP"),AND(J310="SELL",R310="DOWN"),AND(J310="HOLD",R310="FLAT")),"YES","NO"))</f>
        <v/>
      </c>
      <c r="T310" s="119">
        <f>IF(J310="","",IF(J310="BUY",1,IF(J310="SELL",-1,0)))</f>
        <v/>
      </c>
      <c r="U310" s="150">
        <f>IFERROR(IF(OR(J310="",N310="",P310=""),"",IF(T310=0,0,T310*Q310-Settings!$B$4/10000-IF(T310&lt;0,Settings!$B$5/10000,0))),"")</f>
        <v/>
      </c>
      <c r="W310" s="21">
        <f>IF($K310="","",$K310*60)</f>
        <v/>
      </c>
      <c r="X310" s="91">
        <f>IF($A310="","",$A310&amp;"|"&amp;$C310&amp;"|"&amp;$D310)</f>
        <v/>
      </c>
      <c r="Y310" s="91">
        <f>IFERROR(IF($X310="","",INDEX(LLM_Data_Entry!$H$3:$H$548,MATCH($X310,INDEX(LLM_Data_Entry!$A$3:$A$548&amp;"|"&amp;LLM_Data_Entry!$C$3:$C$548&amp;"|"&amp;LLM_Data_Entry!$D$3:$D$548,0),0))),"")</f>
        <v/>
      </c>
      <c r="Z310" s="91">
        <f>IFERROR(IF($X310="","",INDEX(LLM_Data_Entry!$R$3:$R$548,MATCH($X310,INDEX(LLM_Data_Entry!$A$3:$A$548&amp;"|"&amp;LLM_Data_Entry!$C$3:$C$548&amp;"|"&amp;LLM_Data_Entry!$D$3:$D$548,0),0))),"")</f>
        <v/>
      </c>
      <c r="AB310" t="inlineStr">
        <is>
          <t>price signal — both moved; this one dominates</t>
        </is>
      </c>
      <c r="AC310" t="inlineStr">
        <is>
          <t>SBUX</t>
        </is>
      </c>
      <c r="AD310" t="inlineStr">
        <is>
          <t>2026-01-27</t>
        </is>
      </c>
      <c r="AE310" t="n">
        <v>94.55249999999999</v>
      </c>
      <c r="AF310" t="inlineStr">
        <is>
          <t>2026-01-28</t>
        </is>
      </c>
      <c r="AG310" t="n">
        <v>101.0522</v>
      </c>
      <c r="AH310" t="n">
        <v>0.06874215692255159</v>
      </c>
      <c r="AI310" t="inlineStr">
        <is>
          <t>UP</t>
        </is>
      </c>
      <c r="AJ310" t="inlineStr">
        <is>
          <t>NO</t>
        </is>
      </c>
      <c r="AK310" t="n">
        <v>-0.069742</v>
      </c>
      <c r="AL310">
        <f>IF($A310="","",IFERROR(INDEX(Company_List!$G$3:$G$207,MATCH($A310,Company_List!$A$3:$A$207,0)),"unassigned"))</f>
        <v/>
      </c>
      <c r="AM310" t="inlineStr">
        <is>
          <t>Phase 2/Starbucks/2026-Q1/SBUX-2026-Q1-press-release-SEC-EX-99-1.htm</t>
        </is>
      </c>
      <c r="AN310" t="inlineStr">
        <is>
          <t>https://www.sec.gov/Archives/edgar/data/829224/000082922426000010/sbux-12282025xearningsrele.htm</t>
        </is>
      </c>
      <c r="AO310" t="inlineStr">
        <is>
          <t>manifest</t>
        </is>
      </c>
      <c r="AP310">
        <f>IF($A310="","",IF(COUNTIFS(LLM_Data_Entry!$A$3:$A$548,$A310)&gt;0,"YES","NO"))</f>
        <v/>
      </c>
      <c r="AQ310">
        <f>IF($A310="","",IF(COUNTIFS($A$3:$A310,$A310,$C$3:$C310,$C310,$D$3:$D310,$D310)=1,"YES","NO"))</f>
        <v/>
      </c>
      <c r="AR310">
        <f>IF($A310="","",IF(AND($C310&amp;"-"&amp;$D310&gt;=Settings!$B$19,$C310&amp;"-"&amp;$D310&lt;=Settings!$B$20),"IN","OUT"))</f>
        <v/>
      </c>
      <c r="AS310">
        <f>IF($A310="","",IF($F310="Financial Results","financials",IF($F310="Outlook/Guidance","guidance",IF($F310="Transcript Q&amp;A","qanda",IF($F310="","unrecorded",IF($E310="All","full",IF($E310="","unrecorded",LOWER($E310)&amp;" only")))))))</f>
        <v/>
      </c>
      <c r="AT310">
        <f>IF(AND(OR($J310="BUY",$J310="SELL"),ISNUMBER($U310)),$U310,"")</f>
        <v/>
      </c>
      <c r="AU310">
        <f>IF(AND(OR($J310="BUY",$J310="SELL"),ISNUMBER($AK310)),$AK310,"")</f>
        <v/>
      </c>
      <c r="AV310">
        <f>IF(ISNUMBER($AT310),ABS(IF(ISNUMBER($I310),$I310,0)-Settings!$B$24),"")</f>
        <v/>
      </c>
      <c r="AW310">
        <f>IF(ISNUMBER($AV310),$AV310*$AT310,"")</f>
        <v/>
      </c>
      <c r="AX310">
        <f>IF(ISNUMBER($AU310),ABS(IF(ISNUMBER($I310),$I310,0)-Settings!$B$24),"")</f>
        <v/>
      </c>
      <c r="AY310">
        <f>IF(ISNUMBER($AX310),$AX310*$AU310,"")</f>
        <v/>
      </c>
      <c r="AZ310">
        <f>IF($A310="","",IFERROR(INDEX(Company_List!$H$3:$H$207,MATCH($A310,Company_List!$A$3:$A$207,0)),"unassigned"))</f>
        <v/>
      </c>
      <c r="BC310">
        <f>IF($A310="","",IF(COUNTIFS($A$3:$A310,$A310,$C$3:$C310,$C310,$D$3:$D310,$D310,$G$3:$G310,$G310)=1,1,0))</f>
        <v/>
      </c>
      <c r="BG310" t="inlineStr">
        <is>
          <t>no</t>
        </is>
      </c>
      <c r="BK310">
        <f>IF(OR($H310&lt;&gt;"Human",$S310="",$J310="",$Y310="",$Z310=""),"",IF(EXACT(UPPER($J310),UPPER($Y310)),1,0))</f>
        <v/>
      </c>
      <c r="BL310" t="inlineStr">
        <is>
          <t>assumed - no rater record</t>
        </is>
      </c>
      <c r="BM310" t="n">
        <v>1</v>
      </c>
      <c r="BN310" t="inlineStr">
        <is>
          <t>not publisher-identified</t>
        </is>
      </c>
      <c r="BO310" t="inlineStr">
        <is>
          <t>not publisher-identified</t>
        </is>
      </c>
      <c r="BP310" t="inlineStr">
        <is>
          <t>no</t>
        </is>
      </c>
      <c r="BQ310" t="inlineStr">
        <is>
          <t>yes</t>
        </is>
      </c>
    </row>
    <row r="311">
      <c r="A311" s="1" t="inlineStr">
        <is>
          <t>Starbucks</t>
        </is>
      </c>
      <c r="B311" s="142">
        <f>IF(A311="","",_xlfn.XLOOKUP(A311, Company_List!$A:$A, Company_List!$B:$B, ""))</f>
        <v/>
      </c>
      <c r="C311" s="143" t="n">
        <v>2025</v>
      </c>
      <c r="D311" s="143" t="inlineStr">
        <is>
          <t>Q3</t>
        </is>
      </c>
      <c r="E311" s="98" t="inlineStr">
        <is>
          <t>Transcript</t>
        </is>
      </c>
      <c r="F311" s="98" t="inlineStr">
        <is>
          <t>Outlook/Guidance</t>
        </is>
      </c>
      <c r="G311" s="143" t="inlineStr">
        <is>
          <t>David</t>
        </is>
      </c>
      <c r="H311" s="106" t="inlineStr">
        <is>
          <t>Human</t>
        </is>
      </c>
      <c r="I311" s="145" t="n">
        <v>-0.3</v>
      </c>
      <c r="J311" s="145">
        <f>IF(OR(I311="",Settings!$B$6=""),"",IF(I311&gt;Settings!$B$6,"BUY",IF(I311&lt;-Settings!$B$6,"SELL","HOLD")))</f>
        <v/>
      </c>
      <c r="K311" s="145" t="n">
        <v>39</v>
      </c>
      <c r="L311" s="126" t="n">
        <v>45867</v>
      </c>
      <c r="M311" s="140" t="n">
        <v>45867</v>
      </c>
      <c r="N311" s="147" t="n">
        <v>92.95999999999999</v>
      </c>
      <c r="O311" s="140" t="n">
        <v>45868</v>
      </c>
      <c r="P311" s="145" t="n">
        <v>97.83</v>
      </c>
      <c r="Q311" s="151">
        <f>IF(OR(N311="",P311=""),"",ROUND((P311-N311)/N311,4))</f>
        <v/>
      </c>
      <c r="R311" s="118">
        <f>IF(OR(N311="",P311=""),"",IF(Q311&gt;Settings!$B$3/100,"UP",IF(Q311&lt;-Settings!$B$3/100,"DOWN","FLAT")))</f>
        <v/>
      </c>
      <c r="S311" s="118">
        <f>IF(OR(N311="",P311="",J311=""),"",IF(OR(AND(J311="BUY",R311="UP"),AND(J311="SELL",R311="DOWN"),AND(J311="HOLD",R311="FLAT")),"YES","NO"))</f>
        <v/>
      </c>
      <c r="T311" s="119">
        <f>IF(J311="","",IF(J311="BUY",1,IF(J311="SELL",-1,0)))</f>
        <v/>
      </c>
      <c r="U311" s="150">
        <f>IFERROR(IF(OR(J311="",N311="",P311=""),"",IF(T311=0,0,T311*Q311-Settings!$B$4/10000-IF(T311&lt;0,Settings!$B$5/10000,0))),"")</f>
        <v/>
      </c>
      <c r="W311" s="21">
        <f>IF($K311="","",$K311*60)</f>
        <v/>
      </c>
      <c r="X311" s="91">
        <f>IF($A311="","",$A311&amp;"|"&amp;$C311&amp;"|"&amp;$D311)</f>
        <v/>
      </c>
      <c r="Y311" s="91">
        <f>IFERROR(IF($X311="","",INDEX(LLM_Data_Entry!$H$3:$H$548,MATCH($X311,INDEX(LLM_Data_Entry!$A$3:$A$548&amp;"|"&amp;LLM_Data_Entry!$C$3:$C$548&amp;"|"&amp;LLM_Data_Entry!$D$3:$D$548,0),0))),"")</f>
        <v/>
      </c>
      <c r="Z311" s="91">
        <f>IFERROR(IF($X311="","",INDEX(LLM_Data_Entry!$R$3:$R$548,MATCH($X311,INDEX(LLM_Data_Entry!$A$3:$A$548&amp;"|"&amp;LLM_Data_Entry!$C$3:$C$548&amp;"|"&amp;LLM_Data_Entry!$D$3:$D$548,0),0))),"")</f>
        <v/>
      </c>
      <c r="AB311" t="inlineStr">
        <is>
          <t>release date + stated time in the document (rater worksheet)</t>
        </is>
      </c>
      <c r="AC311" t="inlineStr">
        <is>
          <t>SBUX</t>
        </is>
      </c>
      <c r="AD311" t="inlineStr">
        <is>
          <t>2025-07-29</t>
        </is>
      </c>
      <c r="AE311" t="n">
        <v>90.5699</v>
      </c>
      <c r="AF311" t="inlineStr">
        <is>
          <t>2025-07-30</t>
        </is>
      </c>
      <c r="AG311" t="n">
        <v>95.3147</v>
      </c>
      <c r="AH311" t="n">
        <v>0.05238815541756649</v>
      </c>
      <c r="AI311" t="inlineStr">
        <is>
          <t>UP</t>
        </is>
      </c>
      <c r="AJ311" t="inlineStr">
        <is>
          <t>NO</t>
        </is>
      </c>
      <c r="AK311" t="n">
        <v>-0.053388</v>
      </c>
      <c r="AL311">
        <f>IF($A311="","",IFERROR(INDEX(Company_List!$G$3:$G$207,MATCH($A311,Company_List!$A$3:$A$207,0)),"unassigned"))</f>
        <v/>
      </c>
      <c r="AM311" t="inlineStr">
        <is>
          <t>Phase 2/Starbucks/2025-Q3/SBUX-2025-Q3-earnings-call-transcript-fool-com.html</t>
        </is>
      </c>
      <c r="AN311" t="inlineStr">
        <is>
          <t>https://www.fool.com/earnings/call-transcripts/2025/08/05/starbucks-sbux-q3-2025-earnings-call-transcript/</t>
        </is>
      </c>
      <c r="AO311" t="inlineStr">
        <is>
          <t>manifest</t>
        </is>
      </c>
      <c r="AP311">
        <f>IF($A311="","",IF(COUNTIFS(LLM_Data_Entry!$A$3:$A$548,$A311)&gt;0,"YES","NO"))</f>
        <v/>
      </c>
      <c r="AQ311">
        <f>IF($A311="","",IF(COUNTIFS($A$3:$A311,$A311,$C$3:$C311,$C311,$D$3:$D311,$D311)=1,"YES","NO"))</f>
        <v/>
      </c>
      <c r="AR311">
        <f>IF($A311="","",IF(AND($C311&amp;"-"&amp;$D311&gt;=Settings!$B$19,$C311&amp;"-"&amp;$D311&lt;=Settings!$B$20),"IN","OUT"))</f>
        <v/>
      </c>
      <c r="AS311">
        <f>IF($A311="","",IF($F311="Financial Results","financials",IF($F311="Outlook/Guidance","guidance",IF($F311="Transcript Q&amp;A","qanda",IF($F311="","unrecorded",IF($E311="All","full",IF($E311="","unrecorded",LOWER($E311)&amp;" only")))))))</f>
        <v/>
      </c>
      <c r="AT311">
        <f>IF(AND(OR($J311="BUY",$J311="SELL"),ISNUMBER($U311)),$U311,"")</f>
        <v/>
      </c>
      <c r="AU311">
        <f>IF(AND(OR($J311="BUY",$J311="SELL"),ISNUMBER($AK311)),$AK311,"")</f>
        <v/>
      </c>
      <c r="AV311">
        <f>IF(ISNUMBER($AT311),ABS(IF(ISNUMBER($I311),$I311,0)-Settings!$B$24),"")</f>
        <v/>
      </c>
      <c r="AW311">
        <f>IF(ISNUMBER($AV311),$AV311*$AT311,"")</f>
        <v/>
      </c>
      <c r="AX311">
        <f>IF(ISNUMBER($AU311),ABS(IF(ISNUMBER($I311),$I311,0)-Settings!$B$24),"")</f>
        <v/>
      </c>
      <c r="AY311">
        <f>IF(ISNUMBER($AX311),$AX311*$AU311,"")</f>
        <v/>
      </c>
      <c r="AZ311">
        <f>IF($A311="","",IFERROR(INDEX(Company_List!$H$3:$H$207,MATCH($A311,Company_List!$A$3:$A$207,0)),"unassigned"))</f>
        <v/>
      </c>
      <c r="BC311">
        <f>IF($A311="","",IF(COUNTIFS($A$3:$A311,$A311,$C$3:$C311,$C311,$D$3:$D311,$D311,$G$3:$G311,$G311)=1,1,0))</f>
        <v/>
      </c>
      <c r="BG311" t="inlineStr">
        <is>
          <t>no</t>
        </is>
      </c>
      <c r="BK311">
        <f>IF(OR($H311&lt;&gt;"Human",$S311="",$J311="",$Y311="",$Z311=""),"",IF(EXACT(UPPER($J311),UPPER($Y311)),1,0))</f>
        <v/>
      </c>
      <c r="BL311" t="inlineStr">
        <is>
          <t>assumed - no rater record</t>
        </is>
      </c>
      <c r="BM311" t="n">
        <v>1</v>
      </c>
      <c r="BN311" t="inlineStr">
        <is>
          <t>The Motley Fool</t>
        </is>
      </c>
      <c r="BO311" t="inlineStr">
        <is>
          <t>free to read, copyright asserted</t>
        </is>
      </c>
      <c r="BP311" t="inlineStr">
        <is>
          <t>no</t>
        </is>
      </c>
      <c r="BQ311" t="inlineStr">
        <is>
          <t>yes</t>
        </is>
      </c>
    </row>
    <row r="312">
      <c r="A312" s="1" t="inlineStr">
        <is>
          <t>Starbucks</t>
        </is>
      </c>
      <c r="B312" s="142">
        <f>IF(A312="","",_xlfn.XLOOKUP(A312, Company_List!$A:$A, Company_List!$B:$B, ""))</f>
        <v/>
      </c>
      <c r="C312" s="143" t="n">
        <v>2025</v>
      </c>
      <c r="D312" s="143" t="inlineStr">
        <is>
          <t>Q4</t>
        </is>
      </c>
      <c r="E312" s="109" t="inlineStr">
        <is>
          <t>Transcript</t>
        </is>
      </c>
      <c r="F312" s="109" t="inlineStr">
        <is>
          <t>Transcript Q&amp;A</t>
        </is>
      </c>
      <c r="G312" s="143" t="inlineStr">
        <is>
          <t>David</t>
        </is>
      </c>
      <c r="H312" s="106" t="inlineStr">
        <is>
          <t>Human</t>
        </is>
      </c>
      <c r="I312" s="145" t="n">
        <v>0.45</v>
      </c>
      <c r="J312" s="145">
        <f>IF(OR(I312="",Settings!$B$6=""),"",IF(I312&gt;Settings!$B$6,"BUY",IF(I312&lt;-Settings!$B$6,"SELL","HOLD")))</f>
        <v/>
      </c>
      <c r="K312" s="145" t="n">
        <v>42</v>
      </c>
      <c r="L312" s="125" t="n">
        <v>45959</v>
      </c>
      <c r="M312" s="140" t="n">
        <v>45959</v>
      </c>
      <c r="N312" s="147" t="n">
        <v>84.17</v>
      </c>
      <c r="O312" s="140" t="n">
        <v>45960</v>
      </c>
      <c r="P312" s="145" t="n">
        <v>82.23</v>
      </c>
      <c r="Q312" s="151">
        <f>IF(OR(N312="",P312=""),"",ROUND((P312-N312)/N312,4))</f>
        <v/>
      </c>
      <c r="R312" s="118">
        <f>IF(OR(N312="",P312=""),"",IF(Q312&gt;Settings!$B$3/100,"UP",IF(Q312&lt;-Settings!$B$3/100,"DOWN","FLAT")))</f>
        <v/>
      </c>
      <c r="S312" s="118">
        <f>IF(OR(N312="",P312="",J312=""),"",IF(OR(AND(J312="BUY",R312="UP"),AND(J312="SELL",R312="DOWN"),AND(J312="HOLD",R312="FLAT")),"YES","NO"))</f>
        <v/>
      </c>
      <c r="T312" s="119">
        <f>IF(J312="","",IF(J312="BUY",1,IF(J312="SELL",-1,0)))</f>
        <v/>
      </c>
      <c r="U312" s="150">
        <f>IFERROR(IF(OR(J312="",N312="",P312=""),"",IF(T312=0,0,T312*Q312-Settings!$B$4/10000-IF(T312&lt;0,Settings!$B$5/10000,0))),"")</f>
        <v/>
      </c>
      <c r="W312" s="21">
        <f>IF($K312="","",$K312*60)</f>
        <v/>
      </c>
      <c r="X312" s="91">
        <f>IF($A312="","",$A312&amp;"|"&amp;$C312&amp;"|"&amp;$D312)</f>
        <v/>
      </c>
      <c r="Y312" s="91">
        <f>IFERROR(IF($X312="","",INDEX(LLM_Data_Entry!$H$3:$H$548,MATCH($X312,INDEX(LLM_Data_Entry!$A$3:$A$548&amp;"|"&amp;LLM_Data_Entry!$C$3:$C$548&amp;"|"&amp;LLM_Data_Entry!$D$3:$D$548,0),0))),"")</f>
        <v/>
      </c>
      <c r="Z312" s="91">
        <f>IFERROR(IF($X312="","",INDEX(LLM_Data_Entry!$R$3:$R$548,MATCH($X312,INDEX(LLM_Data_Entry!$A$3:$A$548&amp;"|"&amp;LLM_Data_Entry!$C$3:$C$548&amp;"|"&amp;LLM_Data_Entry!$D$3:$D$548,0),0))),"")</f>
        <v/>
      </c>
      <c r="AB312" t="inlineStr">
        <is>
          <t>release date + stated time in the document (rater worksheet)</t>
        </is>
      </c>
      <c r="AC312" t="inlineStr">
        <is>
          <t>SBUX</t>
        </is>
      </c>
      <c r="AD312" t="inlineStr">
        <is>
          <t>2025-10-29</t>
        </is>
      </c>
      <c r="AE312" t="n">
        <v>82.547</v>
      </c>
      <c r="AF312" t="inlineStr">
        <is>
          <t>2025-10-30</t>
        </is>
      </c>
      <c r="AG312" t="n">
        <v>80.6444</v>
      </c>
      <c r="AH312" t="n">
        <v>-0.02304853313775274</v>
      </c>
      <c r="AI312" t="inlineStr">
        <is>
          <t>DOWN</t>
        </is>
      </c>
      <c r="AJ312" t="inlineStr">
        <is>
          <t>NO</t>
        </is>
      </c>
      <c r="AK312" t="n">
        <v>-0.024049</v>
      </c>
      <c r="AL312">
        <f>IF($A312="","",IFERROR(INDEX(Company_List!$G$3:$G$207,MATCH($A312,Company_List!$A$3:$A$207,0)),"unassigned"))</f>
        <v/>
      </c>
      <c r="AM312" t="inlineStr">
        <is>
          <t>Phase 2/Starbucks/2025-Q4/SBUX-2025-Q4-earnings-call-transcript-fool-com.html</t>
        </is>
      </c>
      <c r="AN312" t="inlineStr">
        <is>
          <t>https://www.fool.com/earnings/call-transcripts/2025/10/29/starbucks-sbux-q4-2025-earnings-call-transcript/</t>
        </is>
      </c>
      <c r="AO312" t="inlineStr">
        <is>
          <t>manifest</t>
        </is>
      </c>
      <c r="AP312">
        <f>IF($A312="","",IF(COUNTIFS(LLM_Data_Entry!$A$3:$A$548,$A312)&gt;0,"YES","NO"))</f>
        <v/>
      </c>
      <c r="AQ312">
        <f>IF($A312="","",IF(COUNTIFS($A$3:$A312,$A312,$C$3:$C312,$C312,$D$3:$D312,$D312)=1,"YES","NO"))</f>
        <v/>
      </c>
      <c r="AR312">
        <f>IF($A312="","",IF(AND($C312&amp;"-"&amp;$D312&gt;=Settings!$B$19,$C312&amp;"-"&amp;$D312&lt;=Settings!$B$20),"IN","OUT"))</f>
        <v/>
      </c>
      <c r="AS312">
        <f>IF($A312="","",IF($F312="Financial Results","financials",IF($F312="Outlook/Guidance","guidance",IF($F312="Transcript Q&amp;A","qanda",IF($F312="","unrecorded",IF($E312="All","full",IF($E312="","unrecorded",LOWER($E312)&amp;" only")))))))</f>
        <v/>
      </c>
      <c r="AT312">
        <f>IF(AND(OR($J312="BUY",$J312="SELL"),ISNUMBER($U312)),$U312,"")</f>
        <v/>
      </c>
      <c r="AU312">
        <f>IF(AND(OR($J312="BUY",$J312="SELL"),ISNUMBER($AK312)),$AK312,"")</f>
        <v/>
      </c>
      <c r="AV312">
        <f>IF(ISNUMBER($AT312),ABS(IF(ISNUMBER($I312),$I312,0)-Settings!$B$24),"")</f>
        <v/>
      </c>
      <c r="AW312">
        <f>IF(ISNUMBER($AV312),$AV312*$AT312,"")</f>
        <v/>
      </c>
      <c r="AX312">
        <f>IF(ISNUMBER($AU312),ABS(IF(ISNUMBER($I312),$I312,0)-Settings!$B$24),"")</f>
        <v/>
      </c>
      <c r="AY312">
        <f>IF(ISNUMBER($AX312),$AX312*$AU312,"")</f>
        <v/>
      </c>
      <c r="AZ312">
        <f>IF($A312="","",IFERROR(INDEX(Company_List!$H$3:$H$207,MATCH($A312,Company_List!$A$3:$A$207,0)),"unassigned"))</f>
        <v/>
      </c>
      <c r="BC312">
        <f>IF($A312="","",IF(COUNTIFS($A$3:$A312,$A312,$C$3:$C312,$C312,$D$3:$D312,$D312,$G$3:$G312,$G312)=1,1,0))</f>
        <v/>
      </c>
      <c r="BG312" t="inlineStr">
        <is>
          <t>no</t>
        </is>
      </c>
      <c r="BK312">
        <f>IF(OR($H312&lt;&gt;"Human",$S312="",$J312="",$Y312="",$Z312=""),"",IF(EXACT(UPPER($J312),UPPER($Y312)),1,0))</f>
        <v/>
      </c>
      <c r="BL312" t="inlineStr">
        <is>
          <t>assumed - no rater record</t>
        </is>
      </c>
      <c r="BM312" t="n">
        <v>1</v>
      </c>
      <c r="BN312" t="inlineStr">
        <is>
          <t>The Motley Fool</t>
        </is>
      </c>
      <c r="BO312" t="inlineStr">
        <is>
          <t>free to read, copyright asserted</t>
        </is>
      </c>
      <c r="BP312" t="inlineStr">
        <is>
          <t>no</t>
        </is>
      </c>
      <c r="BQ312" t="inlineStr">
        <is>
          <t>yes</t>
        </is>
      </c>
    </row>
    <row r="313">
      <c r="A313" s="1" t="inlineStr">
        <is>
          <t>Caterpillar</t>
        </is>
      </c>
      <c r="B313" s="142">
        <f>IF(A313="","",_xlfn.XLOOKUP(A313, Company_List!$A:$A, Company_List!$B:$B, ""))</f>
        <v/>
      </c>
      <c r="C313" s="143" t="n">
        <v>2025</v>
      </c>
      <c r="D313" s="143" t="inlineStr">
        <is>
          <t>Q2</t>
        </is>
      </c>
      <c r="E313" s="98" t="inlineStr">
        <is>
          <t>Financial Statement</t>
        </is>
      </c>
      <c r="F313" s="98" t="inlineStr">
        <is>
          <t>Financial Results</t>
        </is>
      </c>
      <c r="G313" s="143" t="inlineStr">
        <is>
          <t>David</t>
        </is>
      </c>
      <c r="H313" s="106" t="inlineStr">
        <is>
          <t>Human</t>
        </is>
      </c>
      <c r="I313" s="145" t="n">
        <v>-0.15</v>
      </c>
      <c r="J313" s="145">
        <f>IF(OR(I313="",Settings!$B$6=""),"",IF(I313&gt;Settings!$B$6,"BUY",IF(I313&lt;-Settings!$B$6,"SELL","HOLD")))</f>
        <v/>
      </c>
      <c r="K313" s="145" t="n">
        <v>32</v>
      </c>
      <c r="L313" s="125" t="n">
        <v>45874</v>
      </c>
      <c r="M313" s="140" t="n">
        <v>45873</v>
      </c>
      <c r="N313" s="147" t="n">
        <v>433.7</v>
      </c>
      <c r="O313" s="140" t="n">
        <v>45874</v>
      </c>
      <c r="P313" s="145" t="n">
        <v>427.65</v>
      </c>
      <c r="Q313" s="151">
        <f>IF(OR(N313="",P313=""),"",ROUND((P313-N313)/N313,4))</f>
        <v/>
      </c>
      <c r="R313" s="118">
        <f>IF(OR(N313="",P313=""),"",IF(Q313&gt;Settings!$B$3/100,"UP",IF(Q313&lt;-Settings!$B$3/100,"DOWN","FLAT")))</f>
        <v/>
      </c>
      <c r="S313" s="118">
        <f>IF(OR(N313="",P313="",J313=""),"",IF(OR(AND(J313="BUY",R313="UP"),AND(J313="SELL",R313="DOWN"),AND(J313="HOLD",R313="FLAT")),"YES","NO"))</f>
        <v/>
      </c>
      <c r="T313" s="119">
        <f>IF(J313="","",IF(J313="BUY",1,IF(J313="SELL",-1,0)))</f>
        <v/>
      </c>
      <c r="U313" s="150">
        <f>IFERROR(IF(OR(J313="",N313="",P313=""),"",IF(T313=0,0,T313*Q313-Settings!$B$4/10000-IF(T313&lt;0,Settings!$B$5/10000,0))),"")</f>
        <v/>
      </c>
      <c r="W313" s="21">
        <f>IF($K313="","",$K313*60)</f>
        <v/>
      </c>
      <c r="X313" s="91">
        <f>IF($A313="","",$A313&amp;"|"&amp;$C313&amp;"|"&amp;$D313)</f>
        <v/>
      </c>
      <c r="Y313" s="91">
        <f>IFERROR(IF($X313="","",INDEX(LLM_Data_Entry!$H$3:$H$548,MATCH($X313,INDEX(LLM_Data_Entry!$A$3:$A$548&amp;"|"&amp;LLM_Data_Entry!$C$3:$C$548&amp;"|"&amp;LLM_Data_Entry!$D$3:$D$548,0),0))),"")</f>
        <v/>
      </c>
      <c r="Z313" s="91">
        <f>IFERROR(IF($X313="","",INDEX(LLM_Data_Entry!$R$3:$R$548,MATCH($X313,INDEX(LLM_Data_Entry!$A$3:$A$548&amp;"|"&amp;LLM_Data_Entry!$C$3:$C$548&amp;"|"&amp;LLM_Data_Entry!$D$3:$D$548,0),0))),"")</f>
        <v/>
      </c>
      <c r="AB313" t="inlineStr">
        <is>
          <t>release date + stated time in the document (rater worksheet)</t>
        </is>
      </c>
      <c r="AC313" t="inlineStr">
        <is>
          <t>CAT</t>
        </is>
      </c>
      <c r="AD313" t="inlineStr">
        <is>
          <t>2025-08-04</t>
        </is>
      </c>
      <c r="AE313" t="n">
        <v>429.8309</v>
      </c>
      <c r="AF313" t="inlineStr">
        <is>
          <t>2025-08-05</t>
        </is>
      </c>
      <c r="AG313" t="n">
        <v>423.8348</v>
      </c>
      <c r="AH313" t="n">
        <v>-0.01394978226728581</v>
      </c>
      <c r="AI313" t="inlineStr">
        <is>
          <t>FLAT</t>
        </is>
      </c>
      <c r="AJ313" t="inlineStr">
        <is>
          <t>YES</t>
        </is>
      </c>
      <c r="AK313" t="n">
        <v>0</v>
      </c>
      <c r="AL313">
        <f>IF($A313="","",IFERROR(INDEX(Company_List!$G$3:$G$207,MATCH($A313,Company_List!$A$3:$A$207,0)),"unassigned"))</f>
        <v/>
      </c>
      <c r="AM313" t="inlineStr">
        <is>
          <t>Phase 2/Caterpillar/2025-Q2/CAT-2025-Q2-quarterly-financial-statements-SEC-10-Q.htm</t>
        </is>
      </c>
      <c r="AN313" t="inlineStr">
        <is>
          <t>https://www.sec.gov/Archives/edgar/data/18230/000001823025000040/cat-20250630.htm</t>
        </is>
      </c>
      <c r="AO313" t="inlineStr">
        <is>
          <t>manifest</t>
        </is>
      </c>
      <c r="AP313">
        <f>IF($A313="","",IF(COUNTIFS(LLM_Data_Entry!$A$3:$A$548,$A313)&gt;0,"YES","NO"))</f>
        <v/>
      </c>
      <c r="AQ313">
        <f>IF($A313="","",IF(COUNTIFS($A$3:$A313,$A313,$C$3:$C313,$C313,$D$3:$D313,$D313)=1,"YES","NO"))</f>
        <v/>
      </c>
      <c r="AR313">
        <f>IF($A313="","",IF(AND($C313&amp;"-"&amp;$D313&gt;=Settings!$B$19,$C313&amp;"-"&amp;$D313&lt;=Settings!$B$20),"IN","OUT"))</f>
        <v/>
      </c>
      <c r="AS313">
        <f>IF($A313="","",IF($F313="Financial Results","financials",IF($F313="Outlook/Guidance","guidance",IF($F313="Transcript Q&amp;A","qanda",IF($F313="","unrecorded",IF($E313="All","full",IF($E313="","unrecorded",LOWER($E313)&amp;" only")))))))</f>
        <v/>
      </c>
      <c r="AT313">
        <f>IF(AND(OR($J313="BUY",$J313="SELL"),ISNUMBER($U313)),$U313,"")</f>
        <v/>
      </c>
      <c r="AU313">
        <f>IF(AND(OR($J313="BUY",$J313="SELL"),ISNUMBER($AK313)),$AK313,"")</f>
        <v/>
      </c>
      <c r="AV313">
        <f>IF(ISNUMBER($AT313),ABS(IF(ISNUMBER($I313),$I313,0)-Settings!$B$24),"")</f>
        <v/>
      </c>
      <c r="AW313">
        <f>IF(ISNUMBER($AV313),$AV313*$AT313,"")</f>
        <v/>
      </c>
      <c r="AX313">
        <f>IF(ISNUMBER($AU313),ABS(IF(ISNUMBER($I313),$I313,0)-Settings!$B$24),"")</f>
        <v/>
      </c>
      <c r="AY313">
        <f>IF(ISNUMBER($AX313),$AX313*$AU313,"")</f>
        <v/>
      </c>
      <c r="AZ313">
        <f>IF($A313="","",IFERROR(INDEX(Company_List!$H$3:$H$207,MATCH($A313,Company_List!$A$3:$A$207,0)),"unassigned"))</f>
        <v/>
      </c>
      <c r="BC313">
        <f>IF($A313="","",IF(COUNTIFS($A$3:$A313,$A313,$C$3:$C313,$C313,$D$3:$D313,$D313,$G$3:$G313,$G313)=1,1,0))</f>
        <v/>
      </c>
      <c r="BG313" t="inlineStr">
        <is>
          <t>no</t>
        </is>
      </c>
      <c r="BK313">
        <f>IF(OR($H313&lt;&gt;"Human",$S313="",$J313="",$Y313="",$Z313=""),"",IF(EXACT(UPPER($J313),UPPER($Y313)),1,0))</f>
        <v/>
      </c>
      <c r="BL313" t="inlineStr">
        <is>
          <t>assumed - no rater record</t>
        </is>
      </c>
      <c r="BM313" t="n">
        <v>1</v>
      </c>
      <c r="BN313" t="inlineStr">
        <is>
          <t>not publisher-identified</t>
        </is>
      </c>
      <c r="BO313" t="inlineStr">
        <is>
          <t>not publisher-identified</t>
        </is>
      </c>
      <c r="BP313" t="inlineStr">
        <is>
          <t>sole source</t>
        </is>
      </c>
      <c r="BQ313" t="inlineStr">
        <is>
          <t>yes</t>
        </is>
      </c>
    </row>
    <row r="314">
      <c r="A314" s="1" t="inlineStr">
        <is>
          <t>Caterpillar</t>
        </is>
      </c>
      <c r="B314" s="142">
        <f>IF(A314="","",_xlfn.XLOOKUP(A314, Company_List!$A:$A, Company_List!$B:$B, ""))</f>
        <v/>
      </c>
      <c r="C314" s="143" t="n">
        <v>2025</v>
      </c>
      <c r="D314" s="143" t="inlineStr">
        <is>
          <t>Q3</t>
        </is>
      </c>
      <c r="E314" s="98" t="inlineStr">
        <is>
          <t>Transcript</t>
        </is>
      </c>
      <c r="F314" s="98" t="inlineStr">
        <is>
          <t>Outlook/Guidance</t>
        </is>
      </c>
      <c r="G314" s="143" t="inlineStr">
        <is>
          <t>David</t>
        </is>
      </c>
      <c r="H314" s="106" t="inlineStr">
        <is>
          <t>Human</t>
        </is>
      </c>
      <c r="I314" s="145" t="n">
        <v>0.6</v>
      </c>
      <c r="J314" s="145">
        <f>IF(OR(I314="",Settings!$B$6=""),"",IF(I314&gt;Settings!$B$6,"BUY",IF(I314&lt;-Settings!$B$6,"SELL","HOLD")))</f>
        <v/>
      </c>
      <c r="K314" s="145" t="n">
        <v>30</v>
      </c>
      <c r="L314" s="125" t="n">
        <v>45959</v>
      </c>
      <c r="M314" s="140" t="n">
        <v>45958</v>
      </c>
      <c r="N314" s="147" t="n">
        <v>524.47</v>
      </c>
      <c r="O314" s="140" t="n">
        <v>45959</v>
      </c>
      <c r="P314" s="145" t="n">
        <v>558.1799999999999</v>
      </c>
      <c r="Q314" s="151">
        <f>IF(OR(N314="",P314=""),"",ROUND((P314-N314)/N314,4))</f>
        <v/>
      </c>
      <c r="R314" s="118">
        <f>IF(OR(N314="",P314=""),"",IF(Q314&gt;Settings!$B$3/100,"UP",IF(Q314&lt;-Settings!$B$3/100,"DOWN","FLAT")))</f>
        <v/>
      </c>
      <c r="S314" s="118">
        <f>IF(OR(N314="",P314="",J314=""),"",IF(OR(AND(J314="BUY",R314="UP"),AND(J314="SELL",R314="DOWN"),AND(J314="HOLD",R314="FLAT")),"YES","NO"))</f>
        <v/>
      </c>
      <c r="T314" s="119">
        <f>IF(J314="","",IF(J314="BUY",1,IF(J314="SELL",-1,0)))</f>
        <v/>
      </c>
      <c r="U314" s="150">
        <f>IFERROR(IF(OR(J314="",N314="",P314=""),"",IF(T314=0,0,T314*Q314-Settings!$B$4/10000-IF(T314&lt;0,Settings!$B$5/10000,0))),"")</f>
        <v/>
      </c>
      <c r="W314" s="21">
        <f>IF($K314="","",$K314*60)</f>
        <v/>
      </c>
      <c r="X314" s="91">
        <f>IF($A314="","",$A314&amp;"|"&amp;$C314&amp;"|"&amp;$D314)</f>
        <v/>
      </c>
      <c r="Y314" s="91">
        <f>IFERROR(IF($X314="","",INDEX(LLM_Data_Entry!$H$3:$H$548,MATCH($X314,INDEX(LLM_Data_Entry!$A$3:$A$548&amp;"|"&amp;LLM_Data_Entry!$C$3:$C$548&amp;"|"&amp;LLM_Data_Entry!$D$3:$D$548,0),0))),"")</f>
        <v/>
      </c>
      <c r="Z314" s="91">
        <f>IFERROR(IF($X314="","",INDEX(LLM_Data_Entry!$R$3:$R$548,MATCH($X314,INDEX(LLM_Data_Entry!$A$3:$A$548&amp;"|"&amp;LLM_Data_Entry!$C$3:$C$548&amp;"|"&amp;LLM_Data_Entry!$D$3:$D$548,0),0))),"")</f>
        <v/>
      </c>
      <c r="AB314" t="inlineStr">
        <is>
          <t>price signal — only this window shows an abnormal move</t>
        </is>
      </c>
      <c r="AC314" t="inlineStr">
        <is>
          <t>CAT</t>
        </is>
      </c>
      <c r="AD314" t="inlineStr">
        <is>
          <t>2025-10-28</t>
        </is>
      </c>
      <c r="AE314" t="n">
        <v>521.2844</v>
      </c>
      <c r="AF314" t="inlineStr">
        <is>
          <t>2025-10-29</t>
        </is>
      </c>
      <c r="AG314" t="n">
        <v>554.7897</v>
      </c>
      <c r="AH314" t="n">
        <v>0.06427438246325795</v>
      </c>
      <c r="AI314" t="inlineStr">
        <is>
          <t>UP</t>
        </is>
      </c>
      <c r="AJ314" t="inlineStr">
        <is>
          <t>YES</t>
        </is>
      </c>
      <c r="AK314" t="n">
        <v>0.063274</v>
      </c>
      <c r="AL314">
        <f>IF($A314="","",IFERROR(INDEX(Company_List!$G$3:$G$207,MATCH($A314,Company_List!$A$3:$A$207,0)),"unassigned"))</f>
        <v/>
      </c>
      <c r="AM314" t="inlineStr">
        <is>
          <t>Phase 2/Caterpillar/2025-Q3/CAT-2025-Q3-earnings-call-transcript-caterpillar-q4cdn.pdf</t>
        </is>
      </c>
      <c r="AN314" t="inlineStr">
        <is>
          <t>https://s25.q4cdn.com/358376879/files/doc_financials/2025/q3/3Q-2025-Caterpillar-Inc-Earnings-Call-Transcript_-10-29-2025.pdf</t>
        </is>
      </c>
      <c r="AO314" t="inlineStr">
        <is>
          <t>manifest</t>
        </is>
      </c>
      <c r="AP314">
        <f>IF($A314="","",IF(COUNTIFS(LLM_Data_Entry!$A$3:$A$548,$A314)&gt;0,"YES","NO"))</f>
        <v/>
      </c>
      <c r="AQ314">
        <f>IF($A314="","",IF(COUNTIFS($A$3:$A314,$A314,$C$3:$C314,$C314,$D$3:$D314,$D314)=1,"YES","NO"))</f>
        <v/>
      </c>
      <c r="AR314">
        <f>IF($A314="","",IF(AND($C314&amp;"-"&amp;$D314&gt;=Settings!$B$19,$C314&amp;"-"&amp;$D314&lt;=Settings!$B$20),"IN","OUT"))</f>
        <v/>
      </c>
      <c r="AS314">
        <f>IF($A314="","",IF($F314="Financial Results","financials",IF($F314="Outlook/Guidance","guidance",IF($F314="Transcript Q&amp;A","qanda",IF($F314="","unrecorded",IF($E314="All","full",IF($E314="","unrecorded",LOWER($E314)&amp;" only")))))))</f>
        <v/>
      </c>
      <c r="AT314">
        <f>IF(AND(OR($J314="BUY",$J314="SELL"),ISNUMBER($U314)),$U314,"")</f>
        <v/>
      </c>
      <c r="AU314">
        <f>IF(AND(OR($J314="BUY",$J314="SELL"),ISNUMBER($AK314)),$AK314,"")</f>
        <v/>
      </c>
      <c r="AV314">
        <f>IF(ISNUMBER($AT314),ABS(IF(ISNUMBER($I314),$I314,0)-Settings!$B$24),"")</f>
        <v/>
      </c>
      <c r="AW314">
        <f>IF(ISNUMBER($AV314),$AV314*$AT314,"")</f>
        <v/>
      </c>
      <c r="AX314">
        <f>IF(ISNUMBER($AU314),ABS(IF(ISNUMBER($I314),$I314,0)-Settings!$B$24),"")</f>
        <v/>
      </c>
      <c r="AY314">
        <f>IF(ISNUMBER($AX314),$AX314*$AU314,"")</f>
        <v/>
      </c>
      <c r="AZ314">
        <f>IF($A314="","",IFERROR(INDEX(Company_List!$H$3:$H$207,MATCH($A314,Company_List!$A$3:$A$207,0)),"unassigned"))</f>
        <v/>
      </c>
      <c r="BC314">
        <f>IF($A314="","",IF(COUNTIFS($A$3:$A314,$A314,$C$3:$C314,$C314,$D$3:$D314,$D314,$G$3:$G314,$G314)=1,1,0))</f>
        <v/>
      </c>
      <c r="BG314" t="inlineStr">
        <is>
          <t>no</t>
        </is>
      </c>
      <c r="BK314">
        <f>IF(OR($H314&lt;&gt;"Human",$S314="",$J314="",$Y314="",$Z314=""),"",IF(EXACT(UPPER($J314),UPPER($Y314)),1,0))</f>
        <v/>
      </c>
      <c r="BL314" t="inlineStr">
        <is>
          <t>assumed - no rater record</t>
        </is>
      </c>
      <c r="BM314" t="n">
        <v>1</v>
      </c>
      <c r="BN314" t="inlineStr">
        <is>
          <t>not publisher-identified</t>
        </is>
      </c>
      <c r="BO314" t="inlineStr">
        <is>
          <t>not publisher-identified</t>
        </is>
      </c>
      <c r="BP314" t="inlineStr">
        <is>
          <t>no</t>
        </is>
      </c>
      <c r="BQ314" t="inlineStr">
        <is>
          <t>yes</t>
        </is>
      </c>
    </row>
    <row r="315">
      <c r="A315" s="1" t="inlineStr">
        <is>
          <t>Caterpillar</t>
        </is>
      </c>
      <c r="B315" s="142">
        <f>IF(A315="","",_xlfn.XLOOKUP(A315, Company_List!$A:$A, Company_List!$B:$B, ""))</f>
        <v/>
      </c>
      <c r="C315" s="143" t="n">
        <v>2025</v>
      </c>
      <c r="D315" s="143" t="inlineStr">
        <is>
          <t>Q4</t>
        </is>
      </c>
      <c r="E315" s="98" t="inlineStr">
        <is>
          <t>Transcript</t>
        </is>
      </c>
      <c r="F315" s="98" t="inlineStr">
        <is>
          <t>Transcript Q&amp;A</t>
        </is>
      </c>
      <c r="G315" s="143" t="inlineStr">
        <is>
          <t>David</t>
        </is>
      </c>
      <c r="H315" s="106" t="inlineStr">
        <is>
          <t>Human</t>
        </is>
      </c>
      <c r="I315" s="145" t="n">
        <v>0.2</v>
      </c>
      <c r="J315" s="145">
        <f>IF(OR(I315="",Settings!$B$6=""),"",IF(I315&gt;Settings!$B$6,"BUY",IF(I315&lt;-Settings!$B$6,"SELL","HOLD")))</f>
        <v/>
      </c>
      <c r="K315" s="145" t="n">
        <v>30</v>
      </c>
      <c r="L315" s="125" t="n">
        <v>46051</v>
      </c>
      <c r="M315" s="140" t="n">
        <v>46050</v>
      </c>
      <c r="N315" s="147" t="n">
        <v>643.28</v>
      </c>
      <c r="O315" s="140" t="n">
        <v>46051</v>
      </c>
      <c r="P315" s="145" t="n">
        <v>655.17</v>
      </c>
      <c r="Q315" s="151">
        <f>IF(OR(N315="",P315=""),"",ROUND((P315-N315)/N315,4))</f>
        <v/>
      </c>
      <c r="R315" s="118">
        <f>IF(OR(N315="",P315=""),"",IF(Q315&gt;Settings!$B$3/100,"UP",IF(Q315&lt;-Settings!$B$3/100,"DOWN","FLAT")))</f>
        <v/>
      </c>
      <c r="S315" s="118">
        <f>IF(OR(N315="",P315="",J315=""),"",IF(OR(AND(J315="BUY",R315="UP"),AND(J315="SELL",R315="DOWN"),AND(J315="HOLD",R315="FLAT")),"YES","NO"))</f>
        <v/>
      </c>
      <c r="T315" s="119">
        <f>IF(J315="","",IF(J315="BUY",1,IF(J315="SELL",-1,0)))</f>
        <v/>
      </c>
      <c r="U315" s="150">
        <f>IFERROR(IF(OR(J315="",N315="",P315=""),"",IF(T315=0,0,T315*Q315-Settings!$B$4/10000-IF(T315&lt;0,Settings!$B$5/10000,0))),"")</f>
        <v/>
      </c>
      <c r="W315" s="21">
        <f>IF($K315="","",$K315*60)</f>
        <v/>
      </c>
      <c r="X315" s="91">
        <f>IF($A315="","",$A315&amp;"|"&amp;$C315&amp;"|"&amp;$D315)</f>
        <v/>
      </c>
      <c r="Y315" s="91">
        <f>IFERROR(IF($X315="","",INDEX(LLM_Data_Entry!$H$3:$H$548,MATCH($X315,INDEX(LLM_Data_Entry!$A$3:$A$548&amp;"|"&amp;LLM_Data_Entry!$C$3:$C$548&amp;"|"&amp;LLM_Data_Entry!$D$3:$D$548,0),0))),"")</f>
        <v/>
      </c>
      <c r="Z315" s="91">
        <f>IFERROR(IF($X315="","",INDEX(LLM_Data_Entry!$R$3:$R$548,MATCH($X315,INDEX(LLM_Data_Entry!$A$3:$A$548&amp;"|"&amp;LLM_Data_Entry!$C$3:$C$548&amp;"|"&amp;LLM_Data_Entry!$D$3:$D$548,0),0))),"")</f>
        <v/>
      </c>
      <c r="AB315" t="inlineStr">
        <is>
          <t>earnings calendar, seconded independently</t>
        </is>
      </c>
      <c r="AC315" t="inlineStr">
        <is>
          <t>CAT</t>
        </is>
      </c>
      <c r="AD315" t="inlineStr">
        <is>
          <t>2026-01-28</t>
        </is>
      </c>
      <c r="AE315" t="n">
        <v>640.8688</v>
      </c>
      <c r="AF315" t="inlineStr">
        <is>
          <t>2026-01-29</t>
        </is>
      </c>
      <c r="AG315" t="n">
        <v>652.7142</v>
      </c>
      <c r="AH315" t="n">
        <v>0.01848338545033264</v>
      </c>
      <c r="AI315" t="inlineStr">
        <is>
          <t>FLAT</t>
        </is>
      </c>
      <c r="AJ315" t="inlineStr">
        <is>
          <t>YES</t>
        </is>
      </c>
      <c r="AK315" t="n">
        <v>0</v>
      </c>
      <c r="AL315">
        <f>IF($A315="","",IFERROR(INDEX(Company_List!$G$3:$G$207,MATCH($A315,Company_List!$A$3:$A$207,0)),"unassigned"))</f>
        <v/>
      </c>
      <c r="AM315" t="inlineStr">
        <is>
          <t>Phase 2/Caterpillar/2025-Q4/CAT-2025-Q4-earnings-call-transcript-fool-com.html</t>
        </is>
      </c>
      <c r="AN315" t="inlineStr">
        <is>
          <t>https://www.fool.com/earnings/call-transcripts/2026/01/29/caterpillar-cat-q4-2025-earnings-call-transcript/</t>
        </is>
      </c>
      <c r="AO315" t="inlineStr">
        <is>
          <t>manifest</t>
        </is>
      </c>
      <c r="AP315">
        <f>IF($A315="","",IF(COUNTIFS(LLM_Data_Entry!$A$3:$A$548,$A315)&gt;0,"YES","NO"))</f>
        <v/>
      </c>
      <c r="AQ315">
        <f>IF($A315="","",IF(COUNTIFS($A$3:$A315,$A315,$C$3:$C315,$C315,$D$3:$D315,$D315)=1,"YES","NO"))</f>
        <v/>
      </c>
      <c r="AR315">
        <f>IF($A315="","",IF(AND($C315&amp;"-"&amp;$D315&gt;=Settings!$B$19,$C315&amp;"-"&amp;$D315&lt;=Settings!$B$20),"IN","OUT"))</f>
        <v/>
      </c>
      <c r="AS315">
        <f>IF($A315="","",IF($F315="Financial Results","financials",IF($F315="Outlook/Guidance","guidance",IF($F315="Transcript Q&amp;A","qanda",IF($F315="","unrecorded",IF($E315="All","full",IF($E315="","unrecorded",LOWER($E315)&amp;" only")))))))</f>
        <v/>
      </c>
      <c r="AT315">
        <f>IF(AND(OR($J315="BUY",$J315="SELL"),ISNUMBER($U315)),$U315,"")</f>
        <v/>
      </c>
      <c r="AU315">
        <f>IF(AND(OR($J315="BUY",$J315="SELL"),ISNUMBER($AK315)),$AK315,"")</f>
        <v/>
      </c>
      <c r="AV315">
        <f>IF(ISNUMBER($AT315),ABS(IF(ISNUMBER($I315),$I315,0)-Settings!$B$24),"")</f>
        <v/>
      </c>
      <c r="AW315">
        <f>IF(ISNUMBER($AV315),$AV315*$AT315,"")</f>
        <v/>
      </c>
      <c r="AX315">
        <f>IF(ISNUMBER($AU315),ABS(IF(ISNUMBER($I315),$I315,0)-Settings!$B$24),"")</f>
        <v/>
      </c>
      <c r="AY315">
        <f>IF(ISNUMBER($AX315),$AX315*$AU315,"")</f>
        <v/>
      </c>
      <c r="AZ315">
        <f>IF($A315="","",IFERROR(INDEX(Company_List!$H$3:$H$207,MATCH($A315,Company_List!$A$3:$A$207,0)),"unassigned"))</f>
        <v/>
      </c>
      <c r="BC315">
        <f>IF($A315="","",IF(COUNTIFS($A$3:$A315,$A315,$C$3:$C315,$C315,$D$3:$D315,$D315,$G$3:$G315,$G315)=1,1,0))</f>
        <v/>
      </c>
      <c r="BG315" t="inlineStr">
        <is>
          <t>no</t>
        </is>
      </c>
      <c r="BK315">
        <f>IF(OR($H315&lt;&gt;"Human",$S315="",$J315="",$Y315="",$Z315=""),"",IF(EXACT(UPPER($J315),UPPER($Y315)),1,0))</f>
        <v/>
      </c>
      <c r="BL315" t="inlineStr">
        <is>
          <t>assumed - no rater record</t>
        </is>
      </c>
      <c r="BM315" t="n">
        <v>1</v>
      </c>
      <c r="BN315" t="inlineStr">
        <is>
          <t>The Motley Fool</t>
        </is>
      </c>
      <c r="BO315" t="inlineStr">
        <is>
          <t>free to read, copyright asserted</t>
        </is>
      </c>
      <c r="BP315" t="inlineStr">
        <is>
          <t>no</t>
        </is>
      </c>
      <c r="BQ315" t="inlineStr">
        <is>
          <t>yes</t>
        </is>
      </c>
    </row>
    <row r="316">
      <c r="A316" s="1" t="inlineStr">
        <is>
          <t>Micron</t>
        </is>
      </c>
      <c r="B316" s="142">
        <f>IF(A316="","",_xlfn.XLOOKUP(A316, Company_List!$A:$A, Company_List!$B:$B, ""))</f>
        <v/>
      </c>
      <c r="C316" s="143" t="n">
        <v>2026</v>
      </c>
      <c r="D316" s="143" t="inlineStr">
        <is>
          <t>Q1</t>
        </is>
      </c>
      <c r="E316" s="98" t="inlineStr">
        <is>
          <t>Transcript</t>
        </is>
      </c>
      <c r="F316" s="98" t="inlineStr">
        <is>
          <t>Transcript Q&amp;A</t>
        </is>
      </c>
      <c r="G316" s="143" t="inlineStr">
        <is>
          <t>David</t>
        </is>
      </c>
      <c r="H316" s="106" t="inlineStr">
        <is>
          <t>Human</t>
        </is>
      </c>
      <c r="I316" s="145" t="n">
        <v>-0.2</v>
      </c>
      <c r="J316" s="145">
        <f>IF(OR(I316="",Settings!$B$6=""),"",IF(I316&gt;Settings!$B$6,"BUY",IF(I316&lt;-Settings!$B$6,"SELL","HOLD")))</f>
        <v/>
      </c>
      <c r="K316" s="145" t="n">
        <v>26</v>
      </c>
      <c r="L316" s="125" t="n">
        <v>46008</v>
      </c>
      <c r="M316" s="140" t="n">
        <v>46008</v>
      </c>
      <c r="N316" s="147" t="n">
        <v>225.52</v>
      </c>
      <c r="O316" s="140" t="n">
        <v>46009</v>
      </c>
      <c r="P316" s="145" t="n">
        <v>256.53</v>
      </c>
      <c r="Q316" s="151">
        <f>IF(OR(N316="",P316=""),"",ROUND((P316-N316)/N316,4))</f>
        <v/>
      </c>
      <c r="R316" s="118">
        <f>IF(OR(N316="",P316=""),"",IF(Q316&gt;Settings!$B$3/100,"UP",IF(Q316&lt;-Settings!$B$3/100,"DOWN","FLAT")))</f>
        <v/>
      </c>
      <c r="S316" s="118">
        <f>IF(OR(N316="",P316="",J316=""),"",IF(OR(AND(J316="BUY",R316="UP"),AND(J316="SELL",R316="DOWN"),AND(J316="HOLD",R316="FLAT")),"YES","NO"))</f>
        <v/>
      </c>
      <c r="T316" s="119">
        <f>IF(J316="","",IF(J316="BUY",1,IF(J316="SELL",-1,0)))</f>
        <v/>
      </c>
      <c r="U316" s="150">
        <f>IFERROR(IF(OR(J316="",N316="",P316=""),"",IF(T316=0,0,T316*Q316-Settings!$B$4/10000-IF(T316&lt;0,Settings!$B$5/10000,0))),"")</f>
        <v/>
      </c>
      <c r="W316" s="21">
        <f>IF($K316="","",$K316*60)</f>
        <v/>
      </c>
      <c r="X316" s="91">
        <f>IF($A316="","",$A316&amp;"|"&amp;$C316&amp;"|"&amp;$D316)</f>
        <v/>
      </c>
      <c r="Y316" s="91">
        <f>IFERROR(IF($X316="","",INDEX(LLM_Data_Entry!$H$3:$H$548,MATCH($X316,INDEX(LLM_Data_Entry!$A$3:$A$548&amp;"|"&amp;LLM_Data_Entry!$C$3:$C$548&amp;"|"&amp;LLM_Data_Entry!$D$3:$D$548,0),0))),"")</f>
        <v/>
      </c>
      <c r="Z316" s="91">
        <f>IFERROR(IF($X316="","",INDEX(LLM_Data_Entry!$R$3:$R$548,MATCH($X316,INDEX(LLM_Data_Entry!$A$3:$A$548&amp;"|"&amp;LLM_Data_Entry!$C$3:$C$548&amp;"|"&amp;LLM_Data_Entry!$D$3:$D$548,0),0))),"")</f>
        <v/>
      </c>
      <c r="AB316" t="inlineStr">
        <is>
          <t>release date + stated time in the document (rater worksheet)</t>
        </is>
      </c>
      <c r="AC316" t="inlineStr">
        <is>
          <t>MU</t>
        </is>
      </c>
      <c r="AD316" t="inlineStr">
        <is>
          <t>2025-12-17</t>
        </is>
      </c>
      <c r="AE316" t="n">
        <v>225.2996</v>
      </c>
      <c r="AF316" t="inlineStr">
        <is>
          <t>2025-12-18</t>
        </is>
      </c>
      <c r="AG316" t="n">
        <v>256.2793</v>
      </c>
      <c r="AH316" t="n">
        <v>0.1375044018373545</v>
      </c>
      <c r="AI316" t="inlineStr">
        <is>
          <t>UP</t>
        </is>
      </c>
      <c r="AJ316" t="inlineStr">
        <is>
          <t>NO</t>
        </is>
      </c>
      <c r="AK316" t="n">
        <v>0</v>
      </c>
      <c r="AL316">
        <f>IF($A316="","",IFERROR(INDEX(Company_List!$G$3:$G$207,MATCH($A316,Company_List!$A$3:$A$207,0)),"unassigned"))</f>
        <v/>
      </c>
      <c r="AM316" t="inlineStr">
        <is>
          <t>Phase 2/Micron/2026-Q1/MU-2026-Q1-earnings-call-transcript-news-alphastreet-com.html</t>
        </is>
      </c>
      <c r="AN316" t="inlineStr">
        <is>
          <t>https://news.alphastreet.com/micron-technology-inc-mu-q1-2026-earnings-call-transcript/</t>
        </is>
      </c>
      <c r="AO316" t="inlineStr">
        <is>
          <t>manifest</t>
        </is>
      </c>
      <c r="AP316">
        <f>IF($A316="","",IF(COUNTIFS(LLM_Data_Entry!$A$3:$A$548,$A316)&gt;0,"YES","NO"))</f>
        <v/>
      </c>
      <c r="AQ316">
        <f>IF($A316="","",IF(COUNTIFS($A$3:$A316,$A316,$C$3:$C316,$C316,$D$3:$D316,$D316)=1,"YES","NO"))</f>
        <v/>
      </c>
      <c r="AR316">
        <f>IF($A316="","",IF(AND($C316&amp;"-"&amp;$D316&gt;=Settings!$B$19,$C316&amp;"-"&amp;$D316&lt;=Settings!$B$20),"IN","OUT"))</f>
        <v/>
      </c>
      <c r="AS316">
        <f>IF($A316="","",IF($F316="Financial Results","financials",IF($F316="Outlook/Guidance","guidance",IF($F316="Transcript Q&amp;A","qanda",IF($F316="","unrecorded",IF($E316="All","full",IF($E316="","unrecorded",LOWER($E316)&amp;" only")))))))</f>
        <v/>
      </c>
      <c r="AT316">
        <f>IF(AND(OR($J316="BUY",$J316="SELL"),ISNUMBER($U316)),$U316,"")</f>
        <v/>
      </c>
      <c r="AU316">
        <f>IF(AND(OR($J316="BUY",$J316="SELL"),ISNUMBER($AK316)),$AK316,"")</f>
        <v/>
      </c>
      <c r="AV316">
        <f>IF(ISNUMBER($AT316),ABS(IF(ISNUMBER($I316),$I316,0)-Settings!$B$24),"")</f>
        <v/>
      </c>
      <c r="AW316">
        <f>IF(ISNUMBER($AV316),$AV316*$AT316,"")</f>
        <v/>
      </c>
      <c r="AX316">
        <f>IF(ISNUMBER($AU316),ABS(IF(ISNUMBER($I316),$I316,0)-Settings!$B$24),"")</f>
        <v/>
      </c>
      <c r="AY316">
        <f>IF(ISNUMBER($AX316),$AX316*$AU316,"")</f>
        <v/>
      </c>
      <c r="AZ316">
        <f>IF($A316="","",IFERROR(INDEX(Company_List!$H$3:$H$207,MATCH($A316,Company_List!$A$3:$A$207,0)),"unassigned"))</f>
        <v/>
      </c>
      <c r="BC316">
        <f>IF($A316="","",IF(COUNTIFS($A$3:$A316,$A316,$C$3:$C316,$C316,$D$3:$D316,$D316,$G$3:$G316,$G316)=1,1,0))</f>
        <v/>
      </c>
      <c r="BG316" t="inlineStr">
        <is>
          <t>no</t>
        </is>
      </c>
      <c r="BK316">
        <f>IF(OR($H316&lt;&gt;"Human",$S316="",$J316="",$Y316="",$Z316=""),"",IF(EXACT(UPPER($J316),UPPER($Y316)),1,0))</f>
        <v/>
      </c>
      <c r="BL316" t="inlineStr">
        <is>
          <t>assumed - no rater record</t>
        </is>
      </c>
      <c r="BM316" t="n">
        <v>1</v>
      </c>
      <c r="BN316" t="inlineStr">
        <is>
          <t>not publisher-identified</t>
        </is>
      </c>
      <c r="BO316" t="inlineStr">
        <is>
          <t>not publisher-identified</t>
        </is>
      </c>
      <c r="BP316" t="inlineStr">
        <is>
          <t>no</t>
        </is>
      </c>
      <c r="BQ316" t="inlineStr">
        <is>
          <t>yes</t>
        </is>
      </c>
    </row>
    <row r="317">
      <c r="A317" s="1" t="inlineStr">
        <is>
          <t>Micron</t>
        </is>
      </c>
      <c r="B317" s="142">
        <f>IF(A317="","",_xlfn.XLOOKUP(A317, Company_List!$A:$A, Company_List!$B:$B, ""))</f>
        <v/>
      </c>
      <c r="C317" s="143" t="n">
        <v>2026</v>
      </c>
      <c r="D317" s="143" t="inlineStr">
        <is>
          <t>Q2</t>
        </is>
      </c>
      <c r="E317" s="98" t="inlineStr">
        <is>
          <t>Financial Statement</t>
        </is>
      </c>
      <c r="F317" s="98" t="inlineStr">
        <is>
          <t>Financial Results</t>
        </is>
      </c>
      <c r="G317" s="143" t="inlineStr">
        <is>
          <t>David</t>
        </is>
      </c>
      <c r="H317" s="106" t="inlineStr">
        <is>
          <t>Human</t>
        </is>
      </c>
      <c r="I317" s="145" t="n">
        <v>0.85</v>
      </c>
      <c r="J317" s="145">
        <f>IF(OR(I317="",Settings!$B$6=""),"",IF(I317&gt;Settings!$B$6,"BUY",IF(I317&lt;-Settings!$B$6,"SELL","HOLD")))</f>
        <v/>
      </c>
      <c r="K317" s="145" t="n">
        <v>24</v>
      </c>
      <c r="L317" s="125" t="n">
        <v>46099</v>
      </c>
      <c r="M317" s="140" t="n">
        <v>46099</v>
      </c>
      <c r="N317" s="147" t="n">
        <v>461.73</v>
      </c>
      <c r="O317" s="140" t="n">
        <v>46100</v>
      </c>
      <c r="P317" s="145" t="n">
        <v>424.97</v>
      </c>
      <c r="Q317" s="151">
        <f>IF(OR(N317="",P317=""),"",ROUND((P317-N317)/N317,4))</f>
        <v/>
      </c>
      <c r="R317" s="118">
        <f>IF(OR(N317="",P317=""),"",IF(Q317&gt;Settings!$B$3/100,"UP",IF(Q317&lt;-Settings!$B$3/100,"DOWN","FLAT")))</f>
        <v/>
      </c>
      <c r="S317" s="118">
        <f>IF(OR(N317="",P317="",J317=""),"",IF(OR(AND(J317="BUY",R317="UP"),AND(J317="SELL",R317="DOWN"),AND(J317="HOLD",R317="FLAT")),"YES","NO"))</f>
        <v/>
      </c>
      <c r="T317" s="119">
        <f>IF(J317="","",IF(J317="BUY",1,IF(J317="SELL",-1,0)))</f>
        <v/>
      </c>
      <c r="U317" s="150">
        <f>IFERROR(IF(OR(J317="",N317="",P317=""),"",IF(T317=0,0,T317*Q317-Settings!$B$4/10000-IF(T317&lt;0,Settings!$B$5/10000,0))),"")</f>
        <v/>
      </c>
      <c r="W317" s="21">
        <f>IF($K317="","",$K317*60)</f>
        <v/>
      </c>
      <c r="X317" s="91">
        <f>IF($A317="","",$A317&amp;"|"&amp;$C317&amp;"|"&amp;$D317)</f>
        <v/>
      </c>
      <c r="Y317" s="91">
        <f>IFERROR(IF($X317="","",INDEX(LLM_Data_Entry!$H$3:$H$548,MATCH($X317,INDEX(LLM_Data_Entry!$A$3:$A$548&amp;"|"&amp;LLM_Data_Entry!$C$3:$C$548&amp;"|"&amp;LLM_Data_Entry!$D$3:$D$548,0),0))),"")</f>
        <v/>
      </c>
      <c r="Z317" s="91">
        <f>IFERROR(IF($X317="","",INDEX(LLM_Data_Entry!$R$3:$R$548,MATCH($X317,INDEX(LLM_Data_Entry!$A$3:$A$548&amp;"|"&amp;LLM_Data_Entry!$C$3:$C$548&amp;"|"&amp;LLM_Data_Entry!$D$3:$D$548,0),0))),"")</f>
        <v/>
      </c>
      <c r="AB317" t="inlineStr">
        <is>
          <t>release date + stated time in the document (rater worksheet)</t>
        </is>
      </c>
      <c r="AC317" t="inlineStr">
        <is>
          <t>MU</t>
        </is>
      </c>
      <c r="AD317" t="inlineStr">
        <is>
          <t>2026-03-18</t>
        </is>
      </c>
      <c r="AE317" t="n">
        <v>461.4651</v>
      </c>
      <c r="AF317" t="inlineStr">
        <is>
          <t>2026-03-19</t>
        </is>
      </c>
      <c r="AG317" t="n">
        <v>424.7262</v>
      </c>
      <c r="AH317" t="n">
        <v>-0.07961365835023619</v>
      </c>
      <c r="AI317" t="inlineStr">
        <is>
          <t>DOWN</t>
        </is>
      </c>
      <c r="AJ317" t="inlineStr">
        <is>
          <t>NO</t>
        </is>
      </c>
      <c r="AK317" t="n">
        <v>-0.08061400000000001</v>
      </c>
      <c r="AL317">
        <f>IF($A317="","",IFERROR(INDEX(Company_List!$G$3:$G$207,MATCH($A317,Company_List!$A$3:$A$207,0)),"unassigned"))</f>
        <v/>
      </c>
      <c r="AM317" t="inlineStr">
        <is>
          <t>Phase 2/Micron/2026-Q2/MU-2026-Q2-quarterly-financial-statements-SEC-10-Q.htm</t>
        </is>
      </c>
      <c r="AN317" t="inlineStr">
        <is>
          <t>https://www.sec.gov/Archives/edgar/data/723125/000072312526000006/mu-20260226.htm</t>
        </is>
      </c>
      <c r="AO317" t="inlineStr">
        <is>
          <t>manifest</t>
        </is>
      </c>
      <c r="AP317">
        <f>IF($A317="","",IF(COUNTIFS(LLM_Data_Entry!$A$3:$A$548,$A317)&gt;0,"YES","NO"))</f>
        <v/>
      </c>
      <c r="AQ317">
        <f>IF($A317="","",IF(COUNTIFS($A$3:$A317,$A317,$C$3:$C317,$C317,$D$3:$D317,$D317)=1,"YES","NO"))</f>
        <v/>
      </c>
      <c r="AR317">
        <f>IF($A317="","",IF(AND($C317&amp;"-"&amp;$D317&gt;=Settings!$B$19,$C317&amp;"-"&amp;$D317&lt;=Settings!$B$20),"IN","OUT"))</f>
        <v/>
      </c>
      <c r="AS317">
        <f>IF($A317="","",IF($F317="Financial Results","financials",IF($F317="Outlook/Guidance","guidance",IF($F317="Transcript Q&amp;A","qanda",IF($F317="","unrecorded",IF($E317="All","full",IF($E317="","unrecorded",LOWER($E317)&amp;" only")))))))</f>
        <v/>
      </c>
      <c r="AT317">
        <f>IF(AND(OR($J317="BUY",$J317="SELL"),ISNUMBER($U317)),$U317,"")</f>
        <v/>
      </c>
      <c r="AU317">
        <f>IF(AND(OR($J317="BUY",$J317="SELL"),ISNUMBER($AK317)),$AK317,"")</f>
        <v/>
      </c>
      <c r="AV317">
        <f>IF(ISNUMBER($AT317),ABS(IF(ISNUMBER($I317),$I317,0)-Settings!$B$24),"")</f>
        <v/>
      </c>
      <c r="AW317">
        <f>IF(ISNUMBER($AV317),$AV317*$AT317,"")</f>
        <v/>
      </c>
      <c r="AX317">
        <f>IF(ISNUMBER($AU317),ABS(IF(ISNUMBER($I317),$I317,0)-Settings!$B$24),"")</f>
        <v/>
      </c>
      <c r="AY317">
        <f>IF(ISNUMBER($AX317),$AX317*$AU317,"")</f>
        <v/>
      </c>
      <c r="AZ317">
        <f>IF($A317="","",IFERROR(INDEX(Company_List!$H$3:$H$207,MATCH($A317,Company_List!$A$3:$A$207,0)),"unassigned"))</f>
        <v/>
      </c>
      <c r="BC317">
        <f>IF($A317="","",IF(COUNTIFS($A$3:$A317,$A317,$C$3:$C317,$C317,$D$3:$D317,$D317,$G$3:$G317,$G317)=1,1,0))</f>
        <v/>
      </c>
      <c r="BG317" t="inlineStr">
        <is>
          <t>no</t>
        </is>
      </c>
      <c r="BK317">
        <f>IF(OR($H317&lt;&gt;"Human",$S317="",$J317="",$Y317="",$Z317=""),"",IF(EXACT(UPPER($J317),UPPER($Y317)),1,0))</f>
        <v/>
      </c>
      <c r="BL317" t="inlineStr">
        <is>
          <t>assumed - no rater record</t>
        </is>
      </c>
      <c r="BM317" t="n">
        <v>1</v>
      </c>
      <c r="BN317" t="inlineStr">
        <is>
          <t>not publisher-identified</t>
        </is>
      </c>
      <c r="BO317" t="inlineStr">
        <is>
          <t>not publisher-identified</t>
        </is>
      </c>
      <c r="BP317" t="inlineStr">
        <is>
          <t>sole source</t>
        </is>
      </c>
      <c r="BQ317" t="inlineStr">
        <is>
          <t>yes</t>
        </is>
      </c>
    </row>
    <row r="318">
      <c r="A318" s="1" t="inlineStr">
        <is>
          <t>Micron</t>
        </is>
      </c>
      <c r="B318" s="142">
        <f>IF(A318="","",_xlfn.XLOOKUP(A318, Company_List!$A:$A, Company_List!$B:$B, ""))</f>
        <v/>
      </c>
      <c r="C318" s="143" t="n">
        <v>2025</v>
      </c>
      <c r="D318" s="143" t="inlineStr">
        <is>
          <t>Q4</t>
        </is>
      </c>
      <c r="E318" s="98" t="inlineStr">
        <is>
          <t>Transcript</t>
        </is>
      </c>
      <c r="F318" s="98" t="inlineStr">
        <is>
          <t>Outlook/Guidance</t>
        </is>
      </c>
      <c r="G318" s="143" t="inlineStr">
        <is>
          <t>David</t>
        </is>
      </c>
      <c r="H318" s="106" t="inlineStr">
        <is>
          <t>Human</t>
        </is>
      </c>
      <c r="I318" s="145" t="n">
        <v>0.55</v>
      </c>
      <c r="J318" s="145">
        <f>IF(OR(I318="",Settings!$B$6=""),"",IF(I318&gt;Settings!$B$6,"BUY",IF(I318&lt;-Settings!$B$6,"SELL","HOLD")))</f>
        <v/>
      </c>
      <c r="K318" s="145" t="n">
        <v>29</v>
      </c>
      <c r="L318" s="125" t="n">
        <v>45923</v>
      </c>
      <c r="M318" s="140" t="n">
        <v>45923</v>
      </c>
      <c r="N318" s="147" t="n">
        <v>166.41</v>
      </c>
      <c r="O318" s="140" t="n">
        <v>45924</v>
      </c>
      <c r="P318" s="145" t="n">
        <v>165.08</v>
      </c>
      <c r="Q318" s="151">
        <f>IF(OR(N318="",P318=""),"",ROUND((P318-N318)/N318,4))</f>
        <v/>
      </c>
      <c r="R318" s="118">
        <f>IF(OR(N318="",P318=""),"",IF(Q318&gt;Settings!$B$3/100,"UP",IF(Q318&lt;-Settings!$B$3/100,"DOWN","FLAT")))</f>
        <v/>
      </c>
      <c r="S318" s="118">
        <f>IF(OR(N318="",P318="",J318=""),"",IF(OR(AND(J318="BUY",R318="UP"),AND(J318="SELL",R318="DOWN"),AND(J318="HOLD",R318="FLAT")),"YES","NO"))</f>
        <v/>
      </c>
      <c r="T318" s="119">
        <f>IF(J318="","",IF(J318="BUY",1,IF(J318="SELL",-1,0)))</f>
        <v/>
      </c>
      <c r="U318" s="150">
        <f>IFERROR(IF(OR(J318="",N318="",P318=""),"",IF(T318=0,0,T318*Q318-Settings!$B$4/10000-IF(T318&lt;0,Settings!$B$5/10000,0))),"")</f>
        <v/>
      </c>
      <c r="W318" s="21">
        <f>IF($K318="","",$K318*60)</f>
        <v/>
      </c>
      <c r="X318" s="91">
        <f>IF($A318="","",$A318&amp;"|"&amp;$C318&amp;"|"&amp;$D318)</f>
        <v/>
      </c>
      <c r="Y318" s="91">
        <f>IFERROR(IF($X318="","",INDEX(LLM_Data_Entry!$H$3:$H$548,MATCH($X318,INDEX(LLM_Data_Entry!$A$3:$A$548&amp;"|"&amp;LLM_Data_Entry!$C$3:$C$548&amp;"|"&amp;LLM_Data_Entry!$D$3:$D$548,0),0))),"")</f>
        <v/>
      </c>
      <c r="Z318" s="91">
        <f>IFERROR(IF($X318="","",INDEX(LLM_Data_Entry!$R$3:$R$548,MATCH($X318,INDEX(LLM_Data_Entry!$A$3:$A$548&amp;"|"&amp;LLM_Data_Entry!$C$3:$C$548&amp;"|"&amp;LLM_Data_Entry!$D$3:$D$548,0),0))),"")</f>
        <v/>
      </c>
      <c r="AB318" t="inlineStr">
        <is>
          <t>release date + stated time in the document (rater worksheet)</t>
        </is>
      </c>
      <c r="AC318" t="inlineStr">
        <is>
          <t>MU</t>
        </is>
      </c>
      <c r="AD318" t="inlineStr">
        <is>
          <t>2025-09-23</t>
        </is>
      </c>
      <c r="AE318" t="n">
        <v>166.1433</v>
      </c>
      <c r="AF318" t="inlineStr">
        <is>
          <t>2025-09-24</t>
        </is>
      </c>
      <c r="AG318" t="n">
        <v>164.8155</v>
      </c>
      <c r="AH318" t="n">
        <v>-0.007992372147029306</v>
      </c>
      <c r="AI318" t="inlineStr">
        <is>
          <t>FLAT</t>
        </is>
      </c>
      <c r="AJ318" t="inlineStr">
        <is>
          <t>NO</t>
        </is>
      </c>
      <c r="AK318" t="n">
        <v>-0.008992</v>
      </c>
      <c r="AL318">
        <f>IF($A318="","",IFERROR(INDEX(Company_List!$G$3:$G$207,MATCH($A318,Company_List!$A$3:$A$207,0)),"unassigned"))</f>
        <v/>
      </c>
      <c r="AM318" t="inlineStr">
        <is>
          <t>Phase 2/Micron/2025-Q4/MU-2025-Q4-earnings-call-transcript-news-alphastreet-com.html</t>
        </is>
      </c>
      <c r="AN318" t="inlineStr">
        <is>
          <t>https://news.alphastreet.com/micron-technology-inc-mu-q4-2025-earnings-call-transcript/</t>
        </is>
      </c>
      <c r="AO318" t="inlineStr">
        <is>
          <t>manifest</t>
        </is>
      </c>
      <c r="AP318">
        <f>IF($A318="","",IF(COUNTIFS(LLM_Data_Entry!$A$3:$A$548,$A318)&gt;0,"YES","NO"))</f>
        <v/>
      </c>
      <c r="AQ318">
        <f>IF($A318="","",IF(COUNTIFS($A$3:$A318,$A318,$C$3:$C318,$C318,$D$3:$D318,$D318)=1,"YES","NO"))</f>
        <v/>
      </c>
      <c r="AR318">
        <f>IF($A318="","",IF(AND($C318&amp;"-"&amp;$D318&gt;=Settings!$B$19,$C318&amp;"-"&amp;$D318&lt;=Settings!$B$20),"IN","OUT"))</f>
        <v/>
      </c>
      <c r="AS318">
        <f>IF($A318="","",IF($F318="Financial Results","financials",IF($F318="Outlook/Guidance","guidance",IF($F318="Transcript Q&amp;A","qanda",IF($F318="","unrecorded",IF($E318="All","full",IF($E318="","unrecorded",LOWER($E318)&amp;" only")))))))</f>
        <v/>
      </c>
      <c r="AT318">
        <f>IF(AND(OR($J318="BUY",$J318="SELL"),ISNUMBER($U318)),$U318,"")</f>
        <v/>
      </c>
      <c r="AU318">
        <f>IF(AND(OR($J318="BUY",$J318="SELL"),ISNUMBER($AK318)),$AK318,"")</f>
        <v/>
      </c>
      <c r="AV318">
        <f>IF(ISNUMBER($AT318),ABS(IF(ISNUMBER($I318),$I318,0)-Settings!$B$24),"")</f>
        <v/>
      </c>
      <c r="AW318">
        <f>IF(ISNUMBER($AV318),$AV318*$AT318,"")</f>
        <v/>
      </c>
      <c r="AX318">
        <f>IF(ISNUMBER($AU318),ABS(IF(ISNUMBER($I318),$I318,0)-Settings!$B$24),"")</f>
        <v/>
      </c>
      <c r="AY318">
        <f>IF(ISNUMBER($AX318),$AX318*$AU318,"")</f>
        <v/>
      </c>
      <c r="AZ318">
        <f>IF($A318="","",IFERROR(INDEX(Company_List!$H$3:$H$207,MATCH($A318,Company_List!$A$3:$A$207,0)),"unassigned"))</f>
        <v/>
      </c>
      <c r="BC318">
        <f>IF($A318="","",IF(COUNTIFS($A$3:$A318,$A318,$C$3:$C318,$C318,$D$3:$D318,$D318,$G$3:$G318,$G318)=1,1,0))</f>
        <v/>
      </c>
      <c r="BG318" t="inlineStr">
        <is>
          <t>no</t>
        </is>
      </c>
      <c r="BK318">
        <f>IF(OR($H318&lt;&gt;"Human",$S318="",$J318="",$Y318="",$Z318=""),"",IF(EXACT(UPPER($J318),UPPER($Y318)),1,0))</f>
        <v/>
      </c>
      <c r="BL318" t="inlineStr">
        <is>
          <t>assumed - no rater record</t>
        </is>
      </c>
      <c r="BM318" t="n">
        <v>1</v>
      </c>
      <c r="BN318" t="inlineStr">
        <is>
          <t>not publisher-identified</t>
        </is>
      </c>
      <c r="BO318" t="inlineStr">
        <is>
          <t>not publisher-identified</t>
        </is>
      </c>
      <c r="BP318" t="inlineStr">
        <is>
          <t>no</t>
        </is>
      </c>
      <c r="BQ318" t="inlineStr">
        <is>
          <t>yes</t>
        </is>
      </c>
    </row>
    <row r="319">
      <c r="A319" s="1" t="inlineStr">
        <is>
          <t>Salesforce</t>
        </is>
      </c>
      <c r="B319" s="142">
        <f>IF(A319="","",_xlfn.XLOOKUP(A319, Company_List!$A:$A, Company_List!$B:$B, ""))</f>
        <v/>
      </c>
      <c r="C319" s="143" t="n">
        <v>2026</v>
      </c>
      <c r="D319" s="143" t="inlineStr">
        <is>
          <t>Q2</t>
        </is>
      </c>
      <c r="E319" s="98" t="inlineStr">
        <is>
          <t>Financial Statement</t>
        </is>
      </c>
      <c r="F319" s="98" t="inlineStr">
        <is>
          <t>Financial Results</t>
        </is>
      </c>
      <c r="G319" s="143" t="inlineStr">
        <is>
          <t>David</t>
        </is>
      </c>
      <c r="H319" s="106" t="inlineStr">
        <is>
          <t>Human</t>
        </is>
      </c>
      <c r="I319" s="145" t="n">
        <v>0.45</v>
      </c>
      <c r="J319" s="145">
        <f>IF(OR(I319="",Settings!$B$6=""),"",IF(I319&gt;Settings!$B$6,"BUY",IF(I319&lt;-Settings!$B$6,"SELL","HOLD")))</f>
        <v/>
      </c>
      <c r="K319" s="145" t="n">
        <v>21</v>
      </c>
      <c r="L319" s="125" t="n">
        <v>45903</v>
      </c>
      <c r="M319" s="140" t="n">
        <v>45903</v>
      </c>
      <c r="N319" s="147" t="n">
        <v>256.45</v>
      </c>
      <c r="O319" s="140" t="n">
        <v>45904</v>
      </c>
      <c r="P319" s="145" t="n">
        <v>240.06</v>
      </c>
      <c r="Q319" s="151">
        <f>IF(OR(N319="",P319=""),"",ROUND((P319-N319)/N319,4))</f>
        <v/>
      </c>
      <c r="R319" s="118">
        <f>IF(OR(N319="",P319=""),"",IF(Q319&gt;Settings!$B$3/100,"UP",IF(Q319&lt;-Settings!$B$3/100,"DOWN","FLAT")))</f>
        <v/>
      </c>
      <c r="S319" s="118">
        <f>IF(OR(N319="",P319="",J319=""),"",IF(OR(AND(J319="BUY",R319="UP"),AND(J319="SELL",R319="DOWN"),AND(J319="HOLD",R319="FLAT")),"YES","NO"))</f>
        <v/>
      </c>
      <c r="T319" s="119">
        <f>IF(J319="","",IF(J319="BUY",1,IF(J319="SELL",-1,0)))</f>
        <v/>
      </c>
      <c r="U319" s="150">
        <f>IFERROR(IF(OR(J319="",N319="",P319=""),"",IF(T319=0,0,T319*Q319-Settings!$B$4/10000-IF(T319&lt;0,Settings!$B$5/10000,0))),"")</f>
        <v/>
      </c>
      <c r="W319" s="21">
        <f>IF($K319="","",$K319*60)</f>
        <v/>
      </c>
      <c r="X319" s="91">
        <f>IF($A319="","",$A319&amp;"|"&amp;$C319&amp;"|"&amp;$D319)</f>
        <v/>
      </c>
      <c r="Y319" s="91">
        <f>IFERROR(IF($X319="","",INDEX(LLM_Data_Entry!$H$3:$H$548,MATCH($X319,INDEX(LLM_Data_Entry!$A$3:$A$548&amp;"|"&amp;LLM_Data_Entry!$C$3:$C$548&amp;"|"&amp;LLM_Data_Entry!$D$3:$D$548,0),0))),"")</f>
        <v/>
      </c>
      <c r="Z319" s="91">
        <f>IFERROR(IF($X319="","",INDEX(LLM_Data_Entry!$R$3:$R$548,MATCH($X319,INDEX(LLM_Data_Entry!$A$3:$A$548&amp;"|"&amp;LLM_Data_Entry!$C$3:$C$548&amp;"|"&amp;LLM_Data_Entry!$D$3:$D$548,0),0))),"")</f>
        <v/>
      </c>
      <c r="AB319" t="inlineStr">
        <is>
          <t>release date + stated time in the document (rater worksheet)</t>
        </is>
      </c>
      <c r="AC319" t="inlineStr">
        <is>
          <t>CRM</t>
        </is>
      </c>
      <c r="AD319" t="inlineStr">
        <is>
          <t>2025-09-03</t>
        </is>
      </c>
      <c r="AE319" t="n">
        <v>254.2977</v>
      </c>
      <c r="AF319" t="inlineStr">
        <is>
          <t>2025-09-04</t>
        </is>
      </c>
      <c r="AG319" t="n">
        <v>238.0452</v>
      </c>
      <c r="AH319" t="n">
        <v>-0.06391111172369553</v>
      </c>
      <c r="AI319" t="inlineStr">
        <is>
          <t>DOWN</t>
        </is>
      </c>
      <c r="AJ319" t="inlineStr">
        <is>
          <t>NO</t>
        </is>
      </c>
      <c r="AK319" t="n">
        <v>-0.064911</v>
      </c>
      <c r="AL319">
        <f>IF($A319="","",IFERROR(INDEX(Company_List!$G$3:$G$207,MATCH($A319,Company_List!$A$3:$A$207,0)),"unassigned"))</f>
        <v/>
      </c>
      <c r="AM319" t="inlineStr">
        <is>
          <t>Phase 2/SalesForce/2026-Q2/CRM-2026-Q2-quarterly-financial-statements-SEC-10-Q.htm</t>
        </is>
      </c>
      <c r="AN319" t="inlineStr">
        <is>
          <t>https://www.sec.gov/Archives/edgar/data/1108524/000110852425000088/crm-20250731.htm</t>
        </is>
      </c>
      <c r="AO319" t="inlineStr">
        <is>
          <t>manifest</t>
        </is>
      </c>
      <c r="AP319">
        <f>IF($A319="","",IF(COUNTIFS(LLM_Data_Entry!$A$3:$A$548,$A319)&gt;0,"YES","NO"))</f>
        <v/>
      </c>
      <c r="AQ319">
        <f>IF($A319="","",IF(COUNTIFS($A$3:$A319,$A319,$C$3:$C319,$C319,$D$3:$D319,$D319)=1,"YES","NO"))</f>
        <v/>
      </c>
      <c r="AR319">
        <f>IF($A319="","",IF(AND($C319&amp;"-"&amp;$D319&gt;=Settings!$B$19,$C319&amp;"-"&amp;$D319&lt;=Settings!$B$20),"IN","OUT"))</f>
        <v/>
      </c>
      <c r="AS319">
        <f>IF($A319="","",IF($F319="Financial Results","financials",IF($F319="Outlook/Guidance","guidance",IF($F319="Transcript Q&amp;A","qanda",IF($F319="","unrecorded",IF($E319="All","full",IF($E319="","unrecorded",LOWER($E319)&amp;" only")))))))</f>
        <v/>
      </c>
      <c r="AT319">
        <f>IF(AND(OR($J319="BUY",$J319="SELL"),ISNUMBER($U319)),$U319,"")</f>
        <v/>
      </c>
      <c r="AU319">
        <f>IF(AND(OR($J319="BUY",$J319="SELL"),ISNUMBER($AK319)),$AK319,"")</f>
        <v/>
      </c>
      <c r="AV319">
        <f>IF(ISNUMBER($AT319),ABS(IF(ISNUMBER($I319),$I319,0)-Settings!$B$24),"")</f>
        <v/>
      </c>
      <c r="AW319">
        <f>IF(ISNUMBER($AV319),$AV319*$AT319,"")</f>
        <v/>
      </c>
      <c r="AX319">
        <f>IF(ISNUMBER($AU319),ABS(IF(ISNUMBER($I319),$I319,0)-Settings!$B$24),"")</f>
        <v/>
      </c>
      <c r="AY319">
        <f>IF(ISNUMBER($AX319),$AX319*$AU319,"")</f>
        <v/>
      </c>
      <c r="AZ319">
        <f>IF($A319="","",IFERROR(INDEX(Company_List!$H$3:$H$207,MATCH($A319,Company_List!$A$3:$A$207,0)),"unassigned"))</f>
        <v/>
      </c>
      <c r="BC319">
        <f>IF($A319="","",IF(COUNTIFS($A$3:$A319,$A319,$C$3:$C319,$C319,$D$3:$D319,$D319,$G$3:$G319,$G319)=1,1,0))</f>
        <v/>
      </c>
      <c r="BG319" t="inlineStr">
        <is>
          <t>no</t>
        </is>
      </c>
      <c r="BK319">
        <f>IF(OR($H319&lt;&gt;"Human",$S319="",$J319="",$Y319="",$Z319=""),"",IF(EXACT(UPPER($J319),UPPER($Y319)),1,0))</f>
        <v/>
      </c>
      <c r="BL319" t="inlineStr">
        <is>
          <t>assumed - no rater record</t>
        </is>
      </c>
      <c r="BM319" t="n">
        <v>1</v>
      </c>
      <c r="BN319" t="inlineStr">
        <is>
          <t>not publisher-identified</t>
        </is>
      </c>
      <c r="BO319" t="inlineStr">
        <is>
          <t>not publisher-identified</t>
        </is>
      </c>
      <c r="BP319" t="inlineStr">
        <is>
          <t>sole source</t>
        </is>
      </c>
      <c r="BQ319" t="inlineStr">
        <is>
          <t>yes</t>
        </is>
      </c>
    </row>
    <row r="320">
      <c r="A320" s="1" t="inlineStr">
        <is>
          <t>Salesforce</t>
        </is>
      </c>
      <c r="B320" s="142">
        <f>IF(A320="","",_xlfn.XLOOKUP(A320, Company_List!$A:$A, Company_List!$B:$B, ""))</f>
        <v/>
      </c>
      <c r="C320" s="143" t="n">
        <v>2026</v>
      </c>
      <c r="D320" s="143" t="inlineStr">
        <is>
          <t>Q3</t>
        </is>
      </c>
      <c r="E320" s="98" t="inlineStr">
        <is>
          <t>Transcript</t>
        </is>
      </c>
      <c r="F320" s="98" t="inlineStr">
        <is>
          <t>Outlook/Guidance</t>
        </is>
      </c>
      <c r="G320" s="143" t="inlineStr">
        <is>
          <t>David</t>
        </is>
      </c>
      <c r="H320" s="106" t="inlineStr">
        <is>
          <t>Human</t>
        </is>
      </c>
      <c r="I320" s="145" t="n">
        <v>-0.3</v>
      </c>
      <c r="J320" s="145">
        <f>IF(OR(I320="",Settings!$B$6=""),"",IF(I320&gt;Settings!$B$6,"BUY",IF(I320&lt;-Settings!$B$6,"SELL","HOLD")))</f>
        <v/>
      </c>
      <c r="K320" s="145" t="n">
        <v>30</v>
      </c>
      <c r="L320" s="125" t="n">
        <v>45994</v>
      </c>
      <c r="M320" s="140" t="n">
        <v>45994</v>
      </c>
      <c r="N320" s="147" t="n">
        <v>238.72</v>
      </c>
      <c r="O320" s="140" t="n">
        <v>45995</v>
      </c>
      <c r="P320" s="145" t="n">
        <v>243.69</v>
      </c>
      <c r="Q320" s="151">
        <f>IF(OR(N320="",P320=""),"",ROUND((P320-N320)/N320,4))</f>
        <v/>
      </c>
      <c r="R320" s="118">
        <f>IF(OR(N320="",P320=""),"",IF(Q320&gt;Settings!$B$3/100,"UP",IF(Q320&lt;-Settings!$B$3/100,"DOWN","FLAT")))</f>
        <v/>
      </c>
      <c r="S320" s="118">
        <f>IF(OR(N320="",P320="",J320=""),"",IF(OR(AND(J320="BUY",R320="UP"),AND(J320="SELL",R320="DOWN"),AND(J320="HOLD",R320="FLAT")),"YES","NO"))</f>
        <v/>
      </c>
      <c r="T320" s="119">
        <f>IF(J320="","",IF(J320="BUY",1,IF(J320="SELL",-1,0)))</f>
        <v/>
      </c>
      <c r="U320" s="150">
        <f>IFERROR(IF(OR(J320="",N320="",P320=""),"",IF(T320=0,0,T320*Q320-Settings!$B$4/10000-IF(T320&lt;0,Settings!$B$5/10000,0))),"")</f>
        <v/>
      </c>
      <c r="W320" s="21">
        <f>IF($K320="","",$K320*60)</f>
        <v/>
      </c>
      <c r="X320" s="91">
        <f>IF($A320="","",$A320&amp;"|"&amp;$C320&amp;"|"&amp;$D320)</f>
        <v/>
      </c>
      <c r="Y320" s="91">
        <f>IFERROR(IF($X320="","",INDEX(LLM_Data_Entry!$H$3:$H$548,MATCH($X320,INDEX(LLM_Data_Entry!$A$3:$A$548&amp;"|"&amp;LLM_Data_Entry!$C$3:$C$548&amp;"|"&amp;LLM_Data_Entry!$D$3:$D$548,0),0))),"")</f>
        <v/>
      </c>
      <c r="Z320" s="91">
        <f>IFERROR(IF($X320="","",INDEX(LLM_Data_Entry!$R$3:$R$548,MATCH($X320,INDEX(LLM_Data_Entry!$A$3:$A$548&amp;"|"&amp;LLM_Data_Entry!$C$3:$C$548&amp;"|"&amp;LLM_Data_Entry!$D$3:$D$548,0),0))),"")</f>
        <v/>
      </c>
      <c r="AB320" t="inlineStr">
        <is>
          <t>release date + stated time in the document (rater worksheet)</t>
        </is>
      </c>
      <c r="AC320" t="inlineStr">
        <is>
          <t>CRM</t>
        </is>
      </c>
      <c r="AD320" t="inlineStr">
        <is>
          <t>2025-12-03</t>
        </is>
      </c>
      <c r="AE320" t="n">
        <v>237.1287</v>
      </c>
      <c r="AF320" t="inlineStr">
        <is>
          <t>2025-12-04</t>
        </is>
      </c>
      <c r="AG320" t="n">
        <v>242.0656</v>
      </c>
      <c r="AH320" t="n">
        <v>0.02081931966125198</v>
      </c>
      <c r="AI320" t="inlineStr">
        <is>
          <t>UP</t>
        </is>
      </c>
      <c r="AJ320" t="inlineStr">
        <is>
          <t>NO</t>
        </is>
      </c>
      <c r="AK320" t="n">
        <v>-0.021819</v>
      </c>
      <c r="AL320">
        <f>IF($A320="","",IFERROR(INDEX(Company_List!$G$3:$G$207,MATCH($A320,Company_List!$A$3:$A$207,0)),"unassigned"))</f>
        <v/>
      </c>
      <c r="AM320" t="inlineStr">
        <is>
          <t>Phase 2/SalesForce/2026-Q3/CRM-2026-Q3-earnings-call-transcript-salesforce-q4cdn.pdf</t>
        </is>
      </c>
      <c r="AN320" t="inlineStr">
        <is>
          <t>https://s205.q4cdn.com/626266368/files/doc_financials/2026/q3/Transcript-Salesforce-Inc-Q3-FY26-Earnings-Conference-Call-12-3-25.pdf</t>
        </is>
      </c>
      <c r="AO320" t="inlineStr">
        <is>
          <t>manifest</t>
        </is>
      </c>
      <c r="AP320">
        <f>IF($A320="","",IF(COUNTIFS(LLM_Data_Entry!$A$3:$A$548,$A320)&gt;0,"YES","NO"))</f>
        <v/>
      </c>
      <c r="AQ320">
        <f>IF($A320="","",IF(COUNTIFS($A$3:$A320,$A320,$C$3:$C320,$C320,$D$3:$D320,$D320)=1,"YES","NO"))</f>
        <v/>
      </c>
      <c r="AR320">
        <f>IF($A320="","",IF(AND($C320&amp;"-"&amp;$D320&gt;=Settings!$B$19,$C320&amp;"-"&amp;$D320&lt;=Settings!$B$20),"IN","OUT"))</f>
        <v/>
      </c>
      <c r="AS320">
        <f>IF($A320="","",IF($F320="Financial Results","financials",IF($F320="Outlook/Guidance","guidance",IF($F320="Transcript Q&amp;A","qanda",IF($F320="","unrecorded",IF($E320="All","full",IF($E320="","unrecorded",LOWER($E320)&amp;" only")))))))</f>
        <v/>
      </c>
      <c r="AT320">
        <f>IF(AND(OR($J320="BUY",$J320="SELL"),ISNUMBER($U320)),$U320,"")</f>
        <v/>
      </c>
      <c r="AU320">
        <f>IF(AND(OR($J320="BUY",$J320="SELL"),ISNUMBER($AK320)),$AK320,"")</f>
        <v/>
      </c>
      <c r="AV320">
        <f>IF(ISNUMBER($AT320),ABS(IF(ISNUMBER($I320),$I320,0)-Settings!$B$24),"")</f>
        <v/>
      </c>
      <c r="AW320">
        <f>IF(ISNUMBER($AV320),$AV320*$AT320,"")</f>
        <v/>
      </c>
      <c r="AX320">
        <f>IF(ISNUMBER($AU320),ABS(IF(ISNUMBER($I320),$I320,0)-Settings!$B$24),"")</f>
        <v/>
      </c>
      <c r="AY320">
        <f>IF(ISNUMBER($AX320),$AX320*$AU320,"")</f>
        <v/>
      </c>
      <c r="AZ320">
        <f>IF($A320="","",IFERROR(INDEX(Company_List!$H$3:$H$207,MATCH($A320,Company_List!$A$3:$A$207,0)),"unassigned"))</f>
        <v/>
      </c>
      <c r="BC320">
        <f>IF($A320="","",IF(COUNTIFS($A$3:$A320,$A320,$C$3:$C320,$C320,$D$3:$D320,$D320,$G$3:$G320,$G320)=1,1,0))</f>
        <v/>
      </c>
      <c r="BG320" t="inlineStr">
        <is>
          <t>no</t>
        </is>
      </c>
      <c r="BK320">
        <f>IF(OR($H320&lt;&gt;"Human",$S320="",$J320="",$Y320="",$Z320=""),"",IF(EXACT(UPPER($J320),UPPER($Y320)),1,0))</f>
        <v/>
      </c>
      <c r="BL320" t="inlineStr">
        <is>
          <t>assumed - no rater record</t>
        </is>
      </c>
      <c r="BM320" t="n">
        <v>1</v>
      </c>
      <c r="BN320" t="inlineStr">
        <is>
          <t>not publisher-identified</t>
        </is>
      </c>
      <c r="BO320" t="inlineStr">
        <is>
          <t>not publisher-identified</t>
        </is>
      </c>
      <c r="BP320" t="inlineStr">
        <is>
          <t>no</t>
        </is>
      </c>
      <c r="BQ320" t="inlineStr">
        <is>
          <t>yes</t>
        </is>
      </c>
    </row>
    <row r="321">
      <c r="A321" s="1" t="inlineStr">
        <is>
          <t>Salesforce</t>
        </is>
      </c>
      <c r="B321" s="142">
        <f>IF(A321="","",_xlfn.XLOOKUP(A321, Company_List!$A:$A, Company_List!$B:$B, ""))</f>
        <v/>
      </c>
      <c r="C321" s="143" t="n">
        <v>2026</v>
      </c>
      <c r="D321" s="143" t="inlineStr">
        <is>
          <t>Q4</t>
        </is>
      </c>
      <c r="E321" s="98" t="inlineStr">
        <is>
          <t>Transcript</t>
        </is>
      </c>
      <c r="F321" s="98" t="inlineStr">
        <is>
          <t>Transcript Q&amp;A</t>
        </is>
      </c>
      <c r="G321" s="143" t="inlineStr">
        <is>
          <t>David</t>
        </is>
      </c>
      <c r="H321" s="106" t="inlineStr">
        <is>
          <t>Human</t>
        </is>
      </c>
      <c r="I321" s="145" t="n">
        <v>-0.25</v>
      </c>
      <c r="J321" s="145">
        <f>IF(OR(I321="",Settings!$B$6=""),"",IF(I321&gt;Settings!$B$6,"BUY",IF(I321&lt;-Settings!$B$6,"SELL","HOLD")))</f>
        <v/>
      </c>
      <c r="K321" s="145" t="n">
        <v>32</v>
      </c>
      <c r="L321" s="125" t="n">
        <v>46078</v>
      </c>
      <c r="M321" s="140" t="n">
        <v>46078</v>
      </c>
      <c r="N321" s="147" t="n">
        <v>191.75</v>
      </c>
      <c r="O321" s="140" t="n">
        <v>46079</v>
      </c>
      <c r="P321" s="145" t="n">
        <v>196.76</v>
      </c>
      <c r="Q321" s="151">
        <f>IF(OR(N321="",P321=""),"",ROUND((P321-N321)/N321,4))</f>
        <v/>
      </c>
      <c r="R321" s="118">
        <f>IF(OR(N321="",P321=""),"",IF(Q321&gt;Settings!$B$3/100,"UP",IF(Q321&lt;-Settings!$B$3/100,"DOWN","FLAT")))</f>
        <v/>
      </c>
      <c r="S321" s="118">
        <f>IF(OR(N321="",P321="",J321=""),"",IF(OR(AND(J321="BUY",R321="UP"),AND(J321="SELL",R321="DOWN"),AND(J321="HOLD",R321="FLAT")),"YES","NO"))</f>
        <v/>
      </c>
      <c r="T321" s="119">
        <f>IF(J321="","",IF(J321="BUY",1,IF(J321="SELL",-1,0)))</f>
        <v/>
      </c>
      <c r="U321" s="150">
        <f>IFERROR(IF(OR(J321="",N321="",P321=""),"",IF(T321=0,0,T321*Q321-Settings!$B$4/10000-IF(T321&lt;0,Settings!$B$5/10000,0))),"")</f>
        <v/>
      </c>
      <c r="W321" s="21">
        <f>IF($K321="","",$K321*60)</f>
        <v/>
      </c>
      <c r="X321" s="91">
        <f>IF($A321="","",$A321&amp;"|"&amp;$C321&amp;"|"&amp;$D321)</f>
        <v/>
      </c>
      <c r="Y321" s="91">
        <f>IFERROR(IF($X321="","",INDEX(LLM_Data_Entry!$H$3:$H$548,MATCH($X321,INDEX(LLM_Data_Entry!$A$3:$A$548&amp;"|"&amp;LLM_Data_Entry!$C$3:$C$548&amp;"|"&amp;LLM_Data_Entry!$D$3:$D$548,0),0))),"")</f>
        <v/>
      </c>
      <c r="Z321" s="91">
        <f>IFERROR(IF($X321="","",INDEX(LLM_Data_Entry!$R$3:$R$548,MATCH($X321,INDEX(LLM_Data_Entry!$A$3:$A$548&amp;"|"&amp;LLM_Data_Entry!$C$3:$C$548&amp;"|"&amp;LLM_Data_Entry!$D$3:$D$548,0),0))),"")</f>
        <v/>
      </c>
      <c r="AB321" t="inlineStr">
        <is>
          <t>release date + stated time in the document (rater worksheet)</t>
        </is>
      </c>
      <c r="AC321" t="inlineStr">
        <is>
          <t>CRM</t>
        </is>
      </c>
      <c r="AD321" t="inlineStr">
        <is>
          <t>2026-02-25</t>
        </is>
      </c>
      <c r="AE321" t="n">
        <v>190.7792</v>
      </c>
      <c r="AF321" t="inlineStr">
        <is>
          <t>2026-02-26</t>
        </is>
      </c>
      <c r="AG321" t="n">
        <v>195.7639</v>
      </c>
      <c r="AH321" t="n">
        <v>0.02612769636233271</v>
      </c>
      <c r="AI321" t="inlineStr">
        <is>
          <t>UP</t>
        </is>
      </c>
      <c r="AJ321" t="inlineStr">
        <is>
          <t>NO</t>
        </is>
      </c>
      <c r="AK321" t="n">
        <v>-0.027128</v>
      </c>
      <c r="AL321">
        <f>IF($A321="","",IFERROR(INDEX(Company_List!$G$3:$G$207,MATCH($A321,Company_List!$A$3:$A$207,0)),"unassigned"))</f>
        <v/>
      </c>
      <c r="AM321" t="inlineStr">
        <is>
          <t>Phase 2/SalesForce/2026-Q4/CRM-2026-Q4-earnings-call-transcript-news-alphastreet-com.html</t>
        </is>
      </c>
      <c r="AN321" t="inlineStr">
        <is>
          <t>https://news.alphastreet.com/salesforce-inc-crm-q4-2026-earnings-call-transcript/</t>
        </is>
      </c>
      <c r="AO321" t="inlineStr">
        <is>
          <t>manifest</t>
        </is>
      </c>
      <c r="AP321">
        <f>IF($A321="","",IF(COUNTIFS(LLM_Data_Entry!$A$3:$A$548,$A321)&gt;0,"YES","NO"))</f>
        <v/>
      </c>
      <c r="AQ321">
        <f>IF($A321="","",IF(COUNTIFS($A$3:$A321,$A321,$C$3:$C321,$C321,$D$3:$D321,$D321)=1,"YES","NO"))</f>
        <v/>
      </c>
      <c r="AR321">
        <f>IF($A321="","",IF(AND($C321&amp;"-"&amp;$D321&gt;=Settings!$B$19,$C321&amp;"-"&amp;$D321&lt;=Settings!$B$20),"IN","OUT"))</f>
        <v/>
      </c>
      <c r="AS321">
        <f>IF($A321="","",IF($F321="Financial Results","financials",IF($F321="Outlook/Guidance","guidance",IF($F321="Transcript Q&amp;A","qanda",IF($F321="","unrecorded",IF($E321="All","full",IF($E321="","unrecorded",LOWER($E321)&amp;" only")))))))</f>
        <v/>
      </c>
      <c r="AT321">
        <f>IF(AND(OR($J321="BUY",$J321="SELL"),ISNUMBER($U321)),$U321,"")</f>
        <v/>
      </c>
      <c r="AU321">
        <f>IF(AND(OR($J321="BUY",$J321="SELL"),ISNUMBER($AK321)),$AK321,"")</f>
        <v/>
      </c>
      <c r="AV321">
        <f>IF(ISNUMBER($AT321),ABS(IF(ISNUMBER($I321),$I321,0)-Settings!$B$24),"")</f>
        <v/>
      </c>
      <c r="AW321">
        <f>IF(ISNUMBER($AV321),$AV321*$AT321,"")</f>
        <v/>
      </c>
      <c r="AX321">
        <f>IF(ISNUMBER($AU321),ABS(IF(ISNUMBER($I321),$I321,0)-Settings!$B$24),"")</f>
        <v/>
      </c>
      <c r="AY321">
        <f>IF(ISNUMBER($AX321),$AX321*$AU321,"")</f>
        <v/>
      </c>
      <c r="AZ321">
        <f>IF($A321="","",IFERROR(INDEX(Company_List!$H$3:$H$207,MATCH($A321,Company_List!$A$3:$A$207,0)),"unassigned"))</f>
        <v/>
      </c>
      <c r="BC321">
        <f>IF($A321="","",IF(COUNTIFS($A$3:$A321,$A321,$C$3:$C321,$C321,$D$3:$D321,$D321,$G$3:$G321,$G321)=1,1,0))</f>
        <v/>
      </c>
      <c r="BG321" t="inlineStr">
        <is>
          <t>no</t>
        </is>
      </c>
      <c r="BK321">
        <f>IF(OR($H321&lt;&gt;"Human",$S321="",$J321="",$Y321="",$Z321=""),"",IF(EXACT(UPPER($J321),UPPER($Y321)),1,0))</f>
        <v/>
      </c>
      <c r="BL321" t="inlineStr">
        <is>
          <t>assumed - no rater record</t>
        </is>
      </c>
      <c r="BM321" t="n">
        <v>1</v>
      </c>
      <c r="BN321" t="inlineStr">
        <is>
          <t>not publisher-identified</t>
        </is>
      </c>
      <c r="BO321" t="inlineStr">
        <is>
          <t>not publisher-identified</t>
        </is>
      </c>
      <c r="BP321" t="inlineStr">
        <is>
          <t>no</t>
        </is>
      </c>
      <c r="BQ321" t="inlineStr">
        <is>
          <t>yes</t>
        </is>
      </c>
    </row>
    <row r="322">
      <c r="A322" s="1" t="inlineStr">
        <is>
          <t>UnitedHealth</t>
        </is>
      </c>
      <c r="B322" s="142">
        <f>IF(A322="","",_xlfn.XLOOKUP(A322, Company_List!$A:$A, Company_List!$B:$B, ""))</f>
        <v/>
      </c>
      <c r="C322" s="143" t="n">
        <v>2025</v>
      </c>
      <c r="D322" s="143" t="inlineStr">
        <is>
          <t>Q2</t>
        </is>
      </c>
      <c r="E322" s="98" t="inlineStr">
        <is>
          <t>Transcript</t>
        </is>
      </c>
      <c r="F322" s="98" t="inlineStr">
        <is>
          <t>Transcript Q&amp;A</t>
        </is>
      </c>
      <c r="G322" s="143" t="inlineStr">
        <is>
          <t>David</t>
        </is>
      </c>
      <c r="H322" s="106" t="inlineStr">
        <is>
          <t>Human</t>
        </is>
      </c>
      <c r="I322" s="145" t="n">
        <v>0.3</v>
      </c>
      <c r="J322" s="145">
        <f>IF(OR(I322="",Settings!$B$6=""),"",IF(I322&gt;Settings!$B$6,"BUY",IF(I322&lt;-Settings!$B$6,"SELL","HOLD")))</f>
        <v/>
      </c>
      <c r="K322" s="145" t="n">
        <v>27</v>
      </c>
      <c r="L322" s="125" t="n">
        <v>45867</v>
      </c>
      <c r="M322" s="140" t="n">
        <v>45866</v>
      </c>
      <c r="N322" s="147" t="n">
        <v>282.12</v>
      </c>
      <c r="O322" s="140" t="n">
        <v>45867</v>
      </c>
      <c r="P322" s="145" t="n">
        <v>265.7</v>
      </c>
      <c r="Q322" s="151">
        <f>IF(OR(N322="",P322=""),"",ROUND((P322-N322)/N322,4))</f>
        <v/>
      </c>
      <c r="R322" s="118">
        <f>IF(OR(N322="",P322=""),"",IF(Q322&gt;Settings!$B$3/100,"UP",IF(Q322&lt;-Settings!$B$3/100,"DOWN","FLAT")))</f>
        <v/>
      </c>
      <c r="S322" s="118">
        <f>IF(OR(N322="",P322="",J322=""),"",IF(OR(AND(J322="BUY",R322="UP"),AND(J322="SELL",R322="DOWN"),AND(J322="HOLD",R322="FLAT")),"YES","NO"))</f>
        <v/>
      </c>
      <c r="T322" s="119">
        <f>IF(J322="","",IF(J322="BUY",1,IF(J322="SELL",-1,0)))</f>
        <v/>
      </c>
      <c r="U322" s="150">
        <f>IFERROR(IF(OR(J322="",N322="",P322=""),"",IF(T322=0,0,T322*Q322-Settings!$B$4/10000-IF(T322&lt;0,Settings!$B$5/10000,0))),"")</f>
        <v/>
      </c>
      <c r="W322" s="21">
        <f>IF($K322="","",$K322*60)</f>
        <v/>
      </c>
      <c r="X322" s="91">
        <f>IF($A322="","",$A322&amp;"|"&amp;$C322&amp;"|"&amp;$D322)</f>
        <v/>
      </c>
      <c r="Y322" s="91">
        <f>IFERROR(IF($X322="","",INDEX(LLM_Data_Entry!$H$3:$H$548,MATCH($X322,INDEX(LLM_Data_Entry!$A$3:$A$548&amp;"|"&amp;LLM_Data_Entry!$C$3:$C$548&amp;"|"&amp;LLM_Data_Entry!$D$3:$D$548,0),0))),"")</f>
        <v/>
      </c>
      <c r="Z322" s="91">
        <f>IFERROR(IF($X322="","",INDEX(LLM_Data_Entry!$R$3:$R$548,MATCH($X322,INDEX(LLM_Data_Entry!$A$3:$A$548&amp;"|"&amp;LLM_Data_Entry!$C$3:$C$548&amp;"|"&amp;LLM_Data_Entry!$D$3:$D$548,0),0))),"")</f>
        <v/>
      </c>
      <c r="AB322" t="inlineStr">
        <is>
          <t>price signal — both moved; this one dominates</t>
        </is>
      </c>
      <c r="AC322" t="inlineStr">
        <is>
          <t>UNH</t>
        </is>
      </c>
      <c r="AD322" t="inlineStr">
        <is>
          <t>2025-07-28</t>
        </is>
      </c>
      <c r="AE322" t="n">
        <v>274.7614</v>
      </c>
      <c r="AF322" t="inlineStr">
        <is>
          <t>2025-07-29</t>
        </is>
      </c>
      <c r="AG322" t="n">
        <v>258.7697</v>
      </c>
      <c r="AH322" t="n">
        <v>-0.05820210764857895</v>
      </c>
      <c r="AI322" t="inlineStr">
        <is>
          <t>DOWN</t>
        </is>
      </c>
      <c r="AJ322" t="inlineStr">
        <is>
          <t>NO</t>
        </is>
      </c>
      <c r="AK322" t="n">
        <v>-0.059202</v>
      </c>
      <c r="AL322">
        <f>IF($A322="","",IFERROR(INDEX(Company_List!$G$3:$G$207,MATCH($A322,Company_List!$A$3:$A$207,0)),"unassigned"))</f>
        <v/>
      </c>
      <c r="AM322" t="inlineStr">
        <is>
          <t>Phase 2/Unitedhealth/2025-Q2/UNH-2025-Q2-earnings-call-transcript-unitedhealthgroup-com.pdf</t>
        </is>
      </c>
      <c r="AN322" t="inlineStr">
        <is>
          <t>https://www.unitedhealthgroup.com/content/dam/UHG/PDF/investors/2025/UNH-Q2-2025-Remarks.pdf</t>
        </is>
      </c>
      <c r="AO322" t="inlineStr">
        <is>
          <t>manifest</t>
        </is>
      </c>
      <c r="AP322">
        <f>IF($A322="","",IF(COUNTIFS(LLM_Data_Entry!$A$3:$A$548,$A322)&gt;0,"YES","NO"))</f>
        <v/>
      </c>
      <c r="AQ322">
        <f>IF($A322="","",IF(COUNTIFS($A$3:$A322,$A322,$C$3:$C322,$C322,$D$3:$D322,$D322)=1,"YES","NO"))</f>
        <v/>
      </c>
      <c r="AR322">
        <f>IF($A322="","",IF(AND($C322&amp;"-"&amp;$D322&gt;=Settings!$B$19,$C322&amp;"-"&amp;$D322&lt;=Settings!$B$20),"IN","OUT"))</f>
        <v/>
      </c>
      <c r="AS322">
        <f>IF($A322="","",IF($F322="Financial Results","financials",IF($F322="Outlook/Guidance","guidance",IF($F322="Transcript Q&amp;A","qanda",IF($F322="","unrecorded",IF($E322="All","full",IF($E322="","unrecorded",LOWER($E322)&amp;" only")))))))</f>
        <v/>
      </c>
      <c r="AT322">
        <f>IF(AND(OR($J322="BUY",$J322="SELL"),ISNUMBER($U322)),$U322,"")</f>
        <v/>
      </c>
      <c r="AU322">
        <f>IF(AND(OR($J322="BUY",$J322="SELL"),ISNUMBER($AK322)),$AK322,"")</f>
        <v/>
      </c>
      <c r="AV322">
        <f>IF(ISNUMBER($AT322),ABS(IF(ISNUMBER($I322),$I322,0)-Settings!$B$24),"")</f>
        <v/>
      </c>
      <c r="AW322">
        <f>IF(ISNUMBER($AV322),$AV322*$AT322,"")</f>
        <v/>
      </c>
      <c r="AX322">
        <f>IF(ISNUMBER($AU322),ABS(IF(ISNUMBER($I322),$I322,0)-Settings!$B$24),"")</f>
        <v/>
      </c>
      <c r="AY322">
        <f>IF(ISNUMBER($AX322),$AX322*$AU322,"")</f>
        <v/>
      </c>
      <c r="AZ322">
        <f>IF($A322="","",IFERROR(INDEX(Company_List!$H$3:$H$207,MATCH($A322,Company_List!$A$3:$A$207,0)),"unassigned"))</f>
        <v/>
      </c>
      <c r="BC322">
        <f>IF($A322="","",IF(COUNTIFS($A$3:$A322,$A322,$C$3:$C322,$C322,$D$3:$D322,$D322,$G$3:$G322,$G322)=1,1,0))</f>
        <v/>
      </c>
      <c r="BG322" t="inlineStr">
        <is>
          <t>no</t>
        </is>
      </c>
      <c r="BK322">
        <f>IF(OR($H322&lt;&gt;"Human",$S322="",$J322="",$Y322="",$Z322=""),"",IF(EXACT(UPPER($J322),UPPER($Y322)),1,0))</f>
        <v/>
      </c>
      <c r="BL322" t="inlineStr">
        <is>
          <t>assumed - no rater record</t>
        </is>
      </c>
      <c r="BM322" t="n">
        <v>1</v>
      </c>
      <c r="BN322" t="inlineStr">
        <is>
          <t>not publisher-identified</t>
        </is>
      </c>
      <c r="BO322" t="inlineStr">
        <is>
          <t>not publisher-identified</t>
        </is>
      </c>
      <c r="BP322" t="inlineStr">
        <is>
          <t>no</t>
        </is>
      </c>
      <c r="BQ322" t="inlineStr">
        <is>
          <t>yes</t>
        </is>
      </c>
    </row>
    <row r="323">
      <c r="A323" s="1" t="inlineStr">
        <is>
          <t>UnitedHealth</t>
        </is>
      </c>
      <c r="B323" s="142">
        <f>IF(A323="","",_xlfn.XLOOKUP(A323, Company_List!$A:$A, Company_List!$B:$B, ""))</f>
        <v/>
      </c>
      <c r="C323" s="143" t="n">
        <v>2025</v>
      </c>
      <c r="D323" s="143" t="inlineStr">
        <is>
          <t>Q3</t>
        </is>
      </c>
      <c r="E323" s="98" t="inlineStr">
        <is>
          <t>Financial Statement</t>
        </is>
      </c>
      <c r="F323" s="98" t="inlineStr">
        <is>
          <t>Financial Results</t>
        </is>
      </c>
      <c r="G323" s="143" t="inlineStr">
        <is>
          <t>David</t>
        </is>
      </c>
      <c r="H323" s="106" t="inlineStr">
        <is>
          <t>Human</t>
        </is>
      </c>
      <c r="I323" s="145" t="n">
        <v>-0.55</v>
      </c>
      <c r="J323" s="145">
        <f>IF(OR(I323="",Settings!$B$6=""),"",IF(I323&gt;Settings!$B$6,"BUY",IF(I323&lt;-Settings!$B$6,"SELL","HOLD")))</f>
        <v/>
      </c>
      <c r="K323" s="145" t="n">
        <v>24</v>
      </c>
      <c r="L323" s="125" t="n">
        <v>45958</v>
      </c>
      <c r="M323" s="140" t="n">
        <v>45957</v>
      </c>
      <c r="N323" s="147" t="n">
        <v>365.98</v>
      </c>
      <c r="O323" s="140" t="n">
        <v>45958</v>
      </c>
      <c r="P323" s="145" t="n">
        <v>380.68</v>
      </c>
      <c r="Q323" s="151">
        <f>IF(OR(N323="",P323=""),"",ROUND((P323-N323)/N323,4))</f>
        <v/>
      </c>
      <c r="R323" s="118">
        <f>IF(OR(N323="",P323=""),"",IF(Q323&gt;Settings!$B$3/100,"UP",IF(Q323&lt;-Settings!$B$3/100,"DOWN","FLAT")))</f>
        <v/>
      </c>
      <c r="S323" s="118">
        <f>IF(OR(N323="",P323="",J323=""),"",IF(OR(AND(J323="BUY",R323="UP"),AND(J323="SELL",R323="DOWN"),AND(J323="HOLD",R323="FLAT")),"YES","NO"))</f>
        <v/>
      </c>
      <c r="T323" s="119">
        <f>IF(J323="","",IF(J323="BUY",1,IF(J323="SELL",-1,0)))</f>
        <v/>
      </c>
      <c r="U323" s="150">
        <f>IFERROR(IF(OR(J323="",N323="",P323=""),"",IF(T323=0,0,T323*Q323-Settings!$B$4/10000-IF(T323&lt;0,Settings!$B$5/10000,0))),"")</f>
        <v/>
      </c>
      <c r="W323" s="21">
        <f>IF($K323="","",$K323*60)</f>
        <v/>
      </c>
      <c r="X323" s="91">
        <f>IF($A323="","",$A323&amp;"|"&amp;$C323&amp;"|"&amp;$D323)</f>
        <v/>
      </c>
      <c r="Y323" s="91">
        <f>IFERROR(IF($X323="","",INDEX(LLM_Data_Entry!$H$3:$H$548,MATCH($X323,INDEX(LLM_Data_Entry!$A$3:$A$548&amp;"|"&amp;LLM_Data_Entry!$C$3:$C$548&amp;"|"&amp;LLM_Data_Entry!$D$3:$D$548,0),0))),"")</f>
        <v/>
      </c>
      <c r="Z323" s="91">
        <f>IFERROR(IF($X323="","",INDEX(LLM_Data_Entry!$R$3:$R$548,MATCH($X323,INDEX(LLM_Data_Entry!$A$3:$A$548&amp;"|"&amp;LLM_Data_Entry!$C$3:$C$548&amp;"|"&amp;LLM_Data_Entry!$D$3:$D$548,0),0))),"")</f>
        <v/>
      </c>
      <c r="AB323" t="inlineStr">
        <is>
          <t>release date + stated time in the document (rater worksheet)</t>
        </is>
      </c>
      <c r="AC323" t="inlineStr">
        <is>
          <t>UNH</t>
        </is>
      </c>
      <c r="AD323" t="inlineStr">
        <is>
          <t>2025-10-27</t>
        </is>
      </c>
      <c r="AE323" t="n">
        <v>358.6828</v>
      </c>
      <c r="AF323" t="inlineStr">
        <is>
          <t>2025-10-28</t>
        </is>
      </c>
      <c r="AG323" t="n">
        <v>373.0897</v>
      </c>
      <c r="AH323" t="n">
        <v>0.04016609929361072</v>
      </c>
      <c r="AI323" t="inlineStr">
        <is>
          <t>UP</t>
        </is>
      </c>
      <c r="AJ323" t="inlineStr">
        <is>
          <t>NO</t>
        </is>
      </c>
      <c r="AK323" t="n">
        <v>-0.041166</v>
      </c>
      <c r="AL323">
        <f>IF($A323="","",IFERROR(INDEX(Company_List!$G$3:$G$207,MATCH($A323,Company_List!$A$3:$A$207,0)),"unassigned"))</f>
        <v/>
      </c>
      <c r="AM323" t="inlineStr">
        <is>
          <t>Phase 2/Unitedhealth/2025-Q3/UNH-2025-Q3-quarterly-financial-statements-SEC-10-Q.htm</t>
        </is>
      </c>
      <c r="AN323" t="inlineStr">
        <is>
          <t>https://www.sec.gov/Archives/edgar/data/731766/000073176625000305/unh-20250930.htm</t>
        </is>
      </c>
      <c r="AO323" t="inlineStr">
        <is>
          <t>manifest</t>
        </is>
      </c>
      <c r="AP323">
        <f>IF($A323="","",IF(COUNTIFS(LLM_Data_Entry!$A$3:$A$548,$A323)&gt;0,"YES","NO"))</f>
        <v/>
      </c>
      <c r="AQ323">
        <f>IF($A323="","",IF(COUNTIFS($A$3:$A323,$A323,$C$3:$C323,$C323,$D$3:$D323,$D323)=1,"YES","NO"))</f>
        <v/>
      </c>
      <c r="AR323">
        <f>IF($A323="","",IF(AND($C323&amp;"-"&amp;$D323&gt;=Settings!$B$19,$C323&amp;"-"&amp;$D323&lt;=Settings!$B$20),"IN","OUT"))</f>
        <v/>
      </c>
      <c r="AS323">
        <f>IF($A323="","",IF($F323="Financial Results","financials",IF($F323="Outlook/Guidance","guidance",IF($F323="Transcript Q&amp;A","qanda",IF($F323="","unrecorded",IF($E323="All","full",IF($E323="","unrecorded",LOWER($E323)&amp;" only")))))))</f>
        <v/>
      </c>
      <c r="AT323">
        <f>IF(AND(OR($J323="BUY",$J323="SELL"),ISNUMBER($U323)),$U323,"")</f>
        <v/>
      </c>
      <c r="AU323">
        <f>IF(AND(OR($J323="BUY",$J323="SELL"),ISNUMBER($AK323)),$AK323,"")</f>
        <v/>
      </c>
      <c r="AV323">
        <f>IF(ISNUMBER($AT323),ABS(IF(ISNUMBER($I323),$I323,0)-Settings!$B$24),"")</f>
        <v/>
      </c>
      <c r="AW323">
        <f>IF(ISNUMBER($AV323),$AV323*$AT323,"")</f>
        <v/>
      </c>
      <c r="AX323">
        <f>IF(ISNUMBER($AU323),ABS(IF(ISNUMBER($I323),$I323,0)-Settings!$B$24),"")</f>
        <v/>
      </c>
      <c r="AY323">
        <f>IF(ISNUMBER($AX323),$AX323*$AU323,"")</f>
        <v/>
      </c>
      <c r="AZ323">
        <f>IF($A323="","",IFERROR(INDEX(Company_List!$H$3:$H$207,MATCH($A323,Company_List!$A$3:$A$207,0)),"unassigned"))</f>
        <v/>
      </c>
      <c r="BC323">
        <f>IF($A323="","",IF(COUNTIFS($A$3:$A323,$A323,$C$3:$C323,$C323,$D$3:$D323,$D323,$G$3:$G323,$G323)=1,1,0))</f>
        <v/>
      </c>
      <c r="BG323" t="inlineStr">
        <is>
          <t>no</t>
        </is>
      </c>
      <c r="BK323">
        <f>IF(OR($H323&lt;&gt;"Human",$S323="",$J323="",$Y323="",$Z323=""),"",IF(EXACT(UPPER($J323),UPPER($Y323)),1,0))</f>
        <v/>
      </c>
      <c r="BL323" t="inlineStr">
        <is>
          <t>assumed - no rater record</t>
        </is>
      </c>
      <c r="BM323" t="n">
        <v>1</v>
      </c>
      <c r="BN323" t="inlineStr">
        <is>
          <t>not publisher-identified</t>
        </is>
      </c>
      <c r="BO323" t="inlineStr">
        <is>
          <t>not publisher-identified</t>
        </is>
      </c>
      <c r="BP323" t="inlineStr">
        <is>
          <t>sole source</t>
        </is>
      </c>
      <c r="BQ323" t="inlineStr">
        <is>
          <t>yes</t>
        </is>
      </c>
    </row>
    <row r="324">
      <c r="A324" s="1" t="inlineStr">
        <is>
          <t>UnitedHealth</t>
        </is>
      </c>
      <c r="B324" s="142">
        <f>IF(A324="","",_xlfn.XLOOKUP(A324, Company_List!$A:$A, Company_List!$B:$B, ""))</f>
        <v/>
      </c>
      <c r="C324" s="143" t="n">
        <v>2025</v>
      </c>
      <c r="D324" s="143" t="inlineStr">
        <is>
          <t>Q4</t>
        </is>
      </c>
      <c r="E324" s="98" t="inlineStr">
        <is>
          <t>Transcript</t>
        </is>
      </c>
      <c r="F324" s="98" t="inlineStr">
        <is>
          <t>Outlook/Guidance</t>
        </is>
      </c>
      <c r="G324" s="143" t="inlineStr">
        <is>
          <t>David</t>
        </is>
      </c>
      <c r="H324" s="106" t="inlineStr">
        <is>
          <t>Human</t>
        </is>
      </c>
      <c r="I324" s="145" t="n">
        <v>0.5</v>
      </c>
      <c r="J324" s="145">
        <f>IF(OR(I324="",Settings!$B$6=""),"",IF(I324&gt;Settings!$B$6,"BUY",IF(I324&lt;-Settings!$B$6,"SELL","HOLD")))</f>
        <v/>
      </c>
      <c r="K324" s="145" t="n">
        <v>29</v>
      </c>
      <c r="L324" s="123" t="n">
        <v>46049</v>
      </c>
      <c r="M324" s="140" t="n">
        <v>46048</v>
      </c>
      <c r="N324" s="147" t="n">
        <v>351.64</v>
      </c>
      <c r="O324" s="140" t="n">
        <v>46049</v>
      </c>
      <c r="P324" s="145" t="n">
        <v>293.97</v>
      </c>
      <c r="Q324" s="151">
        <f>IF(OR(N324="",P324=""),"",ROUND((P324-N324)/N324,4))</f>
        <v/>
      </c>
      <c r="R324" s="118">
        <f>IF(OR(N324="",P324=""),"",IF(Q324&gt;Settings!$B$3/100,"UP",IF(Q324&lt;-Settings!$B$3/100,"DOWN","FLAT")))</f>
        <v/>
      </c>
      <c r="S324" s="118">
        <f>IF(OR(N324="",P324="",J324=""),"",IF(OR(AND(J324="BUY",R324="UP"),AND(J324="SELL",R324="DOWN"),AND(J324="HOLD",R324="FLAT")),"YES","NO"))</f>
        <v/>
      </c>
      <c r="T324" s="119">
        <f>IF(J324="","",IF(J324="BUY",1,IF(J324="SELL",-1,0)))</f>
        <v/>
      </c>
      <c r="U324" s="150">
        <f>IFERROR(IF(OR(J324="",N324="",P324=""),"",IF(T324=0,0,T324*Q324-Settings!$B$4/10000-IF(T324&lt;0,Settings!$B$5/10000,0))),"")</f>
        <v/>
      </c>
      <c r="W324" s="21">
        <f>IF($K324="","",$K324*60)</f>
        <v/>
      </c>
      <c r="X324" s="91">
        <f>IF($A324="","",$A324&amp;"|"&amp;$C324&amp;"|"&amp;$D324)</f>
        <v/>
      </c>
      <c r="Y324" s="91">
        <f>IFERROR(IF($X324="","",INDEX(LLM_Data_Entry!$H$3:$H$548,MATCH($X324,INDEX(LLM_Data_Entry!$A$3:$A$548&amp;"|"&amp;LLM_Data_Entry!$C$3:$C$548&amp;"|"&amp;LLM_Data_Entry!$D$3:$D$548,0),0))),"")</f>
        <v/>
      </c>
      <c r="Z324" s="91">
        <f>IFERROR(IF($X324="","",INDEX(LLM_Data_Entry!$R$3:$R$548,MATCH($X324,INDEX(LLM_Data_Entry!$A$3:$A$548&amp;"|"&amp;LLM_Data_Entry!$C$3:$C$548&amp;"|"&amp;LLM_Data_Entry!$D$3:$D$548,0),0))),"")</f>
        <v/>
      </c>
      <c r="AB324" t="inlineStr">
        <is>
          <t>price signal — only this window shows an abnormal move</t>
        </is>
      </c>
      <c r="AC324" t="inlineStr">
        <is>
          <t>UNH</t>
        </is>
      </c>
      <c r="AD324" t="inlineStr">
        <is>
          <t>2026-01-26</t>
        </is>
      </c>
      <c r="AE324" t="n">
        <v>346.9458</v>
      </c>
      <c r="AF324" t="inlineStr">
        <is>
          <t>2026-01-27</t>
        </is>
      </c>
      <c r="AG324" t="n">
        <v>290.0456</v>
      </c>
      <c r="AH324" t="n">
        <v>-0.1640029927523373</v>
      </c>
      <c r="AI324" t="inlineStr">
        <is>
          <t>DOWN</t>
        </is>
      </c>
      <c r="AJ324" t="inlineStr">
        <is>
          <t>NO</t>
        </is>
      </c>
      <c r="AK324" t="n">
        <v>-0.165003</v>
      </c>
      <c r="AL324">
        <f>IF($A324="","",IFERROR(INDEX(Company_List!$G$3:$G$207,MATCH($A324,Company_List!$A$3:$A$207,0)),"unassigned"))</f>
        <v/>
      </c>
      <c r="AM324" t="inlineStr">
        <is>
          <t>Phase 2/Unitedhealth/2025-Q4/UNH-2025-Q4-earnings-call-transcript-unitedhealthgroup-com.pdf</t>
        </is>
      </c>
      <c r="AN324" t="inlineStr">
        <is>
          <t>https://www.unitedhealthgroup.com/content/dam/UHG/PDF/investors/2025/unh-q4-2025-remarks.pdf</t>
        </is>
      </c>
      <c r="AO324" t="inlineStr">
        <is>
          <t>manifest</t>
        </is>
      </c>
      <c r="AP324">
        <f>IF($A324="","",IF(COUNTIFS(LLM_Data_Entry!$A$3:$A$548,$A324)&gt;0,"YES","NO"))</f>
        <v/>
      </c>
      <c r="AQ324">
        <f>IF($A324="","",IF(COUNTIFS($A$3:$A324,$A324,$C$3:$C324,$C324,$D$3:$D324,$D324)=1,"YES","NO"))</f>
        <v/>
      </c>
      <c r="AR324">
        <f>IF($A324="","",IF(AND($C324&amp;"-"&amp;$D324&gt;=Settings!$B$19,$C324&amp;"-"&amp;$D324&lt;=Settings!$B$20),"IN","OUT"))</f>
        <v/>
      </c>
      <c r="AS324">
        <f>IF($A324="","",IF($F324="Financial Results","financials",IF($F324="Outlook/Guidance","guidance",IF($F324="Transcript Q&amp;A","qanda",IF($F324="","unrecorded",IF($E324="All","full",IF($E324="","unrecorded",LOWER($E324)&amp;" only")))))))</f>
        <v/>
      </c>
      <c r="AT324">
        <f>IF(AND(OR($J324="BUY",$J324="SELL"),ISNUMBER($U324)),$U324,"")</f>
        <v/>
      </c>
      <c r="AU324">
        <f>IF(AND(OR($J324="BUY",$J324="SELL"),ISNUMBER($AK324)),$AK324,"")</f>
        <v/>
      </c>
      <c r="AV324">
        <f>IF(ISNUMBER($AT324),ABS(IF(ISNUMBER($I324),$I324,0)-Settings!$B$24),"")</f>
        <v/>
      </c>
      <c r="AW324">
        <f>IF(ISNUMBER($AV324),$AV324*$AT324,"")</f>
        <v/>
      </c>
      <c r="AX324">
        <f>IF(ISNUMBER($AU324),ABS(IF(ISNUMBER($I324),$I324,0)-Settings!$B$24),"")</f>
        <v/>
      </c>
      <c r="AY324">
        <f>IF(ISNUMBER($AX324),$AX324*$AU324,"")</f>
        <v/>
      </c>
      <c r="AZ324">
        <f>IF($A324="","",IFERROR(INDEX(Company_List!$H$3:$H$207,MATCH($A324,Company_List!$A$3:$A$207,0)),"unassigned"))</f>
        <v/>
      </c>
      <c r="BC324">
        <f>IF($A324="","",IF(COUNTIFS($A$3:$A324,$A324,$C$3:$C324,$C324,$D$3:$D324,$D324,$G$3:$G324,$G324)=1,1,0))</f>
        <v/>
      </c>
      <c r="BG324" t="inlineStr">
        <is>
          <t>no</t>
        </is>
      </c>
      <c r="BK324">
        <f>IF(OR($H324&lt;&gt;"Human",$S324="",$J324="",$Y324="",$Z324=""),"",IF(EXACT(UPPER($J324),UPPER($Y324)),1,0))</f>
        <v/>
      </c>
      <c r="BL324" t="inlineStr">
        <is>
          <t>assumed - no rater record</t>
        </is>
      </c>
      <c r="BM324" t="n">
        <v>1</v>
      </c>
      <c r="BN324" t="inlineStr">
        <is>
          <t>not publisher-identified</t>
        </is>
      </c>
      <c r="BO324" t="inlineStr">
        <is>
          <t>not publisher-identified</t>
        </is>
      </c>
      <c r="BP324" t="inlineStr">
        <is>
          <t>no</t>
        </is>
      </c>
      <c r="BQ324" t="inlineStr">
        <is>
          <t>yes</t>
        </is>
      </c>
    </row>
    <row r="325">
      <c r="A325" s="1" t="inlineStr">
        <is>
          <t>Freeport-McMoRan</t>
        </is>
      </c>
      <c r="B325" s="142">
        <f>IF(A325="","",_xlfn.XLOOKUP(A325, Company_List!$A:$A, Company_List!$B:$B, ""))</f>
        <v/>
      </c>
      <c r="C325" s="143" t="n">
        <v>2025</v>
      </c>
      <c r="D325" s="143" t="inlineStr">
        <is>
          <t>Q2</t>
        </is>
      </c>
      <c r="E325" s="98" t="inlineStr">
        <is>
          <t>Transcript</t>
        </is>
      </c>
      <c r="F325" s="98" t="inlineStr">
        <is>
          <t>All</t>
        </is>
      </c>
      <c r="G325" s="143" t="inlineStr">
        <is>
          <t>Dragos</t>
        </is>
      </c>
      <c r="H325" s="106" t="inlineStr">
        <is>
          <t>Human</t>
        </is>
      </c>
      <c r="I325" s="145" t="n">
        <v>0.5</v>
      </c>
      <c r="J325" s="145">
        <f>IF(OR(I325="",Settings!$B$6=""),"",IF(I325&gt;Settings!$B$6,"BUY",IF(I325&lt;-Settings!$B$6,"SELL","HOLD")))</f>
        <v/>
      </c>
      <c r="K325" s="145" t="n">
        <v>40</v>
      </c>
      <c r="L325" s="123" t="n">
        <v>45861</v>
      </c>
      <c r="M325" s="140" t="n">
        <v>45860</v>
      </c>
      <c r="N325" s="147" t="n">
        <v>45.8</v>
      </c>
      <c r="O325" s="140" t="n">
        <v>45861</v>
      </c>
      <c r="P325" s="145" t="n">
        <v>44.66</v>
      </c>
      <c r="Q325" s="151">
        <f>IF(OR(N325="",P325=""),"",ROUND((P325-N325)/N325,4))</f>
        <v/>
      </c>
      <c r="R325" s="118">
        <f>IF(OR(N325="",P325=""),"",IF(Q325&gt;Settings!$B$3/100,"UP",IF(Q325&lt;-Settings!$B$3/100,"DOWN","FLAT")))</f>
        <v/>
      </c>
      <c r="S325" s="118">
        <f>IF(OR(N325="",P325="",J325=""),"",IF(OR(AND(J325="BUY",R325="UP"),AND(J325="SELL",R325="DOWN"),AND(J325="HOLD",R325="FLAT")),"YES","NO"))</f>
        <v/>
      </c>
      <c r="T325" s="119">
        <f>IF(J325="","",IF(J325="BUY",1,IF(J325="SELL",-1,0)))</f>
        <v/>
      </c>
      <c r="U325" s="150">
        <f>IFERROR(IF(OR(J325="",N325="",P325=""),"",IF(T325=0,0,T325*Q325-Settings!$B$4/10000-IF(T325&lt;0,Settings!$B$5/10000,0))),"")</f>
        <v/>
      </c>
      <c r="V325" t="inlineStr">
        <is>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is>
      </c>
      <c r="W325" s="21">
        <f>IF($K325="","",$K325*60)</f>
        <v/>
      </c>
      <c r="X325" s="91">
        <f>IF($A325="","",$A325&amp;"|"&amp;$C325&amp;"|"&amp;$D325)</f>
        <v/>
      </c>
      <c r="Y325" s="91">
        <f>IFERROR(IF($X325="","",INDEX(LLM_Data_Entry!$H$3:$H$548,MATCH($X325,INDEX(LLM_Data_Entry!$A$3:$A$548&amp;"|"&amp;LLM_Data_Entry!$C$3:$C$548&amp;"|"&amp;LLM_Data_Entry!$D$3:$D$548,0),0))),"")</f>
        <v/>
      </c>
      <c r="Z325" s="91">
        <f>IFERROR(IF($X325="","",INDEX(LLM_Data_Entry!$R$3:$R$548,MATCH($X325,INDEX(LLM_Data_Entry!$A$3:$A$548&amp;"|"&amp;LLM_Data_Entry!$C$3:$C$548&amp;"|"&amp;LLM_Data_Entry!$D$3:$D$548,0),0))),"")</f>
        <v/>
      </c>
      <c r="AB325" t="inlineStr">
        <is>
          <t>price signal — only this window shows an abnormal move</t>
        </is>
      </c>
      <c r="AC325" t="inlineStr">
        <is>
          <t>FCX</t>
        </is>
      </c>
      <c r="AD325" t="inlineStr">
        <is>
          <t>2025-07-22</t>
        </is>
      </c>
      <c r="AE325" t="n">
        <v>45.3129</v>
      </c>
      <c r="AF325" t="inlineStr">
        <is>
          <t>2025-07-23</t>
        </is>
      </c>
      <c r="AG325" t="n">
        <v>44.185</v>
      </c>
      <c r="AH325" t="n">
        <v>-0.0248908374881723</v>
      </c>
      <c r="AI325" t="inlineStr">
        <is>
          <t>DOWN</t>
        </is>
      </c>
      <c r="AJ325" t="inlineStr">
        <is>
          <t>NO</t>
        </is>
      </c>
      <c r="AK325" t="n">
        <v>-0.025891</v>
      </c>
      <c r="AL325">
        <f>IF($A325="","",IFERROR(INDEX(Company_List!$G$3:$G$207,MATCH($A325,Company_List!$A$3:$A$207,0)),"unassigned"))</f>
        <v/>
      </c>
      <c r="AM325" t="inlineStr">
        <is>
          <t>Phase 3/Readings/Freeport-McMoRan/2025-Q2/FCX-2025-Q2-earnings-call-transcript-fool-com.html</t>
        </is>
      </c>
      <c r="AN325" t="inlineStr">
        <is>
          <t>https://www.fool.com/earnings/call-transcripts/2025/07/23/freeport-fcx-q2-2025-earnings-call-transcript/</t>
        </is>
      </c>
      <c r="AO325" t="inlineStr">
        <is>
          <t>manifest</t>
        </is>
      </c>
      <c r="AP325">
        <f>IF($A325="","",IF(COUNTIFS(LLM_Data_Entry!$A$3:$A$548,$A325)&gt;0,"YES","NO"))</f>
        <v/>
      </c>
      <c r="AQ325">
        <f>IF($A325="","",IF(COUNTIFS($A$3:$A325,$A325,$C$3:$C325,$C325,$D$3:$D325,$D325)=1,"YES","NO"))</f>
        <v/>
      </c>
      <c r="AR325">
        <f>IF($A325="","",IF(AND($C325&amp;"-"&amp;$D325&gt;=Settings!$B$19,$C325&amp;"-"&amp;$D325&lt;=Settings!$B$20),"IN","OUT"))</f>
        <v/>
      </c>
      <c r="AS325">
        <f>IF($A325="","",IF($F325="Financial Results","financials",IF($F325="Outlook/Guidance","guidance",IF($F325="Transcript Q&amp;A","qanda",IF($F325="","unrecorded",IF($E325="All","full",IF($E325="","unrecorded",LOWER($E325)&amp;" only")))))))</f>
        <v/>
      </c>
      <c r="AT325">
        <f>IF(AND(OR($J325="BUY",$J325="SELL"),ISNUMBER($U325)),$U325,"")</f>
        <v/>
      </c>
      <c r="AU325">
        <f>IF(AND(OR($J325="BUY",$J325="SELL"),ISNUMBER($AK325)),$AK325,"")</f>
        <v/>
      </c>
      <c r="AV325">
        <f>IF(ISNUMBER($AT325),ABS(IF(ISNUMBER($I325),$I325,0)-Settings!$B$24),"")</f>
        <v/>
      </c>
      <c r="AW325">
        <f>IF(ISNUMBER($AV325),$AV325*$AT325,"")</f>
        <v/>
      </c>
      <c r="AX325">
        <f>IF(ISNUMBER($AU325),ABS(IF(ISNUMBER($I325),$I325,0)-Settings!$B$24),"")</f>
        <v/>
      </c>
      <c r="AY325">
        <f>IF(ISNUMBER($AX325),$AX325*$AU325,"")</f>
        <v/>
      </c>
      <c r="AZ325">
        <f>IF($A325="","",IFERROR(INDEX(Company_List!$H$3:$H$207,MATCH($A325,Company_List!$A$3:$A$207,0)),"unassigned"))</f>
        <v/>
      </c>
      <c r="BA325" t="n">
        <v>2</v>
      </c>
      <c r="BB325" t="n">
        <v>2</v>
      </c>
      <c r="BC325">
        <f>IF($A325="","",IF(COUNTIFS($A$3:$A325,$A325,$C$3:$C325,$C325,$D$3:$D325,$D325,$G$3:$G325,$G325)=1,1,0))</f>
        <v/>
      </c>
      <c r="BD325" t="n">
        <v>15</v>
      </c>
      <c r="BE325" t="n">
        <v>25</v>
      </c>
      <c r="BF325" t="n">
        <v>0.3</v>
      </c>
      <c r="BG325" t="inlineStr">
        <is>
          <t>no</t>
        </is>
      </c>
      <c r="BJ325" t="inlineStr">
        <is>
          <t>Dragos - Phase 3 scoring_rows.csv</t>
        </is>
      </c>
      <c r="BK325">
        <f>IF(OR($H325&lt;&gt;"Human",$S325="",$J325="",$Y325="",$Z325=""),"",IF(EXACT(UPPER($J325),UPPER($Y325)),1,0))</f>
        <v/>
      </c>
      <c r="BL325" t="inlineStr">
        <is>
          <t>attested - rater record</t>
        </is>
      </c>
      <c r="BM325" t="n">
        <v>1</v>
      </c>
      <c r="BN325" t="inlineStr">
        <is>
          <t>The Motley Fool</t>
        </is>
      </c>
      <c r="BO325" t="inlineStr">
        <is>
          <t>free to read, copyright asserted</t>
        </is>
      </c>
      <c r="BP325" t="inlineStr">
        <is>
          <t>no</t>
        </is>
      </c>
      <c r="BQ325" t="inlineStr">
        <is>
          <t>yes</t>
        </is>
      </c>
    </row>
    <row r="326">
      <c r="A326" s="1" t="inlineStr">
        <is>
          <t>Union Pacific</t>
        </is>
      </c>
      <c r="B326" s="142">
        <f>IF(A326="","",_xlfn.XLOOKUP(A326, Company_List!$A:$A, Company_List!$B:$B, ""))</f>
        <v/>
      </c>
      <c r="C326" s="143" t="n">
        <v>2025</v>
      </c>
      <c r="D326" s="143" t="inlineStr">
        <is>
          <t>Q2</t>
        </is>
      </c>
      <c r="E326" s="98" t="inlineStr">
        <is>
          <t>Transcript</t>
        </is>
      </c>
      <c r="F326" s="98" t="inlineStr">
        <is>
          <t>All</t>
        </is>
      </c>
      <c r="G326" s="143" t="inlineStr">
        <is>
          <t>Dragos</t>
        </is>
      </c>
      <c r="H326" s="106" t="inlineStr">
        <is>
          <t>Human</t>
        </is>
      </c>
      <c r="I326" s="145" t="n">
        <v>0.6</v>
      </c>
      <c r="J326" s="145">
        <f>IF(OR(I326="",Settings!$B$6=""),"",IF(I326&gt;Settings!$B$6,"BUY",IF(I326&lt;-Settings!$B$6,"SELL","HOLD")))</f>
        <v/>
      </c>
      <c r="K326" s="145" t="n">
        <v>41</v>
      </c>
      <c r="L326" s="123" t="n">
        <v>45862</v>
      </c>
      <c r="M326" s="140" t="n">
        <v>45861</v>
      </c>
      <c r="N326" s="147" t="n">
        <v>231</v>
      </c>
      <c r="O326" s="140" t="n">
        <v>45862</v>
      </c>
      <c r="P326" s="145" t="n">
        <v>226</v>
      </c>
      <c r="Q326" s="151">
        <f>IF(OR(N326="",P326=""),"",ROUND((P326-N326)/N326,4))</f>
        <v/>
      </c>
      <c r="R326" s="118">
        <f>IF(OR(N326="",P326=""),"",IF(Q326&gt;Settings!$B$3/100,"UP",IF(Q326&lt;-Settings!$B$3/100,"DOWN","FLAT")))</f>
        <v/>
      </c>
      <c r="S326" s="118">
        <f>IF(OR(N326="",P326="",J326=""),"",IF(OR(AND(J326="BUY",R326="UP"),AND(J326="SELL",R326="DOWN"),AND(J326="HOLD",R326="FLAT")),"YES","NO"))</f>
        <v/>
      </c>
      <c r="T326" s="119">
        <f>IF(J326="","",IF(J326="BUY",1,IF(J326="SELL",-1,0)))</f>
        <v/>
      </c>
      <c r="U326" s="150">
        <f>IFERROR(IF(OR(J326="",N326="",P326=""),"",IF(T326=0,0,T326*Q326-Settings!$B$4/10000-IF(T326&lt;0,Settings!$B$5/10000,0))),"")</f>
        <v/>
      </c>
      <c r="V326" t="inlineStr">
        <is>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is>
      </c>
      <c r="W326" s="21">
        <f>IF($K326="","",$K326*60)</f>
        <v/>
      </c>
      <c r="X326" s="91">
        <f>IF($A326="","",$A326&amp;"|"&amp;$C326&amp;"|"&amp;$D326)</f>
        <v/>
      </c>
      <c r="Y326" s="91">
        <f>IFERROR(IF($X326="","",INDEX(LLM_Data_Entry!$H$3:$H$548,MATCH($X326,INDEX(LLM_Data_Entry!$A$3:$A$548&amp;"|"&amp;LLM_Data_Entry!$C$3:$C$548&amp;"|"&amp;LLM_Data_Entry!$D$3:$D$548,0),0))),"")</f>
        <v/>
      </c>
      <c r="Z326" s="91">
        <f>IFERROR(IF($X326="","",INDEX(LLM_Data_Entry!$R$3:$R$548,MATCH($X326,INDEX(LLM_Data_Entry!$A$3:$A$548&amp;"|"&amp;LLM_Data_Entry!$C$3:$C$548&amp;"|"&amp;LLM_Data_Entry!$D$3:$D$548,0),0))),"")</f>
        <v/>
      </c>
      <c r="AB326" t="inlineStr">
        <is>
          <t>price signal — both moved; this one dominates</t>
        </is>
      </c>
      <c r="AC326" t="inlineStr">
        <is>
          <t>UNP</t>
        </is>
      </c>
      <c r="AD326" t="inlineStr">
        <is>
          <t>2025-07-23</t>
        </is>
      </c>
      <c r="AE326" t="n">
        <v>225.8712</v>
      </c>
      <c r="AF326" t="inlineStr">
        <is>
          <t>2025-07-24</t>
        </is>
      </c>
      <c r="AG326" t="n">
        <v>220.9822</v>
      </c>
      <c r="AH326" t="n">
        <v>-0.02164502039981029</v>
      </c>
      <c r="AI326" t="inlineStr">
        <is>
          <t>DOWN</t>
        </is>
      </c>
      <c r="AJ326" t="inlineStr">
        <is>
          <t>NO</t>
        </is>
      </c>
      <c r="AK326" t="n">
        <v>-0.022645</v>
      </c>
      <c r="AL326">
        <f>IF($A326="","",IFERROR(INDEX(Company_List!$G$3:$G$207,MATCH($A326,Company_List!$A$3:$A$207,0)),"unassigned"))</f>
        <v/>
      </c>
      <c r="AM326" t="inlineStr">
        <is>
          <t>Phase 3/Readings/Union Pacific/2025-Q2/UNP-2025-Q2-earnings-call-transcript-fool-com.html</t>
        </is>
      </c>
      <c r="AN326" t="inlineStr">
        <is>
          <t>https://www.fool.com/earnings/call-transcripts/2026/01/26/union-pacific-unp-q2-2025-earnings-transcript/</t>
        </is>
      </c>
      <c r="AO326" t="inlineStr">
        <is>
          <t>manifest</t>
        </is>
      </c>
      <c r="AP326">
        <f>IF($A326="","",IF(COUNTIFS(LLM_Data_Entry!$A$3:$A$548,$A326)&gt;0,"YES","NO"))</f>
        <v/>
      </c>
      <c r="AQ326">
        <f>IF($A326="","",IF(COUNTIFS($A$3:$A326,$A326,$C$3:$C326,$C326,$D$3:$D326,$D326)=1,"YES","NO"))</f>
        <v/>
      </c>
      <c r="AR326">
        <f>IF($A326="","",IF(AND($C326&amp;"-"&amp;$D326&gt;=Settings!$B$19,$C326&amp;"-"&amp;$D326&lt;=Settings!$B$20),"IN","OUT"))</f>
        <v/>
      </c>
      <c r="AS326">
        <f>IF($A326="","",IF($F326="Financial Results","financials",IF($F326="Outlook/Guidance","guidance",IF($F326="Transcript Q&amp;A","qanda",IF($F326="","unrecorded",IF($E326="All","full",IF($E326="","unrecorded",LOWER($E326)&amp;" only")))))))</f>
        <v/>
      </c>
      <c r="AT326">
        <f>IF(AND(OR($J326="BUY",$J326="SELL"),ISNUMBER($U326)),$U326,"")</f>
        <v/>
      </c>
      <c r="AU326">
        <f>IF(AND(OR($J326="BUY",$J326="SELL"),ISNUMBER($AK326)),$AK326,"")</f>
        <v/>
      </c>
      <c r="AV326">
        <f>IF(ISNUMBER($AT326),ABS(IF(ISNUMBER($I326),$I326,0)-Settings!$B$24),"")</f>
        <v/>
      </c>
      <c r="AW326">
        <f>IF(ISNUMBER($AV326),$AV326*$AT326,"")</f>
        <v/>
      </c>
      <c r="AX326">
        <f>IF(ISNUMBER($AU326),ABS(IF(ISNUMBER($I326),$I326,0)-Settings!$B$24),"")</f>
        <v/>
      </c>
      <c r="AY326">
        <f>IF(ISNUMBER($AX326),$AX326*$AU326,"")</f>
        <v/>
      </c>
      <c r="AZ326">
        <f>IF($A326="","",IFERROR(INDEX(Company_List!$H$3:$H$207,MATCH($A326,Company_List!$A$3:$A$207,0)),"unassigned"))</f>
        <v/>
      </c>
      <c r="BA326" t="n">
        <v>2</v>
      </c>
      <c r="BB326" t="n">
        <v>2</v>
      </c>
      <c r="BC326">
        <f>IF($A326="","",IF(COUNTIFS($A$3:$A326,$A326,$C$3:$C326,$C326,$D$3:$D326,$D326,$G$3:$G326,$G326)=1,1,0))</f>
        <v/>
      </c>
      <c r="BD326" t="n">
        <v>18</v>
      </c>
      <c r="BE326" t="n">
        <v>23</v>
      </c>
      <c r="BF326" t="n">
        <v>0.7</v>
      </c>
      <c r="BG326" t="inlineStr">
        <is>
          <t>no</t>
        </is>
      </c>
      <c r="BJ326" t="inlineStr">
        <is>
          <t>Dragos - Phase 3 scoring_rows.csv</t>
        </is>
      </c>
      <c r="BK326">
        <f>IF(OR($H326&lt;&gt;"Human",$S326="",$J326="",$Y326="",$Z326=""),"",IF(EXACT(UPPER($J326),UPPER($Y326)),1,0))</f>
        <v/>
      </c>
      <c r="BL326" t="inlineStr">
        <is>
          <t>attested - rater record</t>
        </is>
      </c>
      <c r="BM326" t="n">
        <v>1</v>
      </c>
      <c r="BN326" t="inlineStr">
        <is>
          <t>The Motley Fool</t>
        </is>
      </c>
      <c r="BO326" t="inlineStr">
        <is>
          <t>free to read, copyright asserted</t>
        </is>
      </c>
      <c r="BP326" t="inlineStr">
        <is>
          <t>no</t>
        </is>
      </c>
      <c r="BQ326" t="inlineStr">
        <is>
          <t>yes</t>
        </is>
      </c>
    </row>
    <row r="327">
      <c r="A327" s="1" t="inlineStr">
        <is>
          <t>UnitedHealth</t>
        </is>
      </c>
      <c r="B327" s="142">
        <f>IF(A327="","",_xlfn.XLOOKUP(A327, Company_List!$A:$A, Company_List!$B:$B, ""))</f>
        <v/>
      </c>
      <c r="C327" s="143" t="n">
        <v>2025</v>
      </c>
      <c r="D327" s="143" t="inlineStr">
        <is>
          <t>Q2</t>
        </is>
      </c>
      <c r="E327" s="98" t="inlineStr">
        <is>
          <t>Transcript</t>
        </is>
      </c>
      <c r="F327" s="98" t="inlineStr">
        <is>
          <t>All</t>
        </is>
      </c>
      <c r="G327" s="143" t="inlineStr">
        <is>
          <t>Dragos</t>
        </is>
      </c>
      <c r="H327" s="106" t="inlineStr">
        <is>
          <t>Human</t>
        </is>
      </c>
      <c r="I327" s="145" t="n">
        <v>-0.3</v>
      </c>
      <c r="J327" s="145">
        <f>IF(OR(I327="",Settings!$B$6=""),"",IF(I327&gt;Settings!$B$6,"BUY",IF(I327&lt;-Settings!$B$6,"SELL","HOLD")))</f>
        <v/>
      </c>
      <c r="K327" s="145" t="n">
        <v>36</v>
      </c>
      <c r="L327" s="123" t="n">
        <v>45867</v>
      </c>
      <c r="M327" s="140" t="n">
        <v>45866</v>
      </c>
      <c r="N327" s="147" t="n">
        <v>282.12</v>
      </c>
      <c r="O327" s="140" t="n">
        <v>45867</v>
      </c>
      <c r="P327" s="145" t="n">
        <v>265.7</v>
      </c>
      <c r="Q327" s="151">
        <f>IF(OR(N327="",P327=""),"",ROUND((P327-N327)/N327,4))</f>
        <v/>
      </c>
      <c r="R327" s="118">
        <f>IF(OR(N327="",P327=""),"",IF(Q327&gt;Settings!$B$3/100,"UP",IF(Q327&lt;-Settings!$B$3/100,"DOWN","FLAT")))</f>
        <v/>
      </c>
      <c r="S327" s="118">
        <f>IF(OR(N327="",P327="",J327=""),"",IF(OR(AND(J327="BUY",R327="UP"),AND(J327="SELL",R327="DOWN"),AND(J327="HOLD",R327="FLAT")),"YES","NO"))</f>
        <v/>
      </c>
      <c r="T327" s="119">
        <f>IF(J327="","",IF(J327="BUY",1,IF(J327="SELL",-1,0)))</f>
        <v/>
      </c>
      <c r="U327" s="150">
        <f>IFERROR(IF(OR(J327="",N327="",P327=""),"",IF(T327=0,0,T327*Q327-Settings!$B$4/10000-IF(T327&lt;0,Settings!$B$5/10000,0))),"")</f>
        <v/>
      </c>
      <c r="V327" t="inlineStr">
        <is>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is>
      </c>
      <c r="W327" s="21">
        <f>IF($K327="","",$K327*60)</f>
        <v/>
      </c>
      <c r="X327" s="91">
        <f>IF($A327="","",$A327&amp;"|"&amp;$C327&amp;"|"&amp;$D327)</f>
        <v/>
      </c>
      <c r="Y327" s="91">
        <f>IFERROR(IF($X327="","",INDEX(LLM_Data_Entry!$H$3:$H$548,MATCH($X327,INDEX(LLM_Data_Entry!$A$3:$A$548&amp;"|"&amp;LLM_Data_Entry!$C$3:$C$548&amp;"|"&amp;LLM_Data_Entry!$D$3:$D$548,0),0))),"")</f>
        <v/>
      </c>
      <c r="Z327" s="91">
        <f>IFERROR(IF($X327="","",INDEX(LLM_Data_Entry!$R$3:$R$548,MATCH($X327,INDEX(LLM_Data_Entry!$A$3:$A$548&amp;"|"&amp;LLM_Data_Entry!$C$3:$C$548&amp;"|"&amp;LLM_Data_Entry!$D$3:$D$548,0),0))),"")</f>
        <v/>
      </c>
      <c r="AB327" t="inlineStr">
        <is>
          <t>price signal — both moved; this one dominates</t>
        </is>
      </c>
      <c r="AC327" t="inlineStr">
        <is>
          <t>UNH</t>
        </is>
      </c>
      <c r="AD327" t="inlineStr">
        <is>
          <t>2025-07-28</t>
        </is>
      </c>
      <c r="AE327" t="n">
        <v>274.7614</v>
      </c>
      <c r="AF327" t="inlineStr">
        <is>
          <t>2025-07-29</t>
        </is>
      </c>
      <c r="AG327" t="n">
        <v>258.7697</v>
      </c>
      <c r="AH327" t="n">
        <v>-0.05820210764857895</v>
      </c>
      <c r="AI327" t="inlineStr">
        <is>
          <t>DOWN</t>
        </is>
      </c>
      <c r="AJ327" t="inlineStr">
        <is>
          <t>YES</t>
        </is>
      </c>
      <c r="AK327" t="n">
        <v>0.057202</v>
      </c>
      <c r="AL327">
        <f>IF($A327="","",IFERROR(INDEX(Company_List!$G$3:$G$207,MATCH($A327,Company_List!$A$3:$A$207,0)),"unassigned"))</f>
        <v/>
      </c>
      <c r="AM327" t="inlineStr">
        <is>
          <t>Phase 2/Unitedhealth/2025-Q2/UNH-2025-Q2-earnings-call-transcript-unitedhealthgroup-com.pdf</t>
        </is>
      </c>
      <c r="AN327" t="inlineStr">
        <is>
          <t>https://www.unitedhealthgroup.com/content/dam/UHG/PDF/investors/2025/UNH-Q2-2025-Remarks.pdf</t>
        </is>
      </c>
      <c r="AO327" t="inlineStr">
        <is>
          <t>manifest</t>
        </is>
      </c>
      <c r="AP327">
        <f>IF($A327="","",IF(COUNTIFS(LLM_Data_Entry!$A$3:$A$548,$A327)&gt;0,"YES","NO"))</f>
        <v/>
      </c>
      <c r="AQ327">
        <f>IF($A327="","",IF(COUNTIFS($A$3:$A327,$A327,$C$3:$C327,$C327,$D$3:$D327,$D327)=1,"YES","NO"))</f>
        <v/>
      </c>
      <c r="AR327">
        <f>IF($A327="","",IF(AND($C327&amp;"-"&amp;$D327&gt;=Settings!$B$19,$C327&amp;"-"&amp;$D327&lt;=Settings!$B$20),"IN","OUT"))</f>
        <v/>
      </c>
      <c r="AS327">
        <f>IF($A327="","",IF($F327="Financial Results","financials",IF($F327="Outlook/Guidance","guidance",IF($F327="Transcript Q&amp;A","qanda",IF($F327="","unrecorded",IF($E327="All","full",IF($E327="","unrecorded",LOWER($E327)&amp;" only")))))))</f>
        <v/>
      </c>
      <c r="AT327">
        <f>IF(AND(OR($J327="BUY",$J327="SELL"),ISNUMBER($U327)),$U327,"")</f>
        <v/>
      </c>
      <c r="AU327">
        <f>IF(AND(OR($J327="BUY",$J327="SELL"),ISNUMBER($AK327)),$AK327,"")</f>
        <v/>
      </c>
      <c r="AV327">
        <f>IF(ISNUMBER($AT327),ABS(IF(ISNUMBER($I327),$I327,0)-Settings!$B$24),"")</f>
        <v/>
      </c>
      <c r="AW327">
        <f>IF(ISNUMBER($AV327),$AV327*$AT327,"")</f>
        <v/>
      </c>
      <c r="AX327">
        <f>IF(ISNUMBER($AU327),ABS(IF(ISNUMBER($I327),$I327,0)-Settings!$B$24),"")</f>
        <v/>
      </c>
      <c r="AY327">
        <f>IF(ISNUMBER($AX327),$AX327*$AU327,"")</f>
        <v/>
      </c>
      <c r="AZ327">
        <f>IF($A327="","",IFERROR(INDEX(Company_List!$H$3:$H$207,MATCH($A327,Company_List!$A$3:$A$207,0)),"unassigned"))</f>
        <v/>
      </c>
      <c r="BA327" t="n">
        <v>2</v>
      </c>
      <c r="BB327" t="n">
        <v>2</v>
      </c>
      <c r="BC327">
        <f>IF($A327="","",IF(COUNTIFS($A$3:$A327,$A327,$C$3:$C327,$C327,$D$3:$D327,$D327,$G$3:$G327,$G327)=1,1,0))</f>
        <v/>
      </c>
      <c r="BD327" t="n">
        <v>16</v>
      </c>
      <c r="BE327" t="n">
        <v>20</v>
      </c>
      <c r="BF327" t="n">
        <v>-0.4</v>
      </c>
      <c r="BG327" t="inlineStr">
        <is>
          <t>no</t>
        </is>
      </c>
      <c r="BJ327" t="inlineStr">
        <is>
          <t>Dragos - Phase 3 scoring_rows.csv</t>
        </is>
      </c>
      <c r="BK327">
        <f>IF(OR($H327&lt;&gt;"Human",$S327="",$J327="",$Y327="",$Z327=""),"",IF(EXACT(UPPER($J327),UPPER($Y327)),1,0))</f>
        <v/>
      </c>
      <c r="BL327" t="inlineStr">
        <is>
          <t>attested - rater record</t>
        </is>
      </c>
      <c r="BM327" t="n">
        <v>1</v>
      </c>
      <c r="BN327" t="inlineStr">
        <is>
          <t>not publisher-identified</t>
        </is>
      </c>
      <c r="BO327" t="inlineStr">
        <is>
          <t>not publisher-identified</t>
        </is>
      </c>
      <c r="BP327" t="inlineStr">
        <is>
          <t>no</t>
        </is>
      </c>
      <c r="BQ327" t="inlineStr">
        <is>
          <t>yes</t>
        </is>
      </c>
    </row>
    <row r="328">
      <c r="A328" s="1" t="inlineStr">
        <is>
          <t>Caterpillar</t>
        </is>
      </c>
      <c r="B328" s="142">
        <f>IF(A328="","",_xlfn.XLOOKUP(A328, Company_List!$A:$A, Company_List!$B:$B, ""))</f>
        <v/>
      </c>
      <c r="C328" s="143" t="n">
        <v>2025</v>
      </c>
      <c r="D328" s="143" t="inlineStr">
        <is>
          <t>Q2</t>
        </is>
      </c>
      <c r="E328" s="98" t="inlineStr">
        <is>
          <t>Transcript</t>
        </is>
      </c>
      <c r="F328" s="98" t="inlineStr">
        <is>
          <t>All</t>
        </is>
      </c>
      <c r="G328" s="143" t="inlineStr">
        <is>
          <t>Dragos</t>
        </is>
      </c>
      <c r="H328" s="106" t="inlineStr">
        <is>
          <t>Human</t>
        </is>
      </c>
      <c r="I328" s="145" t="n">
        <v>0</v>
      </c>
      <c r="J328" s="145">
        <f>IF(OR(I328="",Settings!$B$6=""),"",IF(I328&gt;Settings!$B$6,"BUY",IF(I328&lt;-Settings!$B$6,"SELL","HOLD")))</f>
        <v/>
      </c>
      <c r="K328" s="145" t="n">
        <v>33</v>
      </c>
      <c r="L328" s="123" t="n">
        <v>45874</v>
      </c>
      <c r="M328" s="140" t="n">
        <v>45873</v>
      </c>
      <c r="N328" s="147" t="n">
        <v>433.7</v>
      </c>
      <c r="O328" s="140" t="n">
        <v>45874</v>
      </c>
      <c r="P328" s="145" t="n">
        <v>427.65</v>
      </c>
      <c r="Q328" s="151">
        <f>IF(OR(N328="",P328=""),"",ROUND((P328-N328)/N328,4))</f>
        <v/>
      </c>
      <c r="R328" s="118">
        <f>IF(OR(N328="",P328=""),"",IF(Q328&gt;Settings!$B$3/100,"UP",IF(Q328&lt;-Settings!$B$3/100,"DOWN","FLAT")))</f>
        <v/>
      </c>
      <c r="S328" s="118">
        <f>IF(OR(N328="",P328="",J328=""),"",IF(OR(AND(J328="BUY",R328="UP"),AND(J328="SELL",R328="DOWN"),AND(J328="HOLD",R328="FLAT")),"YES","NO"))</f>
        <v/>
      </c>
      <c r="T328" s="119">
        <f>IF(J328="","",IF(J328="BUY",1,IF(J328="SELL",-1,0)))</f>
        <v/>
      </c>
      <c r="U328" s="150">
        <f>IFERROR(IF(OR(J328="",N328="",P328=""),"",IF(T328=0,0,T328*Q328-Settings!$B$4/10000-IF(T328&lt;0,Settings!$B$5/10000,0))),"")</f>
        <v/>
      </c>
      <c r="V328" t="inlineStr">
        <is>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is>
      </c>
      <c r="W328" s="21">
        <f>IF($K328="","",$K328*60)</f>
        <v/>
      </c>
      <c r="X328" s="91">
        <f>IF($A328="","",$A328&amp;"|"&amp;$C328&amp;"|"&amp;$D328)</f>
        <v/>
      </c>
      <c r="Y328" s="91">
        <f>IFERROR(IF($X328="","",INDEX(LLM_Data_Entry!$H$3:$H$548,MATCH($X328,INDEX(LLM_Data_Entry!$A$3:$A$548&amp;"|"&amp;LLM_Data_Entry!$C$3:$C$548&amp;"|"&amp;LLM_Data_Entry!$D$3:$D$548,0),0))),"")</f>
        <v/>
      </c>
      <c r="Z328" s="91">
        <f>IFERROR(IF($X328="","",INDEX(LLM_Data_Entry!$R$3:$R$548,MATCH($X328,INDEX(LLM_Data_Entry!$A$3:$A$548&amp;"|"&amp;LLM_Data_Entry!$C$3:$C$548&amp;"|"&amp;LLM_Data_Entry!$D$3:$D$548,0),0))),"")</f>
        <v/>
      </c>
      <c r="AB328" t="inlineStr">
        <is>
          <t>release date + stated time in the document (rater worksheet)</t>
        </is>
      </c>
      <c r="AC328" t="inlineStr">
        <is>
          <t>CAT</t>
        </is>
      </c>
      <c r="AD328" t="inlineStr">
        <is>
          <t>2025-08-04</t>
        </is>
      </c>
      <c r="AE328" t="n">
        <v>429.8309</v>
      </c>
      <c r="AF328" t="inlineStr">
        <is>
          <t>2025-08-05</t>
        </is>
      </c>
      <c r="AG328" t="n">
        <v>423.8348</v>
      </c>
      <c r="AH328" t="n">
        <v>-0.01394978226728581</v>
      </c>
      <c r="AI328" t="inlineStr">
        <is>
          <t>FLAT</t>
        </is>
      </c>
      <c r="AJ328" t="inlineStr">
        <is>
          <t>YES</t>
        </is>
      </c>
      <c r="AK328" t="n">
        <v>0</v>
      </c>
      <c r="AL328">
        <f>IF($A328="","",IFERROR(INDEX(Company_List!$G$3:$G$207,MATCH($A328,Company_List!$A$3:$A$207,0)),"unassigned"))</f>
        <v/>
      </c>
      <c r="AM328" t="inlineStr">
        <is>
          <t>Phase 2/Caterpillar/2025-Q2/CAT-2025-Q2-earnings-call-transcript-news-alphastreet-com.html</t>
        </is>
      </c>
      <c r="AN328" t="inlineStr">
        <is>
          <t>https://news.alphastreet.com/caterpillar-inc-cat-q2-2025-earnings-call-transcript/</t>
        </is>
      </c>
      <c r="AO328" t="inlineStr">
        <is>
          <t>manifest</t>
        </is>
      </c>
      <c r="AP328">
        <f>IF($A328="","",IF(COUNTIFS(LLM_Data_Entry!$A$3:$A$548,$A328)&gt;0,"YES","NO"))</f>
        <v/>
      </c>
      <c r="AQ328">
        <f>IF($A328="","",IF(COUNTIFS($A$3:$A328,$A328,$C$3:$C328,$C328,$D$3:$D328,$D328)=1,"YES","NO"))</f>
        <v/>
      </c>
      <c r="AR328">
        <f>IF($A328="","",IF(AND($C328&amp;"-"&amp;$D328&gt;=Settings!$B$19,$C328&amp;"-"&amp;$D328&lt;=Settings!$B$20),"IN","OUT"))</f>
        <v/>
      </c>
      <c r="AS328">
        <f>IF($A328="","",IF($F328="Financial Results","financials",IF($F328="Outlook/Guidance","guidance",IF($F328="Transcript Q&amp;A","qanda",IF($F328="","unrecorded",IF($E328="All","full",IF($E328="","unrecorded",LOWER($E328)&amp;" only")))))))</f>
        <v/>
      </c>
      <c r="AT328">
        <f>IF(AND(OR($J328="BUY",$J328="SELL"),ISNUMBER($U328)),$U328,"")</f>
        <v/>
      </c>
      <c r="AU328">
        <f>IF(AND(OR($J328="BUY",$J328="SELL"),ISNUMBER($AK328)),$AK328,"")</f>
        <v/>
      </c>
      <c r="AV328">
        <f>IF(ISNUMBER($AT328),ABS(IF(ISNUMBER($I328),$I328,0)-Settings!$B$24),"")</f>
        <v/>
      </c>
      <c r="AW328">
        <f>IF(ISNUMBER($AV328),$AV328*$AT328,"")</f>
        <v/>
      </c>
      <c r="AX328">
        <f>IF(ISNUMBER($AU328),ABS(IF(ISNUMBER($I328),$I328,0)-Settings!$B$24),"")</f>
        <v/>
      </c>
      <c r="AY328">
        <f>IF(ISNUMBER($AX328),$AX328*$AU328,"")</f>
        <v/>
      </c>
      <c r="AZ328">
        <f>IF($A328="","",IFERROR(INDEX(Company_List!$H$3:$H$207,MATCH($A328,Company_List!$A$3:$A$207,0)),"unassigned"))</f>
        <v/>
      </c>
      <c r="BA328" t="n">
        <v>2</v>
      </c>
      <c r="BB328" t="n">
        <v>2</v>
      </c>
      <c r="BC328">
        <f>IF($A328="","",IF(COUNTIFS($A$3:$A328,$A328,$C$3:$C328,$C328,$D$3:$D328,$D328,$G$3:$G328,$G328)=1,1,0))</f>
        <v/>
      </c>
      <c r="BD328" t="n">
        <v>14</v>
      </c>
      <c r="BE328" t="n">
        <v>19</v>
      </c>
      <c r="BF328" t="n">
        <v>0.2</v>
      </c>
      <c r="BG328" t="inlineStr">
        <is>
          <t>no</t>
        </is>
      </c>
      <c r="BJ328" t="inlineStr">
        <is>
          <t>Dragos - Phase 3 scoring_rows.csv</t>
        </is>
      </c>
      <c r="BK328">
        <f>IF(OR($H328&lt;&gt;"Human",$S328="",$J328="",$Y328="",$Z328=""),"",IF(EXACT(UPPER($J328),UPPER($Y328)),1,0))</f>
        <v/>
      </c>
      <c r="BL328" t="inlineStr">
        <is>
          <t>attested - rater record</t>
        </is>
      </c>
      <c r="BM328" t="n">
        <v>1</v>
      </c>
      <c r="BN328" t="inlineStr">
        <is>
          <t>not publisher-identified</t>
        </is>
      </c>
      <c r="BO328" t="inlineStr">
        <is>
          <t>not publisher-identified</t>
        </is>
      </c>
      <c r="BP328" t="inlineStr">
        <is>
          <t>no</t>
        </is>
      </c>
      <c r="BQ328" t="inlineStr">
        <is>
          <t>yes</t>
        </is>
      </c>
    </row>
    <row r="329">
      <c r="A329" s="1" t="inlineStr">
        <is>
          <t>Home Depot</t>
        </is>
      </c>
      <c r="B329" s="142">
        <f>IF(A329="","",_xlfn.XLOOKUP(A329, Company_List!$A:$A, Company_List!$B:$B, ""))</f>
        <v/>
      </c>
      <c r="C329" s="143" t="n">
        <v>2025</v>
      </c>
      <c r="D329" s="143" t="inlineStr">
        <is>
          <t>Q2</t>
        </is>
      </c>
      <c r="E329" s="98" t="inlineStr">
        <is>
          <t>Transcript</t>
        </is>
      </c>
      <c r="F329" s="98" t="inlineStr">
        <is>
          <t>All</t>
        </is>
      </c>
      <c r="G329" s="143" t="inlineStr">
        <is>
          <t>Dragos</t>
        </is>
      </c>
      <c r="H329" s="106" t="inlineStr">
        <is>
          <t>Human</t>
        </is>
      </c>
      <c r="I329" s="145" t="n">
        <v>0.3</v>
      </c>
      <c r="J329" s="145">
        <f>IF(OR(I329="",Settings!$B$6=""),"",IF(I329&gt;Settings!$B$6,"BUY",IF(I329&lt;-Settings!$B$6,"SELL","HOLD")))</f>
        <v/>
      </c>
      <c r="K329" s="145" t="n">
        <v>30</v>
      </c>
      <c r="L329" s="123" t="n">
        <v>45888</v>
      </c>
      <c r="M329" s="140" t="n">
        <v>45887</v>
      </c>
      <c r="N329" s="147" t="n">
        <v>394.7</v>
      </c>
      <c r="O329" s="140" t="n">
        <v>45888</v>
      </c>
      <c r="P329" s="145" t="n">
        <v>401.02</v>
      </c>
      <c r="Q329" s="151">
        <f>IF(OR(N329="",P329=""),"",ROUND((P329-N329)/N329,4))</f>
        <v/>
      </c>
      <c r="R329" s="118">
        <f>IF(OR(N329="",P329=""),"",IF(Q329&gt;Settings!$B$3/100,"UP",IF(Q329&lt;-Settings!$B$3/100,"DOWN","FLAT")))</f>
        <v/>
      </c>
      <c r="S329" s="118">
        <f>IF(OR(N329="",P329="",J329=""),"",IF(OR(AND(J329="BUY",R329="UP"),AND(J329="SELL",R329="DOWN"),AND(J329="HOLD",R329="FLAT")),"YES","NO"))</f>
        <v/>
      </c>
      <c r="T329" s="119">
        <f>IF(J329="","",IF(J329="BUY",1,IF(J329="SELL",-1,0)))</f>
        <v/>
      </c>
      <c r="U329" s="150">
        <f>IFERROR(IF(OR(J329="",N329="",P329=""),"",IF(T329=0,0,T329*Q329-Settings!$B$4/10000-IF(T329&lt;0,Settings!$B$5/10000,0))),"")</f>
        <v/>
      </c>
      <c r="V329" t="inlineStr">
        <is>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is>
      </c>
      <c r="W329" s="21">
        <f>IF($K329="","",$K329*60)</f>
        <v/>
      </c>
      <c r="X329" s="91">
        <f>IF($A329="","",$A329&amp;"|"&amp;$C329&amp;"|"&amp;$D329)</f>
        <v/>
      </c>
      <c r="Y329" s="91">
        <f>IFERROR(IF($X329="","",INDEX(LLM_Data_Entry!$H$3:$H$548,MATCH($X329,INDEX(LLM_Data_Entry!$A$3:$A$548&amp;"|"&amp;LLM_Data_Entry!$C$3:$C$548&amp;"|"&amp;LLM_Data_Entry!$D$3:$D$548,0),0))),"")</f>
        <v/>
      </c>
      <c r="Z329" s="91">
        <f>IFERROR(IF($X329="","",INDEX(LLM_Data_Entry!$R$3:$R$548,MATCH($X329,INDEX(LLM_Data_Entry!$A$3:$A$548&amp;"|"&amp;LLM_Data_Entry!$C$3:$C$548&amp;"|"&amp;LLM_Data_Entry!$D$3:$D$548,0),0))),"")</f>
        <v/>
      </c>
      <c r="AB329" t="inlineStr">
        <is>
          <t>price signal — only this window shows an abnormal move</t>
        </is>
      </c>
      <c r="AC329" t="inlineStr">
        <is>
          <t>HD</t>
        </is>
      </c>
      <c r="AD329" t="inlineStr">
        <is>
          <t>2025-08-18</t>
        </is>
      </c>
      <c r="AE329" t="n">
        <v>384.4777</v>
      </c>
      <c r="AF329" t="inlineStr">
        <is>
          <t>2025-08-19</t>
        </is>
      </c>
      <c r="AG329" t="n">
        <v>390.634</v>
      </c>
      <c r="AH329" t="n">
        <v>0.01601211775923882</v>
      </c>
      <c r="AI329" t="inlineStr">
        <is>
          <t>FLAT</t>
        </is>
      </c>
      <c r="AJ329" t="inlineStr">
        <is>
          <t>NO</t>
        </is>
      </c>
      <c r="AK329" t="n">
        <v>0.015012</v>
      </c>
      <c r="AL329">
        <f>IF($A329="","",IFERROR(INDEX(Company_List!$G$3:$G$207,MATCH($A329,Company_List!$A$3:$A$207,0)),"unassigned"))</f>
        <v/>
      </c>
      <c r="AM329" t="inlineStr">
        <is>
          <t>Phase 3/Readings/Home Depot/2025-Q2/HD-2025-Q2-earnings-call-transcript-ir-homedepot-com.pdf</t>
        </is>
      </c>
      <c r="AN329" t="inlineStr">
        <is>
          <t>https://ir.homedepot.com/~/media/Files/H/HomeDepot-IR/reports-and-presentations/quarterly-earnings/2025/hd-2q25-transcript-vf.pdf</t>
        </is>
      </c>
      <c r="AO329" t="inlineStr">
        <is>
          <t>manifest</t>
        </is>
      </c>
      <c r="AP329">
        <f>IF($A329="","",IF(COUNTIFS(LLM_Data_Entry!$A$3:$A$548,$A329)&gt;0,"YES","NO"))</f>
        <v/>
      </c>
      <c r="AQ329">
        <f>IF($A329="","",IF(COUNTIFS($A$3:$A329,$A329,$C$3:$C329,$C329,$D$3:$D329,$D329)=1,"YES","NO"))</f>
        <v/>
      </c>
      <c r="AR329">
        <f>IF($A329="","",IF(AND($C329&amp;"-"&amp;$D329&gt;=Settings!$B$19,$C329&amp;"-"&amp;$D329&lt;=Settings!$B$20),"IN","OUT"))</f>
        <v/>
      </c>
      <c r="AS329">
        <f>IF($A329="","",IF($F329="Financial Results","financials",IF($F329="Outlook/Guidance","guidance",IF($F329="Transcript Q&amp;A","qanda",IF($F329="","unrecorded",IF($E329="All","full",IF($E329="","unrecorded",LOWER($E329)&amp;" only")))))))</f>
        <v/>
      </c>
      <c r="AT329">
        <f>IF(AND(OR($J329="BUY",$J329="SELL"),ISNUMBER($U329)),$U329,"")</f>
        <v/>
      </c>
      <c r="AU329">
        <f>IF(AND(OR($J329="BUY",$J329="SELL"),ISNUMBER($AK329)),$AK329,"")</f>
        <v/>
      </c>
      <c r="AV329">
        <f>IF(ISNUMBER($AT329),ABS(IF(ISNUMBER($I329),$I329,0)-Settings!$B$24),"")</f>
        <v/>
      </c>
      <c r="AW329">
        <f>IF(ISNUMBER($AV329),$AV329*$AT329,"")</f>
        <v/>
      </c>
      <c r="AX329">
        <f>IF(ISNUMBER($AU329),ABS(IF(ISNUMBER($I329),$I329,0)-Settings!$B$24),"")</f>
        <v/>
      </c>
      <c r="AY329">
        <f>IF(ISNUMBER($AX329),$AX329*$AU329,"")</f>
        <v/>
      </c>
      <c r="AZ329">
        <f>IF($A329="","",IFERROR(INDEX(Company_List!$H$3:$H$207,MATCH($A329,Company_List!$A$3:$A$207,0)),"unassigned"))</f>
        <v/>
      </c>
      <c r="BA329" t="n">
        <v>2</v>
      </c>
      <c r="BB329" t="n">
        <v>2</v>
      </c>
      <c r="BC329">
        <f>IF($A329="","",IF(COUNTIFS($A$3:$A329,$A329,$C$3:$C329,$C329,$D$3:$D329,$D329,$G$3:$G329,$G329)=1,1,0))</f>
        <v/>
      </c>
      <c r="BD329" t="n">
        <v>12</v>
      </c>
      <c r="BE329" t="n">
        <v>18</v>
      </c>
      <c r="BF329" t="n">
        <v>-0.1</v>
      </c>
      <c r="BG329" t="inlineStr">
        <is>
          <t>no</t>
        </is>
      </c>
      <c r="BJ329" t="inlineStr">
        <is>
          <t>Dragos - Phase 3 scoring_rows.csv</t>
        </is>
      </c>
      <c r="BK329">
        <f>IF(OR($H329&lt;&gt;"Human",$S329="",$J329="",$Y329="",$Z329=""),"",IF(EXACT(UPPER($J329),UPPER($Y329)),1,0))</f>
        <v/>
      </c>
      <c r="BL329" t="inlineStr">
        <is>
          <t>attested - rater record</t>
        </is>
      </c>
      <c r="BM329" t="n">
        <v>1</v>
      </c>
      <c r="BN329" t="inlineStr">
        <is>
          <t>not publisher-identified</t>
        </is>
      </c>
      <c r="BO329" t="inlineStr">
        <is>
          <t>not publisher-identified</t>
        </is>
      </c>
      <c r="BP329" t="inlineStr">
        <is>
          <t>no</t>
        </is>
      </c>
      <c r="BQ329" t="inlineStr">
        <is>
          <t>yes</t>
        </is>
      </c>
    </row>
    <row r="330">
      <c r="A330" s="1" t="inlineStr">
        <is>
          <t>Adobe</t>
        </is>
      </c>
      <c r="B330" s="142">
        <f>IF(A330="","",_xlfn.XLOOKUP(A330, Company_List!$A:$A, Company_List!$B:$B, ""))</f>
        <v/>
      </c>
      <c r="C330" s="143" t="n">
        <v>2025</v>
      </c>
      <c r="D330" s="143" t="inlineStr">
        <is>
          <t>Q3</t>
        </is>
      </c>
      <c r="E330" s="98" t="inlineStr">
        <is>
          <t>Transcript</t>
        </is>
      </c>
      <c r="F330" s="98" t="inlineStr">
        <is>
          <t>All</t>
        </is>
      </c>
      <c r="G330" s="143" t="inlineStr">
        <is>
          <t>Dragos</t>
        </is>
      </c>
      <c r="H330" s="106" t="inlineStr">
        <is>
          <t>Human</t>
        </is>
      </c>
      <c r="I330" s="145" t="n">
        <v>0.9</v>
      </c>
      <c r="J330" s="145">
        <f>IF(OR(I330="",Settings!$B$6=""),"",IF(I330&gt;Settings!$B$6,"BUY",IF(I330&lt;-Settings!$B$6,"SELL","HOLD")))</f>
        <v/>
      </c>
      <c r="K330" s="145" t="n">
        <v>34</v>
      </c>
      <c r="L330" s="123" t="n">
        <v>45911</v>
      </c>
      <c r="M330" s="140" t="n">
        <v>45911</v>
      </c>
      <c r="N330" s="147" t="n">
        <v>350.55</v>
      </c>
      <c r="O330" s="140" t="n">
        <v>45912</v>
      </c>
      <c r="P330" s="145" t="n">
        <v>361.1</v>
      </c>
      <c r="Q330" s="151">
        <f>IF(OR(N330="",P330=""),"",ROUND((P330-N330)/N330,4))</f>
        <v/>
      </c>
      <c r="R330" s="118">
        <f>IF(OR(N330="",P330=""),"",IF(Q330&gt;Settings!$B$3/100,"UP",IF(Q330&lt;-Settings!$B$3/100,"DOWN","FLAT")))</f>
        <v/>
      </c>
      <c r="S330" s="118">
        <f>IF(OR(N330="",P330="",J330=""),"",IF(OR(AND(J330="BUY",R330="UP"),AND(J330="SELL",R330="DOWN"),AND(J330="HOLD",R330="FLAT")),"YES","NO"))</f>
        <v/>
      </c>
      <c r="T330" s="119">
        <f>IF(J330="","",IF(J330="BUY",1,IF(J330="SELL",-1,0)))</f>
        <v/>
      </c>
      <c r="U330" s="150">
        <f>IFERROR(IF(OR(J330="",N330="",P330=""),"",IF(T330=0,0,T330*Q330-Settings!$B$4/10000-IF(T330&lt;0,Settings!$B$5/10000,0))),"")</f>
        <v/>
      </c>
      <c r="V330" t="inlineStr">
        <is>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is>
      </c>
      <c r="W330" s="21">
        <f>IF($K330="","",$K330*60)</f>
        <v/>
      </c>
      <c r="X330" s="91">
        <f>IF($A330="","",$A330&amp;"|"&amp;$C330&amp;"|"&amp;$D330)</f>
        <v/>
      </c>
      <c r="Y330" s="91">
        <f>IFERROR(IF($X330="","",INDEX(LLM_Data_Entry!$H$3:$H$548,MATCH($X330,INDEX(LLM_Data_Entry!$A$3:$A$548&amp;"|"&amp;LLM_Data_Entry!$C$3:$C$548&amp;"|"&amp;LLM_Data_Entry!$D$3:$D$548,0),0))),"")</f>
        <v/>
      </c>
      <c r="Z330" s="91">
        <f>IFERROR(IF($X330="","",INDEX(LLM_Data_Entry!$R$3:$R$548,MATCH($X330,INDEX(LLM_Data_Entry!$A$3:$A$548&amp;"|"&amp;LLM_Data_Entry!$C$3:$C$548&amp;"|"&amp;LLM_Data_Entry!$D$3:$D$548,0),0))),"")</f>
        <v/>
      </c>
      <c r="AB330" t="inlineStr">
        <is>
          <t>price signal — both moved; this one dominates</t>
        </is>
      </c>
      <c r="AC330" t="inlineStr">
        <is>
          <t>ADBE</t>
        </is>
      </c>
      <c r="AD330" t="inlineStr">
        <is>
          <t>2025-09-11</t>
        </is>
      </c>
      <c r="AE330" t="n">
        <v>350.55</v>
      </c>
      <c r="AF330" t="inlineStr">
        <is>
          <t>2025-09-12</t>
        </is>
      </c>
      <c r="AG330" t="n">
        <v>361.1</v>
      </c>
      <c r="AH330" t="n">
        <v>0.03009561649164861</v>
      </c>
      <c r="AI330" t="inlineStr">
        <is>
          <t>UP</t>
        </is>
      </c>
      <c r="AJ330" t="inlineStr">
        <is>
          <t>YES</t>
        </is>
      </c>
      <c r="AK330" t="n">
        <v>0.029096</v>
      </c>
      <c r="AL330">
        <f>IF($A330="","",IFERROR(INDEX(Company_List!$G$3:$G$207,MATCH($A330,Company_List!$A$3:$A$207,0)),"unassigned"))</f>
        <v/>
      </c>
      <c r="AM330" t="inlineStr">
        <is>
          <t>Phase 3/Readings/Adobe/2025-Q3/ADBE-2025-Q3-earnings-call-transcript-news-alphastreet-com.html</t>
        </is>
      </c>
      <c r="AN330" t="inlineStr">
        <is>
          <t>https://news.alphastreet.com/adobe-inc-adbe-q3-2025-earnings-call-transcript/</t>
        </is>
      </c>
      <c r="AO330" t="inlineStr">
        <is>
          <t>manifest</t>
        </is>
      </c>
      <c r="AP330">
        <f>IF($A330="","",IF(COUNTIFS(LLM_Data_Entry!$A$3:$A$548,$A330)&gt;0,"YES","NO"))</f>
        <v/>
      </c>
      <c r="AQ330">
        <f>IF($A330="","",IF(COUNTIFS($A$3:$A330,$A330,$C$3:$C330,$C330,$D$3:$D330,$D330)=1,"YES","NO"))</f>
        <v/>
      </c>
      <c r="AR330">
        <f>IF($A330="","",IF(AND($C330&amp;"-"&amp;$D330&gt;=Settings!$B$19,$C330&amp;"-"&amp;$D330&lt;=Settings!$B$20),"IN","OUT"))</f>
        <v/>
      </c>
      <c r="AS330">
        <f>IF($A330="","",IF($F330="Financial Results","financials",IF($F330="Outlook/Guidance","guidance",IF($F330="Transcript Q&amp;A","qanda",IF($F330="","unrecorded",IF($E330="All","full",IF($E330="","unrecorded",LOWER($E330)&amp;" only")))))))</f>
        <v/>
      </c>
      <c r="AT330">
        <f>IF(AND(OR($J330="BUY",$J330="SELL"),ISNUMBER($U330)),$U330,"")</f>
        <v/>
      </c>
      <c r="AU330">
        <f>IF(AND(OR($J330="BUY",$J330="SELL"),ISNUMBER($AK330)),$AK330,"")</f>
        <v/>
      </c>
      <c r="AV330">
        <f>IF(ISNUMBER($AT330),ABS(IF(ISNUMBER($I330),$I330,0)-Settings!$B$24),"")</f>
        <v/>
      </c>
      <c r="AW330">
        <f>IF(ISNUMBER($AV330),$AV330*$AT330,"")</f>
        <v/>
      </c>
      <c r="AX330">
        <f>IF(ISNUMBER($AU330),ABS(IF(ISNUMBER($I330),$I330,0)-Settings!$B$24),"")</f>
        <v/>
      </c>
      <c r="AY330">
        <f>IF(ISNUMBER($AX330),$AX330*$AU330,"")</f>
        <v/>
      </c>
      <c r="AZ330">
        <f>IF($A330="","",IFERROR(INDEX(Company_List!$H$3:$H$207,MATCH($A330,Company_List!$A$3:$A$207,0)),"unassigned"))</f>
        <v/>
      </c>
      <c r="BA330" t="n">
        <v>2</v>
      </c>
      <c r="BB330" t="n">
        <v>2</v>
      </c>
      <c r="BC330">
        <f>IF($A330="","",IF(COUNTIFS($A$3:$A330,$A330,$C$3:$C330,$C330,$D$3:$D330,$D330,$G$3:$G330,$G330)=1,1,0))</f>
        <v/>
      </c>
      <c r="BD330" t="n">
        <v>13</v>
      </c>
      <c r="BE330" t="n">
        <v>21</v>
      </c>
      <c r="BF330" t="n">
        <v>0.6</v>
      </c>
      <c r="BG330" t="inlineStr">
        <is>
          <t>no</t>
        </is>
      </c>
      <c r="BJ330" t="inlineStr">
        <is>
          <t>Dragos - Phase 3 scoring_rows.csv</t>
        </is>
      </c>
      <c r="BK330">
        <f>IF(OR($H330&lt;&gt;"Human",$S330="",$J330="",$Y330="",$Z330=""),"",IF(EXACT(UPPER($J330),UPPER($Y330)),1,0))</f>
        <v/>
      </c>
      <c r="BL330" t="inlineStr">
        <is>
          <t>attested - rater record</t>
        </is>
      </c>
      <c r="BM330" t="n">
        <v>1</v>
      </c>
      <c r="BN330" t="inlineStr">
        <is>
          <t>not publisher-identified</t>
        </is>
      </c>
      <c r="BO330" t="inlineStr">
        <is>
          <t>not publisher-identified</t>
        </is>
      </c>
      <c r="BP330" t="inlineStr">
        <is>
          <t>no</t>
        </is>
      </c>
      <c r="BQ330" t="inlineStr">
        <is>
          <t>yes</t>
        </is>
      </c>
    </row>
    <row r="331">
      <c r="A331" s="1" t="inlineStr">
        <is>
          <t>Union Pacific</t>
        </is>
      </c>
      <c r="B331" s="142">
        <f>IF(A331="","",_xlfn.XLOOKUP(A331, Company_List!$A:$A, Company_List!$B:$B, ""))</f>
        <v/>
      </c>
      <c r="C331" s="143" t="n">
        <v>2025</v>
      </c>
      <c r="D331" s="143" t="inlineStr">
        <is>
          <t>Q3</t>
        </is>
      </c>
      <c r="E331" s="98" t="inlineStr">
        <is>
          <t>Transcript</t>
        </is>
      </c>
      <c r="F331" s="98" t="inlineStr">
        <is>
          <t>All</t>
        </is>
      </c>
      <c r="G331" s="143" t="inlineStr">
        <is>
          <t>Dragos</t>
        </is>
      </c>
      <c r="H331" s="106" t="inlineStr">
        <is>
          <t>Human</t>
        </is>
      </c>
      <c r="I331" s="145" t="n">
        <v>0.2</v>
      </c>
      <c r="J331" s="145">
        <f>IF(OR(I331="",Settings!$B$6=""),"",IF(I331&gt;Settings!$B$6,"BUY",IF(I331&lt;-Settings!$B$6,"SELL","HOLD")))</f>
        <v/>
      </c>
      <c r="K331" s="145" t="n">
        <v>29</v>
      </c>
      <c r="L331" s="123" t="n">
        <v>45953</v>
      </c>
      <c r="M331" s="140" t="n">
        <v>45952</v>
      </c>
      <c r="N331" s="147" t="n">
        <v>225.24</v>
      </c>
      <c r="O331" s="140" t="n">
        <v>45953</v>
      </c>
      <c r="P331" s="145" t="n">
        <v>223.28</v>
      </c>
      <c r="Q331" s="151">
        <f>IF(OR(N331="",P331=""),"",ROUND((P331-N331)/N331,4))</f>
        <v/>
      </c>
      <c r="R331" s="118">
        <f>IF(OR(N331="",P331=""),"",IF(Q331&gt;Settings!$B$3/100,"UP",IF(Q331&lt;-Settings!$B$3/100,"DOWN","FLAT")))</f>
        <v/>
      </c>
      <c r="S331" s="118">
        <f>IF(OR(N331="",P331="",J331=""),"",IF(OR(AND(J331="BUY",R331="UP"),AND(J331="SELL",R331="DOWN"),AND(J331="HOLD",R331="FLAT")),"YES","NO"))</f>
        <v/>
      </c>
      <c r="T331" s="119">
        <f>IF(J331="","",IF(J331="BUY",1,IF(J331="SELL",-1,0)))</f>
        <v/>
      </c>
      <c r="U331" s="150">
        <f>IFERROR(IF(OR(J331="",N331="",P331=""),"",IF(T331=0,0,T331*Q331-Settings!$B$4/10000-IF(T331&lt;0,Settings!$B$5/10000,0))),"")</f>
        <v/>
      </c>
      <c r="V331" t="inlineStr">
        <is>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is>
      </c>
      <c r="W331" s="21">
        <f>IF($K331="","",$K331*60)</f>
        <v/>
      </c>
      <c r="X331" s="91">
        <f>IF($A331="","",$A331&amp;"|"&amp;$C331&amp;"|"&amp;$D331)</f>
        <v/>
      </c>
      <c r="Y331" s="91">
        <f>IFERROR(IF($X331="","",INDEX(LLM_Data_Entry!$H$3:$H$548,MATCH($X331,INDEX(LLM_Data_Entry!$A$3:$A$548&amp;"|"&amp;LLM_Data_Entry!$C$3:$C$548&amp;"|"&amp;LLM_Data_Entry!$D$3:$D$548,0),0))),"")</f>
        <v/>
      </c>
      <c r="Z331" s="91">
        <f>IFERROR(IF($X331="","",INDEX(LLM_Data_Entry!$R$3:$R$548,MATCH($X331,INDEX(LLM_Data_Entry!$A$3:$A$548&amp;"|"&amp;LLM_Data_Entry!$C$3:$C$548&amp;"|"&amp;LLM_Data_Entry!$D$3:$D$548,0),0))),"")</f>
        <v/>
      </c>
      <c r="AB331" t="inlineStr">
        <is>
          <t>price signal — only this window shows an abnormal move</t>
        </is>
      </c>
      <c r="AC331" t="inlineStr">
        <is>
          <t>UNP</t>
        </is>
      </c>
      <c r="AD331" t="inlineStr">
        <is>
          <t>2025-10-22</t>
        </is>
      </c>
      <c r="AE331" t="n">
        <v>221.6145</v>
      </c>
      <c r="AF331" t="inlineStr">
        <is>
          <t>2025-10-23</t>
        </is>
      </c>
      <c r="AG331" t="n">
        <v>219.6861</v>
      </c>
      <c r="AH331" t="n">
        <v>-0.008701810970447017</v>
      </c>
      <c r="AI331" t="inlineStr">
        <is>
          <t>FLAT</t>
        </is>
      </c>
      <c r="AJ331" t="inlineStr">
        <is>
          <t>YES</t>
        </is>
      </c>
      <c r="AK331" t="n">
        <v>0</v>
      </c>
      <c r="AL331">
        <f>IF($A331="","",IFERROR(INDEX(Company_List!$G$3:$G$207,MATCH($A331,Company_List!$A$3:$A$207,0)),"unassigned"))</f>
        <v/>
      </c>
      <c r="AM331" t="inlineStr">
        <is>
          <t>Phase 3/Readings/Union Pacific/2025-Q3/UNP-2025-Q3-earnings-call-transcript-fool-com.html</t>
        </is>
      </c>
      <c r="AN331" t="inlineStr">
        <is>
          <t>https://www.fool.com/earnings/call-transcripts/2026/01/26/union-pacific-unp-q3-2025-earnings-transcript/</t>
        </is>
      </c>
      <c r="AO331" t="inlineStr">
        <is>
          <t>manifest</t>
        </is>
      </c>
      <c r="AP331">
        <f>IF($A331="","",IF(COUNTIFS(LLM_Data_Entry!$A$3:$A$548,$A331)&gt;0,"YES","NO"))</f>
        <v/>
      </c>
      <c r="AQ331">
        <f>IF($A331="","",IF(COUNTIFS($A$3:$A331,$A331,$C$3:$C331,$C331,$D$3:$D331,$D331)=1,"YES","NO"))</f>
        <v/>
      </c>
      <c r="AR331">
        <f>IF($A331="","",IF(AND($C331&amp;"-"&amp;$D331&gt;=Settings!$B$19,$C331&amp;"-"&amp;$D331&lt;=Settings!$B$20),"IN","OUT"))</f>
        <v/>
      </c>
      <c r="AS331">
        <f>IF($A331="","",IF($F331="Financial Results","financials",IF($F331="Outlook/Guidance","guidance",IF($F331="Transcript Q&amp;A","qanda",IF($F331="","unrecorded",IF($E331="All","full",IF($E331="","unrecorded",LOWER($E331)&amp;" only")))))))</f>
        <v/>
      </c>
      <c r="AT331">
        <f>IF(AND(OR($J331="BUY",$J331="SELL"),ISNUMBER($U331)),$U331,"")</f>
        <v/>
      </c>
      <c r="AU331">
        <f>IF(AND(OR($J331="BUY",$J331="SELL"),ISNUMBER($AK331)),$AK331,"")</f>
        <v/>
      </c>
      <c r="AV331">
        <f>IF(ISNUMBER($AT331),ABS(IF(ISNUMBER($I331),$I331,0)-Settings!$B$24),"")</f>
        <v/>
      </c>
      <c r="AW331">
        <f>IF(ISNUMBER($AV331),$AV331*$AT331,"")</f>
        <v/>
      </c>
      <c r="AX331">
        <f>IF(ISNUMBER($AU331),ABS(IF(ISNUMBER($I331),$I331,0)-Settings!$B$24),"")</f>
        <v/>
      </c>
      <c r="AY331">
        <f>IF(ISNUMBER($AX331),$AX331*$AU331,"")</f>
        <v/>
      </c>
      <c r="AZ331">
        <f>IF($A331="","",IFERROR(INDEX(Company_List!$H$3:$H$207,MATCH($A331,Company_List!$A$3:$A$207,0)),"unassigned"))</f>
        <v/>
      </c>
      <c r="BA331" t="n">
        <v>2</v>
      </c>
      <c r="BB331" t="n">
        <v>2</v>
      </c>
      <c r="BC331">
        <f>IF($A331="","",IF(COUNTIFS($A$3:$A331,$A331,$C$3:$C331,$C331,$D$3:$D331,$D331,$G$3:$G331,$G331)=1,1,0))</f>
        <v/>
      </c>
      <c r="BD331" t="n">
        <v>14</v>
      </c>
      <c r="BE331" t="n">
        <v>15</v>
      </c>
      <c r="BF331" t="n">
        <v>0.1</v>
      </c>
      <c r="BG331" t="inlineStr">
        <is>
          <t>no</t>
        </is>
      </c>
      <c r="BJ331" t="inlineStr">
        <is>
          <t>Dragos - Phase 3 scoring_rows.csv</t>
        </is>
      </c>
      <c r="BK331">
        <f>IF(OR($H331&lt;&gt;"Human",$S331="",$J331="",$Y331="",$Z331=""),"",IF(EXACT(UPPER($J331),UPPER($Y331)),1,0))</f>
        <v/>
      </c>
      <c r="BL331" t="inlineStr">
        <is>
          <t>attested - rater record</t>
        </is>
      </c>
      <c r="BM331" t="n">
        <v>1</v>
      </c>
      <c r="BN331" t="inlineStr">
        <is>
          <t>The Motley Fool</t>
        </is>
      </c>
      <c r="BO331" t="inlineStr">
        <is>
          <t>free to read, copyright asserted</t>
        </is>
      </c>
      <c r="BP331" t="inlineStr">
        <is>
          <t>no</t>
        </is>
      </c>
      <c r="BQ331" t="inlineStr">
        <is>
          <t>yes</t>
        </is>
      </c>
    </row>
    <row r="332">
      <c r="A332" s="1" t="inlineStr">
        <is>
          <t>UnitedHealth</t>
        </is>
      </c>
      <c r="B332" s="142">
        <f>IF(A332="","",_xlfn.XLOOKUP(A332, Company_List!$A:$A, Company_List!$B:$B, ""))</f>
        <v/>
      </c>
      <c r="C332" s="143" t="n">
        <v>2025</v>
      </c>
      <c r="D332" s="143" t="inlineStr">
        <is>
          <t>Q3</t>
        </is>
      </c>
      <c r="E332" s="98" t="inlineStr">
        <is>
          <t>Transcript</t>
        </is>
      </c>
      <c r="F332" s="98" t="inlineStr">
        <is>
          <t>All</t>
        </is>
      </c>
      <c r="G332" s="143" t="inlineStr">
        <is>
          <t>Dragos</t>
        </is>
      </c>
      <c r="H332" s="106" t="inlineStr">
        <is>
          <t>Human</t>
        </is>
      </c>
      <c r="I332" s="145" t="n">
        <v>0</v>
      </c>
      <c r="J332" s="145">
        <f>IF(OR(I332="",Settings!$B$6=""),"",IF(I332&gt;Settings!$B$6,"BUY",IF(I332&lt;-Settings!$B$6,"SELL","HOLD")))</f>
        <v/>
      </c>
      <c r="K332" s="145" t="n">
        <v>29</v>
      </c>
      <c r="L332" s="123" t="n">
        <v>45958</v>
      </c>
      <c r="M332" s="140" t="n">
        <v>45957</v>
      </c>
      <c r="N332" s="147" t="n">
        <v>365.98</v>
      </c>
      <c r="O332" s="140" t="n">
        <v>45958</v>
      </c>
      <c r="P332" s="145" t="n">
        <v>380.68</v>
      </c>
      <c r="Q332" s="151">
        <f>IF(OR(N332="",P332=""),"",ROUND((P332-N332)/N332,4))</f>
        <v/>
      </c>
      <c r="R332" s="118">
        <f>IF(OR(N332="",P332=""),"",IF(Q332&gt;Settings!$B$3/100,"UP",IF(Q332&lt;-Settings!$B$3/100,"DOWN","FLAT")))</f>
        <v/>
      </c>
      <c r="S332" s="118">
        <f>IF(OR(N332="",P332="",J332=""),"",IF(OR(AND(J332="BUY",R332="UP"),AND(J332="SELL",R332="DOWN"),AND(J332="HOLD",R332="FLAT")),"YES","NO"))</f>
        <v/>
      </c>
      <c r="T332" s="119">
        <f>IF(J332="","",IF(J332="BUY",1,IF(J332="SELL",-1,0)))</f>
        <v/>
      </c>
      <c r="U332" s="150">
        <f>IFERROR(IF(OR(J332="",N332="",P332=""),"",IF(T332=0,0,T332*Q332-Settings!$B$4/10000-IF(T332&lt;0,Settings!$B$5/10000,0))),"")</f>
        <v/>
      </c>
      <c r="V332" t="inlineStr">
        <is>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is>
      </c>
      <c r="W332" s="21">
        <f>IF($K332="","",$K332*60)</f>
        <v/>
      </c>
      <c r="X332" s="91">
        <f>IF($A332="","",$A332&amp;"|"&amp;$C332&amp;"|"&amp;$D332)</f>
        <v/>
      </c>
      <c r="Y332" s="91">
        <f>IFERROR(IF($X332="","",INDEX(LLM_Data_Entry!$H$3:$H$548,MATCH($X332,INDEX(LLM_Data_Entry!$A$3:$A$548&amp;"|"&amp;LLM_Data_Entry!$C$3:$C$548&amp;"|"&amp;LLM_Data_Entry!$D$3:$D$548,0),0))),"")</f>
        <v/>
      </c>
      <c r="Z332" s="91">
        <f>IFERROR(IF($X332="","",INDEX(LLM_Data_Entry!$R$3:$R$548,MATCH($X332,INDEX(LLM_Data_Entry!$A$3:$A$548&amp;"|"&amp;LLM_Data_Entry!$C$3:$C$548&amp;"|"&amp;LLM_Data_Entry!$D$3:$D$548,0),0))),"")</f>
        <v/>
      </c>
      <c r="AB332" t="inlineStr">
        <is>
          <t>release date + stated time in the document (rater worksheet)</t>
        </is>
      </c>
      <c r="AC332" t="inlineStr">
        <is>
          <t>UNH</t>
        </is>
      </c>
      <c r="AD332" t="inlineStr">
        <is>
          <t>2025-10-27</t>
        </is>
      </c>
      <c r="AE332" t="n">
        <v>358.6828</v>
      </c>
      <c r="AF332" t="inlineStr">
        <is>
          <t>2025-10-28</t>
        </is>
      </c>
      <c r="AG332" t="n">
        <v>373.0897</v>
      </c>
      <c r="AH332" t="n">
        <v>0.04016609929361072</v>
      </c>
      <c r="AI332" t="inlineStr">
        <is>
          <t>UP</t>
        </is>
      </c>
      <c r="AJ332" t="inlineStr">
        <is>
          <t>NO</t>
        </is>
      </c>
      <c r="AK332" t="n">
        <v>0</v>
      </c>
      <c r="AL332">
        <f>IF($A332="","",IFERROR(INDEX(Company_List!$G$3:$G$207,MATCH($A332,Company_List!$A$3:$A$207,0)),"unassigned"))</f>
        <v/>
      </c>
      <c r="AM332" t="inlineStr">
        <is>
          <t>Phase 2/Unitedhealth/2025-Q3/UNH-2025-Q3-earnings-call-transcript-news-alphastreet-com.html</t>
        </is>
      </c>
      <c r="AN332" t="inlineStr">
        <is>
          <t>https://news.alphastreet.com/unitedhealth-group-incorporated-unh-q3-2025-earnings-call-transcript/</t>
        </is>
      </c>
      <c r="AO332" t="inlineStr">
        <is>
          <t>manifest</t>
        </is>
      </c>
      <c r="AP332">
        <f>IF($A332="","",IF(COUNTIFS(LLM_Data_Entry!$A$3:$A$548,$A332)&gt;0,"YES","NO"))</f>
        <v/>
      </c>
      <c r="AQ332">
        <f>IF($A332="","",IF(COUNTIFS($A$3:$A332,$A332,$C$3:$C332,$C332,$D$3:$D332,$D332)=1,"YES","NO"))</f>
        <v/>
      </c>
      <c r="AR332">
        <f>IF($A332="","",IF(AND($C332&amp;"-"&amp;$D332&gt;=Settings!$B$19,$C332&amp;"-"&amp;$D332&lt;=Settings!$B$20),"IN","OUT"))</f>
        <v/>
      </c>
      <c r="AS332">
        <f>IF($A332="","",IF($F332="Financial Results","financials",IF($F332="Outlook/Guidance","guidance",IF($F332="Transcript Q&amp;A","qanda",IF($F332="","unrecorded",IF($E332="All","full",IF($E332="","unrecorded",LOWER($E332)&amp;" only")))))))</f>
        <v/>
      </c>
      <c r="AT332">
        <f>IF(AND(OR($J332="BUY",$J332="SELL"),ISNUMBER($U332)),$U332,"")</f>
        <v/>
      </c>
      <c r="AU332">
        <f>IF(AND(OR($J332="BUY",$J332="SELL"),ISNUMBER($AK332)),$AK332,"")</f>
        <v/>
      </c>
      <c r="AV332">
        <f>IF(ISNUMBER($AT332),ABS(IF(ISNUMBER($I332),$I332,0)-Settings!$B$24),"")</f>
        <v/>
      </c>
      <c r="AW332">
        <f>IF(ISNUMBER($AV332),$AV332*$AT332,"")</f>
        <v/>
      </c>
      <c r="AX332">
        <f>IF(ISNUMBER($AU332),ABS(IF(ISNUMBER($I332),$I332,0)-Settings!$B$24),"")</f>
        <v/>
      </c>
      <c r="AY332">
        <f>IF(ISNUMBER($AX332),$AX332*$AU332,"")</f>
        <v/>
      </c>
      <c r="AZ332">
        <f>IF($A332="","",IFERROR(INDEX(Company_List!$H$3:$H$207,MATCH($A332,Company_List!$A$3:$A$207,0)),"unassigned"))</f>
        <v/>
      </c>
      <c r="BA332" t="n">
        <v>2</v>
      </c>
      <c r="BB332" t="n">
        <v>2</v>
      </c>
      <c r="BC332">
        <f>IF($A332="","",IF(COUNTIFS($A$3:$A332,$A332,$C$3:$C332,$C332,$D$3:$D332,$D332,$G$3:$G332,$G332)=1,1,0))</f>
        <v/>
      </c>
      <c r="BD332" t="n">
        <v>11</v>
      </c>
      <c r="BE332" t="n">
        <v>18</v>
      </c>
      <c r="BF332" t="n">
        <v>-0.2</v>
      </c>
      <c r="BG332" t="inlineStr">
        <is>
          <t>no</t>
        </is>
      </c>
      <c r="BJ332" t="inlineStr">
        <is>
          <t>Dragos - Phase 3 scoring_rows.csv</t>
        </is>
      </c>
      <c r="BK332">
        <f>IF(OR($H332&lt;&gt;"Human",$S332="",$J332="",$Y332="",$Z332=""),"",IF(EXACT(UPPER($J332),UPPER($Y332)),1,0))</f>
        <v/>
      </c>
      <c r="BL332" t="inlineStr">
        <is>
          <t>attested - rater record</t>
        </is>
      </c>
      <c r="BM332" t="n">
        <v>1</v>
      </c>
      <c r="BN332" t="inlineStr">
        <is>
          <t>not publisher-identified</t>
        </is>
      </c>
      <c r="BO332" t="inlineStr">
        <is>
          <t>not publisher-identified</t>
        </is>
      </c>
      <c r="BP332" t="inlineStr">
        <is>
          <t>no</t>
        </is>
      </c>
      <c r="BQ332" t="inlineStr">
        <is>
          <t>yes</t>
        </is>
      </c>
    </row>
    <row r="333">
      <c r="A333" s="1" t="inlineStr">
        <is>
          <t>Caterpillar</t>
        </is>
      </c>
      <c r="B333" s="142">
        <f>IF(A333="","",_xlfn.XLOOKUP(A333, Company_List!$A:$A, Company_List!$B:$B, ""))</f>
        <v/>
      </c>
      <c r="C333" s="143" t="n">
        <v>2025</v>
      </c>
      <c r="D333" s="143" t="inlineStr">
        <is>
          <t>Q3</t>
        </is>
      </c>
      <c r="E333" s="98" t="inlineStr">
        <is>
          <t>Transcript</t>
        </is>
      </c>
      <c r="F333" s="98" t="inlineStr">
        <is>
          <t>All</t>
        </is>
      </c>
      <c r="G333" s="143" t="inlineStr">
        <is>
          <t>Dragos</t>
        </is>
      </c>
      <c r="H333" s="106" t="inlineStr">
        <is>
          <t>Human</t>
        </is>
      </c>
      <c r="I333" s="145" t="n">
        <v>0.5</v>
      </c>
      <c r="J333" s="145">
        <f>IF(OR(I333="",Settings!$B$6=""),"",IF(I333&gt;Settings!$B$6,"BUY",IF(I333&lt;-Settings!$B$6,"SELL","HOLD")))</f>
        <v/>
      </c>
      <c r="K333" s="145" t="n">
        <v>27</v>
      </c>
      <c r="L333" s="123" t="n">
        <v>45959</v>
      </c>
      <c r="M333" s="140" t="n">
        <v>45958</v>
      </c>
      <c r="N333" s="147" t="n">
        <v>524.47</v>
      </c>
      <c r="O333" s="140" t="n">
        <v>45959</v>
      </c>
      <c r="P333" s="145" t="n">
        <v>558.1799999999999</v>
      </c>
      <c r="Q333" s="151">
        <f>IF(OR(N333="",P333=""),"",ROUND((P333-N333)/N333,4))</f>
        <v/>
      </c>
      <c r="R333" s="118">
        <f>IF(OR(N333="",P333=""),"",IF(Q333&gt;Settings!$B$3/100,"UP",IF(Q333&lt;-Settings!$B$3/100,"DOWN","FLAT")))</f>
        <v/>
      </c>
      <c r="S333" s="118">
        <f>IF(OR(N333="",P333="",J333=""),"",IF(OR(AND(J333="BUY",R333="UP"),AND(J333="SELL",R333="DOWN"),AND(J333="HOLD",R333="FLAT")),"YES","NO"))</f>
        <v/>
      </c>
      <c r="T333" s="119">
        <f>IF(J333="","",IF(J333="BUY",1,IF(J333="SELL",-1,0)))</f>
        <v/>
      </c>
      <c r="U333" s="150">
        <f>IFERROR(IF(OR(J333="",N333="",P333=""),"",IF(T333=0,0,T333*Q333-Settings!$B$4/10000-IF(T333&lt;0,Settings!$B$5/10000,0))),"")</f>
        <v/>
      </c>
      <c r="V333" t="inlineStr">
        <is>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is>
      </c>
      <c r="W333" s="21">
        <f>IF($K333="","",$K333*60)</f>
        <v/>
      </c>
      <c r="X333" s="91">
        <f>IF($A333="","",$A333&amp;"|"&amp;$C333&amp;"|"&amp;$D333)</f>
        <v/>
      </c>
      <c r="Y333" s="91">
        <f>IFERROR(IF($X333="","",INDEX(LLM_Data_Entry!$H$3:$H$548,MATCH($X333,INDEX(LLM_Data_Entry!$A$3:$A$548&amp;"|"&amp;LLM_Data_Entry!$C$3:$C$548&amp;"|"&amp;LLM_Data_Entry!$D$3:$D$548,0),0))),"")</f>
        <v/>
      </c>
      <c r="Z333" s="91">
        <f>IFERROR(IF($X333="","",INDEX(LLM_Data_Entry!$R$3:$R$548,MATCH($X333,INDEX(LLM_Data_Entry!$A$3:$A$548&amp;"|"&amp;LLM_Data_Entry!$C$3:$C$548&amp;"|"&amp;LLM_Data_Entry!$D$3:$D$548,0),0))),"")</f>
        <v/>
      </c>
      <c r="AB333" t="inlineStr">
        <is>
          <t>price signal — only this window shows an abnormal move</t>
        </is>
      </c>
      <c r="AC333" t="inlineStr">
        <is>
          <t>CAT</t>
        </is>
      </c>
      <c r="AD333" t="inlineStr">
        <is>
          <t>2025-10-28</t>
        </is>
      </c>
      <c r="AE333" t="n">
        <v>521.2844</v>
      </c>
      <c r="AF333" t="inlineStr">
        <is>
          <t>2025-10-29</t>
        </is>
      </c>
      <c r="AG333" t="n">
        <v>554.7897</v>
      </c>
      <c r="AH333" t="n">
        <v>0.06427438246325795</v>
      </c>
      <c r="AI333" t="inlineStr">
        <is>
          <t>UP</t>
        </is>
      </c>
      <c r="AJ333" t="inlineStr">
        <is>
          <t>YES</t>
        </is>
      </c>
      <c r="AK333" t="n">
        <v>0.063274</v>
      </c>
      <c r="AL333">
        <f>IF($A333="","",IFERROR(INDEX(Company_List!$G$3:$G$207,MATCH($A333,Company_List!$A$3:$A$207,0)),"unassigned"))</f>
        <v/>
      </c>
      <c r="AM333" t="inlineStr">
        <is>
          <t>Phase 2/Caterpillar/2025-Q3/CAT-2025-Q3-earnings-call-transcript-caterpillar-q4cdn.pdf</t>
        </is>
      </c>
      <c r="AN333" t="inlineStr">
        <is>
          <t>https://s25.q4cdn.com/358376879/files/doc_financials/2025/q3/3Q-2025-Caterpillar-Inc-Earnings-Call-Transcript_-10-29-2025.pdf</t>
        </is>
      </c>
      <c r="AO333" t="inlineStr">
        <is>
          <t>manifest</t>
        </is>
      </c>
      <c r="AP333">
        <f>IF($A333="","",IF(COUNTIFS(LLM_Data_Entry!$A$3:$A$548,$A333)&gt;0,"YES","NO"))</f>
        <v/>
      </c>
      <c r="AQ333">
        <f>IF($A333="","",IF(COUNTIFS($A$3:$A333,$A333,$C$3:$C333,$C333,$D$3:$D333,$D333)=1,"YES","NO"))</f>
        <v/>
      </c>
      <c r="AR333">
        <f>IF($A333="","",IF(AND($C333&amp;"-"&amp;$D333&gt;=Settings!$B$19,$C333&amp;"-"&amp;$D333&lt;=Settings!$B$20),"IN","OUT"))</f>
        <v/>
      </c>
      <c r="AS333">
        <f>IF($A333="","",IF($F333="Financial Results","financials",IF($F333="Outlook/Guidance","guidance",IF($F333="Transcript Q&amp;A","qanda",IF($F333="","unrecorded",IF($E333="All","full",IF($E333="","unrecorded",LOWER($E333)&amp;" only")))))))</f>
        <v/>
      </c>
      <c r="AT333">
        <f>IF(AND(OR($J333="BUY",$J333="SELL"),ISNUMBER($U333)),$U333,"")</f>
        <v/>
      </c>
      <c r="AU333">
        <f>IF(AND(OR($J333="BUY",$J333="SELL"),ISNUMBER($AK333)),$AK333,"")</f>
        <v/>
      </c>
      <c r="AV333">
        <f>IF(ISNUMBER($AT333),ABS(IF(ISNUMBER($I333),$I333,0)-Settings!$B$24),"")</f>
        <v/>
      </c>
      <c r="AW333">
        <f>IF(ISNUMBER($AV333),$AV333*$AT333,"")</f>
        <v/>
      </c>
      <c r="AX333">
        <f>IF(ISNUMBER($AU333),ABS(IF(ISNUMBER($I333),$I333,0)-Settings!$B$24),"")</f>
        <v/>
      </c>
      <c r="AY333">
        <f>IF(ISNUMBER($AX333),$AX333*$AU333,"")</f>
        <v/>
      </c>
      <c r="AZ333">
        <f>IF($A333="","",IFERROR(INDEX(Company_List!$H$3:$H$207,MATCH($A333,Company_List!$A$3:$A$207,0)),"unassigned"))</f>
        <v/>
      </c>
      <c r="BA333" t="n">
        <v>2</v>
      </c>
      <c r="BB333" t="n">
        <v>2</v>
      </c>
      <c r="BC333">
        <f>IF($A333="","",IF(COUNTIFS($A$3:$A333,$A333,$C$3:$C333,$C333,$D$3:$D333,$D333,$G$3:$G333,$G333)=1,1,0))</f>
        <v/>
      </c>
      <c r="BD333" t="n">
        <v>10</v>
      </c>
      <c r="BE333" t="n">
        <v>17</v>
      </c>
      <c r="BF333" t="n">
        <v>0.5</v>
      </c>
      <c r="BG333" t="inlineStr">
        <is>
          <t>no</t>
        </is>
      </c>
      <c r="BJ333" t="inlineStr">
        <is>
          <t>Dragos - Phase 3 scoring_rows.csv</t>
        </is>
      </c>
      <c r="BK333">
        <f>IF(OR($H333&lt;&gt;"Human",$S333="",$J333="",$Y333="",$Z333=""),"",IF(EXACT(UPPER($J333),UPPER($Y333)),1,0))</f>
        <v/>
      </c>
      <c r="BL333" t="inlineStr">
        <is>
          <t>attested - rater record</t>
        </is>
      </c>
      <c r="BM333" t="n">
        <v>1</v>
      </c>
      <c r="BN333" t="inlineStr">
        <is>
          <t>not publisher-identified</t>
        </is>
      </c>
      <c r="BO333" t="inlineStr">
        <is>
          <t>not publisher-identified</t>
        </is>
      </c>
      <c r="BP333" t="inlineStr">
        <is>
          <t>no</t>
        </is>
      </c>
      <c r="BQ333" t="inlineStr">
        <is>
          <t>yes</t>
        </is>
      </c>
    </row>
    <row r="334">
      <c r="A334" s="1" t="inlineStr">
        <is>
          <t>Home Depot</t>
        </is>
      </c>
      <c r="B334" s="142">
        <f>IF(A334="","",_xlfn.XLOOKUP(A334, Company_List!$A:$A, Company_List!$B:$B, ""))</f>
        <v/>
      </c>
      <c r="C334" s="143" t="n">
        <v>2025</v>
      </c>
      <c r="D334" s="143" t="inlineStr">
        <is>
          <t>Q3</t>
        </is>
      </c>
      <c r="E334" s="98" t="inlineStr">
        <is>
          <t>Transcript</t>
        </is>
      </c>
      <c r="F334" s="98" t="inlineStr">
        <is>
          <t>All</t>
        </is>
      </c>
      <c r="G334" s="143" t="inlineStr">
        <is>
          <t>Dragos</t>
        </is>
      </c>
      <c r="H334" s="106" t="inlineStr">
        <is>
          <t>Human</t>
        </is>
      </c>
      <c r="I334" s="145" t="n">
        <v>0.2</v>
      </c>
      <c r="J334" s="145">
        <f>IF(OR(I334="",Settings!$B$6=""),"",IF(I334&gt;Settings!$B$6,"BUY",IF(I334&lt;-Settings!$B$6,"SELL","HOLD")))</f>
        <v/>
      </c>
      <c r="K334" s="145" t="n">
        <v>24</v>
      </c>
      <c r="L334" s="123" t="n">
        <v>45979</v>
      </c>
      <c r="M334" s="140" t="n">
        <v>45978</v>
      </c>
      <c r="N334" s="147" t="n">
        <v>358.03</v>
      </c>
      <c r="O334" s="140" t="n">
        <v>45979</v>
      </c>
      <c r="P334" s="145" t="n">
        <v>339.98</v>
      </c>
      <c r="Q334" s="151">
        <f>IF(OR(N334="",P334=""),"",ROUND((P334-N334)/N334,4))</f>
        <v/>
      </c>
      <c r="R334" s="118">
        <f>IF(OR(N334="",P334=""),"",IF(Q334&gt;Settings!$B$3/100,"UP",IF(Q334&lt;-Settings!$B$3/100,"DOWN","FLAT")))</f>
        <v/>
      </c>
      <c r="S334" s="118">
        <f>IF(OR(N334="",P334="",J334=""),"",IF(OR(AND(J334="BUY",R334="UP"),AND(J334="SELL",R334="DOWN"),AND(J334="HOLD",R334="FLAT")),"YES","NO"))</f>
        <v/>
      </c>
      <c r="T334" s="119">
        <f>IF(J334="","",IF(J334="BUY",1,IF(J334="SELL",-1,0)))</f>
        <v/>
      </c>
      <c r="U334" s="150">
        <f>IFERROR(IF(OR(J334="",N334="",P334=""),"",IF(T334=0,0,T334*Q334-Settings!$B$4/10000-IF(T334&lt;0,Settings!$B$5/10000,0))),"")</f>
        <v/>
      </c>
      <c r="V334" t="inlineStr">
        <is>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is>
      </c>
      <c r="W334" s="21">
        <f>IF($K334="","",$K334*60)</f>
        <v/>
      </c>
      <c r="X334" s="91">
        <f>IF($A334="","",$A334&amp;"|"&amp;$C334&amp;"|"&amp;$D334)</f>
        <v/>
      </c>
      <c r="Y334" s="91">
        <f>IFERROR(IF($X334="","",INDEX(LLM_Data_Entry!$H$3:$H$548,MATCH($X334,INDEX(LLM_Data_Entry!$A$3:$A$548&amp;"|"&amp;LLM_Data_Entry!$C$3:$C$548&amp;"|"&amp;LLM_Data_Entry!$D$3:$D$548,0),0))),"")</f>
        <v/>
      </c>
      <c r="Z334" s="91">
        <f>IFERROR(IF($X334="","",INDEX(LLM_Data_Entry!$R$3:$R$548,MATCH($X334,INDEX(LLM_Data_Entry!$A$3:$A$548&amp;"|"&amp;LLM_Data_Entry!$C$3:$C$548&amp;"|"&amp;LLM_Data_Entry!$D$3:$D$548,0),0))),"")</f>
        <v/>
      </c>
      <c r="AB334" t="inlineStr">
        <is>
          <t>price signal — both moved; this one dominates</t>
        </is>
      </c>
      <c r="AC334" t="inlineStr">
        <is>
          <t>HD</t>
        </is>
      </c>
      <c r="AD334" t="inlineStr">
        <is>
          <t>2025-11-17</t>
        </is>
      </c>
      <c r="AE334" t="n">
        <v>350.736</v>
      </c>
      <c r="AF334" t="inlineStr">
        <is>
          <t>2025-11-18</t>
        </is>
      </c>
      <c r="AG334" t="n">
        <v>333.0537</v>
      </c>
      <c r="AH334" t="n">
        <v>-0.05041482772422101</v>
      </c>
      <c r="AI334" t="inlineStr">
        <is>
          <t>DOWN</t>
        </is>
      </c>
      <c r="AJ334" t="inlineStr">
        <is>
          <t>NO</t>
        </is>
      </c>
      <c r="AK334" t="n">
        <v>0</v>
      </c>
      <c r="AL334">
        <f>IF($A334="","",IFERROR(INDEX(Company_List!$G$3:$G$207,MATCH($A334,Company_List!$A$3:$A$207,0)),"unassigned"))</f>
        <v/>
      </c>
      <c r="AM334" t="inlineStr">
        <is>
          <t>Phase 3/Readings/Home Depot/2025-Q3/HD-2025-Q3-earnings-call-transcript-ir-homedepot-com.pdf</t>
        </is>
      </c>
      <c r="AN334" t="inlineStr">
        <is>
          <t>https://ir.homedepot.com/~/media/Files/H/HomeDepot-IR/2025/the-home-depot-inc-hd-us-q3-2025-earnings-call-v1.pdf</t>
        </is>
      </c>
      <c r="AO334" t="inlineStr">
        <is>
          <t>manifest</t>
        </is>
      </c>
      <c r="AP334">
        <f>IF($A334="","",IF(COUNTIFS(LLM_Data_Entry!$A$3:$A$548,$A334)&gt;0,"YES","NO"))</f>
        <v/>
      </c>
      <c r="AQ334">
        <f>IF($A334="","",IF(COUNTIFS($A$3:$A334,$A334,$C$3:$C334,$C334,$D$3:$D334,$D334)=1,"YES","NO"))</f>
        <v/>
      </c>
      <c r="AR334">
        <f>IF($A334="","",IF(AND($C334&amp;"-"&amp;$D334&gt;=Settings!$B$19,$C334&amp;"-"&amp;$D334&lt;=Settings!$B$20),"IN","OUT"))</f>
        <v/>
      </c>
      <c r="AS334">
        <f>IF($A334="","",IF($F334="Financial Results","financials",IF($F334="Outlook/Guidance","guidance",IF($F334="Transcript Q&amp;A","qanda",IF($F334="","unrecorded",IF($E334="All","full",IF($E334="","unrecorded",LOWER($E334)&amp;" only")))))))</f>
        <v/>
      </c>
      <c r="AT334">
        <f>IF(AND(OR($J334="BUY",$J334="SELL"),ISNUMBER($U334)),$U334,"")</f>
        <v/>
      </c>
      <c r="AU334">
        <f>IF(AND(OR($J334="BUY",$J334="SELL"),ISNUMBER($AK334)),$AK334,"")</f>
        <v/>
      </c>
      <c r="AV334">
        <f>IF(ISNUMBER($AT334),ABS(IF(ISNUMBER($I334),$I334,0)-Settings!$B$24),"")</f>
        <v/>
      </c>
      <c r="AW334">
        <f>IF(ISNUMBER($AV334),$AV334*$AT334,"")</f>
        <v/>
      </c>
      <c r="AX334">
        <f>IF(ISNUMBER($AU334),ABS(IF(ISNUMBER($I334),$I334,0)-Settings!$B$24),"")</f>
        <v/>
      </c>
      <c r="AY334">
        <f>IF(ISNUMBER($AX334),$AX334*$AU334,"")</f>
        <v/>
      </c>
      <c r="AZ334">
        <f>IF($A334="","",IFERROR(INDEX(Company_List!$H$3:$H$207,MATCH($A334,Company_List!$A$3:$A$207,0)),"unassigned"))</f>
        <v/>
      </c>
      <c r="BA334" t="n">
        <v>2</v>
      </c>
      <c r="BB334" t="n">
        <v>2</v>
      </c>
      <c r="BC334">
        <f>IF($A334="","",IF(COUNTIFS($A$3:$A334,$A334,$C$3:$C334,$C334,$D$3:$D334,$D334,$G$3:$G334,$G334)=1,1,0))</f>
        <v/>
      </c>
      <c r="BD334" t="n">
        <v>10</v>
      </c>
      <c r="BE334" t="n">
        <v>14</v>
      </c>
      <c r="BF334" t="n">
        <v>0.3</v>
      </c>
      <c r="BG334" t="inlineStr">
        <is>
          <t>no</t>
        </is>
      </c>
      <c r="BJ334" t="inlineStr">
        <is>
          <t>Dragos - Phase 3 scoring_rows.csv</t>
        </is>
      </c>
      <c r="BK334">
        <f>IF(OR($H334&lt;&gt;"Human",$S334="",$J334="",$Y334="",$Z334=""),"",IF(EXACT(UPPER($J334),UPPER($Y334)),1,0))</f>
        <v/>
      </c>
      <c r="BL334" t="inlineStr">
        <is>
          <t>attested - rater record</t>
        </is>
      </c>
      <c r="BM334" t="n">
        <v>1</v>
      </c>
      <c r="BN334" t="inlineStr">
        <is>
          <t>FactSet CallStreet</t>
        </is>
      </c>
      <c r="BO334" t="inlineStr">
        <is>
          <t>licensed vendor</t>
        </is>
      </c>
      <c r="BP334" t="inlineStr">
        <is>
          <t>no</t>
        </is>
      </c>
      <c r="BQ334" t="inlineStr">
        <is>
          <t>yes</t>
        </is>
      </c>
    </row>
    <row r="335">
      <c r="A335" s="1" t="inlineStr">
        <is>
          <t>Adobe</t>
        </is>
      </c>
      <c r="B335" s="142">
        <f>IF(A335="","",_xlfn.XLOOKUP(A335, Company_List!$A:$A, Company_List!$B:$B, ""))</f>
        <v/>
      </c>
      <c r="C335" s="143" t="n">
        <v>2025</v>
      </c>
      <c r="D335" s="143" t="inlineStr">
        <is>
          <t>Q4</t>
        </is>
      </c>
      <c r="E335" s="98" t="inlineStr">
        <is>
          <t>Transcript</t>
        </is>
      </c>
      <c r="F335" s="98" t="inlineStr">
        <is>
          <t>All</t>
        </is>
      </c>
      <c r="G335" s="143" t="inlineStr">
        <is>
          <t>Dragos</t>
        </is>
      </c>
      <c r="H335" s="106" t="inlineStr">
        <is>
          <t>Human</t>
        </is>
      </c>
      <c r="I335" s="145" t="n">
        <v>0.9</v>
      </c>
      <c r="J335" s="145">
        <f>IF(OR(I335="",Settings!$B$6=""),"",IF(I335&gt;Settings!$B$6,"BUY",IF(I335&lt;-Settings!$B$6,"SELL","HOLD")))</f>
        <v/>
      </c>
      <c r="K335" s="145" t="n">
        <v>15</v>
      </c>
      <c r="L335" s="123" t="n">
        <v>46001</v>
      </c>
      <c r="M335" s="140" t="n">
        <v>46001</v>
      </c>
      <c r="N335" s="147" t="n">
        <v>343.13</v>
      </c>
      <c r="O335" s="140" t="n">
        <v>46002</v>
      </c>
      <c r="P335" s="145" t="n">
        <v>341.65</v>
      </c>
      <c r="Q335" s="151">
        <f>IF(OR(N335="",P335=""),"",ROUND((P335-N335)/N335,4))</f>
        <v/>
      </c>
      <c r="R335" s="118">
        <f>IF(OR(N335="",P335=""),"",IF(Q335&gt;Settings!$B$3/100,"UP",IF(Q335&lt;-Settings!$B$3/100,"DOWN","FLAT")))</f>
        <v/>
      </c>
      <c r="S335" s="118">
        <f>IF(OR(N335="",P335="",J335=""),"",IF(OR(AND(J335="BUY",R335="UP"),AND(J335="SELL",R335="DOWN"),AND(J335="HOLD",R335="FLAT")),"YES","NO"))</f>
        <v/>
      </c>
      <c r="T335" s="119">
        <f>IF(J335="","",IF(J335="BUY",1,IF(J335="SELL",-1,0)))</f>
        <v/>
      </c>
      <c r="U335" s="150">
        <f>IFERROR(IF(OR(J335="",N335="",P335=""),"",IF(T335=0,0,T335*Q335-Settings!$B$4/10000-IF(T335&lt;0,Settings!$B$5/10000,0))),"")</f>
        <v/>
      </c>
      <c r="V335" t="inlineStr">
        <is>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is>
      </c>
      <c r="W335" s="21">
        <f>IF($K335="","",$K335*60)</f>
        <v/>
      </c>
      <c r="X335" s="91">
        <f>IF($A335="","",$A335&amp;"|"&amp;$C335&amp;"|"&amp;$D335)</f>
        <v/>
      </c>
      <c r="Y335" s="91">
        <f>IFERROR(IF($X335="","",INDEX(LLM_Data_Entry!$H$3:$H$548,MATCH($X335,INDEX(LLM_Data_Entry!$A$3:$A$548&amp;"|"&amp;LLM_Data_Entry!$C$3:$C$548&amp;"|"&amp;LLM_Data_Entry!$D$3:$D$548,0),0))),"")</f>
        <v/>
      </c>
      <c r="Z335" s="91">
        <f>IFERROR(IF($X335="","",INDEX(LLM_Data_Entry!$R$3:$R$548,MATCH($X335,INDEX(LLM_Data_Entry!$A$3:$A$548&amp;"|"&amp;LLM_Data_Entry!$C$3:$C$548&amp;"|"&amp;LLM_Data_Entry!$D$3:$D$548,0),0))),"")</f>
        <v/>
      </c>
      <c r="AB335" t="inlineStr">
        <is>
          <t>release time published by the issuer</t>
        </is>
      </c>
      <c r="AC335" t="inlineStr">
        <is>
          <t>ADBE</t>
        </is>
      </c>
      <c r="AD335" t="inlineStr">
        <is>
          <t>2025-12-10</t>
        </is>
      </c>
      <c r="AE335" t="n">
        <v>343.13</v>
      </c>
      <c r="AF335" t="inlineStr">
        <is>
          <t>2025-12-11</t>
        </is>
      </c>
      <c r="AG335" t="n">
        <v>341.65</v>
      </c>
      <c r="AH335" t="n">
        <v>-0.004313266046203072</v>
      </c>
      <c r="AI335" t="inlineStr">
        <is>
          <t>FLAT</t>
        </is>
      </c>
      <c r="AJ335" t="inlineStr">
        <is>
          <t>NO</t>
        </is>
      </c>
      <c r="AK335" t="n">
        <v>-0.005313</v>
      </c>
      <c r="AL335">
        <f>IF($A335="","",IFERROR(INDEX(Company_List!$G$3:$G$207,MATCH($A335,Company_List!$A$3:$A$207,0)),"unassigned"))</f>
        <v/>
      </c>
      <c r="AM335" t="inlineStr">
        <is>
          <t>Phase 3/Readings/Adobe/2025-Q4/ADBE-2025-Q4-earnings-call-transcript-fool-com.html</t>
        </is>
      </c>
      <c r="AN335" t="inlineStr">
        <is>
          <t>https://www.fool.com/earnings/call-transcripts/2025/12/10/adobe-adbe-q4-2025-earnings-call-transcript/</t>
        </is>
      </c>
      <c r="AO335" t="inlineStr">
        <is>
          <t>manifest</t>
        </is>
      </c>
      <c r="AP335">
        <f>IF($A335="","",IF(COUNTIFS(LLM_Data_Entry!$A$3:$A$548,$A335)&gt;0,"YES","NO"))</f>
        <v/>
      </c>
      <c r="AQ335">
        <f>IF($A335="","",IF(COUNTIFS($A$3:$A335,$A335,$C$3:$C335,$C335,$D$3:$D335,$D335)=1,"YES","NO"))</f>
        <v/>
      </c>
      <c r="AR335">
        <f>IF($A335="","",IF(AND($C335&amp;"-"&amp;$D335&gt;=Settings!$B$19,$C335&amp;"-"&amp;$D335&lt;=Settings!$B$20),"IN","OUT"))</f>
        <v/>
      </c>
      <c r="AS335">
        <f>IF($A335="","",IF($F335="Financial Results","financials",IF($F335="Outlook/Guidance","guidance",IF($F335="Transcript Q&amp;A","qanda",IF($F335="","unrecorded",IF($E335="All","full",IF($E335="","unrecorded",LOWER($E335)&amp;" only")))))))</f>
        <v/>
      </c>
      <c r="AT335">
        <f>IF(AND(OR($J335="BUY",$J335="SELL"),ISNUMBER($U335)),$U335,"")</f>
        <v/>
      </c>
      <c r="AU335">
        <f>IF(AND(OR($J335="BUY",$J335="SELL"),ISNUMBER($AK335)),$AK335,"")</f>
        <v/>
      </c>
      <c r="AV335">
        <f>IF(ISNUMBER($AT335),ABS(IF(ISNUMBER($I335),$I335,0)-Settings!$B$24),"")</f>
        <v/>
      </c>
      <c r="AW335">
        <f>IF(ISNUMBER($AV335),$AV335*$AT335,"")</f>
        <v/>
      </c>
      <c r="AX335">
        <f>IF(ISNUMBER($AU335),ABS(IF(ISNUMBER($I335),$I335,0)-Settings!$B$24),"")</f>
        <v/>
      </c>
      <c r="AY335">
        <f>IF(ISNUMBER($AX335),$AX335*$AU335,"")</f>
        <v/>
      </c>
      <c r="AZ335">
        <f>IF($A335="","",IFERROR(INDEX(Company_List!$H$3:$H$207,MATCH($A335,Company_List!$A$3:$A$207,0)),"unassigned"))</f>
        <v/>
      </c>
      <c r="BA335" t="n">
        <v>1</v>
      </c>
      <c r="BB335" t="n">
        <v>1</v>
      </c>
      <c r="BC335">
        <f>IF($A335="","",IF(COUNTIFS($A$3:$A335,$A335,$C$3:$C335,$C335,$D$3:$D335,$D335,$G$3:$G335,$G335)=1,1,0))</f>
        <v/>
      </c>
      <c r="BD335" t="n">
        <v>15</v>
      </c>
      <c r="BG335" t="inlineStr">
        <is>
          <t>no</t>
        </is>
      </c>
      <c r="BJ335" t="inlineStr">
        <is>
          <t>Dragos - Phase 3 scoring_rows.csv</t>
        </is>
      </c>
      <c r="BK335">
        <f>IF(OR($H335&lt;&gt;"Human",$S335="",$J335="",$Y335="",$Z335=""),"",IF(EXACT(UPPER($J335),UPPER($Y335)),1,0))</f>
        <v/>
      </c>
      <c r="BL335" t="inlineStr">
        <is>
          <t>attested - rater record</t>
        </is>
      </c>
      <c r="BM335" t="n">
        <v>1</v>
      </c>
      <c r="BN335" t="inlineStr">
        <is>
          <t>The Motley Fool</t>
        </is>
      </c>
      <c r="BO335" t="inlineStr">
        <is>
          <t>free to read, copyright asserted</t>
        </is>
      </c>
      <c r="BP335" t="inlineStr">
        <is>
          <t>no</t>
        </is>
      </c>
      <c r="BQ335" t="inlineStr">
        <is>
          <t>yes</t>
        </is>
      </c>
    </row>
    <row r="336">
      <c r="A336" s="1" t="inlineStr">
        <is>
          <t>Freeport-McMoRan</t>
        </is>
      </c>
      <c r="B336" s="142">
        <f>IF(A336="","",_xlfn.XLOOKUP(A336, Company_List!$A:$A, Company_List!$B:$B, ""))</f>
        <v/>
      </c>
      <c r="C336" s="143" t="n">
        <v>2025</v>
      </c>
      <c r="D336" s="143" t="inlineStr">
        <is>
          <t>Q4</t>
        </is>
      </c>
      <c r="E336" s="98" t="inlineStr">
        <is>
          <t>Transcript</t>
        </is>
      </c>
      <c r="F336" s="98" t="inlineStr">
        <is>
          <t>All</t>
        </is>
      </c>
      <c r="G336" s="143" t="inlineStr">
        <is>
          <t>Dragos</t>
        </is>
      </c>
      <c r="H336" s="106" t="inlineStr">
        <is>
          <t>Human</t>
        </is>
      </c>
      <c r="I336" s="145" t="n">
        <v>0.6</v>
      </c>
      <c r="J336" s="145">
        <f>IF(OR(I336="",Settings!$B$6=""),"",IF(I336&gt;Settings!$B$6,"BUY",IF(I336&lt;-Settings!$B$6,"SELL","HOLD")))</f>
        <v/>
      </c>
      <c r="K336" s="145" t="n">
        <v>16</v>
      </c>
      <c r="L336" s="123" t="n">
        <v>46044</v>
      </c>
      <c r="M336" s="140" t="n">
        <v>46043</v>
      </c>
      <c r="N336" s="147" t="n">
        <v>60.58</v>
      </c>
      <c r="O336" s="140" t="n">
        <v>46044</v>
      </c>
      <c r="P336" s="145" t="n">
        <v>60.78</v>
      </c>
      <c r="Q336" s="151">
        <f>IF(OR(N336="",P336=""),"",ROUND((P336-N336)/N336,4))</f>
        <v/>
      </c>
      <c r="R336" s="118">
        <f>IF(OR(N336="",P336=""),"",IF(Q336&gt;Settings!$B$3/100,"UP",IF(Q336&lt;-Settings!$B$3/100,"DOWN","FLAT")))</f>
        <v/>
      </c>
      <c r="S336" s="118">
        <f>IF(OR(N336="",P336="",J336=""),"",IF(OR(AND(J336="BUY",R336="UP"),AND(J336="SELL",R336="DOWN"),AND(J336="HOLD",R336="FLAT")),"YES","NO"))</f>
        <v/>
      </c>
      <c r="T336" s="119">
        <f>IF(J336="","",IF(J336="BUY",1,IF(J336="SELL",-1,0)))</f>
        <v/>
      </c>
      <c r="U336" s="150">
        <f>IFERROR(IF(OR(J336="",N336="",P336=""),"",IF(T336=0,0,T336*Q336-Settings!$B$4/10000-IF(T336&lt;0,Settings!$B$5/10000,0))),"")</f>
        <v/>
      </c>
      <c r="V336" t="inlineStr">
        <is>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is>
      </c>
      <c r="W336" s="21">
        <f>IF($K336="","",$K336*60)</f>
        <v/>
      </c>
      <c r="X336" s="91">
        <f>IF($A336="","",$A336&amp;"|"&amp;$C336&amp;"|"&amp;$D336)</f>
        <v/>
      </c>
      <c r="Y336" s="91">
        <f>IFERROR(IF($X336="","",INDEX(LLM_Data_Entry!$H$3:$H$548,MATCH($X336,INDEX(LLM_Data_Entry!$A$3:$A$548&amp;"|"&amp;LLM_Data_Entry!$C$3:$C$548&amp;"|"&amp;LLM_Data_Entry!$D$3:$D$548,0),0))),"")</f>
        <v/>
      </c>
      <c r="Z336" s="91">
        <f>IFERROR(IF($X336="","",INDEX(LLM_Data_Entry!$R$3:$R$548,MATCH($X336,INDEX(LLM_Data_Entry!$A$3:$A$548&amp;"|"&amp;LLM_Data_Entry!$C$3:$C$548&amp;"|"&amp;LLM_Data_Entry!$D$3:$D$548,0),0))),"")</f>
        <v/>
      </c>
      <c r="AB336" t="inlineStr">
        <is>
          <t>earnings calendar, seconded independently</t>
        </is>
      </c>
      <c r="AC336" t="inlineStr">
        <is>
          <t>FCX</t>
        </is>
      </c>
      <c r="AD336" t="inlineStr">
        <is>
          <t>2026-01-21</t>
        </is>
      </c>
      <c r="AE336" t="n">
        <v>60.3005</v>
      </c>
      <c r="AF336" t="inlineStr">
        <is>
          <t>2026-01-22</t>
        </is>
      </c>
      <c r="AG336" t="n">
        <v>60.4996</v>
      </c>
      <c r="AH336" t="n">
        <v>0.003301373776602521</v>
      </c>
      <c r="AI336" t="inlineStr">
        <is>
          <t>FLAT</t>
        </is>
      </c>
      <c r="AJ336" t="inlineStr">
        <is>
          <t>NO</t>
        </is>
      </c>
      <c r="AK336" t="n">
        <v>0.002301</v>
      </c>
      <c r="AL336">
        <f>IF($A336="","",IFERROR(INDEX(Company_List!$G$3:$G$207,MATCH($A336,Company_List!$A$3:$A$207,0)),"unassigned"))</f>
        <v/>
      </c>
      <c r="AM336" t="inlineStr">
        <is>
          <t>Phase 3/Readings/Freeport-McMoRan/2025-Q4/FCX-2025-Q4-earnings-call-transcript-fool-com.html</t>
        </is>
      </c>
      <c r="AN336" t="inlineStr">
        <is>
          <t>https://www.fool.com/earnings/call-transcripts/2026/01/22/freeport-mcmoran-fcx-q4-2025-earnings-transcript/</t>
        </is>
      </c>
      <c r="AO336" t="inlineStr">
        <is>
          <t>manifest</t>
        </is>
      </c>
      <c r="AP336">
        <f>IF($A336="","",IF(COUNTIFS(LLM_Data_Entry!$A$3:$A$548,$A336)&gt;0,"YES","NO"))</f>
        <v/>
      </c>
      <c r="AQ336">
        <f>IF($A336="","",IF(COUNTIFS($A$3:$A336,$A336,$C$3:$C336,$C336,$D$3:$D336,$D336)=1,"YES","NO"))</f>
        <v/>
      </c>
      <c r="AR336">
        <f>IF($A336="","",IF(AND($C336&amp;"-"&amp;$D336&gt;=Settings!$B$19,$C336&amp;"-"&amp;$D336&lt;=Settings!$B$20),"IN","OUT"))</f>
        <v/>
      </c>
      <c r="AS336">
        <f>IF($A336="","",IF($F336="Financial Results","financials",IF($F336="Outlook/Guidance","guidance",IF($F336="Transcript Q&amp;A","qanda",IF($F336="","unrecorded",IF($E336="All","full",IF($E336="","unrecorded",LOWER($E336)&amp;" only")))))))</f>
        <v/>
      </c>
      <c r="AT336">
        <f>IF(AND(OR($J336="BUY",$J336="SELL"),ISNUMBER($U336)),$U336,"")</f>
        <v/>
      </c>
      <c r="AU336">
        <f>IF(AND(OR($J336="BUY",$J336="SELL"),ISNUMBER($AK336)),$AK336,"")</f>
        <v/>
      </c>
      <c r="AV336">
        <f>IF(ISNUMBER($AT336),ABS(IF(ISNUMBER($I336),$I336,0)-Settings!$B$24),"")</f>
        <v/>
      </c>
      <c r="AW336">
        <f>IF(ISNUMBER($AV336),$AV336*$AT336,"")</f>
        <v/>
      </c>
      <c r="AX336">
        <f>IF(ISNUMBER($AU336),ABS(IF(ISNUMBER($I336),$I336,0)-Settings!$B$24),"")</f>
        <v/>
      </c>
      <c r="AY336">
        <f>IF(ISNUMBER($AX336),$AX336*$AU336,"")</f>
        <v/>
      </c>
      <c r="AZ336">
        <f>IF($A336="","",IFERROR(INDEX(Company_List!$H$3:$H$207,MATCH($A336,Company_List!$A$3:$A$207,0)),"unassigned"))</f>
        <v/>
      </c>
      <c r="BA336" t="n">
        <v>1</v>
      </c>
      <c r="BB336" t="n">
        <v>1</v>
      </c>
      <c r="BC336">
        <f>IF($A336="","",IF(COUNTIFS($A$3:$A336,$A336,$C$3:$C336,$C336,$D$3:$D336,$D336,$G$3:$G336,$G336)=1,1,0))</f>
        <v/>
      </c>
      <c r="BD336" t="n">
        <v>16</v>
      </c>
      <c r="BG336" t="inlineStr">
        <is>
          <t>no</t>
        </is>
      </c>
      <c r="BJ336" t="inlineStr">
        <is>
          <t>Dragos - Phase 3 scoring_rows.csv</t>
        </is>
      </c>
      <c r="BK336">
        <f>IF(OR($H336&lt;&gt;"Human",$S336="",$J336="",$Y336="",$Z336=""),"",IF(EXACT(UPPER($J336),UPPER($Y336)),1,0))</f>
        <v/>
      </c>
      <c r="BL336" t="inlineStr">
        <is>
          <t>attested - rater record</t>
        </is>
      </c>
      <c r="BM336" t="n">
        <v>1</v>
      </c>
      <c r="BN336" t="inlineStr">
        <is>
          <t>The Motley Fool</t>
        </is>
      </c>
      <c r="BO336" t="inlineStr">
        <is>
          <t>free to read, copyright asserted</t>
        </is>
      </c>
      <c r="BP336" t="inlineStr">
        <is>
          <t>no</t>
        </is>
      </c>
      <c r="BQ336" t="inlineStr">
        <is>
          <t>yes</t>
        </is>
      </c>
    </row>
    <row r="337">
      <c r="A337" s="1" t="inlineStr">
        <is>
          <t>UnitedHealth</t>
        </is>
      </c>
      <c r="B337" s="142">
        <f>IF(A337="","",_xlfn.XLOOKUP(A337, Company_List!$A:$A, Company_List!$B:$B, ""))</f>
        <v/>
      </c>
      <c r="C337" s="143" t="n">
        <v>2025</v>
      </c>
      <c r="D337" s="143" t="inlineStr">
        <is>
          <t>Q4</t>
        </is>
      </c>
      <c r="E337" s="98" t="inlineStr">
        <is>
          <t>Transcript</t>
        </is>
      </c>
      <c r="F337" s="98" t="inlineStr">
        <is>
          <t>All</t>
        </is>
      </c>
      <c r="G337" s="143" t="inlineStr">
        <is>
          <t>Dragos</t>
        </is>
      </c>
      <c r="H337" s="106" t="inlineStr">
        <is>
          <t>Human</t>
        </is>
      </c>
      <c r="I337" s="145" t="n">
        <v>0.5</v>
      </c>
      <c r="J337" s="145">
        <f>IF(OR(I337="",Settings!$B$6=""),"",IF(I337&gt;Settings!$B$6,"BUY",IF(I337&lt;-Settings!$B$6,"SELL","HOLD")))</f>
        <v/>
      </c>
      <c r="K337" s="145" t="n">
        <v>12</v>
      </c>
      <c r="L337" s="123" t="n">
        <v>46049</v>
      </c>
      <c r="M337" s="140" t="n">
        <v>46048</v>
      </c>
      <c r="N337" s="147" t="n">
        <v>351.64</v>
      </c>
      <c r="O337" s="140" t="n">
        <v>46049</v>
      </c>
      <c r="P337" s="145" t="n">
        <v>293.97</v>
      </c>
      <c r="Q337" s="151">
        <f>IF(OR(N337="",P337=""),"",ROUND((P337-N337)/N337,4))</f>
        <v/>
      </c>
      <c r="R337" s="118">
        <f>IF(OR(N337="",P337=""),"",IF(Q337&gt;Settings!$B$3/100,"UP",IF(Q337&lt;-Settings!$B$3/100,"DOWN","FLAT")))</f>
        <v/>
      </c>
      <c r="S337" s="118">
        <f>IF(OR(N337="",P337="",J337=""),"",IF(OR(AND(J337="BUY",R337="UP"),AND(J337="SELL",R337="DOWN"),AND(J337="HOLD",R337="FLAT")),"YES","NO"))</f>
        <v/>
      </c>
      <c r="T337" s="119">
        <f>IF(J337="","",IF(J337="BUY",1,IF(J337="SELL",-1,0)))</f>
        <v/>
      </c>
      <c r="U337" s="150">
        <f>IFERROR(IF(OR(J337="",N337="",P337=""),"",IF(T337=0,0,T337*Q337-Settings!$B$4/10000-IF(T337&lt;0,Settings!$B$5/10000,0))),"")</f>
        <v/>
      </c>
      <c r="V337" t="inlineStr">
        <is>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is>
      </c>
      <c r="W337" s="21">
        <f>IF($K337="","",$K337*60)</f>
        <v/>
      </c>
      <c r="X337" s="91">
        <f>IF($A337="","",$A337&amp;"|"&amp;$C337&amp;"|"&amp;$D337)</f>
        <v/>
      </c>
      <c r="Y337" s="91">
        <f>IFERROR(IF($X337="","",INDEX(LLM_Data_Entry!$H$3:$H$548,MATCH($X337,INDEX(LLM_Data_Entry!$A$3:$A$548&amp;"|"&amp;LLM_Data_Entry!$C$3:$C$548&amp;"|"&amp;LLM_Data_Entry!$D$3:$D$548,0),0))),"")</f>
        <v/>
      </c>
      <c r="Z337" s="91">
        <f>IFERROR(IF($X337="","",INDEX(LLM_Data_Entry!$R$3:$R$548,MATCH($X337,INDEX(LLM_Data_Entry!$A$3:$A$548&amp;"|"&amp;LLM_Data_Entry!$C$3:$C$548&amp;"|"&amp;LLM_Data_Entry!$D$3:$D$548,0),0))),"")</f>
        <v/>
      </c>
      <c r="AB337" t="inlineStr">
        <is>
          <t>price signal — only this window shows an abnormal move</t>
        </is>
      </c>
      <c r="AC337" t="inlineStr">
        <is>
          <t>UNH</t>
        </is>
      </c>
      <c r="AD337" t="inlineStr">
        <is>
          <t>2026-01-26</t>
        </is>
      </c>
      <c r="AE337" t="n">
        <v>346.9458</v>
      </c>
      <c r="AF337" t="inlineStr">
        <is>
          <t>2026-01-27</t>
        </is>
      </c>
      <c r="AG337" t="n">
        <v>290.0456</v>
      </c>
      <c r="AH337" t="n">
        <v>-0.1640029927523373</v>
      </c>
      <c r="AI337" t="inlineStr">
        <is>
          <t>DOWN</t>
        </is>
      </c>
      <c r="AJ337" t="inlineStr">
        <is>
          <t>NO</t>
        </is>
      </c>
      <c r="AK337" t="n">
        <v>-0.165003</v>
      </c>
      <c r="AL337">
        <f>IF($A337="","",IFERROR(INDEX(Company_List!$G$3:$G$207,MATCH($A337,Company_List!$A$3:$A$207,0)),"unassigned"))</f>
        <v/>
      </c>
      <c r="AM337" t="inlineStr">
        <is>
          <t>Phase 2/Unitedhealth/2025-Q4/UNH-2025-Q4-earnings-call-transcript-unitedhealthgroup-com.pdf</t>
        </is>
      </c>
      <c r="AN337" t="inlineStr">
        <is>
          <t>https://www.unitedhealthgroup.com/content/dam/UHG/PDF/investors/2025/unh-q4-2025-remarks.pdf</t>
        </is>
      </c>
      <c r="AO337" t="inlineStr">
        <is>
          <t>manifest</t>
        </is>
      </c>
      <c r="AP337">
        <f>IF($A337="","",IF(COUNTIFS(LLM_Data_Entry!$A$3:$A$548,$A337)&gt;0,"YES","NO"))</f>
        <v/>
      </c>
      <c r="AQ337">
        <f>IF($A337="","",IF(COUNTIFS($A$3:$A337,$A337,$C$3:$C337,$C337,$D$3:$D337,$D337)=1,"YES","NO"))</f>
        <v/>
      </c>
      <c r="AR337">
        <f>IF($A337="","",IF(AND($C337&amp;"-"&amp;$D337&gt;=Settings!$B$19,$C337&amp;"-"&amp;$D337&lt;=Settings!$B$20),"IN","OUT"))</f>
        <v/>
      </c>
      <c r="AS337">
        <f>IF($A337="","",IF($F337="Financial Results","financials",IF($F337="Outlook/Guidance","guidance",IF($F337="Transcript Q&amp;A","qanda",IF($F337="","unrecorded",IF($E337="All","full",IF($E337="","unrecorded",LOWER($E337)&amp;" only")))))))</f>
        <v/>
      </c>
      <c r="AT337">
        <f>IF(AND(OR($J337="BUY",$J337="SELL"),ISNUMBER($U337)),$U337,"")</f>
        <v/>
      </c>
      <c r="AU337">
        <f>IF(AND(OR($J337="BUY",$J337="SELL"),ISNUMBER($AK337)),$AK337,"")</f>
        <v/>
      </c>
      <c r="AV337">
        <f>IF(ISNUMBER($AT337),ABS(IF(ISNUMBER($I337),$I337,0)-Settings!$B$24),"")</f>
        <v/>
      </c>
      <c r="AW337">
        <f>IF(ISNUMBER($AV337),$AV337*$AT337,"")</f>
        <v/>
      </c>
      <c r="AX337">
        <f>IF(ISNUMBER($AU337),ABS(IF(ISNUMBER($I337),$I337,0)-Settings!$B$24),"")</f>
        <v/>
      </c>
      <c r="AY337">
        <f>IF(ISNUMBER($AX337),$AX337*$AU337,"")</f>
        <v/>
      </c>
      <c r="AZ337">
        <f>IF($A337="","",IFERROR(INDEX(Company_List!$H$3:$H$207,MATCH($A337,Company_List!$A$3:$A$207,0)),"unassigned"))</f>
        <v/>
      </c>
      <c r="BA337" t="n">
        <v>1</v>
      </c>
      <c r="BB337" t="n">
        <v>1</v>
      </c>
      <c r="BC337">
        <f>IF($A337="","",IF(COUNTIFS($A$3:$A337,$A337,$C$3:$C337,$C337,$D$3:$D337,$D337,$G$3:$G337,$G337)=1,1,0))</f>
        <v/>
      </c>
      <c r="BD337" t="n">
        <v>12</v>
      </c>
      <c r="BG337" t="inlineStr">
        <is>
          <t>no</t>
        </is>
      </c>
      <c r="BJ337" t="inlineStr">
        <is>
          <t>Dragos - Phase 3 scoring_rows.csv</t>
        </is>
      </c>
      <c r="BK337">
        <f>IF(OR($H337&lt;&gt;"Human",$S337="",$J337="",$Y337="",$Z337=""),"",IF(EXACT(UPPER($J337),UPPER($Y337)),1,0))</f>
        <v/>
      </c>
      <c r="BL337" t="inlineStr">
        <is>
          <t>attested - rater record</t>
        </is>
      </c>
      <c r="BM337" t="n">
        <v>1</v>
      </c>
      <c r="BN337" t="inlineStr">
        <is>
          <t>not publisher-identified</t>
        </is>
      </c>
      <c r="BO337" t="inlineStr">
        <is>
          <t>not publisher-identified</t>
        </is>
      </c>
      <c r="BP337" t="inlineStr">
        <is>
          <t>no</t>
        </is>
      </c>
      <c r="BQ337" t="inlineStr">
        <is>
          <t>yes</t>
        </is>
      </c>
    </row>
    <row r="338">
      <c r="A338" s="1" t="inlineStr">
        <is>
          <t>Union Pacific</t>
        </is>
      </c>
      <c r="B338" s="142">
        <f>IF(A338="","",_xlfn.XLOOKUP(A338, Company_List!$A:$A, Company_List!$B:$B, ""))</f>
        <v/>
      </c>
      <c r="C338" s="143" t="n">
        <v>2025</v>
      </c>
      <c r="D338" s="143" t="inlineStr">
        <is>
          <t>Q4</t>
        </is>
      </c>
      <c r="E338" s="98" t="inlineStr">
        <is>
          <t>Transcript</t>
        </is>
      </c>
      <c r="F338" s="98" t="inlineStr">
        <is>
          <t>All</t>
        </is>
      </c>
      <c r="G338" s="143" t="inlineStr">
        <is>
          <t>Dragos</t>
        </is>
      </c>
      <c r="H338" s="106" t="inlineStr">
        <is>
          <t>Human</t>
        </is>
      </c>
      <c r="I338" s="145" t="n">
        <v>0.5</v>
      </c>
      <c r="J338" s="145">
        <f>IF(OR(I338="",Settings!$B$6=""),"",IF(I338&gt;Settings!$B$6,"BUY",IF(I338&lt;-Settings!$B$6,"SELL","HOLD")))</f>
        <v/>
      </c>
      <c r="K338" s="145" t="n">
        <v>12</v>
      </c>
      <c r="L338" s="123" t="n">
        <v>46049</v>
      </c>
      <c r="M338" s="140" t="n">
        <v>46048</v>
      </c>
      <c r="N338" s="147" t="n">
        <v>230.89</v>
      </c>
      <c r="O338" s="140" t="n">
        <v>46049</v>
      </c>
      <c r="P338" s="145" t="n">
        <v>235</v>
      </c>
      <c r="Q338" s="151">
        <f>IF(OR(N338="",P338=""),"",ROUND((P338-N338)/N338,4))</f>
        <v/>
      </c>
      <c r="R338" s="118">
        <f>IF(OR(N338="",P338=""),"",IF(Q338&gt;Settings!$B$3/100,"UP",IF(Q338&lt;-Settings!$B$3/100,"DOWN","FLAT")))</f>
        <v/>
      </c>
      <c r="S338" s="118">
        <f>IF(OR(N338="",P338="",J338=""),"",IF(OR(AND(J338="BUY",R338="UP"),AND(J338="SELL",R338="DOWN"),AND(J338="HOLD",R338="FLAT")),"YES","NO"))</f>
        <v/>
      </c>
      <c r="T338" s="119">
        <f>IF(J338="","",IF(J338="BUY",1,IF(J338="SELL",-1,0)))</f>
        <v/>
      </c>
      <c r="U338" s="150">
        <f>IFERROR(IF(OR(J338="",N338="",P338=""),"",IF(T338=0,0,T338*Q338-Settings!$B$4/10000-IF(T338&lt;0,Settings!$B$5/10000,0))),"")</f>
        <v/>
      </c>
      <c r="V338" t="inlineStr">
        <is>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is>
      </c>
      <c r="W338" s="21">
        <f>IF($K338="","",$K338*60)</f>
        <v/>
      </c>
      <c r="X338" s="91">
        <f>IF($A338="","",$A338&amp;"|"&amp;$C338&amp;"|"&amp;$D338)</f>
        <v/>
      </c>
      <c r="Y338" s="91">
        <f>IFERROR(IF($X338="","",INDEX(LLM_Data_Entry!$H$3:$H$548,MATCH($X338,INDEX(LLM_Data_Entry!$A$3:$A$548&amp;"|"&amp;LLM_Data_Entry!$C$3:$C$548&amp;"|"&amp;LLM_Data_Entry!$D$3:$D$548,0),0))),"")</f>
        <v/>
      </c>
      <c r="Z338" s="91">
        <f>IFERROR(IF($X338="","",INDEX(LLM_Data_Entry!$R$3:$R$548,MATCH($X338,INDEX(LLM_Data_Entry!$A$3:$A$548&amp;"|"&amp;LLM_Data_Entry!$C$3:$C$548&amp;"|"&amp;LLM_Data_Entry!$D$3:$D$548,0),0))),"")</f>
        <v/>
      </c>
      <c r="AB338" t="inlineStr">
        <is>
          <t>price signal — only this window shows an abnormal move</t>
        </is>
      </c>
      <c r="AC338" t="inlineStr">
        <is>
          <t>UNP</t>
        </is>
      </c>
      <c r="AD338" t="inlineStr">
        <is>
          <t>2026-01-26</t>
        </is>
      </c>
      <c r="AE338" t="n">
        <v>228.5025</v>
      </c>
      <c r="AF338" t="inlineStr">
        <is>
          <t>2026-01-27</t>
        </is>
      </c>
      <c r="AG338" t="n">
        <v>232.57</v>
      </c>
      <c r="AH338" t="n">
        <v>0.01780068482555459</v>
      </c>
      <c r="AI338" t="inlineStr">
        <is>
          <t>FLAT</t>
        </is>
      </c>
      <c r="AJ338" t="inlineStr">
        <is>
          <t>NO</t>
        </is>
      </c>
      <c r="AK338" t="n">
        <v>0.016801</v>
      </c>
      <c r="AL338">
        <f>IF($A338="","",IFERROR(INDEX(Company_List!$G$3:$G$207,MATCH($A338,Company_List!$A$3:$A$207,0)),"unassigned"))</f>
        <v/>
      </c>
      <c r="AM338" t="inlineStr">
        <is>
          <t>Phase 3/Readings/Union Pacific/2025-Q4/UNP-2025-Q4-earnings-call-transcript-fool-com.html</t>
        </is>
      </c>
      <c r="AN338" t="inlineStr">
        <is>
          <t>https://www.fool.com/earnings/call-transcripts/2026/01/27/union-pacific-unp-q4-2025-earnings-transcript/</t>
        </is>
      </c>
      <c r="AO338" t="inlineStr">
        <is>
          <t>manifest</t>
        </is>
      </c>
      <c r="AP338">
        <f>IF($A338="","",IF(COUNTIFS(LLM_Data_Entry!$A$3:$A$548,$A338)&gt;0,"YES","NO"))</f>
        <v/>
      </c>
      <c r="AQ338">
        <f>IF($A338="","",IF(COUNTIFS($A$3:$A338,$A338,$C$3:$C338,$C338,$D$3:$D338,$D338)=1,"YES","NO"))</f>
        <v/>
      </c>
      <c r="AR338">
        <f>IF($A338="","",IF(AND($C338&amp;"-"&amp;$D338&gt;=Settings!$B$19,$C338&amp;"-"&amp;$D338&lt;=Settings!$B$20),"IN","OUT"))</f>
        <v/>
      </c>
      <c r="AS338">
        <f>IF($A338="","",IF($F338="Financial Results","financials",IF($F338="Outlook/Guidance","guidance",IF($F338="Transcript Q&amp;A","qanda",IF($F338="","unrecorded",IF($E338="All","full",IF($E338="","unrecorded",LOWER($E338)&amp;" only")))))))</f>
        <v/>
      </c>
      <c r="AT338">
        <f>IF(AND(OR($J338="BUY",$J338="SELL"),ISNUMBER($U338)),$U338,"")</f>
        <v/>
      </c>
      <c r="AU338">
        <f>IF(AND(OR($J338="BUY",$J338="SELL"),ISNUMBER($AK338)),$AK338,"")</f>
        <v/>
      </c>
      <c r="AV338">
        <f>IF(ISNUMBER($AT338),ABS(IF(ISNUMBER($I338),$I338,0)-Settings!$B$24),"")</f>
        <v/>
      </c>
      <c r="AW338">
        <f>IF(ISNUMBER($AV338),$AV338*$AT338,"")</f>
        <v/>
      </c>
      <c r="AX338">
        <f>IF(ISNUMBER($AU338),ABS(IF(ISNUMBER($I338),$I338,0)-Settings!$B$24),"")</f>
        <v/>
      </c>
      <c r="AY338">
        <f>IF(ISNUMBER($AX338),$AX338*$AU338,"")</f>
        <v/>
      </c>
      <c r="AZ338">
        <f>IF($A338="","",IFERROR(INDEX(Company_List!$H$3:$H$207,MATCH($A338,Company_List!$A$3:$A$207,0)),"unassigned"))</f>
        <v/>
      </c>
      <c r="BA338" t="n">
        <v>1</v>
      </c>
      <c r="BB338" t="n">
        <v>1</v>
      </c>
      <c r="BC338">
        <f>IF($A338="","",IF(COUNTIFS($A$3:$A338,$A338,$C$3:$C338,$C338,$D$3:$D338,$D338,$G$3:$G338,$G338)=1,1,0))</f>
        <v/>
      </c>
      <c r="BD338" t="n">
        <v>12</v>
      </c>
      <c r="BG338" t="inlineStr">
        <is>
          <t>no</t>
        </is>
      </c>
      <c r="BJ338" t="inlineStr">
        <is>
          <t>Dragos - Phase 3 scoring_rows.csv</t>
        </is>
      </c>
      <c r="BK338">
        <f>IF(OR($H338&lt;&gt;"Human",$S338="",$J338="",$Y338="",$Z338=""),"",IF(EXACT(UPPER($J338),UPPER($Y338)),1,0))</f>
        <v/>
      </c>
      <c r="BL338" t="inlineStr">
        <is>
          <t>attested - rater record</t>
        </is>
      </c>
      <c r="BM338" t="n">
        <v>1</v>
      </c>
      <c r="BN338" t="inlineStr">
        <is>
          <t>The Motley Fool</t>
        </is>
      </c>
      <c r="BO338" t="inlineStr">
        <is>
          <t>free to read, copyright asserted</t>
        </is>
      </c>
      <c r="BP338" t="inlineStr">
        <is>
          <t>no</t>
        </is>
      </c>
      <c r="BQ338" t="inlineStr">
        <is>
          <t>yes</t>
        </is>
      </c>
    </row>
    <row r="339">
      <c r="A339" s="1" t="inlineStr">
        <is>
          <t>Caterpillar</t>
        </is>
      </c>
      <c r="B339" s="142">
        <f>IF(A339="","",_xlfn.XLOOKUP(A339, Company_List!$A:$A, Company_List!$B:$B, ""))</f>
        <v/>
      </c>
      <c r="C339" s="143" t="n">
        <v>2025</v>
      </c>
      <c r="D339" s="143" t="inlineStr">
        <is>
          <t>Q4</t>
        </is>
      </c>
      <c r="E339" s="98" t="inlineStr">
        <is>
          <t>Transcript</t>
        </is>
      </c>
      <c r="F339" s="98" t="inlineStr">
        <is>
          <t>All</t>
        </is>
      </c>
      <c r="G339" s="143" t="inlineStr">
        <is>
          <t>Dragos</t>
        </is>
      </c>
      <c r="H339" s="106" t="inlineStr">
        <is>
          <t>Human</t>
        </is>
      </c>
      <c r="I339" s="145" t="n">
        <v>0.5</v>
      </c>
      <c r="J339" s="145">
        <f>IF(OR(I339="",Settings!$B$6=""),"",IF(I339&gt;Settings!$B$6,"BUY",IF(I339&lt;-Settings!$B$6,"SELL","HOLD")))</f>
        <v/>
      </c>
      <c r="K339" s="145" t="n">
        <v>11</v>
      </c>
      <c r="L339" s="123" t="n">
        <v>46051</v>
      </c>
      <c r="M339" s="140" t="n">
        <v>46050</v>
      </c>
      <c r="N339" s="147" t="n">
        <v>643.28</v>
      </c>
      <c r="O339" s="140" t="n">
        <v>46051</v>
      </c>
      <c r="P339" s="145" t="n">
        <v>655.17</v>
      </c>
      <c r="Q339" s="151">
        <f>IF(OR(N339="",P339=""),"",ROUND((P339-N339)/N339,4))</f>
        <v/>
      </c>
      <c r="R339" s="118">
        <f>IF(OR(N339="",P339=""),"",IF(Q339&gt;Settings!$B$3/100,"UP",IF(Q339&lt;-Settings!$B$3/100,"DOWN","FLAT")))</f>
        <v/>
      </c>
      <c r="S339" s="118">
        <f>IF(OR(N339="",P339="",J339=""),"",IF(OR(AND(J339="BUY",R339="UP"),AND(J339="SELL",R339="DOWN"),AND(J339="HOLD",R339="FLAT")),"YES","NO"))</f>
        <v/>
      </c>
      <c r="T339" s="119">
        <f>IF(J339="","",IF(J339="BUY",1,IF(J339="SELL",-1,0)))</f>
        <v/>
      </c>
      <c r="U339" s="150">
        <f>IFERROR(IF(OR(J339="",N339="",P339=""),"",IF(T339=0,0,T339*Q339-Settings!$B$4/10000-IF(T339&lt;0,Settings!$B$5/10000,0))),"")</f>
        <v/>
      </c>
      <c r="V339" t="inlineStr">
        <is>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is>
      </c>
      <c r="W339" s="21">
        <f>IF($K339="","",$K339*60)</f>
        <v/>
      </c>
      <c r="X339" s="91">
        <f>IF($A339="","",$A339&amp;"|"&amp;$C339&amp;"|"&amp;$D339)</f>
        <v/>
      </c>
      <c r="Y339" s="91">
        <f>IFERROR(IF($X339="","",INDEX(LLM_Data_Entry!$H$3:$H$548,MATCH($X339,INDEX(LLM_Data_Entry!$A$3:$A$548&amp;"|"&amp;LLM_Data_Entry!$C$3:$C$548&amp;"|"&amp;LLM_Data_Entry!$D$3:$D$548,0),0))),"")</f>
        <v/>
      </c>
      <c r="Z339" s="91">
        <f>IFERROR(IF($X339="","",INDEX(LLM_Data_Entry!$R$3:$R$548,MATCH($X339,INDEX(LLM_Data_Entry!$A$3:$A$548&amp;"|"&amp;LLM_Data_Entry!$C$3:$C$548&amp;"|"&amp;LLM_Data_Entry!$D$3:$D$548,0),0))),"")</f>
        <v/>
      </c>
      <c r="AB339" t="inlineStr">
        <is>
          <t>earnings calendar, seconded independently</t>
        </is>
      </c>
      <c r="AC339" t="inlineStr">
        <is>
          <t>CAT</t>
        </is>
      </c>
      <c r="AD339" t="inlineStr">
        <is>
          <t>2026-01-28</t>
        </is>
      </c>
      <c r="AE339" t="n">
        <v>640.8688</v>
      </c>
      <c r="AF339" t="inlineStr">
        <is>
          <t>2026-01-29</t>
        </is>
      </c>
      <c r="AG339" t="n">
        <v>652.7142</v>
      </c>
      <c r="AH339" t="n">
        <v>0.01848338545033264</v>
      </c>
      <c r="AI339" t="inlineStr">
        <is>
          <t>FLAT</t>
        </is>
      </c>
      <c r="AJ339" t="inlineStr">
        <is>
          <t>NO</t>
        </is>
      </c>
      <c r="AK339" t="n">
        <v>0.017483</v>
      </c>
      <c r="AL339">
        <f>IF($A339="","",IFERROR(INDEX(Company_List!$G$3:$G$207,MATCH($A339,Company_List!$A$3:$A$207,0)),"unassigned"))</f>
        <v/>
      </c>
      <c r="AM339" t="inlineStr">
        <is>
          <t>Phase 2/Caterpillar/2025-Q4/CAT-2025-Q4-earnings-call-transcript-fool-com.html</t>
        </is>
      </c>
      <c r="AN339" t="inlineStr">
        <is>
          <t>https://www.fool.com/earnings/call-transcripts/2026/01/29/caterpillar-cat-q4-2025-earnings-call-transcript/</t>
        </is>
      </c>
      <c r="AO339" t="inlineStr">
        <is>
          <t>manifest</t>
        </is>
      </c>
      <c r="AP339">
        <f>IF($A339="","",IF(COUNTIFS(LLM_Data_Entry!$A$3:$A$548,$A339)&gt;0,"YES","NO"))</f>
        <v/>
      </c>
      <c r="AQ339">
        <f>IF($A339="","",IF(COUNTIFS($A$3:$A339,$A339,$C$3:$C339,$C339,$D$3:$D339,$D339)=1,"YES","NO"))</f>
        <v/>
      </c>
      <c r="AR339">
        <f>IF($A339="","",IF(AND($C339&amp;"-"&amp;$D339&gt;=Settings!$B$19,$C339&amp;"-"&amp;$D339&lt;=Settings!$B$20),"IN","OUT"))</f>
        <v/>
      </c>
      <c r="AS339">
        <f>IF($A339="","",IF($F339="Financial Results","financials",IF($F339="Outlook/Guidance","guidance",IF($F339="Transcript Q&amp;A","qanda",IF($F339="","unrecorded",IF($E339="All","full",IF($E339="","unrecorded",LOWER($E339)&amp;" only")))))))</f>
        <v/>
      </c>
      <c r="AT339">
        <f>IF(AND(OR($J339="BUY",$J339="SELL"),ISNUMBER($U339)),$U339,"")</f>
        <v/>
      </c>
      <c r="AU339">
        <f>IF(AND(OR($J339="BUY",$J339="SELL"),ISNUMBER($AK339)),$AK339,"")</f>
        <v/>
      </c>
      <c r="AV339">
        <f>IF(ISNUMBER($AT339),ABS(IF(ISNUMBER($I339),$I339,0)-Settings!$B$24),"")</f>
        <v/>
      </c>
      <c r="AW339">
        <f>IF(ISNUMBER($AV339),$AV339*$AT339,"")</f>
        <v/>
      </c>
      <c r="AX339">
        <f>IF(ISNUMBER($AU339),ABS(IF(ISNUMBER($I339),$I339,0)-Settings!$B$24),"")</f>
        <v/>
      </c>
      <c r="AY339">
        <f>IF(ISNUMBER($AX339),$AX339*$AU339,"")</f>
        <v/>
      </c>
      <c r="AZ339">
        <f>IF($A339="","",IFERROR(INDEX(Company_List!$H$3:$H$207,MATCH($A339,Company_List!$A$3:$A$207,0)),"unassigned"))</f>
        <v/>
      </c>
      <c r="BA339" t="n">
        <v>1</v>
      </c>
      <c r="BB339" t="n">
        <v>1</v>
      </c>
      <c r="BC339">
        <f>IF($A339="","",IF(COUNTIFS($A$3:$A339,$A339,$C$3:$C339,$C339,$D$3:$D339,$D339,$G$3:$G339,$G339)=1,1,0))</f>
        <v/>
      </c>
      <c r="BD339" t="n">
        <v>11</v>
      </c>
      <c r="BG339" t="inlineStr">
        <is>
          <t>no</t>
        </is>
      </c>
      <c r="BJ339" t="inlineStr">
        <is>
          <t>Dragos - Phase 3 scoring_rows.csv</t>
        </is>
      </c>
      <c r="BK339">
        <f>IF(OR($H339&lt;&gt;"Human",$S339="",$J339="",$Y339="",$Z339=""),"",IF(EXACT(UPPER($J339),UPPER($Y339)),1,0))</f>
        <v/>
      </c>
      <c r="BL339" t="inlineStr">
        <is>
          <t>attested - rater record</t>
        </is>
      </c>
      <c r="BM339" t="n">
        <v>1</v>
      </c>
      <c r="BN339" t="inlineStr">
        <is>
          <t>The Motley Fool</t>
        </is>
      </c>
      <c r="BO339" t="inlineStr">
        <is>
          <t>free to read, copyright asserted</t>
        </is>
      </c>
      <c r="BP339" t="inlineStr">
        <is>
          <t>no</t>
        </is>
      </c>
      <c r="BQ339" t="inlineStr">
        <is>
          <t>yes</t>
        </is>
      </c>
    </row>
    <row r="340">
      <c r="A340" s="1" t="inlineStr">
        <is>
          <t>Home Depot</t>
        </is>
      </c>
      <c r="B340" s="142">
        <f>IF(A340="","",_xlfn.XLOOKUP(A340, Company_List!$A:$A, Company_List!$B:$B, ""))</f>
        <v/>
      </c>
      <c r="C340" s="143" t="n">
        <v>2025</v>
      </c>
      <c r="D340" s="143" t="inlineStr">
        <is>
          <t>Q4</t>
        </is>
      </c>
      <c r="E340" s="98" t="inlineStr">
        <is>
          <t>Transcript</t>
        </is>
      </c>
      <c r="F340" s="98" t="inlineStr">
        <is>
          <t>All</t>
        </is>
      </c>
      <c r="G340" s="143" t="inlineStr">
        <is>
          <t>Dragos</t>
        </is>
      </c>
      <c r="H340" s="106" t="inlineStr">
        <is>
          <t>Human</t>
        </is>
      </c>
      <c r="I340" s="145" t="n">
        <v>0.2</v>
      </c>
      <c r="J340" s="145">
        <f>IF(OR(I340="",Settings!$B$6=""),"",IF(I340&gt;Settings!$B$6,"BUY",IF(I340&lt;-Settings!$B$6,"SELL","HOLD")))</f>
        <v/>
      </c>
      <c r="K340" s="145" t="n">
        <v>10</v>
      </c>
      <c r="L340" s="123" t="n">
        <v>46077</v>
      </c>
      <c r="M340" s="140" t="n">
        <v>46076</v>
      </c>
      <c r="N340" s="147" t="n">
        <v>376.99</v>
      </c>
      <c r="O340" s="140" t="n">
        <v>46077</v>
      </c>
      <c r="P340" s="145" t="n">
        <v>389.11</v>
      </c>
      <c r="Q340" s="151">
        <f>IF(OR(N340="",P340=""),"",ROUND((P340-N340)/N340,4))</f>
        <v/>
      </c>
      <c r="R340" s="118">
        <f>IF(OR(N340="",P340=""),"",IF(Q340&gt;Settings!$B$3/100,"UP",IF(Q340&lt;-Settings!$B$3/100,"DOWN","FLAT")))</f>
        <v/>
      </c>
      <c r="S340" s="118">
        <f>IF(OR(N340="",P340="",J340=""),"",IF(OR(AND(J340="BUY",R340="UP"),AND(J340="SELL",R340="DOWN"),AND(J340="HOLD",R340="FLAT")),"YES","NO"))</f>
        <v/>
      </c>
      <c r="T340" s="119">
        <f>IF(J340="","",IF(J340="BUY",1,IF(J340="SELL",-1,0)))</f>
        <v/>
      </c>
      <c r="U340" s="150">
        <f>IFERROR(IF(OR(J340="",N340="",P340=""),"",IF(T340=0,0,T340*Q340-Settings!$B$4/10000-IF(T340&lt;0,Settings!$B$5/10000,0))),"")</f>
        <v/>
      </c>
      <c r="V340" t="inlineStr">
        <is>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is>
      </c>
      <c r="W340" s="21">
        <f>IF($K340="","",$K340*60)</f>
        <v/>
      </c>
      <c r="X340" s="91">
        <f>IF($A340="","",$A340&amp;"|"&amp;$C340&amp;"|"&amp;$D340)</f>
        <v/>
      </c>
      <c r="Y340" s="91">
        <f>IFERROR(IF($X340="","",INDEX(LLM_Data_Entry!$H$3:$H$548,MATCH($X340,INDEX(LLM_Data_Entry!$A$3:$A$548&amp;"|"&amp;LLM_Data_Entry!$C$3:$C$548&amp;"|"&amp;LLM_Data_Entry!$D$3:$D$548,0),0))),"")</f>
        <v/>
      </c>
      <c r="Z340" s="91">
        <f>IFERROR(IF($X340="","",INDEX(LLM_Data_Entry!$R$3:$R$548,MATCH($X340,INDEX(LLM_Data_Entry!$A$3:$A$548&amp;"|"&amp;LLM_Data_Entry!$C$3:$C$548&amp;"|"&amp;LLM_Data_Entry!$D$3:$D$548,0),0))),"")</f>
        <v/>
      </c>
      <c r="AB340" t="inlineStr">
        <is>
          <t>price signal — both moved; this one dominates</t>
        </is>
      </c>
      <c r="AC340" t="inlineStr">
        <is>
          <t>HD</t>
        </is>
      </c>
      <c r="AD340" t="inlineStr">
        <is>
          <t>2026-02-23</t>
        </is>
      </c>
      <c r="AE340" t="n">
        <v>371.6984</v>
      </c>
      <c r="AF340" t="inlineStr">
        <is>
          <t>2026-02-24</t>
        </is>
      </c>
      <c r="AG340" t="n">
        <v>383.6482</v>
      </c>
      <c r="AH340" t="n">
        <v>0.03214938364866524</v>
      </c>
      <c r="AI340" t="inlineStr">
        <is>
          <t>UP</t>
        </is>
      </c>
      <c r="AJ340" t="inlineStr">
        <is>
          <t>NO</t>
        </is>
      </c>
      <c r="AK340" t="n">
        <v>0</v>
      </c>
      <c r="AL340">
        <f>IF($A340="","",IFERROR(INDEX(Company_List!$G$3:$G$207,MATCH($A340,Company_List!$A$3:$A$207,0)),"unassigned"))</f>
        <v/>
      </c>
      <c r="AM340" t="inlineStr">
        <is>
          <t>Phase 3/Readings/Home Depot/2025-Q4/HD-2025-Q4-earnings-call-transcript-ir-homedepot-com.pdf</t>
        </is>
      </c>
      <c r="AN340" t="inlineStr">
        <is>
          <t>https://ir.homedepot.com/~/media/Files/H/HomeDepot-IR/reports-and-presentations/quarterly-earnings/hd-4q25-transcript.pdf</t>
        </is>
      </c>
      <c r="AO340" t="inlineStr">
        <is>
          <t>manifest</t>
        </is>
      </c>
      <c r="AP340">
        <f>IF($A340="","",IF(COUNTIFS(LLM_Data_Entry!$A$3:$A$548,$A340)&gt;0,"YES","NO"))</f>
        <v/>
      </c>
      <c r="AQ340">
        <f>IF($A340="","",IF(COUNTIFS($A$3:$A340,$A340,$C$3:$C340,$C340,$D$3:$D340,$D340)=1,"YES","NO"))</f>
        <v/>
      </c>
      <c r="AR340">
        <f>IF($A340="","",IF(AND($C340&amp;"-"&amp;$D340&gt;=Settings!$B$19,$C340&amp;"-"&amp;$D340&lt;=Settings!$B$20),"IN","OUT"))</f>
        <v/>
      </c>
      <c r="AS340">
        <f>IF($A340="","",IF($F340="Financial Results","financials",IF($F340="Outlook/Guidance","guidance",IF($F340="Transcript Q&amp;A","qanda",IF($F340="","unrecorded",IF($E340="All","full",IF($E340="","unrecorded",LOWER($E340)&amp;" only")))))))</f>
        <v/>
      </c>
      <c r="AT340">
        <f>IF(AND(OR($J340="BUY",$J340="SELL"),ISNUMBER($U340)),$U340,"")</f>
        <v/>
      </c>
      <c r="AU340">
        <f>IF(AND(OR($J340="BUY",$J340="SELL"),ISNUMBER($AK340)),$AK340,"")</f>
        <v/>
      </c>
      <c r="AV340">
        <f>IF(ISNUMBER($AT340),ABS(IF(ISNUMBER($I340),$I340,0)-Settings!$B$24),"")</f>
        <v/>
      </c>
      <c r="AW340">
        <f>IF(ISNUMBER($AV340),$AV340*$AT340,"")</f>
        <v/>
      </c>
      <c r="AX340">
        <f>IF(ISNUMBER($AU340),ABS(IF(ISNUMBER($I340),$I340,0)-Settings!$B$24),"")</f>
        <v/>
      </c>
      <c r="AY340">
        <f>IF(ISNUMBER($AX340),$AX340*$AU340,"")</f>
        <v/>
      </c>
      <c r="AZ340">
        <f>IF($A340="","",IFERROR(INDEX(Company_List!$H$3:$H$207,MATCH($A340,Company_List!$A$3:$A$207,0)),"unassigned"))</f>
        <v/>
      </c>
      <c r="BA340" t="n">
        <v>1</v>
      </c>
      <c r="BB340" t="n">
        <v>1</v>
      </c>
      <c r="BC340">
        <f>IF($A340="","",IF(COUNTIFS($A$3:$A340,$A340,$C$3:$C340,$C340,$D$3:$D340,$D340,$G$3:$G340,$G340)=1,1,0))</f>
        <v/>
      </c>
      <c r="BD340" t="n">
        <v>10</v>
      </c>
      <c r="BG340" t="inlineStr">
        <is>
          <t>no</t>
        </is>
      </c>
      <c r="BJ340" t="inlineStr">
        <is>
          <t>Dragos - Phase 3 scoring_rows.csv</t>
        </is>
      </c>
      <c r="BK340">
        <f>IF(OR($H340&lt;&gt;"Human",$S340="",$J340="",$Y340="",$Z340=""),"",IF(EXACT(UPPER($J340),UPPER($Y340)),1,0))</f>
        <v/>
      </c>
      <c r="BL340" t="inlineStr">
        <is>
          <t>attested - rater record</t>
        </is>
      </c>
      <c r="BM340" t="n">
        <v>1</v>
      </c>
      <c r="BN340" t="inlineStr">
        <is>
          <t>not publisher-identified</t>
        </is>
      </c>
      <c r="BO340" t="inlineStr">
        <is>
          <t>not publisher-identified</t>
        </is>
      </c>
      <c r="BP340" t="inlineStr">
        <is>
          <t>no</t>
        </is>
      </c>
      <c r="BQ340" t="inlineStr">
        <is>
          <t>yes</t>
        </is>
      </c>
    </row>
    <row r="341">
      <c r="A341" s="1" t="inlineStr">
        <is>
          <t>Adobe</t>
        </is>
      </c>
      <c r="B341" s="142">
        <f>IF(A341="","",_xlfn.XLOOKUP(A341, Company_List!$A:$A, Company_List!$B:$B, ""))</f>
        <v/>
      </c>
      <c r="C341" s="143" t="n">
        <v>2026</v>
      </c>
      <c r="D341" s="143" t="inlineStr">
        <is>
          <t>Q1</t>
        </is>
      </c>
      <c r="E341" s="98" t="inlineStr">
        <is>
          <t>Transcript</t>
        </is>
      </c>
      <c r="F341" s="98" t="inlineStr">
        <is>
          <t>All</t>
        </is>
      </c>
      <c r="G341" s="143" t="inlineStr">
        <is>
          <t>Dragos</t>
        </is>
      </c>
      <c r="H341" s="106" t="inlineStr">
        <is>
          <t>Human</t>
        </is>
      </c>
      <c r="I341" s="145" t="n">
        <v>0.9</v>
      </c>
      <c r="J341" s="145">
        <f>IF(OR(I341="",Settings!$B$6=""),"",IF(I341&gt;Settings!$B$6,"BUY",IF(I341&lt;-Settings!$B$6,"SELL","HOLD")))</f>
        <v/>
      </c>
      <c r="K341" s="145" t="n">
        <v>27</v>
      </c>
      <c r="L341" s="123" t="n">
        <v>46093</v>
      </c>
      <c r="M341" s="140" t="n">
        <v>46093</v>
      </c>
      <c r="N341" s="147" t="n">
        <v>269.78</v>
      </c>
      <c r="O341" s="140" t="n">
        <v>46094</v>
      </c>
      <c r="P341" s="145" t="n">
        <v>249</v>
      </c>
      <c r="Q341" s="151">
        <f>IF(OR(N341="",P341=""),"",ROUND((P341-N341)/N341,4))</f>
        <v/>
      </c>
      <c r="R341" s="118">
        <f>IF(OR(N341="",P341=""),"",IF(Q341&gt;Settings!$B$3/100,"UP",IF(Q341&lt;-Settings!$B$3/100,"DOWN","FLAT")))</f>
        <v/>
      </c>
      <c r="S341" s="118">
        <f>IF(OR(N341="",P341="",J341=""),"",IF(OR(AND(J341="BUY",R341="UP"),AND(J341="SELL",R341="DOWN"),AND(J341="HOLD",R341="FLAT")),"YES","NO"))</f>
        <v/>
      </c>
      <c r="T341" s="119">
        <f>IF(J341="","",IF(J341="BUY",1,IF(J341="SELL",-1,0)))</f>
        <v/>
      </c>
      <c r="U341" s="150">
        <f>IFERROR(IF(OR(J341="",N341="",P341=""),"",IF(T341=0,0,T341*Q341-Settings!$B$4/10000-IF(T341&lt;0,Settings!$B$5/10000,0))),"")</f>
        <v/>
      </c>
      <c r="V341" t="inlineStr">
        <is>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is>
      </c>
      <c r="W341" s="21">
        <f>IF($K341="","",$K341*60)</f>
        <v/>
      </c>
      <c r="X341" s="91">
        <f>IF($A341="","",$A341&amp;"|"&amp;$C341&amp;"|"&amp;$D341)</f>
        <v/>
      </c>
      <c r="Y341" s="91">
        <f>IFERROR(IF($X341="","",INDEX(LLM_Data_Entry!$H$3:$H$548,MATCH($X341,INDEX(LLM_Data_Entry!$A$3:$A$548&amp;"|"&amp;LLM_Data_Entry!$C$3:$C$548&amp;"|"&amp;LLM_Data_Entry!$D$3:$D$548,0),0))),"")</f>
        <v/>
      </c>
      <c r="Z341" s="91">
        <f>IFERROR(IF($X341="","",INDEX(LLM_Data_Entry!$R$3:$R$548,MATCH($X341,INDEX(LLM_Data_Entry!$A$3:$A$548&amp;"|"&amp;LLM_Data_Entry!$C$3:$C$548&amp;"|"&amp;LLM_Data_Entry!$D$3:$D$548,0),0))),"")</f>
        <v/>
      </c>
      <c r="AB341" t="inlineStr">
        <is>
          <t>price signal — only this window shows an abnormal move</t>
        </is>
      </c>
      <c r="AC341" t="inlineStr">
        <is>
          <t>ADBE</t>
        </is>
      </c>
      <c r="AD341" t="inlineStr">
        <is>
          <t>2026-03-12</t>
        </is>
      </c>
      <c r="AE341" t="n">
        <v>269.78</v>
      </c>
      <c r="AF341" t="inlineStr">
        <is>
          <t>2026-03-13</t>
        </is>
      </c>
      <c r="AG341" t="n">
        <v>249</v>
      </c>
      <c r="AH341" t="n">
        <v>-0.07702572124333049</v>
      </c>
      <c r="AI341" t="inlineStr">
        <is>
          <t>DOWN</t>
        </is>
      </c>
      <c r="AJ341" t="inlineStr">
        <is>
          <t>NO</t>
        </is>
      </c>
      <c r="AK341" t="n">
        <v>-0.078026</v>
      </c>
      <c r="AL341">
        <f>IF($A341="","",IFERROR(INDEX(Company_List!$G$3:$G$207,MATCH($A341,Company_List!$A$3:$A$207,0)),"unassigned"))</f>
        <v/>
      </c>
      <c r="AM341" t="inlineStr">
        <is>
          <t>Phase 3/Readings/Adobe/2026-Q1/ADBE-2026-Q1-earnings-call-transcript-fool-com.html</t>
        </is>
      </c>
      <c r="AN341" t="inlineStr">
        <is>
          <t>https://www.fool.com/earnings/call-transcripts/2026/03/12/adobe-adbe-q1-2026-earnings-call-transcript/</t>
        </is>
      </c>
      <c r="AO341" t="inlineStr">
        <is>
          <t>manifest</t>
        </is>
      </c>
      <c r="AP341">
        <f>IF($A341="","",IF(COUNTIFS(LLM_Data_Entry!$A$3:$A$548,$A341)&gt;0,"YES","NO"))</f>
        <v/>
      </c>
      <c r="AQ341">
        <f>IF($A341="","",IF(COUNTIFS($A$3:$A341,$A341,$C$3:$C341,$C341,$D$3:$D341,$D341)=1,"YES","NO"))</f>
        <v/>
      </c>
      <c r="AR341">
        <f>IF($A341="","",IF(AND($C341&amp;"-"&amp;$D341&gt;=Settings!$B$19,$C341&amp;"-"&amp;$D341&lt;=Settings!$B$20),"IN","OUT"))</f>
        <v/>
      </c>
      <c r="AS341">
        <f>IF($A341="","",IF($F341="Financial Results","financials",IF($F341="Outlook/Guidance","guidance",IF($F341="Transcript Q&amp;A","qanda",IF($F341="","unrecorded",IF($E341="All","full",IF($E341="","unrecorded",LOWER($E341)&amp;" only")))))))</f>
        <v/>
      </c>
      <c r="AT341">
        <f>IF(AND(OR($J341="BUY",$J341="SELL"),ISNUMBER($U341)),$U341,"")</f>
        <v/>
      </c>
      <c r="AU341">
        <f>IF(AND(OR($J341="BUY",$J341="SELL"),ISNUMBER($AK341)),$AK341,"")</f>
        <v/>
      </c>
      <c r="AV341">
        <f>IF(ISNUMBER($AT341),ABS(IF(ISNUMBER($I341),$I341,0)-Settings!$B$24),"")</f>
        <v/>
      </c>
      <c r="AW341">
        <f>IF(ISNUMBER($AV341),$AV341*$AT341,"")</f>
        <v/>
      </c>
      <c r="AX341">
        <f>IF(ISNUMBER($AU341),ABS(IF(ISNUMBER($I341),$I341,0)-Settings!$B$24),"")</f>
        <v/>
      </c>
      <c r="AY341">
        <f>IF(ISNUMBER($AX341),$AX341*$AU341,"")</f>
        <v/>
      </c>
      <c r="AZ341">
        <f>IF($A341="","",IFERROR(INDEX(Company_List!$H$3:$H$207,MATCH($A341,Company_List!$A$3:$A$207,0)),"unassigned"))</f>
        <v/>
      </c>
      <c r="BA341" t="n">
        <v>2</v>
      </c>
      <c r="BB341" t="n">
        <v>2</v>
      </c>
      <c r="BC341">
        <f>IF($A341="","",IF(COUNTIFS($A$3:$A341,$A341,$C$3:$C341,$C341,$D$3:$D341,$D341,$G$3:$G341,$G341)=1,1,0))</f>
        <v/>
      </c>
      <c r="BD341" t="n">
        <v>15</v>
      </c>
      <c r="BE341" t="n">
        <v>12</v>
      </c>
      <c r="BF341" t="n">
        <v>0.9</v>
      </c>
      <c r="BG341" t="inlineStr">
        <is>
          <t>no</t>
        </is>
      </c>
      <c r="BJ341" t="inlineStr">
        <is>
          <t>Dragos - Phase 3 scoring_rows.csv</t>
        </is>
      </c>
      <c r="BK341">
        <f>IF(OR($H341&lt;&gt;"Human",$S341="",$J341="",$Y341="",$Z341=""),"",IF(EXACT(UPPER($J341),UPPER($Y341)),1,0))</f>
        <v/>
      </c>
      <c r="BL341" t="inlineStr">
        <is>
          <t>attested - rater record</t>
        </is>
      </c>
      <c r="BM341" t="n">
        <v>1</v>
      </c>
      <c r="BN341" t="inlineStr">
        <is>
          <t>The Motley Fool</t>
        </is>
      </c>
      <c r="BO341" t="inlineStr">
        <is>
          <t>free to read, copyright asserted</t>
        </is>
      </c>
      <c r="BP341" t="inlineStr">
        <is>
          <t>no</t>
        </is>
      </c>
      <c r="BQ341" t="inlineStr">
        <is>
          <t>yes</t>
        </is>
      </c>
    </row>
    <row r="342">
      <c r="A342" s="1" t="inlineStr">
        <is>
          <t>UnitedHealth</t>
        </is>
      </c>
      <c r="B342" s="142">
        <f>IF(A342="","",_xlfn.XLOOKUP(A342, Company_List!$A:$A, Company_List!$B:$B, ""))</f>
        <v/>
      </c>
      <c r="C342" s="143" t="n">
        <v>2026</v>
      </c>
      <c r="D342" s="143" t="inlineStr">
        <is>
          <t>Q1</t>
        </is>
      </c>
      <c r="E342" s="98" t="inlineStr">
        <is>
          <t>Transcript</t>
        </is>
      </c>
      <c r="F342" s="98" t="inlineStr">
        <is>
          <t>All</t>
        </is>
      </c>
      <c r="G342" s="143" t="inlineStr">
        <is>
          <t>Dragos</t>
        </is>
      </c>
      <c r="H342" s="106" t="inlineStr">
        <is>
          <t>Human</t>
        </is>
      </c>
      <c r="I342" s="145" t="n">
        <v>0.3</v>
      </c>
      <c r="J342" s="145">
        <f>IF(OR(I342="",Settings!$B$6=""),"",IF(I342&gt;Settings!$B$6,"BUY",IF(I342&lt;-Settings!$B$6,"SELL","HOLD")))</f>
        <v/>
      </c>
      <c r="K342" s="145" t="n">
        <v>29</v>
      </c>
      <c r="L342" s="123" t="n">
        <v>46133</v>
      </c>
      <c r="M342" s="140" t="n">
        <v>46132</v>
      </c>
      <c r="N342" s="147" t="n">
        <v>323.48</v>
      </c>
      <c r="O342" s="140" t="n">
        <v>46133</v>
      </c>
      <c r="P342" s="145" t="n">
        <v>353.01</v>
      </c>
      <c r="Q342" s="151">
        <f>IF(OR(N342="",P342=""),"",ROUND((P342-N342)/N342,4))</f>
        <v/>
      </c>
      <c r="R342" s="118">
        <f>IF(OR(N342="",P342=""),"",IF(Q342&gt;Settings!$B$3/100,"UP",IF(Q342&lt;-Settings!$B$3/100,"DOWN","FLAT")))</f>
        <v/>
      </c>
      <c r="S342" s="118">
        <f>IF(OR(N342="",P342="",J342=""),"",IF(OR(AND(J342="BUY",R342="UP"),AND(J342="SELL",R342="DOWN"),AND(J342="HOLD",R342="FLAT")),"YES","NO"))</f>
        <v/>
      </c>
      <c r="T342" s="119">
        <f>IF(J342="","",IF(J342="BUY",1,IF(J342="SELL",-1,0)))</f>
        <v/>
      </c>
      <c r="U342" s="150">
        <f>IFERROR(IF(OR(J342="",N342="",P342=""),"",IF(T342=0,0,T342*Q342-Settings!$B$4/10000-IF(T342&lt;0,Settings!$B$5/10000,0))),"")</f>
        <v/>
      </c>
      <c r="V342" t="inlineStr">
        <is>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is>
      </c>
      <c r="W342" s="21">
        <f>IF($K342="","",$K342*60)</f>
        <v/>
      </c>
      <c r="X342" s="91">
        <f>IF($A342="","",$A342&amp;"|"&amp;$C342&amp;"|"&amp;$D342)</f>
        <v/>
      </c>
      <c r="Y342" s="91">
        <f>IFERROR(IF($X342="","",INDEX(LLM_Data_Entry!$H$3:$H$548,MATCH($X342,INDEX(LLM_Data_Entry!$A$3:$A$548&amp;"|"&amp;LLM_Data_Entry!$C$3:$C$548&amp;"|"&amp;LLM_Data_Entry!$D$3:$D$548,0),0))),"")</f>
        <v/>
      </c>
      <c r="Z342" s="91">
        <f>IFERROR(IF($X342="","",INDEX(LLM_Data_Entry!$R$3:$R$548,MATCH($X342,INDEX(LLM_Data_Entry!$A$3:$A$548&amp;"|"&amp;LLM_Data_Entry!$C$3:$C$548&amp;"|"&amp;LLM_Data_Entry!$D$3:$D$548,0),0))),"")</f>
        <v/>
      </c>
      <c r="AB342" t="inlineStr">
        <is>
          <t>price signal — only this window shows an abnormal move</t>
        </is>
      </c>
      <c r="AC342" t="inlineStr">
        <is>
          <t>UNH</t>
        </is>
      </c>
      <c r="AD342" t="inlineStr">
        <is>
          <t>2026-04-20</t>
        </is>
      </c>
      <c r="AE342" t="n">
        <v>321.643</v>
      </c>
      <c r="AF342" t="inlineStr">
        <is>
          <t>2026-04-21</t>
        </is>
      </c>
      <c r="AG342" t="n">
        <v>351.0053</v>
      </c>
      <c r="AH342" t="n">
        <v>0.0912884382925407</v>
      </c>
      <c r="AI342" t="inlineStr">
        <is>
          <t>UP</t>
        </is>
      </c>
      <c r="AJ342" t="inlineStr">
        <is>
          <t>YES</t>
        </is>
      </c>
      <c r="AK342" t="n">
        <v>0.09028799999999999</v>
      </c>
      <c r="AL342">
        <f>IF($A342="","",IFERROR(INDEX(Company_List!$G$3:$G$207,MATCH($A342,Company_List!$A$3:$A$207,0)),"unassigned"))</f>
        <v/>
      </c>
      <c r="AM342" t="inlineStr">
        <is>
          <t>Phase 2/Unitedhealth/2026-Q1/UNH-2026-Q1-earnings-call-transcript-unitedhealthgroup-com.pdf</t>
        </is>
      </c>
      <c r="AN342" t="inlineStr">
        <is>
          <t>https://www.unitedhealthgroup.com/content/dam/UHG/PDF/investors/2026/unh-q1-2026-remarks.pdf</t>
        </is>
      </c>
      <c r="AO342" t="inlineStr">
        <is>
          <t>manifest</t>
        </is>
      </c>
      <c r="AP342">
        <f>IF($A342="","",IF(COUNTIFS(LLM_Data_Entry!$A$3:$A$548,$A342)&gt;0,"YES","NO"))</f>
        <v/>
      </c>
      <c r="AQ342">
        <f>IF($A342="","",IF(COUNTIFS($A$3:$A342,$A342,$C$3:$C342,$C342,$D$3:$D342,$D342)=1,"YES","NO"))</f>
        <v/>
      </c>
      <c r="AR342">
        <f>IF($A342="","",IF(AND($C342&amp;"-"&amp;$D342&gt;=Settings!$B$19,$C342&amp;"-"&amp;$D342&lt;=Settings!$B$20),"IN","OUT"))</f>
        <v/>
      </c>
      <c r="AS342">
        <f>IF($A342="","",IF($F342="Financial Results","financials",IF($F342="Outlook/Guidance","guidance",IF($F342="Transcript Q&amp;A","qanda",IF($F342="","unrecorded",IF($E342="All","full",IF($E342="","unrecorded",LOWER($E342)&amp;" only")))))))</f>
        <v/>
      </c>
      <c r="AT342">
        <f>IF(AND(OR($J342="BUY",$J342="SELL"),ISNUMBER($U342)),$U342,"")</f>
        <v/>
      </c>
      <c r="AU342">
        <f>IF(AND(OR($J342="BUY",$J342="SELL"),ISNUMBER($AK342)),$AK342,"")</f>
        <v/>
      </c>
      <c r="AV342">
        <f>IF(ISNUMBER($AT342),ABS(IF(ISNUMBER($I342),$I342,0)-Settings!$B$24),"")</f>
        <v/>
      </c>
      <c r="AW342">
        <f>IF(ISNUMBER($AV342),$AV342*$AT342,"")</f>
        <v/>
      </c>
      <c r="AX342">
        <f>IF(ISNUMBER($AU342),ABS(IF(ISNUMBER($I342),$I342,0)-Settings!$B$24),"")</f>
        <v/>
      </c>
      <c r="AY342">
        <f>IF(ISNUMBER($AX342),$AX342*$AU342,"")</f>
        <v/>
      </c>
      <c r="AZ342">
        <f>IF($A342="","",IFERROR(INDEX(Company_List!$H$3:$H$207,MATCH($A342,Company_List!$A$3:$A$207,0)),"unassigned"))</f>
        <v/>
      </c>
      <c r="BA342" t="n">
        <v>2</v>
      </c>
      <c r="BB342" t="n">
        <v>2</v>
      </c>
      <c r="BC342">
        <f>IF($A342="","",IF(COUNTIFS($A$3:$A342,$A342,$C$3:$C342,$C342,$D$3:$D342,$D342,$G$3:$G342,$G342)=1,1,0))</f>
        <v/>
      </c>
      <c r="BD342" t="n">
        <v>15</v>
      </c>
      <c r="BE342" t="n">
        <v>14</v>
      </c>
      <c r="BF342" t="n">
        <v>0.2</v>
      </c>
      <c r="BG342" t="inlineStr">
        <is>
          <t>no</t>
        </is>
      </c>
      <c r="BJ342" t="inlineStr">
        <is>
          <t>Dragos - Phase 3 scoring_rows.csv</t>
        </is>
      </c>
      <c r="BK342">
        <f>IF(OR($H342&lt;&gt;"Human",$S342="",$J342="",$Y342="",$Z342=""),"",IF(EXACT(UPPER($J342),UPPER($Y342)),1,0))</f>
        <v/>
      </c>
      <c r="BL342" t="inlineStr">
        <is>
          <t>attested - rater record</t>
        </is>
      </c>
      <c r="BM342" t="n">
        <v>1</v>
      </c>
      <c r="BN342" t="inlineStr">
        <is>
          <t>not publisher-identified</t>
        </is>
      </c>
      <c r="BO342" t="inlineStr">
        <is>
          <t>not publisher-identified</t>
        </is>
      </c>
      <c r="BP342" t="inlineStr">
        <is>
          <t>no</t>
        </is>
      </c>
      <c r="BQ342" t="inlineStr">
        <is>
          <t>yes</t>
        </is>
      </c>
    </row>
    <row r="343">
      <c r="A343" s="1" t="inlineStr">
        <is>
          <t>Freeport-McMoRan</t>
        </is>
      </c>
      <c r="B343" s="142">
        <f>IF(A343="","",_xlfn.XLOOKUP(A343, Company_List!$A:$A, Company_List!$B:$B, ""))</f>
        <v/>
      </c>
      <c r="C343" s="143" t="n">
        <v>2026</v>
      </c>
      <c r="D343" s="143" t="inlineStr">
        <is>
          <t>Q1</t>
        </is>
      </c>
      <c r="E343" s="98" t="inlineStr">
        <is>
          <t>Transcript</t>
        </is>
      </c>
      <c r="F343" s="98" t="inlineStr">
        <is>
          <t>All</t>
        </is>
      </c>
      <c r="G343" s="143" t="inlineStr">
        <is>
          <t>Dragos</t>
        </is>
      </c>
      <c r="H343" s="106" t="inlineStr">
        <is>
          <t>Human</t>
        </is>
      </c>
      <c r="I343" s="145" t="n">
        <v>0.8</v>
      </c>
      <c r="J343" s="145">
        <f>IF(OR(I343="",Settings!$B$6=""),"",IF(I343&gt;Settings!$B$6,"BUY",IF(I343&lt;-Settings!$B$6,"SELL","HOLD")))</f>
        <v/>
      </c>
      <c r="K343" s="145" t="n">
        <v>21</v>
      </c>
      <c r="L343" s="123" t="n">
        <v>46135</v>
      </c>
      <c r="M343" s="140" t="n">
        <v>46134</v>
      </c>
      <c r="N343" s="147" t="n">
        <v>70.36</v>
      </c>
      <c r="O343" s="140" t="n">
        <v>46135</v>
      </c>
      <c r="P343" s="145" t="n">
        <v>62.27</v>
      </c>
      <c r="Q343" s="151">
        <f>IF(OR(N343="",P343=""),"",ROUND((P343-N343)/N343,4))</f>
        <v/>
      </c>
      <c r="R343" s="118">
        <f>IF(OR(N343="",P343=""),"",IF(Q343&gt;Settings!$B$3/100,"UP",IF(Q343&lt;-Settings!$B$3/100,"DOWN","FLAT")))</f>
        <v/>
      </c>
      <c r="S343" s="118">
        <f>IF(OR(N343="",P343="",J343=""),"",IF(OR(AND(J343="BUY",R343="UP"),AND(J343="SELL",R343="DOWN"),AND(J343="HOLD",R343="FLAT")),"YES","NO"))</f>
        <v/>
      </c>
      <c r="T343" s="119">
        <f>IF(J343="","",IF(J343="BUY",1,IF(J343="SELL",-1,0)))</f>
        <v/>
      </c>
      <c r="U343" s="150">
        <f>IFERROR(IF(OR(J343="",N343="",P343=""),"",IF(T343=0,0,T343*Q343-Settings!$B$4/10000-IF(T343&lt;0,Settings!$B$5/10000,0))),"")</f>
        <v/>
      </c>
      <c r="V343" t="inlineStr">
        <is>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is>
      </c>
      <c r="W343" s="21">
        <f>IF($K343="","",$K343*60)</f>
        <v/>
      </c>
      <c r="X343" s="91">
        <f>IF($A343="","",$A343&amp;"|"&amp;$C343&amp;"|"&amp;$D343)</f>
        <v/>
      </c>
      <c r="Y343" s="91">
        <f>IFERROR(IF($X343="","",INDEX(LLM_Data_Entry!$H$3:$H$548,MATCH($X343,INDEX(LLM_Data_Entry!$A$3:$A$548&amp;"|"&amp;LLM_Data_Entry!$C$3:$C$548&amp;"|"&amp;LLM_Data_Entry!$D$3:$D$548,0),0))),"")</f>
        <v/>
      </c>
      <c r="Z343" s="91">
        <f>IFERROR(IF($X343="","",INDEX(LLM_Data_Entry!$R$3:$R$548,MATCH($X343,INDEX(LLM_Data_Entry!$A$3:$A$548&amp;"|"&amp;LLM_Data_Entry!$C$3:$C$548&amp;"|"&amp;LLM_Data_Entry!$D$3:$D$548,0),0))),"")</f>
        <v/>
      </c>
      <c r="AB343" t="inlineStr">
        <is>
          <t>price signal — only this window shows an abnormal move</t>
        </is>
      </c>
      <c r="AC343" t="inlineStr">
        <is>
          <t>FCX</t>
        </is>
      </c>
      <c r="AD343" t="inlineStr">
        <is>
          <t>2026-04-22</t>
        </is>
      </c>
      <c r="AE343" t="n">
        <v>70.1896</v>
      </c>
      <c r="AF343" t="inlineStr">
        <is>
          <t>2026-04-23</t>
        </is>
      </c>
      <c r="AG343" t="n">
        <v>62.1192</v>
      </c>
      <c r="AH343" t="n">
        <v>-0.1149800779742858</v>
      </c>
      <c r="AI343" t="inlineStr">
        <is>
          <t>DOWN</t>
        </is>
      </c>
      <c r="AJ343" t="inlineStr">
        <is>
          <t>NO</t>
        </is>
      </c>
      <c r="AK343" t="n">
        <v>-0.11598</v>
      </c>
      <c r="AL343">
        <f>IF($A343="","",IFERROR(INDEX(Company_List!$G$3:$G$207,MATCH($A343,Company_List!$A$3:$A$207,0)),"unassigned"))</f>
        <v/>
      </c>
      <c r="AM343" t="inlineStr">
        <is>
          <t>Phase 3/Readings/Freeport-McMoRan/2026-Q1/FCX-2026-Q1-earnings-call-transcript-fool-com.html</t>
        </is>
      </c>
      <c r="AN343" t="inlineStr">
        <is>
          <t>https://www.fool.com/earnings/call-transcripts/2026/04/23/freeport-fcx-q1-2026-earnings-transcript/</t>
        </is>
      </c>
      <c r="AO343" t="inlineStr">
        <is>
          <t>manifest</t>
        </is>
      </c>
      <c r="AP343">
        <f>IF($A343="","",IF(COUNTIFS(LLM_Data_Entry!$A$3:$A$548,$A343)&gt;0,"YES","NO"))</f>
        <v/>
      </c>
      <c r="AQ343">
        <f>IF($A343="","",IF(COUNTIFS($A$3:$A343,$A343,$C$3:$C343,$C343,$D$3:$D343,$D343)=1,"YES","NO"))</f>
        <v/>
      </c>
      <c r="AR343">
        <f>IF($A343="","",IF(AND($C343&amp;"-"&amp;$D343&gt;=Settings!$B$19,$C343&amp;"-"&amp;$D343&lt;=Settings!$B$20),"IN","OUT"))</f>
        <v/>
      </c>
      <c r="AS343">
        <f>IF($A343="","",IF($F343="Financial Results","financials",IF($F343="Outlook/Guidance","guidance",IF($F343="Transcript Q&amp;A","qanda",IF($F343="","unrecorded",IF($E343="All","full",IF($E343="","unrecorded",LOWER($E343)&amp;" only")))))))</f>
        <v/>
      </c>
      <c r="AT343">
        <f>IF(AND(OR($J343="BUY",$J343="SELL"),ISNUMBER($U343)),$U343,"")</f>
        <v/>
      </c>
      <c r="AU343">
        <f>IF(AND(OR($J343="BUY",$J343="SELL"),ISNUMBER($AK343)),$AK343,"")</f>
        <v/>
      </c>
      <c r="AV343">
        <f>IF(ISNUMBER($AT343),ABS(IF(ISNUMBER($I343),$I343,0)-Settings!$B$24),"")</f>
        <v/>
      </c>
      <c r="AW343">
        <f>IF(ISNUMBER($AV343),$AV343*$AT343,"")</f>
        <v/>
      </c>
      <c r="AX343">
        <f>IF(ISNUMBER($AU343),ABS(IF(ISNUMBER($I343),$I343,0)-Settings!$B$24),"")</f>
        <v/>
      </c>
      <c r="AY343">
        <f>IF(ISNUMBER($AX343),$AX343*$AU343,"")</f>
        <v/>
      </c>
      <c r="AZ343">
        <f>IF($A343="","",IFERROR(INDEX(Company_List!$H$3:$H$207,MATCH($A343,Company_List!$A$3:$A$207,0)),"unassigned"))</f>
        <v/>
      </c>
      <c r="BA343" t="n">
        <v>2</v>
      </c>
      <c r="BB343" t="n">
        <v>2</v>
      </c>
      <c r="BC343">
        <f>IF($A343="","",IF(COUNTIFS($A$3:$A343,$A343,$C$3:$C343,$C343,$D$3:$D343,$D343,$G$3:$G343,$G343)=1,1,0))</f>
        <v/>
      </c>
      <c r="BD343" t="n">
        <v>10</v>
      </c>
      <c r="BE343" t="n">
        <v>11</v>
      </c>
      <c r="BF343" t="n">
        <v>0.8</v>
      </c>
      <c r="BG343" t="inlineStr">
        <is>
          <t>no</t>
        </is>
      </c>
      <c r="BJ343" t="inlineStr">
        <is>
          <t>Dragos - Phase 3 scoring_rows.csv</t>
        </is>
      </c>
      <c r="BK343">
        <f>IF(OR($H343&lt;&gt;"Human",$S343="",$J343="",$Y343="",$Z343=""),"",IF(EXACT(UPPER($J343),UPPER($Y343)),1,0))</f>
        <v/>
      </c>
      <c r="BL343" t="inlineStr">
        <is>
          <t>attested - rater record</t>
        </is>
      </c>
      <c r="BM343" t="n">
        <v>1</v>
      </c>
      <c r="BN343" t="inlineStr">
        <is>
          <t>The Motley Fool</t>
        </is>
      </c>
      <c r="BO343" t="inlineStr">
        <is>
          <t>free to read, copyright asserted</t>
        </is>
      </c>
      <c r="BP343" t="inlineStr">
        <is>
          <t>no</t>
        </is>
      </c>
      <c r="BQ343" t="inlineStr">
        <is>
          <t>yes</t>
        </is>
      </c>
    </row>
    <row r="344">
      <c r="A344" s="1" t="inlineStr">
        <is>
          <t>Union Pacific</t>
        </is>
      </c>
      <c r="B344" s="142">
        <f>IF(A344="","",_xlfn.XLOOKUP(A344, Company_List!$A:$A, Company_List!$B:$B, ""))</f>
        <v/>
      </c>
      <c r="C344" s="143" t="n">
        <v>2026</v>
      </c>
      <c r="D344" s="143" t="inlineStr">
        <is>
          <t>Q1</t>
        </is>
      </c>
      <c r="E344" s="98" t="inlineStr">
        <is>
          <t>Transcript</t>
        </is>
      </c>
      <c r="F344" s="98" t="inlineStr">
        <is>
          <t>All</t>
        </is>
      </c>
      <c r="G344" s="143" t="inlineStr">
        <is>
          <t>Dragos</t>
        </is>
      </c>
      <c r="H344" s="106" t="inlineStr">
        <is>
          <t>Human</t>
        </is>
      </c>
      <c r="I344" s="145" t="n">
        <v>0.5</v>
      </c>
      <c r="J344" s="145">
        <f>IF(OR(I344="",Settings!$B$6=""),"",IF(I344&gt;Settings!$B$6,"BUY",IF(I344&lt;-Settings!$B$6,"SELL","HOLD")))</f>
        <v/>
      </c>
      <c r="K344" s="145" t="n">
        <v>30</v>
      </c>
      <c r="L344" s="123" t="n">
        <v>46135</v>
      </c>
      <c r="M344" s="140" t="n">
        <v>46134</v>
      </c>
      <c r="N344" s="147" t="n">
        <v>249.4</v>
      </c>
      <c r="O344" s="140" t="n">
        <v>46135</v>
      </c>
      <c r="P344" s="145" t="n">
        <v>262.76</v>
      </c>
      <c r="Q344" s="151">
        <f>IF(OR(N344="",P344=""),"",ROUND((P344-N344)/N344,4))</f>
        <v/>
      </c>
      <c r="R344" s="118">
        <f>IF(OR(N344="",P344=""),"",IF(Q344&gt;Settings!$B$3/100,"UP",IF(Q344&lt;-Settings!$B$3/100,"DOWN","FLAT")))</f>
        <v/>
      </c>
      <c r="S344" s="118">
        <f>IF(OR(N344="",P344="",J344=""),"",IF(OR(AND(J344="BUY",R344="UP"),AND(J344="SELL",R344="DOWN"),AND(J344="HOLD",R344="FLAT")),"YES","NO"))</f>
        <v/>
      </c>
      <c r="T344" s="119">
        <f>IF(J344="","",IF(J344="BUY",1,IF(J344="SELL",-1,0)))</f>
        <v/>
      </c>
      <c r="U344" s="150">
        <f>IFERROR(IF(OR(J344="",N344="",P344=""),"",IF(T344=0,0,T344*Q344-Settings!$B$4/10000-IF(T344&lt;0,Settings!$B$5/10000,0))),"")</f>
        <v/>
      </c>
      <c r="V344" t="inlineStr">
        <is>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is>
      </c>
      <c r="W344" s="21">
        <f>IF($K344="","",$K344*60)</f>
        <v/>
      </c>
      <c r="X344" s="91">
        <f>IF($A344="","",$A344&amp;"|"&amp;$C344&amp;"|"&amp;$D344)</f>
        <v/>
      </c>
      <c r="Y344" s="91">
        <f>IFERROR(IF($X344="","",INDEX(LLM_Data_Entry!$H$3:$H$548,MATCH($X344,INDEX(LLM_Data_Entry!$A$3:$A$548&amp;"|"&amp;LLM_Data_Entry!$C$3:$C$548&amp;"|"&amp;LLM_Data_Entry!$D$3:$D$548,0),0))),"")</f>
        <v/>
      </c>
      <c r="Z344" s="91">
        <f>IFERROR(IF($X344="","",INDEX(LLM_Data_Entry!$R$3:$R$548,MATCH($X344,INDEX(LLM_Data_Entry!$A$3:$A$548&amp;"|"&amp;LLM_Data_Entry!$C$3:$C$548&amp;"|"&amp;LLM_Data_Entry!$D$3:$D$548,0),0))),"")</f>
        <v/>
      </c>
      <c r="AB344" t="inlineStr">
        <is>
          <t>price signal — only this window shows an abnormal move</t>
        </is>
      </c>
      <c r="AC344" t="inlineStr">
        <is>
          <t>UNP</t>
        </is>
      </c>
      <c r="AD344" t="inlineStr">
        <is>
          <t>2026-04-22</t>
        </is>
      </c>
      <c r="AE344" t="n">
        <v>248.111</v>
      </c>
      <c r="AF344" t="inlineStr">
        <is>
          <t>2026-04-23</t>
        </is>
      </c>
      <c r="AG344" t="n">
        <v>261.4019</v>
      </c>
      <c r="AH344" t="n">
        <v>0.05356866203276311</v>
      </c>
      <c r="AI344" t="inlineStr">
        <is>
          <t>UP</t>
        </is>
      </c>
      <c r="AJ344" t="inlineStr">
        <is>
          <t>YES</t>
        </is>
      </c>
      <c r="AK344" t="n">
        <v>0.052569</v>
      </c>
      <c r="AL344">
        <f>IF($A344="","",IFERROR(INDEX(Company_List!$G$3:$G$207,MATCH($A344,Company_List!$A$3:$A$207,0)),"unassigned"))</f>
        <v/>
      </c>
      <c r="AM344" t="inlineStr">
        <is>
          <t>Phase 3/Readings/Union Pacific/2026-Q1/UNP-2026-Q1-earnings-call-transcript-fool-com.html</t>
        </is>
      </c>
      <c r="AN344" t="inlineStr">
        <is>
          <t>https://www.fool.com/earnings/call-transcripts/2026/04/23/union-pacific-unp-q1-2026-earnings-transcript/</t>
        </is>
      </c>
      <c r="AO344" t="inlineStr">
        <is>
          <t>manifest</t>
        </is>
      </c>
      <c r="AP344">
        <f>IF($A344="","",IF(COUNTIFS(LLM_Data_Entry!$A$3:$A$548,$A344)&gt;0,"YES","NO"))</f>
        <v/>
      </c>
      <c r="AQ344">
        <f>IF($A344="","",IF(COUNTIFS($A$3:$A344,$A344,$C$3:$C344,$C344,$D$3:$D344,$D344)=1,"YES","NO"))</f>
        <v/>
      </c>
      <c r="AR344">
        <f>IF($A344="","",IF(AND($C344&amp;"-"&amp;$D344&gt;=Settings!$B$19,$C344&amp;"-"&amp;$D344&lt;=Settings!$B$20),"IN","OUT"))</f>
        <v/>
      </c>
      <c r="AS344">
        <f>IF($A344="","",IF($F344="Financial Results","financials",IF($F344="Outlook/Guidance","guidance",IF($F344="Transcript Q&amp;A","qanda",IF($F344="","unrecorded",IF($E344="All","full",IF($E344="","unrecorded",LOWER($E344)&amp;" only")))))))</f>
        <v/>
      </c>
      <c r="AT344">
        <f>IF(AND(OR($J344="BUY",$J344="SELL"),ISNUMBER($U344)),$U344,"")</f>
        <v/>
      </c>
      <c r="AU344">
        <f>IF(AND(OR($J344="BUY",$J344="SELL"),ISNUMBER($AK344)),$AK344,"")</f>
        <v/>
      </c>
      <c r="AV344">
        <f>IF(ISNUMBER($AT344),ABS(IF(ISNUMBER($I344),$I344,0)-Settings!$B$24),"")</f>
        <v/>
      </c>
      <c r="AW344">
        <f>IF(ISNUMBER($AV344),$AV344*$AT344,"")</f>
        <v/>
      </c>
      <c r="AX344">
        <f>IF(ISNUMBER($AU344),ABS(IF(ISNUMBER($I344),$I344,0)-Settings!$B$24),"")</f>
        <v/>
      </c>
      <c r="AY344">
        <f>IF(ISNUMBER($AX344),$AX344*$AU344,"")</f>
        <v/>
      </c>
      <c r="AZ344">
        <f>IF($A344="","",IFERROR(INDEX(Company_List!$H$3:$H$207,MATCH($A344,Company_List!$A$3:$A$207,0)),"unassigned"))</f>
        <v/>
      </c>
      <c r="BA344" t="n">
        <v>2</v>
      </c>
      <c r="BB344" t="n">
        <v>2</v>
      </c>
      <c r="BC344">
        <f>IF($A344="","",IF(COUNTIFS($A$3:$A344,$A344,$C$3:$C344,$C344,$D$3:$D344,$D344,$G$3:$G344,$G344)=1,1,0))</f>
        <v/>
      </c>
      <c r="BD344" t="n">
        <v>12</v>
      </c>
      <c r="BE344" t="n">
        <v>18</v>
      </c>
      <c r="BF344" t="n">
        <v>0.5</v>
      </c>
      <c r="BG344" t="inlineStr">
        <is>
          <t>no</t>
        </is>
      </c>
      <c r="BJ344" t="inlineStr">
        <is>
          <t>Dragos - Phase 3 scoring_rows.csv</t>
        </is>
      </c>
      <c r="BK344">
        <f>IF(OR($H344&lt;&gt;"Human",$S344="",$J344="",$Y344="",$Z344=""),"",IF(EXACT(UPPER($J344),UPPER($Y344)),1,0))</f>
        <v/>
      </c>
      <c r="BL344" t="inlineStr">
        <is>
          <t>attested - rater record</t>
        </is>
      </c>
      <c r="BM344" t="n">
        <v>1</v>
      </c>
      <c r="BN344" t="inlineStr">
        <is>
          <t>The Motley Fool</t>
        </is>
      </c>
      <c r="BO344" t="inlineStr">
        <is>
          <t>free to read, copyright asserted</t>
        </is>
      </c>
      <c r="BP344" t="inlineStr">
        <is>
          <t>no</t>
        </is>
      </c>
      <c r="BQ344" t="inlineStr">
        <is>
          <t>yes</t>
        </is>
      </c>
    </row>
    <row r="345">
      <c r="A345" s="1" t="inlineStr">
        <is>
          <t>Caterpillar</t>
        </is>
      </c>
      <c r="B345" s="142">
        <f>IF(A345="","",_xlfn.XLOOKUP(A345, Company_List!$A:$A, Company_List!$B:$B, ""))</f>
        <v/>
      </c>
      <c r="C345" s="143" t="n">
        <v>2026</v>
      </c>
      <c r="D345" s="143" t="inlineStr">
        <is>
          <t>Q1</t>
        </is>
      </c>
      <c r="E345" s="98" t="inlineStr">
        <is>
          <t>Transcript</t>
        </is>
      </c>
      <c r="F345" s="98" t="inlineStr">
        <is>
          <t>All</t>
        </is>
      </c>
      <c r="G345" s="143" t="inlineStr">
        <is>
          <t>Dragos</t>
        </is>
      </c>
      <c r="H345" s="106" t="inlineStr">
        <is>
          <t>Human</t>
        </is>
      </c>
      <c r="I345" s="145" t="n">
        <v>0.6</v>
      </c>
      <c r="J345" s="145">
        <f>IF(OR(I345="",Settings!$B$6=""),"",IF(I345&gt;Settings!$B$6,"BUY",IF(I345&lt;-Settings!$B$6,"SELL","HOLD")))</f>
        <v/>
      </c>
      <c r="K345" s="145" t="n">
        <v>30</v>
      </c>
      <c r="L345" s="123" t="n">
        <v>46142</v>
      </c>
      <c r="M345" s="140" t="n">
        <v>46141</v>
      </c>
      <c r="N345" s="147" t="n">
        <v>810.05</v>
      </c>
      <c r="O345" s="140" t="n">
        <v>46142</v>
      </c>
      <c r="P345" s="145" t="n">
        <v>856.63</v>
      </c>
      <c r="Q345" s="151">
        <f>IF(OR(N345="",P345=""),"",ROUND((P345-N345)/N345,4))</f>
        <v/>
      </c>
      <c r="R345" s="118">
        <f>IF(OR(N345="",P345=""),"",IF(Q345&gt;Settings!$B$3/100,"UP",IF(Q345&lt;-Settings!$B$3/100,"DOWN","FLAT")))</f>
        <v/>
      </c>
      <c r="S345" s="118">
        <f>IF(OR(N345="",P345="",J345=""),"",IF(OR(AND(J345="BUY",R345="UP"),AND(J345="SELL",R345="DOWN"),AND(J345="HOLD",R345="FLAT")),"YES","NO"))</f>
        <v/>
      </c>
      <c r="T345" s="119">
        <f>IF(J345="","",IF(J345="BUY",1,IF(J345="SELL",-1,0)))</f>
        <v/>
      </c>
      <c r="U345" s="150">
        <f>IFERROR(IF(OR(J345="",N345="",P345=""),"",IF(T345=0,0,T345*Q345-Settings!$B$4/10000-IF(T345&lt;0,Settings!$B$5/10000,0))),"")</f>
        <v/>
      </c>
      <c r="V345" t="inlineStr">
        <is>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is>
      </c>
      <c r="W345" s="21">
        <f>IF($K345="","",$K345*60)</f>
        <v/>
      </c>
      <c r="X345" s="91">
        <f>IF($A345="","",$A345&amp;"|"&amp;$C345&amp;"|"&amp;$D345)</f>
        <v/>
      </c>
      <c r="Y345" s="91">
        <f>IFERROR(IF($X345="","",INDEX(LLM_Data_Entry!$H$3:$H$548,MATCH($X345,INDEX(LLM_Data_Entry!$A$3:$A$548&amp;"|"&amp;LLM_Data_Entry!$C$3:$C$548&amp;"|"&amp;LLM_Data_Entry!$D$3:$D$548,0),0))),"")</f>
        <v/>
      </c>
      <c r="Z345" s="91">
        <f>IFERROR(IF($X345="","",INDEX(LLM_Data_Entry!$R$3:$R$548,MATCH($X345,INDEX(LLM_Data_Entry!$A$3:$A$548&amp;"|"&amp;LLM_Data_Entry!$C$3:$C$548&amp;"|"&amp;LLM_Data_Entry!$D$3:$D$548,0),0))),"")</f>
        <v/>
      </c>
      <c r="AB345" t="inlineStr">
        <is>
          <t>price signal — only this window shows an abnormal move</t>
        </is>
      </c>
      <c r="AC345" t="inlineStr">
        <is>
          <t>CAT</t>
        </is>
      </c>
      <c r="AD345" t="inlineStr">
        <is>
          <t>2026-04-29</t>
        </is>
      </c>
      <c r="AE345" t="n">
        <v>808.55</v>
      </c>
      <c r="AF345" t="inlineStr">
        <is>
          <t>2026-04-30</t>
        </is>
      </c>
      <c r="AG345" t="n">
        <v>855.0438</v>
      </c>
      <c r="AH345" t="n">
        <v>0.05750263332067934</v>
      </c>
      <c r="AI345" t="inlineStr">
        <is>
          <t>UP</t>
        </is>
      </c>
      <c r="AJ345" t="inlineStr">
        <is>
          <t>YES</t>
        </is>
      </c>
      <c r="AK345" t="n">
        <v>0.056503</v>
      </c>
      <c r="AL345">
        <f>IF($A345="","",IFERROR(INDEX(Company_List!$G$3:$G$207,MATCH($A345,Company_List!$A$3:$A$207,0)),"unassigned"))</f>
        <v/>
      </c>
      <c r="AM345" t="inlineStr">
        <is>
          <t>Phase 2/Caterpillar/2026-Q1/CAT-2026-Q1-earnings-call-transcript-fool-com.html</t>
        </is>
      </c>
      <c r="AN345" t="inlineStr">
        <is>
          <t>https://www.fool.com/earnings/call-transcripts/2026/04/30/caterpillar-cat-q1-2026-earnings-transcript/</t>
        </is>
      </c>
      <c r="AO345" t="inlineStr">
        <is>
          <t>manifest</t>
        </is>
      </c>
      <c r="AP345">
        <f>IF($A345="","",IF(COUNTIFS(LLM_Data_Entry!$A$3:$A$548,$A345)&gt;0,"YES","NO"))</f>
        <v/>
      </c>
      <c r="AQ345">
        <f>IF($A345="","",IF(COUNTIFS($A$3:$A345,$A345,$C$3:$C345,$C345,$D$3:$D345,$D345)=1,"YES","NO"))</f>
        <v/>
      </c>
      <c r="AR345">
        <f>IF($A345="","",IF(AND($C345&amp;"-"&amp;$D345&gt;=Settings!$B$19,$C345&amp;"-"&amp;$D345&lt;=Settings!$B$20),"IN","OUT"))</f>
        <v/>
      </c>
      <c r="AS345">
        <f>IF($A345="","",IF($F345="Financial Results","financials",IF($F345="Outlook/Guidance","guidance",IF($F345="Transcript Q&amp;A","qanda",IF($F345="","unrecorded",IF($E345="All","full",IF($E345="","unrecorded",LOWER($E345)&amp;" only")))))))</f>
        <v/>
      </c>
      <c r="AT345">
        <f>IF(AND(OR($J345="BUY",$J345="SELL"),ISNUMBER($U345)),$U345,"")</f>
        <v/>
      </c>
      <c r="AU345">
        <f>IF(AND(OR($J345="BUY",$J345="SELL"),ISNUMBER($AK345)),$AK345,"")</f>
        <v/>
      </c>
      <c r="AV345">
        <f>IF(ISNUMBER($AT345),ABS(IF(ISNUMBER($I345),$I345,0)-Settings!$B$24),"")</f>
        <v/>
      </c>
      <c r="AW345">
        <f>IF(ISNUMBER($AV345),$AV345*$AT345,"")</f>
        <v/>
      </c>
      <c r="AX345">
        <f>IF(ISNUMBER($AU345),ABS(IF(ISNUMBER($I345),$I345,0)-Settings!$B$24),"")</f>
        <v/>
      </c>
      <c r="AY345">
        <f>IF(ISNUMBER($AX345),$AX345*$AU345,"")</f>
        <v/>
      </c>
      <c r="AZ345">
        <f>IF($A345="","",IFERROR(INDEX(Company_List!$H$3:$H$207,MATCH($A345,Company_List!$A$3:$A$207,0)),"unassigned"))</f>
        <v/>
      </c>
      <c r="BA345" t="n">
        <v>2</v>
      </c>
      <c r="BB345" t="n">
        <v>2</v>
      </c>
      <c r="BC345">
        <f>IF($A345="","",IF(COUNTIFS($A$3:$A345,$A345,$C$3:$C345,$C345,$D$3:$D345,$D345,$G$3:$G345,$G345)=1,1,0))</f>
        <v/>
      </c>
      <c r="BD345" t="n">
        <v>16</v>
      </c>
      <c r="BE345" t="n">
        <v>14</v>
      </c>
      <c r="BF345" t="n">
        <v>0.6</v>
      </c>
      <c r="BG345" t="inlineStr">
        <is>
          <t>no</t>
        </is>
      </c>
      <c r="BJ345" t="inlineStr">
        <is>
          <t>Dragos - Phase 3 scoring_rows.csv</t>
        </is>
      </c>
      <c r="BK345">
        <f>IF(OR($H345&lt;&gt;"Human",$S345="",$J345="",$Y345="",$Z345=""),"",IF(EXACT(UPPER($J345),UPPER($Y345)),1,0))</f>
        <v/>
      </c>
      <c r="BL345" t="inlineStr">
        <is>
          <t>attested - rater record</t>
        </is>
      </c>
      <c r="BM345" t="n">
        <v>1</v>
      </c>
      <c r="BN345" t="inlineStr">
        <is>
          <t>The Motley Fool</t>
        </is>
      </c>
      <c r="BO345" t="inlineStr">
        <is>
          <t>free to read, copyright asserted</t>
        </is>
      </c>
      <c r="BP345" t="inlineStr">
        <is>
          <t>no</t>
        </is>
      </c>
      <c r="BQ345" t="inlineStr">
        <is>
          <t>yes</t>
        </is>
      </c>
    </row>
    <row r="346">
      <c r="A346" s="1" t="inlineStr">
        <is>
          <t>Home Depot</t>
        </is>
      </c>
      <c r="B346" s="142">
        <f>IF(A346="","",_xlfn.XLOOKUP(A346, Company_List!$A:$A, Company_List!$B:$B, ""))</f>
        <v/>
      </c>
      <c r="C346" s="143" t="n">
        <v>2026</v>
      </c>
      <c r="D346" s="143" t="inlineStr">
        <is>
          <t>Q1</t>
        </is>
      </c>
      <c r="E346" s="98" t="inlineStr">
        <is>
          <t>Transcript</t>
        </is>
      </c>
      <c r="F346" s="98" t="inlineStr">
        <is>
          <t>All</t>
        </is>
      </c>
      <c r="G346" s="143" t="inlineStr">
        <is>
          <t>Dragos</t>
        </is>
      </c>
      <c r="H346" s="106" t="inlineStr">
        <is>
          <t>Human</t>
        </is>
      </c>
      <c r="I346" s="145" t="n">
        <v>0.4</v>
      </c>
      <c r="J346" s="145">
        <f>IF(OR(I346="",Settings!$B$6=""),"",IF(I346&gt;Settings!$B$6,"BUY",IF(I346&lt;-Settings!$B$6,"SELL","HOLD")))</f>
        <v/>
      </c>
      <c r="K346" s="145" t="n">
        <v>25</v>
      </c>
      <c r="L346" s="123" t="n">
        <v>46161</v>
      </c>
      <c r="M346" s="140" t="n">
        <v>46160</v>
      </c>
      <c r="N346" s="147" t="n">
        <v>299.81</v>
      </c>
      <c r="O346" s="140" t="n">
        <v>46161</v>
      </c>
      <c r="P346" s="145" t="n">
        <v>291.87</v>
      </c>
      <c r="Q346" s="151">
        <f>IF(OR(N346="",P346=""),"",ROUND((P346-N346)/N346,4))</f>
        <v/>
      </c>
      <c r="R346" s="118">
        <f>IF(OR(N346="",P346=""),"",IF(Q346&gt;Settings!$B$3/100,"UP",IF(Q346&lt;-Settings!$B$3/100,"DOWN","FLAT")))</f>
        <v/>
      </c>
      <c r="S346" s="118">
        <f>IF(OR(N346="",P346="",J346=""),"",IF(OR(AND(J346="BUY",R346="UP"),AND(J346="SELL",R346="DOWN"),AND(J346="HOLD",R346="FLAT")),"YES","NO"))</f>
        <v/>
      </c>
      <c r="T346" s="119">
        <f>IF(J346="","",IF(J346="BUY",1,IF(J346="SELL",-1,0)))</f>
        <v/>
      </c>
      <c r="U346" s="150">
        <f>IFERROR(IF(OR(J346="",N346="",P346=""),"",IF(T346=0,0,T346*Q346-Settings!$B$4/10000-IF(T346&lt;0,Settings!$B$5/10000,0))),"")</f>
        <v/>
      </c>
      <c r="V346" t="inlineStr">
        <is>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is>
      </c>
      <c r="W346" s="21">
        <f>IF($K346="","",$K346*60)</f>
        <v/>
      </c>
      <c r="X346" s="91">
        <f>IF($A346="","",$A346&amp;"|"&amp;$C346&amp;"|"&amp;$D346)</f>
        <v/>
      </c>
      <c r="Y346" s="91">
        <f>IFERROR(IF($X346="","",INDEX(LLM_Data_Entry!$H$3:$H$548,MATCH($X346,INDEX(LLM_Data_Entry!$A$3:$A$548&amp;"|"&amp;LLM_Data_Entry!$C$3:$C$548&amp;"|"&amp;LLM_Data_Entry!$D$3:$D$548,0),0))),"")</f>
        <v/>
      </c>
      <c r="Z346" s="91">
        <f>IFERROR(IF($X346="","",INDEX(LLM_Data_Entry!$R$3:$R$548,MATCH($X346,INDEX(LLM_Data_Entry!$A$3:$A$548&amp;"|"&amp;LLM_Data_Entry!$C$3:$C$548&amp;"|"&amp;LLM_Data_Entry!$D$3:$D$548,0),0))),"")</f>
        <v/>
      </c>
      <c r="AB346" t="inlineStr">
        <is>
          <t>price signal — only this window shows an abnormal move</t>
        </is>
      </c>
      <c r="AC346" t="inlineStr">
        <is>
          <t>HD</t>
        </is>
      </c>
      <c r="AD346" t="inlineStr">
        <is>
          <t>2026-05-18</t>
        </is>
      </c>
      <c r="AE346" t="n">
        <v>297.578</v>
      </c>
      <c r="AF346" t="inlineStr">
        <is>
          <t>2026-05-19</t>
        </is>
      </c>
      <c r="AG346" t="n">
        <v>289.6971</v>
      </c>
      <c r="AH346" t="n">
        <v>-0.02648348582710826</v>
      </c>
      <c r="AI346" t="inlineStr">
        <is>
          <t>DOWN</t>
        </is>
      </c>
      <c r="AJ346" t="inlineStr">
        <is>
          <t>NO</t>
        </is>
      </c>
      <c r="AK346" t="n">
        <v>-0.027483</v>
      </c>
      <c r="AL346">
        <f>IF($A346="","",IFERROR(INDEX(Company_List!$G$3:$G$207,MATCH($A346,Company_List!$A$3:$A$207,0)),"unassigned"))</f>
        <v/>
      </c>
      <c r="AM346" t="inlineStr">
        <is>
          <t>Phase 3/Readings/Home Depot/2026-Q1/HD-2026-Q1-earnings-call-transcript-ir-homedepot-com.pdf</t>
        </is>
      </c>
      <c r="AN346" t="inlineStr">
        <is>
          <t>https://ir.homedepot.com/~/media/Files/H/HomeDepot-IR/2026/hd-1q26-transcript.pdf</t>
        </is>
      </c>
      <c r="AO346" t="inlineStr">
        <is>
          <t>manifest</t>
        </is>
      </c>
      <c r="AP346">
        <f>IF($A346="","",IF(COUNTIFS(LLM_Data_Entry!$A$3:$A$548,$A346)&gt;0,"YES","NO"))</f>
        <v/>
      </c>
      <c r="AQ346">
        <f>IF($A346="","",IF(COUNTIFS($A$3:$A346,$A346,$C$3:$C346,$C346,$D$3:$D346,$D346)=1,"YES","NO"))</f>
        <v/>
      </c>
      <c r="AR346">
        <f>IF($A346="","",IF(AND($C346&amp;"-"&amp;$D346&gt;=Settings!$B$19,$C346&amp;"-"&amp;$D346&lt;=Settings!$B$20),"IN","OUT"))</f>
        <v/>
      </c>
      <c r="AS346">
        <f>IF($A346="","",IF($F346="Financial Results","financials",IF($F346="Outlook/Guidance","guidance",IF($F346="Transcript Q&amp;A","qanda",IF($F346="","unrecorded",IF($E346="All","full",IF($E346="","unrecorded",LOWER($E346)&amp;" only")))))))</f>
        <v/>
      </c>
      <c r="AT346">
        <f>IF(AND(OR($J346="BUY",$J346="SELL"),ISNUMBER($U346)),$U346,"")</f>
        <v/>
      </c>
      <c r="AU346">
        <f>IF(AND(OR($J346="BUY",$J346="SELL"),ISNUMBER($AK346)),$AK346,"")</f>
        <v/>
      </c>
      <c r="AV346">
        <f>IF(ISNUMBER($AT346),ABS(IF(ISNUMBER($I346),$I346,0)-Settings!$B$24),"")</f>
        <v/>
      </c>
      <c r="AW346">
        <f>IF(ISNUMBER($AV346),$AV346*$AT346,"")</f>
        <v/>
      </c>
      <c r="AX346">
        <f>IF(ISNUMBER($AU346),ABS(IF(ISNUMBER($I346),$I346,0)-Settings!$B$24),"")</f>
        <v/>
      </c>
      <c r="AY346">
        <f>IF(ISNUMBER($AX346),$AX346*$AU346,"")</f>
        <v/>
      </c>
      <c r="AZ346">
        <f>IF($A346="","",IFERROR(INDEX(Company_List!$H$3:$H$207,MATCH($A346,Company_List!$A$3:$A$207,0)),"unassigned"))</f>
        <v/>
      </c>
      <c r="BA346" t="n">
        <v>2</v>
      </c>
      <c r="BB346" t="n">
        <v>2</v>
      </c>
      <c r="BC346">
        <f>IF($A346="","",IF(COUNTIFS($A$3:$A346,$A346,$C$3:$C346,$C346,$D$3:$D346,$D346,$G$3:$G346,$G346)=1,1,0))</f>
        <v/>
      </c>
      <c r="BD346" t="n">
        <v>13</v>
      </c>
      <c r="BE346" t="n">
        <v>12</v>
      </c>
      <c r="BF346" t="n">
        <v>0.4</v>
      </c>
      <c r="BG346" t="inlineStr">
        <is>
          <t>no</t>
        </is>
      </c>
      <c r="BJ346" t="inlineStr">
        <is>
          <t>Dragos - Phase 3 scoring_rows.csv</t>
        </is>
      </c>
      <c r="BK346">
        <f>IF(OR($H346&lt;&gt;"Human",$S346="",$J346="",$Y346="",$Z346=""),"",IF(EXACT(UPPER($J346),UPPER($Y346)),1,0))</f>
        <v/>
      </c>
      <c r="BL346" t="inlineStr">
        <is>
          <t>attested - rater record</t>
        </is>
      </c>
      <c r="BM346" t="n">
        <v>1</v>
      </c>
      <c r="BN346" t="inlineStr">
        <is>
          <t>not publisher-identified</t>
        </is>
      </c>
      <c r="BO346" t="inlineStr">
        <is>
          <t>not publisher-identified</t>
        </is>
      </c>
      <c r="BP346" t="inlineStr">
        <is>
          <t>no</t>
        </is>
      </c>
      <c r="BQ346" t="inlineStr">
        <is>
          <t>yes</t>
        </is>
      </c>
    </row>
    <row r="347">
      <c r="A347" s="1" t="inlineStr">
        <is>
          <t>Adobe</t>
        </is>
      </c>
      <c r="B347" s="142">
        <f>IF(A347="","",_xlfn.XLOOKUP(A347, Company_List!$A:$A, Company_List!$B:$B, ""))</f>
        <v/>
      </c>
      <c r="C347" s="143" t="n">
        <v>2026</v>
      </c>
      <c r="D347" s="143" t="inlineStr">
        <is>
          <t>Q2</t>
        </is>
      </c>
      <c r="E347" s="98" t="inlineStr">
        <is>
          <t>Transcript</t>
        </is>
      </c>
      <c r="F347" s="98" t="inlineStr">
        <is>
          <t>All</t>
        </is>
      </c>
      <c r="G347" s="143" t="inlineStr">
        <is>
          <t>Dragos</t>
        </is>
      </c>
      <c r="H347" s="106" t="inlineStr">
        <is>
          <t>Human</t>
        </is>
      </c>
      <c r="I347" s="145" t="n">
        <v>0.9</v>
      </c>
      <c r="J347" s="145">
        <f>IF(OR(I347="",Settings!$B$6=""),"",IF(I347&gt;Settings!$B$6,"BUY",IF(I347&lt;-Settings!$B$6,"SELL","HOLD")))</f>
        <v/>
      </c>
      <c r="K347" s="145" t="n">
        <v>33</v>
      </c>
      <c r="L347" s="123" t="n">
        <v>46184</v>
      </c>
      <c r="M347" s="140" t="n">
        <v>46184</v>
      </c>
      <c r="N347" s="147" t="n">
        <v>218.8</v>
      </c>
      <c r="O347" s="140" t="n">
        <v>46185</v>
      </c>
      <c r="P347" s="145" t="n">
        <v>202.4</v>
      </c>
      <c r="Q347" s="151">
        <f>IF(OR(N347="",P347=""),"",ROUND((P347-N347)/N347,4))</f>
        <v/>
      </c>
      <c r="R347" s="118">
        <f>IF(OR(N347="",P347=""),"",IF(Q347&gt;Settings!$B$3/100,"UP",IF(Q347&lt;-Settings!$B$3/100,"DOWN","FLAT")))</f>
        <v/>
      </c>
      <c r="S347" s="118">
        <f>IF(OR(N347="",P347="",J347=""),"",IF(OR(AND(J347="BUY",R347="UP"),AND(J347="SELL",R347="DOWN"),AND(J347="HOLD",R347="FLAT")),"YES","NO"))</f>
        <v/>
      </c>
      <c r="T347" s="119">
        <f>IF(J347="","",IF(J347="BUY",1,IF(J347="SELL",-1,0)))</f>
        <v/>
      </c>
      <c r="U347" s="150">
        <f>IFERROR(IF(OR(J347="",N347="",P347=""),"",IF(T347=0,0,T347*Q347-Settings!$B$4/10000-IF(T347&lt;0,Settings!$B$5/10000,0))),"")</f>
        <v/>
      </c>
      <c r="V347" t="inlineStr">
        <is>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is>
      </c>
      <c r="W347" s="21">
        <f>IF($K347="","",$K347*60)</f>
        <v/>
      </c>
      <c r="X347" s="91">
        <f>IF($A347="","",$A347&amp;"|"&amp;$C347&amp;"|"&amp;$D347)</f>
        <v/>
      </c>
      <c r="Y347" s="91">
        <f>IFERROR(IF($X347="","",INDEX(LLM_Data_Entry!$H$3:$H$548,MATCH($X347,INDEX(LLM_Data_Entry!$A$3:$A$548&amp;"|"&amp;LLM_Data_Entry!$C$3:$C$548&amp;"|"&amp;LLM_Data_Entry!$D$3:$D$548,0),0))),"")</f>
        <v/>
      </c>
      <c r="Z347" s="91">
        <f>IFERROR(IF($X347="","",INDEX(LLM_Data_Entry!$R$3:$R$548,MATCH($X347,INDEX(LLM_Data_Entry!$A$3:$A$548&amp;"|"&amp;LLM_Data_Entry!$C$3:$C$548&amp;"|"&amp;LLM_Data_Entry!$D$3:$D$548,0),0))),"")</f>
        <v/>
      </c>
      <c r="AB347" t="inlineStr">
        <is>
          <t>price signal — both moved; this one dominates</t>
        </is>
      </c>
      <c r="AC347" t="inlineStr">
        <is>
          <t>ADBE</t>
        </is>
      </c>
      <c r="AD347" t="inlineStr">
        <is>
          <t>2026-06-11</t>
        </is>
      </c>
      <c r="AE347" t="n">
        <v>218.8</v>
      </c>
      <c r="AF347" t="inlineStr">
        <is>
          <t>2026-06-12</t>
        </is>
      </c>
      <c r="AG347" t="n">
        <v>202.4</v>
      </c>
      <c r="AH347" t="n">
        <v>-0.0749543362666225</v>
      </c>
      <c r="AI347" t="inlineStr">
        <is>
          <t>DOWN</t>
        </is>
      </c>
      <c r="AJ347" t="inlineStr">
        <is>
          <t>NO</t>
        </is>
      </c>
      <c r="AK347" t="n">
        <v>-0.07595399999999999</v>
      </c>
      <c r="AL347">
        <f>IF($A347="","",IFERROR(INDEX(Company_List!$G$3:$G$207,MATCH($A347,Company_List!$A$3:$A$207,0)),"unassigned"))</f>
        <v/>
      </c>
      <c r="AM347" t="inlineStr">
        <is>
          <t>Phase 3/Readings/Adobe/2026-Q2/ADBE-2026-Q2-earnings-call-transcript-fool-com.html</t>
        </is>
      </c>
      <c r="AN347" t="inlineStr">
        <is>
          <t>https://www.fool.com/earnings/call-transcripts/2026/06/11/adobe-adbe-q2-2026-earnings-transcript/</t>
        </is>
      </c>
      <c r="AO347" t="inlineStr">
        <is>
          <t>manifest</t>
        </is>
      </c>
      <c r="AP347">
        <f>IF($A347="","",IF(COUNTIFS(LLM_Data_Entry!$A$3:$A$548,$A347)&gt;0,"YES","NO"))</f>
        <v/>
      </c>
      <c r="AQ347">
        <f>IF($A347="","",IF(COUNTIFS($A$3:$A347,$A347,$C$3:$C347,$C347,$D$3:$D347,$D347)=1,"YES","NO"))</f>
        <v/>
      </c>
      <c r="AR347">
        <f>IF($A347="","",IF(AND($C347&amp;"-"&amp;$D347&gt;=Settings!$B$19,$C347&amp;"-"&amp;$D347&lt;=Settings!$B$20),"IN","OUT"))</f>
        <v/>
      </c>
      <c r="AS347">
        <f>IF($A347="","",IF($F347="Financial Results","financials",IF($F347="Outlook/Guidance","guidance",IF($F347="Transcript Q&amp;A","qanda",IF($F347="","unrecorded",IF($E347="All","full",IF($E347="","unrecorded",LOWER($E347)&amp;" only")))))))</f>
        <v/>
      </c>
      <c r="AT347">
        <f>IF(AND(OR($J347="BUY",$J347="SELL"),ISNUMBER($U347)),$U347,"")</f>
        <v/>
      </c>
      <c r="AU347">
        <f>IF(AND(OR($J347="BUY",$J347="SELL"),ISNUMBER($AK347)),$AK347,"")</f>
        <v/>
      </c>
      <c r="AV347">
        <f>IF(ISNUMBER($AT347),ABS(IF(ISNUMBER($I347),$I347,0)-Settings!$B$24),"")</f>
        <v/>
      </c>
      <c r="AW347">
        <f>IF(ISNUMBER($AV347),$AV347*$AT347,"")</f>
        <v/>
      </c>
      <c r="AX347">
        <f>IF(ISNUMBER($AU347),ABS(IF(ISNUMBER($I347),$I347,0)-Settings!$B$24),"")</f>
        <v/>
      </c>
      <c r="AY347">
        <f>IF(ISNUMBER($AX347),$AX347*$AU347,"")</f>
        <v/>
      </c>
      <c r="AZ347">
        <f>IF($A347="","",IFERROR(INDEX(Company_List!$H$3:$H$207,MATCH($A347,Company_List!$A$3:$A$207,0)),"unassigned"))</f>
        <v/>
      </c>
      <c r="BA347" t="n">
        <v>2</v>
      </c>
      <c r="BB347" t="n">
        <v>2</v>
      </c>
      <c r="BC347">
        <f>IF($A347="","",IF(COUNTIFS($A$3:$A347,$A347,$C$3:$C347,$C347,$D$3:$D347,$D347,$G$3:$G347,$G347)=1,1,0))</f>
        <v/>
      </c>
      <c r="BD347" t="n">
        <v>15</v>
      </c>
      <c r="BE347" t="n">
        <v>18</v>
      </c>
      <c r="BF347" t="n">
        <v>0.8</v>
      </c>
      <c r="BG347" t="inlineStr">
        <is>
          <t>no</t>
        </is>
      </c>
      <c r="BJ347" t="inlineStr">
        <is>
          <t>Dragos - Phase 3 scoring_rows.csv</t>
        </is>
      </c>
      <c r="BK347">
        <f>IF(OR($H347&lt;&gt;"Human",$S347="",$J347="",$Y347="",$Z347=""),"",IF(EXACT(UPPER($J347),UPPER($Y347)),1,0))</f>
        <v/>
      </c>
      <c r="BL347" t="inlineStr">
        <is>
          <t>attested - rater record</t>
        </is>
      </c>
      <c r="BM347" t="n">
        <v>1</v>
      </c>
      <c r="BN347" t="inlineStr">
        <is>
          <t>The Motley Fool</t>
        </is>
      </c>
      <c r="BO347" t="inlineStr">
        <is>
          <t>free to read, copyright asserted</t>
        </is>
      </c>
      <c r="BP347" t="inlineStr">
        <is>
          <t>no</t>
        </is>
      </c>
      <c r="BQ347" t="inlineStr">
        <is>
          <t>yes</t>
        </is>
      </c>
    </row>
    <row r="348">
      <c r="A348" s="1" t="inlineStr">
        <is>
          <t>PepsiCo</t>
        </is>
      </c>
      <c r="B348" s="142">
        <f>IF(A348="","",_xlfn.XLOOKUP(A348, Company_List!$A:$A, Company_List!$B:$B, ""))</f>
        <v/>
      </c>
      <c r="C348" s="143" t="n">
        <v>2023</v>
      </c>
      <c r="D348" s="143" t="inlineStr">
        <is>
          <t>Q1</t>
        </is>
      </c>
      <c r="E348" s="98" t="inlineStr">
        <is>
          <t>All</t>
        </is>
      </c>
      <c r="F348" s="98" t="inlineStr">
        <is>
          <t>All</t>
        </is>
      </c>
      <c r="G348" s="143" t="inlineStr">
        <is>
          <t>Dragos</t>
        </is>
      </c>
      <c r="H348" s="106" t="inlineStr">
        <is>
          <t>Human</t>
        </is>
      </c>
      <c r="I348" s="145" t="n">
        <v>0.2</v>
      </c>
      <c r="J348" s="145">
        <f>IF(OR(I348="",Settings!$B$6=""),"",IF(I348&gt;Settings!$B$6,"BUY",IF(I348&lt;-Settings!$B$6,"SELL","HOLD")))</f>
        <v/>
      </c>
      <c r="K348" s="145" t="n">
        <v>22</v>
      </c>
      <c r="L348" s="123" t="n">
        <v>45041</v>
      </c>
      <c r="M348" s="140" t="n">
        <v>45041</v>
      </c>
      <c r="N348" s="147" t="n">
        <v>189.71</v>
      </c>
      <c r="O348" s="140" t="n">
        <v>45042</v>
      </c>
      <c r="P348" s="145" t="n">
        <v>188.48</v>
      </c>
      <c r="Q348" s="151">
        <f>IF(OR(N348="",P348=""),"",ROUND((P348-N348)/N348,4))</f>
        <v/>
      </c>
      <c r="R348" s="118">
        <f>IF(OR(N348="",P348=""),"",IF(Q348&gt;Settings!$B$3/100,"UP",IF(Q348&lt;-Settings!$B$3/100,"DOWN","FLAT")))</f>
        <v/>
      </c>
      <c r="S348" s="118">
        <f>IF(OR(N348="",P348="",J348=""),"",IF(OR(AND(J348="BUY",R348="UP"),AND(J348="SELL",R348="DOWN"),AND(J348="HOLD",R348="FLAT")),"YES","NO"))</f>
        <v/>
      </c>
      <c r="T348" s="119">
        <f>IF(J348="","",IF(J348="BUY",1,IF(J348="SELL",-1,0)))</f>
        <v/>
      </c>
      <c r="U348" s="150">
        <f>IFERROR(IF(OR(J348="",N348="",P348=""),"",IF(T348=0,0,T348*Q348-Settings!$B$4/10000-IF(T348&lt;0,Settings!$B$5/10000,0))),"")</f>
        <v/>
      </c>
      <c r="V348" t="inlineStr">
        <is>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is>
      </c>
      <c r="W348" s="21">
        <f>IF($K348="","",$K348*60)</f>
        <v/>
      </c>
      <c r="X348" s="91">
        <f>IF($A348="","",$A348&amp;"|"&amp;$C348&amp;"|"&amp;$D348)</f>
        <v/>
      </c>
      <c r="Y348" s="91">
        <f>IFERROR(IF($X348="","",INDEX(LLM_Data_Entry!$H$3:$H$548,MATCH($X348,INDEX(LLM_Data_Entry!$A$3:$A$548&amp;"|"&amp;LLM_Data_Entry!$C$3:$C$548&amp;"|"&amp;LLM_Data_Entry!$D$3:$D$548,0),0))),"")</f>
        <v/>
      </c>
      <c r="Z348" s="91">
        <f>IFERROR(IF($X348="","",INDEX(LLM_Data_Entry!$R$3:$R$548,MATCH($X348,INDEX(LLM_Data_Entry!$A$3:$A$548&amp;"|"&amp;LLM_Data_Entry!$C$3:$C$548&amp;"|"&amp;LLM_Data_Entry!$D$3:$D$548,0),0))),"")</f>
        <v/>
      </c>
      <c r="AB348" t="inlineStr">
        <is>
          <t>release date + stated time</t>
        </is>
      </c>
      <c r="AC348" t="inlineStr">
        <is>
          <t>PEP</t>
        </is>
      </c>
      <c r="AD348" t="inlineStr">
        <is>
          <t>2023-04-24</t>
        </is>
      </c>
      <c r="AE348" t="n">
        <v>165.906</v>
      </c>
      <c r="AF348" t="inlineStr">
        <is>
          <t>2023-04-25</t>
        </is>
      </c>
      <c r="AG348" t="n">
        <v>166.8541</v>
      </c>
      <c r="AH348" t="n">
        <v>0.005714316060247813</v>
      </c>
      <c r="AI348" t="inlineStr">
        <is>
          <t>FLAT</t>
        </is>
      </c>
      <c r="AJ348" t="inlineStr">
        <is>
          <t>YES</t>
        </is>
      </c>
      <c r="AK348" t="n">
        <v>0</v>
      </c>
      <c r="AL348">
        <f>IF($A348="","",IFERROR(INDEX(Company_List!$G$3:$G$207,MATCH($A348,Company_List!$A$3:$A$207,0)),"unassigned"))</f>
        <v/>
      </c>
      <c r="AM348" t="inlineStr">
        <is>
          <t>Phase 2/PepsiCo/Q1 2023/PEP-Q1-2023-press-release-SEC-EX99-1.htm; Phase 2/PepsiCo/Q1 2023/PEP-Q1-2023-earnings-call-transcript-InsiderMonkey.html</t>
        </is>
      </c>
      <c r="AN348" t="inlineStr">
        <is>
          <t>https://www.insidermonkey.com/blog/pepsico-inc-nasdaqpep-q1-2023-earnings-call-transcript-1143519/; https://www.sec.gov/Archives/edgar/data/77476/000007747623000025/q120238-kxexhibit991.htm</t>
        </is>
      </c>
      <c r="AO348" t="inlineStr">
        <is>
          <t>manifest (whole bundle)</t>
        </is>
      </c>
      <c r="AP348">
        <f>IF($A348="","",IF(COUNTIFS(LLM_Data_Entry!$A$3:$A$548,$A348)&gt;0,"YES","NO"))</f>
        <v/>
      </c>
      <c r="AQ348">
        <f>IF($A348="","",IF(COUNTIFS($A$3:$A348,$A348,$C$3:$C348,$C348,$D$3:$D348,$D348)=1,"YES","NO"))</f>
        <v/>
      </c>
      <c r="AR348">
        <f>IF($A348="","",IF(AND($C348&amp;"-"&amp;$D348&gt;=Settings!$B$19,$C348&amp;"-"&amp;$D348&lt;=Settings!$B$20),"IN","OUT"))</f>
        <v/>
      </c>
      <c r="AS348">
        <f>IF($A348="","",IF($F348="Financial Results","financials",IF($F348="Outlook/Guidance","guidance",IF($F348="Transcript Q&amp;A","qanda",IF($F348="","unrecorded",IF($E348="All","full",IF($E348="","unrecorded",LOWER($E348)&amp;" only")))))))</f>
        <v/>
      </c>
      <c r="AT348">
        <f>IF(AND(OR($J348="BUY",$J348="SELL"),ISNUMBER($U348)),$U348,"")</f>
        <v/>
      </c>
      <c r="AU348">
        <f>IF(AND(OR($J348="BUY",$J348="SELL"),ISNUMBER($AK348)),$AK348,"")</f>
        <v/>
      </c>
      <c r="AV348">
        <f>IF(ISNUMBER($AT348),ABS(IF(ISNUMBER($I348),$I348,0)-Settings!$B$24),"")</f>
        <v/>
      </c>
      <c r="AW348">
        <f>IF(ISNUMBER($AV348),$AV348*$AT348,"")</f>
        <v/>
      </c>
      <c r="AX348">
        <f>IF(ISNUMBER($AU348),ABS(IF(ISNUMBER($I348),$I348,0)-Settings!$B$24),"")</f>
        <v/>
      </c>
      <c r="AY348">
        <f>IF(ISNUMBER($AX348),$AX348*$AU348,"")</f>
        <v/>
      </c>
      <c r="AZ348">
        <f>IF($A348="","",IFERROR(INDEX(Company_List!$H$3:$H$207,MATCH($A348,Company_List!$A$3:$A$207,0)),"unassigned"))</f>
        <v/>
      </c>
      <c r="BC348">
        <f>IF($A348="","",IF(COUNTIFS($A$3:$A348,$A348,$C$3:$C348,$C348,$D$3:$D348,$D348,$G$3:$G348,$G348)=1,1,0))</f>
        <v/>
      </c>
      <c r="BG348" t="inlineStr">
        <is>
          <t>no</t>
        </is>
      </c>
      <c r="BK348">
        <f>IF(OR($H348&lt;&gt;"Human",$S348="",$J348="",$Y348="",$Z348=""),"",IF(EXACT(UPPER($J348),UPPER($Y348)),1,0))</f>
        <v/>
      </c>
      <c r="BL348" t="inlineStr">
        <is>
          <t>assumed - no rater record</t>
        </is>
      </c>
      <c r="BM348" t="n">
        <v>2</v>
      </c>
      <c r="BN348" t="inlineStr">
        <is>
          <t>Insider Monkey (Koala Guide LLC)</t>
        </is>
      </c>
      <c r="BO348" t="inlineStr">
        <is>
          <t>free to read, copyright asserted</t>
        </is>
      </c>
      <c r="BP348" t="inlineStr">
        <is>
          <t>no</t>
        </is>
      </c>
      <c r="BQ348" t="inlineStr">
        <is>
          <t>yes</t>
        </is>
      </c>
    </row>
    <row r="349">
      <c r="A349" s="1" t="inlineStr">
        <is>
          <t>PepsiCo</t>
        </is>
      </c>
      <c r="B349" s="142">
        <f>IF(A349="","",_xlfn.XLOOKUP(A349, Company_List!$A:$A, Company_List!$B:$B, ""))</f>
        <v/>
      </c>
      <c r="C349" s="143" t="n">
        <v>2023</v>
      </c>
      <c r="D349" s="143" t="inlineStr">
        <is>
          <t>Q2</t>
        </is>
      </c>
      <c r="E349" s="98" t="inlineStr">
        <is>
          <t>All</t>
        </is>
      </c>
      <c r="F349" s="98" t="inlineStr">
        <is>
          <t>All</t>
        </is>
      </c>
      <c r="G349" s="143" t="inlineStr">
        <is>
          <t>Dragos</t>
        </is>
      </c>
      <c r="H349" s="106" t="inlineStr">
        <is>
          <t>Human</t>
        </is>
      </c>
      <c r="I349" s="145" t="n">
        <v>0.2</v>
      </c>
      <c r="J349" s="145">
        <f>IF(OR(I349="",Settings!$B$6=""),"",IF(I349&gt;Settings!$B$6,"BUY",IF(I349&lt;-Settings!$B$6,"SELL","HOLD")))</f>
        <v/>
      </c>
      <c r="K349" s="145" t="n">
        <v>21</v>
      </c>
      <c r="L349" s="123" t="n">
        <v>45120</v>
      </c>
      <c r="M349" s="140" t="n">
        <v>45120</v>
      </c>
      <c r="N349" s="147" t="n">
        <v>187.53</v>
      </c>
      <c r="O349" s="140" t="n">
        <v>45121</v>
      </c>
      <c r="P349" s="145" t="n">
        <v>187.86</v>
      </c>
      <c r="Q349" s="151">
        <f>IF(OR(N349="",P349=""),"",ROUND((P349-N349)/N349,4))</f>
        <v/>
      </c>
      <c r="R349" s="118">
        <f>IF(OR(N349="",P349=""),"",IF(Q349&gt;Settings!$B$3/100,"UP",IF(Q349&lt;-Settings!$B$3/100,"DOWN","FLAT")))</f>
        <v/>
      </c>
      <c r="S349" s="118">
        <f>IF(OR(N349="",P349="",J349=""),"",IF(OR(AND(J349="BUY",R349="UP"),AND(J349="SELL",R349="DOWN"),AND(J349="HOLD",R349="FLAT")),"YES","NO"))</f>
        <v/>
      </c>
      <c r="T349" s="119">
        <f>IF(J349="","",IF(J349="BUY",1,IF(J349="SELL",-1,0)))</f>
        <v/>
      </c>
      <c r="U349" s="150">
        <f>IFERROR(IF(OR(J349="",N349="",P349=""),"",IF(T349=0,0,T349*Q349-Settings!$B$4/10000-IF(T349&lt;0,Settings!$B$5/10000,0))),"")</f>
        <v/>
      </c>
      <c r="V349" t="inlineStr">
        <is>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is>
      </c>
      <c r="W349" s="21">
        <f>IF($K349="","",$K349*60)</f>
        <v/>
      </c>
      <c r="X349" s="91">
        <f>IF($A349="","",$A349&amp;"|"&amp;$C349&amp;"|"&amp;$D349)</f>
        <v/>
      </c>
      <c r="Y349" s="91">
        <f>IFERROR(IF($X349="","",INDEX(LLM_Data_Entry!$H$3:$H$548,MATCH($X349,INDEX(LLM_Data_Entry!$A$3:$A$548&amp;"|"&amp;LLM_Data_Entry!$C$3:$C$548&amp;"|"&amp;LLM_Data_Entry!$D$3:$D$548,0),0))),"")</f>
        <v/>
      </c>
      <c r="Z349" s="91">
        <f>IFERROR(IF($X349="","",INDEX(LLM_Data_Entry!$R$3:$R$548,MATCH($X349,INDEX(LLM_Data_Entry!$A$3:$A$548&amp;"|"&amp;LLM_Data_Entry!$C$3:$C$548&amp;"|"&amp;LLM_Data_Entry!$D$3:$D$548,0),0))),"")</f>
        <v/>
      </c>
      <c r="AB349" t="inlineStr">
        <is>
          <t>release date + stated time</t>
        </is>
      </c>
      <c r="AC349" t="inlineStr">
        <is>
          <t>PEP</t>
        </is>
      </c>
      <c r="AD349" t="inlineStr">
        <is>
          <t>2023-07-12</t>
        </is>
      </c>
      <c r="AE349" t="n">
        <v>164.9666</v>
      </c>
      <c r="AF349" t="inlineStr">
        <is>
          <t>2023-07-13</t>
        </is>
      </c>
      <c r="AG349" t="n">
        <v>167.3352</v>
      </c>
      <c r="AH349" t="n">
        <v>0.01435832284973708</v>
      </c>
      <c r="AI349" t="inlineStr">
        <is>
          <t>FLAT</t>
        </is>
      </c>
      <c r="AJ349" t="inlineStr">
        <is>
          <t>YES</t>
        </is>
      </c>
      <c r="AK349" t="n">
        <v>0</v>
      </c>
      <c r="AL349">
        <f>IF($A349="","",IFERROR(INDEX(Company_List!$G$3:$G$207,MATCH($A349,Company_List!$A$3:$A$207,0)),"unassigned"))</f>
        <v/>
      </c>
      <c r="AM349" t="inlineStr">
        <is>
          <t>Phase 2/PepsiCo/Q2 2023/PEP-Q2-2023-press-release-SEC-EX99-1.htm; Phase 2/PepsiCo/Q2 2023/PEP-Q2-2023-earnings-call-transcript-InsiderMonkey.html</t>
        </is>
      </c>
      <c r="AN349" t="inlineStr">
        <is>
          <t>https://www.insidermonkey.com/blog/pepsico-inc-nasdaqpep-q2-2023-earnings-call-transcript-1168148/; https://www.sec.gov/Archives/edgar/data/77476/000007747623000048/q220238-kxexhibit991.htm</t>
        </is>
      </c>
      <c r="AO349" t="inlineStr">
        <is>
          <t>manifest (whole bundle)</t>
        </is>
      </c>
      <c r="AP349">
        <f>IF($A349="","",IF(COUNTIFS(LLM_Data_Entry!$A$3:$A$548,$A349)&gt;0,"YES","NO"))</f>
        <v/>
      </c>
      <c r="AQ349">
        <f>IF($A349="","",IF(COUNTIFS($A$3:$A349,$A349,$C$3:$C349,$C349,$D$3:$D349,$D349)=1,"YES","NO"))</f>
        <v/>
      </c>
      <c r="AR349">
        <f>IF($A349="","",IF(AND($C349&amp;"-"&amp;$D349&gt;=Settings!$B$19,$C349&amp;"-"&amp;$D349&lt;=Settings!$B$20),"IN","OUT"))</f>
        <v/>
      </c>
      <c r="AS349">
        <f>IF($A349="","",IF($F349="Financial Results","financials",IF($F349="Outlook/Guidance","guidance",IF($F349="Transcript Q&amp;A","qanda",IF($F349="","unrecorded",IF($E349="All","full",IF($E349="","unrecorded",LOWER($E349)&amp;" only")))))))</f>
        <v/>
      </c>
      <c r="AT349">
        <f>IF(AND(OR($J349="BUY",$J349="SELL"),ISNUMBER($U349)),$U349,"")</f>
        <v/>
      </c>
      <c r="AU349">
        <f>IF(AND(OR($J349="BUY",$J349="SELL"),ISNUMBER($AK349)),$AK349,"")</f>
        <v/>
      </c>
      <c r="AV349">
        <f>IF(ISNUMBER($AT349),ABS(IF(ISNUMBER($I349),$I349,0)-Settings!$B$24),"")</f>
        <v/>
      </c>
      <c r="AW349">
        <f>IF(ISNUMBER($AV349),$AV349*$AT349,"")</f>
        <v/>
      </c>
      <c r="AX349">
        <f>IF(ISNUMBER($AU349),ABS(IF(ISNUMBER($I349),$I349,0)-Settings!$B$24),"")</f>
        <v/>
      </c>
      <c r="AY349">
        <f>IF(ISNUMBER($AX349),$AX349*$AU349,"")</f>
        <v/>
      </c>
      <c r="AZ349">
        <f>IF($A349="","",IFERROR(INDEX(Company_List!$H$3:$H$207,MATCH($A349,Company_List!$A$3:$A$207,0)),"unassigned"))</f>
        <v/>
      </c>
      <c r="BC349">
        <f>IF($A349="","",IF(COUNTIFS($A$3:$A349,$A349,$C$3:$C349,$C349,$D$3:$D349,$D349,$G$3:$G349,$G349)=1,1,0))</f>
        <v/>
      </c>
      <c r="BG349" t="inlineStr">
        <is>
          <t>no</t>
        </is>
      </c>
      <c r="BK349">
        <f>IF(OR($H349&lt;&gt;"Human",$S349="",$J349="",$Y349="",$Z349=""),"",IF(EXACT(UPPER($J349),UPPER($Y349)),1,0))</f>
        <v/>
      </c>
      <c r="BL349" t="inlineStr">
        <is>
          <t>assumed - no rater record</t>
        </is>
      </c>
      <c r="BM349" t="n">
        <v>2</v>
      </c>
      <c r="BN349" t="inlineStr">
        <is>
          <t>Insider Monkey (Koala Guide LLC)</t>
        </is>
      </c>
      <c r="BO349" t="inlineStr">
        <is>
          <t>free to read, copyright asserted</t>
        </is>
      </c>
      <c r="BP349" t="inlineStr">
        <is>
          <t>no</t>
        </is>
      </c>
      <c r="BQ349" t="inlineStr">
        <is>
          <t>yes</t>
        </is>
      </c>
    </row>
    <row r="350">
      <c r="A350" s="1" t="inlineStr">
        <is>
          <t>PepsiCo</t>
        </is>
      </c>
      <c r="B350" s="142">
        <f>IF(A350="","",_xlfn.XLOOKUP(A350, Company_List!$A:$A, Company_List!$B:$B, ""))</f>
        <v/>
      </c>
      <c r="C350" s="143" t="n">
        <v>2023</v>
      </c>
      <c r="D350" s="143" t="inlineStr">
        <is>
          <t>Q3</t>
        </is>
      </c>
      <c r="E350" s="98" t="inlineStr">
        <is>
          <t>All</t>
        </is>
      </c>
      <c r="F350" s="98" t="inlineStr">
        <is>
          <t>All</t>
        </is>
      </c>
      <c r="G350" s="143" t="inlineStr">
        <is>
          <t>Dragos</t>
        </is>
      </c>
      <c r="H350" s="106" t="inlineStr">
        <is>
          <t>Human</t>
        </is>
      </c>
      <c r="I350" s="145" t="n">
        <v>0.2</v>
      </c>
      <c r="J350" s="145">
        <f>IF(OR(I350="",Settings!$B$6=""),"",IF(I350&gt;Settings!$B$6,"BUY",IF(I350&lt;-Settings!$B$6,"SELL","HOLD")))</f>
        <v/>
      </c>
      <c r="K350" s="145" t="n">
        <v>20</v>
      </c>
      <c r="L350" s="123" t="n">
        <v>45209</v>
      </c>
      <c r="M350" s="140" t="n">
        <v>45209</v>
      </c>
      <c r="N350" s="147" t="n">
        <v>164.4</v>
      </c>
      <c r="O350" s="140" t="n">
        <v>45210</v>
      </c>
      <c r="P350" s="145" t="n">
        <v>165.01</v>
      </c>
      <c r="Q350" s="151">
        <f>IF(OR(N350="",P350=""),"",ROUND((P350-N350)/N350,4))</f>
        <v/>
      </c>
      <c r="R350" s="118">
        <f>IF(OR(N350="",P350=""),"",IF(Q350&gt;Settings!$B$3/100,"UP",IF(Q350&lt;-Settings!$B$3/100,"DOWN","FLAT")))</f>
        <v/>
      </c>
      <c r="S350" s="118">
        <f>IF(OR(N350="",P350="",J350=""),"",IF(OR(AND(J350="BUY",R350="UP"),AND(J350="SELL",R350="DOWN"),AND(J350="HOLD",R350="FLAT")),"YES","NO"))</f>
        <v/>
      </c>
      <c r="T350" s="119">
        <f>IF(J350="","",IF(J350="BUY",1,IF(J350="SELL",-1,0)))</f>
        <v/>
      </c>
      <c r="U350" s="150">
        <f>IFERROR(IF(OR(J350="",N350="",P350=""),"",IF(T350=0,0,T350*Q350-Settings!$B$4/10000-IF(T350&lt;0,Settings!$B$5/10000,0))),"")</f>
        <v/>
      </c>
      <c r="V350" t="inlineStr">
        <is>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is>
      </c>
      <c r="W350" s="21">
        <f>IF($K350="","",$K350*60)</f>
        <v/>
      </c>
      <c r="X350" s="91">
        <f>IF($A350="","",$A350&amp;"|"&amp;$C350&amp;"|"&amp;$D350)</f>
        <v/>
      </c>
      <c r="Y350" s="91">
        <f>IFERROR(IF($X350="","",INDEX(LLM_Data_Entry!$H$3:$H$548,MATCH($X350,INDEX(LLM_Data_Entry!$A$3:$A$548&amp;"|"&amp;LLM_Data_Entry!$C$3:$C$548&amp;"|"&amp;LLM_Data_Entry!$D$3:$D$548,0),0))),"")</f>
        <v/>
      </c>
      <c r="Z350" s="91">
        <f>IFERROR(IF($X350="","",INDEX(LLM_Data_Entry!$R$3:$R$548,MATCH($X350,INDEX(LLM_Data_Entry!$A$3:$A$548&amp;"|"&amp;LLM_Data_Entry!$C$3:$C$548&amp;"|"&amp;LLM_Data_Entry!$D$3:$D$548,0),0))),"")</f>
        <v/>
      </c>
      <c r="AB350" t="inlineStr">
        <is>
          <t>release date + stated time</t>
        </is>
      </c>
      <c r="AC350" t="inlineStr">
        <is>
          <t>PEP</t>
        </is>
      </c>
      <c r="AD350" t="inlineStr">
        <is>
          <t>2023-10-09</t>
        </is>
      </c>
      <c r="AE350" t="n">
        <v>146.3464</v>
      </c>
      <c r="AF350" t="inlineStr">
        <is>
          <t>2023-10-10</t>
        </is>
      </c>
      <c r="AG350" t="n">
        <v>148.9675</v>
      </c>
      <c r="AH350" t="n">
        <v>0.01790995695524838</v>
      </c>
      <c r="AI350" t="inlineStr">
        <is>
          <t>FLAT</t>
        </is>
      </c>
      <c r="AJ350" t="inlineStr">
        <is>
          <t>YES</t>
        </is>
      </c>
      <c r="AK350" t="n">
        <v>0</v>
      </c>
      <c r="AL350">
        <f>IF($A350="","",IFERROR(INDEX(Company_List!$G$3:$G$207,MATCH($A350,Company_List!$A$3:$A$207,0)),"unassigned"))</f>
        <v/>
      </c>
      <c r="AM350" t="inlineStr">
        <is>
          <t>Phase 2/PepsiCo/Q3 2023/PEP-Q3-2023-press-release-SEC-EX99-1.htm; Phase 2/PepsiCo/Q3 2023/PEP-Q3-2023-earnings-call-transcript-InsiderMonkey.html</t>
        </is>
      </c>
      <c r="AN350" t="inlineStr">
        <is>
          <t>https://www.insidermonkey.com/blog/pepsico-inc-nasdaqpep-q3-2023-earnings-call-transcript-1203808/; https://www.sec.gov/Archives/edgar/data/77476/000007747623000060/q320238-kxexhibit991.htm</t>
        </is>
      </c>
      <c r="AO350" t="inlineStr">
        <is>
          <t>manifest (whole bundle)</t>
        </is>
      </c>
      <c r="AP350">
        <f>IF($A350="","",IF(COUNTIFS(LLM_Data_Entry!$A$3:$A$548,$A350)&gt;0,"YES","NO"))</f>
        <v/>
      </c>
      <c r="AQ350">
        <f>IF($A350="","",IF(COUNTIFS($A$3:$A350,$A350,$C$3:$C350,$C350,$D$3:$D350,$D350)=1,"YES","NO"))</f>
        <v/>
      </c>
      <c r="AR350">
        <f>IF($A350="","",IF(AND($C350&amp;"-"&amp;$D350&gt;=Settings!$B$19,$C350&amp;"-"&amp;$D350&lt;=Settings!$B$20),"IN","OUT"))</f>
        <v/>
      </c>
      <c r="AS350">
        <f>IF($A350="","",IF($F350="Financial Results","financials",IF($F350="Outlook/Guidance","guidance",IF($F350="Transcript Q&amp;A","qanda",IF($F350="","unrecorded",IF($E350="All","full",IF($E350="","unrecorded",LOWER($E350)&amp;" only")))))))</f>
        <v/>
      </c>
      <c r="AT350">
        <f>IF(AND(OR($J350="BUY",$J350="SELL"),ISNUMBER($U350)),$U350,"")</f>
        <v/>
      </c>
      <c r="AU350">
        <f>IF(AND(OR($J350="BUY",$J350="SELL"),ISNUMBER($AK350)),$AK350,"")</f>
        <v/>
      </c>
      <c r="AV350">
        <f>IF(ISNUMBER($AT350),ABS(IF(ISNUMBER($I350),$I350,0)-Settings!$B$24),"")</f>
        <v/>
      </c>
      <c r="AW350">
        <f>IF(ISNUMBER($AV350),$AV350*$AT350,"")</f>
        <v/>
      </c>
      <c r="AX350">
        <f>IF(ISNUMBER($AU350),ABS(IF(ISNUMBER($I350),$I350,0)-Settings!$B$24),"")</f>
        <v/>
      </c>
      <c r="AY350">
        <f>IF(ISNUMBER($AX350),$AX350*$AU350,"")</f>
        <v/>
      </c>
      <c r="AZ350">
        <f>IF($A350="","",IFERROR(INDEX(Company_List!$H$3:$H$207,MATCH($A350,Company_List!$A$3:$A$207,0)),"unassigned"))</f>
        <v/>
      </c>
      <c r="BC350">
        <f>IF($A350="","",IF(COUNTIFS($A$3:$A350,$A350,$C$3:$C350,$C350,$D$3:$D350,$D350,$G$3:$G350,$G350)=1,1,0))</f>
        <v/>
      </c>
      <c r="BG350" t="inlineStr">
        <is>
          <t>no</t>
        </is>
      </c>
      <c r="BK350">
        <f>IF(OR($H350&lt;&gt;"Human",$S350="",$J350="",$Y350="",$Z350=""),"",IF(EXACT(UPPER($J350),UPPER($Y350)),1,0))</f>
        <v/>
      </c>
      <c r="BL350" t="inlineStr">
        <is>
          <t>assumed - no rater record</t>
        </is>
      </c>
      <c r="BM350" t="n">
        <v>2</v>
      </c>
      <c r="BN350" t="inlineStr">
        <is>
          <t>Insider Monkey (Koala Guide LLC)</t>
        </is>
      </c>
      <c r="BO350" t="inlineStr">
        <is>
          <t>free to read, copyright asserted</t>
        </is>
      </c>
      <c r="BP350" t="inlineStr">
        <is>
          <t>no</t>
        </is>
      </c>
      <c r="BQ350" t="inlineStr">
        <is>
          <t>yes</t>
        </is>
      </c>
    </row>
    <row r="351">
      <c r="A351" s="1" t="inlineStr">
        <is>
          <t>PepsiCo</t>
        </is>
      </c>
      <c r="B351" s="142">
        <f>IF(A351="","",_xlfn.XLOOKUP(A351, Company_List!$A:$A, Company_List!$B:$B, ""))</f>
        <v/>
      </c>
      <c r="C351" s="143" t="n">
        <v>2023</v>
      </c>
      <c r="D351" s="143" t="inlineStr">
        <is>
          <t>Q4</t>
        </is>
      </c>
      <c r="E351" s="98" t="inlineStr">
        <is>
          <t>All</t>
        </is>
      </c>
      <c r="F351" s="98" t="inlineStr">
        <is>
          <t>All</t>
        </is>
      </c>
      <c r="G351" s="143" t="inlineStr">
        <is>
          <t>Dragos</t>
        </is>
      </c>
      <c r="H351" s="106" t="inlineStr">
        <is>
          <t>Human</t>
        </is>
      </c>
      <c r="I351" s="145" t="n">
        <v>0.2</v>
      </c>
      <c r="J351" s="145">
        <f>IF(OR(I351="",Settings!$B$6=""),"",IF(I351&gt;Settings!$B$6,"BUY",IF(I351&lt;-Settings!$B$6,"SELL","HOLD")))</f>
        <v/>
      </c>
      <c r="K351" s="145" t="n">
        <v>18</v>
      </c>
      <c r="L351" s="123" t="n">
        <v>45331</v>
      </c>
      <c r="M351" s="140" t="n">
        <v>45331</v>
      </c>
      <c r="N351" s="147" t="n">
        <v>167.67</v>
      </c>
      <c r="O351" s="140" t="n">
        <v>45334</v>
      </c>
      <c r="P351" s="145" t="n">
        <v>167.86</v>
      </c>
      <c r="Q351" s="151">
        <f>IF(OR(N351="",P351=""),"",ROUND((P351-N351)/N351,4))</f>
        <v/>
      </c>
      <c r="R351" s="118">
        <f>IF(OR(N351="",P351=""),"",IF(Q351&gt;Settings!$B$3/100,"UP",IF(Q351&lt;-Settings!$B$3/100,"DOWN","FLAT")))</f>
        <v/>
      </c>
      <c r="S351" s="118">
        <f>IF(OR(N351="",P351="",J351=""),"",IF(OR(AND(J351="BUY",R351="UP"),AND(J351="SELL",R351="DOWN"),AND(J351="HOLD",R351="FLAT")),"YES","NO"))</f>
        <v/>
      </c>
      <c r="T351" s="119">
        <f>IF(J351="","",IF(J351="BUY",1,IF(J351="SELL",-1,0)))</f>
        <v/>
      </c>
      <c r="U351" s="150">
        <f>IFERROR(IF(OR(J351="",N351="",P351=""),"",IF(T351=0,0,T351*Q351-Settings!$B$4/10000-IF(T351&lt;0,Settings!$B$5/10000,0))),"")</f>
        <v/>
      </c>
      <c r="V351" t="inlineStr">
        <is>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is>
      </c>
      <c r="W351" s="21">
        <f>IF($K351="","",$K351*60)</f>
        <v/>
      </c>
      <c r="X351" s="91">
        <f>IF($A351="","",$A351&amp;"|"&amp;$C351&amp;"|"&amp;$D351)</f>
        <v/>
      </c>
      <c r="Y351" s="91">
        <f>IFERROR(IF($X351="","",INDEX(LLM_Data_Entry!$H$3:$H$548,MATCH($X351,INDEX(LLM_Data_Entry!$A$3:$A$548&amp;"|"&amp;LLM_Data_Entry!$C$3:$C$548&amp;"|"&amp;LLM_Data_Entry!$D$3:$D$548,0),0))),"")</f>
        <v/>
      </c>
      <c r="Z351" s="91">
        <f>IFERROR(IF($X351="","",INDEX(LLM_Data_Entry!$R$3:$R$548,MATCH($X351,INDEX(LLM_Data_Entry!$A$3:$A$548&amp;"|"&amp;LLM_Data_Entry!$C$3:$C$548&amp;"|"&amp;LLM_Data_Entry!$D$3:$D$548,0),0))),"")</f>
        <v/>
      </c>
      <c r="AB351" t="inlineStr">
        <is>
          <t>release date + stated time</t>
        </is>
      </c>
      <c r="AC351" t="inlineStr">
        <is>
          <t>PEP</t>
        </is>
      </c>
      <c r="AD351" t="inlineStr">
        <is>
          <t>2024-02-08</t>
        </is>
      </c>
      <c r="AE351" t="n">
        <v>158.8766</v>
      </c>
      <c r="AF351" t="inlineStr">
        <is>
          <t>2024-02-09</t>
        </is>
      </c>
      <c r="AG351" t="n">
        <v>156.4548</v>
      </c>
      <c r="AH351" t="n">
        <v>-0.01524309010372187</v>
      </c>
      <c r="AI351" t="inlineStr">
        <is>
          <t>FLAT</t>
        </is>
      </c>
      <c r="AJ351" t="inlineStr">
        <is>
          <t>YES</t>
        </is>
      </c>
      <c r="AK351" t="n">
        <v>0</v>
      </c>
      <c r="AL351">
        <f>IF($A351="","",IFERROR(INDEX(Company_List!$G$3:$G$207,MATCH($A351,Company_List!$A$3:$A$207,0)),"unassigned"))</f>
        <v/>
      </c>
      <c r="AM351" t="inlineStr">
        <is>
          <t>Phase 2/PepsiCo/Q4 2023/PEP-Q4-2023-press-release-SEC-EX99-1.htm; Phase 2/PepsiCo/Q4 2023/PEP-Q4-2023-earnings-call-transcript-InsiderMonkey.html</t>
        </is>
      </c>
      <c r="AN351" t="inlineStr">
        <is>
          <t>https://www.insidermonkey.com/blog/pepsico-inc-nasdaqpep-q4-2023-earnings-call-transcript-1256907/; https://www.sec.gov/Archives/edgar/data/77476/000007747624000010/q420238-kxexhibit991.htm</t>
        </is>
      </c>
      <c r="AO351" t="inlineStr">
        <is>
          <t>manifest (whole bundle)</t>
        </is>
      </c>
      <c r="AP351">
        <f>IF($A351="","",IF(COUNTIFS(LLM_Data_Entry!$A$3:$A$548,$A351)&gt;0,"YES","NO"))</f>
        <v/>
      </c>
      <c r="AQ351">
        <f>IF($A351="","",IF(COUNTIFS($A$3:$A351,$A351,$C$3:$C351,$C351,$D$3:$D351,$D351)=1,"YES","NO"))</f>
        <v/>
      </c>
      <c r="AR351">
        <f>IF($A351="","",IF(AND($C351&amp;"-"&amp;$D351&gt;=Settings!$B$19,$C351&amp;"-"&amp;$D351&lt;=Settings!$B$20),"IN","OUT"))</f>
        <v/>
      </c>
      <c r="AS351">
        <f>IF($A351="","",IF($F351="Financial Results","financials",IF($F351="Outlook/Guidance","guidance",IF($F351="Transcript Q&amp;A","qanda",IF($F351="","unrecorded",IF($E351="All","full",IF($E351="","unrecorded",LOWER($E351)&amp;" only")))))))</f>
        <v/>
      </c>
      <c r="AT351">
        <f>IF(AND(OR($J351="BUY",$J351="SELL"),ISNUMBER($U351)),$U351,"")</f>
        <v/>
      </c>
      <c r="AU351">
        <f>IF(AND(OR($J351="BUY",$J351="SELL"),ISNUMBER($AK351)),$AK351,"")</f>
        <v/>
      </c>
      <c r="AV351">
        <f>IF(ISNUMBER($AT351),ABS(IF(ISNUMBER($I351),$I351,0)-Settings!$B$24),"")</f>
        <v/>
      </c>
      <c r="AW351">
        <f>IF(ISNUMBER($AV351),$AV351*$AT351,"")</f>
        <v/>
      </c>
      <c r="AX351">
        <f>IF(ISNUMBER($AU351),ABS(IF(ISNUMBER($I351),$I351,0)-Settings!$B$24),"")</f>
        <v/>
      </c>
      <c r="AY351">
        <f>IF(ISNUMBER($AX351),$AX351*$AU351,"")</f>
        <v/>
      </c>
      <c r="AZ351">
        <f>IF($A351="","",IFERROR(INDEX(Company_List!$H$3:$H$207,MATCH($A351,Company_List!$A$3:$A$207,0)),"unassigned"))</f>
        <v/>
      </c>
      <c r="BC351">
        <f>IF($A351="","",IF(COUNTIFS($A$3:$A351,$A351,$C$3:$C351,$C351,$D$3:$D351,$D351,$G$3:$G351,$G351)=1,1,0))</f>
        <v/>
      </c>
      <c r="BG351" t="inlineStr">
        <is>
          <t>no</t>
        </is>
      </c>
      <c r="BK351">
        <f>IF(OR($H351&lt;&gt;"Human",$S351="",$J351="",$Y351="",$Z351=""),"",IF(EXACT(UPPER($J351),UPPER($Y351)),1,0))</f>
        <v/>
      </c>
      <c r="BL351" t="inlineStr">
        <is>
          <t>assumed - no rater record</t>
        </is>
      </c>
      <c r="BM351" t="n">
        <v>2</v>
      </c>
      <c r="BN351" t="inlineStr">
        <is>
          <t>Insider Monkey (Koala Guide LLC)</t>
        </is>
      </c>
      <c r="BO351" t="inlineStr">
        <is>
          <t>free to read, copyright asserted</t>
        </is>
      </c>
      <c r="BP351" t="inlineStr">
        <is>
          <t>no</t>
        </is>
      </c>
      <c r="BQ351" t="inlineStr">
        <is>
          <t>yes</t>
        </is>
      </c>
    </row>
    <row r="352">
      <c r="A352" s="1" t="inlineStr">
        <is>
          <t>PepsiCo</t>
        </is>
      </c>
      <c r="B352" s="142">
        <f>IF(A352="","",_xlfn.XLOOKUP(A352, Company_List!$A:$A, Company_List!$B:$B, ""))</f>
        <v/>
      </c>
      <c r="C352" s="143" t="n">
        <v>2024</v>
      </c>
      <c r="D352" s="143" t="inlineStr">
        <is>
          <t>Q1</t>
        </is>
      </c>
      <c r="E352" s="98" t="inlineStr">
        <is>
          <t>All</t>
        </is>
      </c>
      <c r="F352" s="98" t="inlineStr">
        <is>
          <t>All</t>
        </is>
      </c>
      <c r="G352" s="143" t="inlineStr">
        <is>
          <t>Dragos</t>
        </is>
      </c>
      <c r="H352" s="106" t="inlineStr">
        <is>
          <t>Human</t>
        </is>
      </c>
      <c r="I352" s="145" t="n">
        <v>0.5</v>
      </c>
      <c r="J352" s="145">
        <f>IF(OR(I352="",Settings!$B$6=""),"",IF(I352&gt;Settings!$B$6,"BUY",IF(I352&lt;-Settings!$B$6,"SELL","HOLD")))</f>
        <v/>
      </c>
      <c r="K352" s="145" t="n">
        <v>15</v>
      </c>
      <c r="L352" s="123" t="n">
        <v>45405</v>
      </c>
      <c r="M352" s="140" t="n">
        <v>45405</v>
      </c>
      <c r="N352" s="147" t="n">
        <v>171.22</v>
      </c>
      <c r="O352" s="140" t="n">
        <v>45406</v>
      </c>
      <c r="P352" s="145" t="n">
        <v>168.5</v>
      </c>
      <c r="Q352" s="151">
        <f>IF(OR(N352="",P352=""),"",ROUND((P352-N352)/N352,4))</f>
        <v/>
      </c>
      <c r="R352" s="118">
        <f>IF(OR(N352="",P352=""),"",IF(Q352&gt;Settings!$B$3/100,"UP",IF(Q352&lt;-Settings!$B$3/100,"DOWN","FLAT")))</f>
        <v/>
      </c>
      <c r="S352" s="118">
        <f>IF(OR(N352="",P352="",J352=""),"",IF(OR(AND(J352="BUY",R352="UP"),AND(J352="SELL",R352="DOWN"),AND(J352="HOLD",R352="FLAT")),"YES","NO"))</f>
        <v/>
      </c>
      <c r="T352" s="119">
        <f>IF(J352="","",IF(J352="BUY",1,IF(J352="SELL",-1,0)))</f>
        <v/>
      </c>
      <c r="U352" s="150">
        <f>IFERROR(IF(OR(J352="",N352="",P352=""),"",IF(T352=0,0,T352*Q352-Settings!$B$4/10000-IF(T352&lt;0,Settings!$B$5/10000,0))),"")</f>
        <v/>
      </c>
      <c r="V352" t="inlineStr">
        <is>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is>
      </c>
      <c r="W352" s="21">
        <f>IF($K352="","",$K352*60)</f>
        <v/>
      </c>
      <c r="X352" s="91">
        <f>IF($A352="","",$A352&amp;"|"&amp;$C352&amp;"|"&amp;$D352)</f>
        <v/>
      </c>
      <c r="Y352" s="91">
        <f>IFERROR(IF($X352="","",INDEX(LLM_Data_Entry!$H$3:$H$548,MATCH($X352,INDEX(LLM_Data_Entry!$A$3:$A$548&amp;"|"&amp;LLM_Data_Entry!$C$3:$C$548&amp;"|"&amp;LLM_Data_Entry!$D$3:$D$548,0),0))),"")</f>
        <v/>
      </c>
      <c r="Z352" s="91">
        <f>IFERROR(IF($X352="","",INDEX(LLM_Data_Entry!$R$3:$R$548,MATCH($X352,INDEX(LLM_Data_Entry!$A$3:$A$548&amp;"|"&amp;LLM_Data_Entry!$C$3:$C$548&amp;"|"&amp;LLM_Data_Entry!$D$3:$D$548,0),0))),"")</f>
        <v/>
      </c>
      <c r="AB352" t="inlineStr">
        <is>
          <t>release date + stated time</t>
        </is>
      </c>
      <c r="AC352" t="inlineStr">
        <is>
          <t>PEP</t>
        </is>
      </c>
      <c r="AD352" t="inlineStr">
        <is>
          <t>2024-04-22</t>
        </is>
      </c>
      <c r="AE352" t="n">
        <v>162.4924</v>
      </c>
      <c r="AF352" t="inlineStr">
        <is>
          <t>2024-04-23</t>
        </is>
      </c>
      <c r="AG352" t="n">
        <v>160.8717</v>
      </c>
      <c r="AH352" t="n">
        <v>-0.009973822775059944</v>
      </c>
      <c r="AI352" t="inlineStr">
        <is>
          <t>FLAT</t>
        </is>
      </c>
      <c r="AJ352" t="inlineStr">
        <is>
          <t>NO</t>
        </is>
      </c>
      <c r="AK352" t="n">
        <v>-0.010974</v>
      </c>
      <c r="AL352">
        <f>IF($A352="","",IFERROR(INDEX(Company_List!$G$3:$G$207,MATCH($A352,Company_List!$A$3:$A$207,0)),"unassigned"))</f>
        <v/>
      </c>
      <c r="AM352" t="inlineStr">
        <is>
          <t>Phase 2/PepsiCo/Q1 2024/PEP-Q1-2024-press-release-SEC-EX99-1.htm; Phase 2/PepsiCo/Q1 2024/PEP-Q1-2024-earnings-call-transcript-InsiderMonkey.html</t>
        </is>
      </c>
      <c r="AN352" t="inlineStr">
        <is>
          <t>https://www.insidermonkey.com/blog/pepsico-inc-nasdaqpep-q1-2024-earnings-call-transcript-1291655/; https://www.sec.gov/Archives/edgar/data/77476/000007747624000019/q120248-kxexhibit991.htm</t>
        </is>
      </c>
      <c r="AO352" t="inlineStr">
        <is>
          <t>manifest (whole bundle)</t>
        </is>
      </c>
      <c r="AP352">
        <f>IF($A352="","",IF(COUNTIFS(LLM_Data_Entry!$A$3:$A$548,$A352)&gt;0,"YES","NO"))</f>
        <v/>
      </c>
      <c r="AQ352">
        <f>IF($A352="","",IF(COUNTIFS($A$3:$A352,$A352,$C$3:$C352,$C352,$D$3:$D352,$D352)=1,"YES","NO"))</f>
        <v/>
      </c>
      <c r="AR352">
        <f>IF($A352="","",IF(AND($C352&amp;"-"&amp;$D352&gt;=Settings!$B$19,$C352&amp;"-"&amp;$D352&lt;=Settings!$B$20),"IN","OUT"))</f>
        <v/>
      </c>
      <c r="AS352">
        <f>IF($A352="","",IF($F352="Financial Results","financials",IF($F352="Outlook/Guidance","guidance",IF($F352="Transcript Q&amp;A","qanda",IF($F352="","unrecorded",IF($E352="All","full",IF($E352="","unrecorded",LOWER($E352)&amp;" only")))))))</f>
        <v/>
      </c>
      <c r="AT352">
        <f>IF(AND(OR($J352="BUY",$J352="SELL"),ISNUMBER($U352)),$U352,"")</f>
        <v/>
      </c>
      <c r="AU352">
        <f>IF(AND(OR($J352="BUY",$J352="SELL"),ISNUMBER($AK352)),$AK352,"")</f>
        <v/>
      </c>
      <c r="AV352">
        <f>IF(ISNUMBER($AT352),ABS(IF(ISNUMBER($I352),$I352,0)-Settings!$B$24),"")</f>
        <v/>
      </c>
      <c r="AW352">
        <f>IF(ISNUMBER($AV352),$AV352*$AT352,"")</f>
        <v/>
      </c>
      <c r="AX352">
        <f>IF(ISNUMBER($AU352),ABS(IF(ISNUMBER($I352),$I352,0)-Settings!$B$24),"")</f>
        <v/>
      </c>
      <c r="AY352">
        <f>IF(ISNUMBER($AX352),$AX352*$AU352,"")</f>
        <v/>
      </c>
      <c r="AZ352">
        <f>IF($A352="","",IFERROR(INDEX(Company_List!$H$3:$H$207,MATCH($A352,Company_List!$A$3:$A$207,0)),"unassigned"))</f>
        <v/>
      </c>
      <c r="BC352">
        <f>IF($A352="","",IF(COUNTIFS($A$3:$A352,$A352,$C$3:$C352,$C352,$D$3:$D352,$D352,$G$3:$G352,$G352)=1,1,0))</f>
        <v/>
      </c>
      <c r="BG352" t="inlineStr">
        <is>
          <t>no</t>
        </is>
      </c>
      <c r="BK352">
        <f>IF(OR($H352&lt;&gt;"Human",$S352="",$J352="",$Y352="",$Z352=""),"",IF(EXACT(UPPER($J352),UPPER($Y352)),1,0))</f>
        <v/>
      </c>
      <c r="BL352" t="inlineStr">
        <is>
          <t>assumed - no rater record</t>
        </is>
      </c>
      <c r="BM352" t="n">
        <v>2</v>
      </c>
      <c r="BN352" t="inlineStr">
        <is>
          <t>Insider Monkey (Koala Guide LLC)</t>
        </is>
      </c>
      <c r="BO352" t="inlineStr">
        <is>
          <t>free to read, copyright asserted</t>
        </is>
      </c>
      <c r="BP352" t="inlineStr">
        <is>
          <t>no</t>
        </is>
      </c>
      <c r="BQ352" t="inlineStr">
        <is>
          <t>yes</t>
        </is>
      </c>
    </row>
    <row r="353">
      <c r="A353" s="1" t="inlineStr">
        <is>
          <t>PepsiCo</t>
        </is>
      </c>
      <c r="B353" s="142">
        <f>IF(A353="","",_xlfn.XLOOKUP(A353, Company_List!$A:$A, Company_List!$B:$B, ""))</f>
        <v/>
      </c>
      <c r="C353" s="143" t="n">
        <v>2024</v>
      </c>
      <c r="D353" s="143" t="inlineStr">
        <is>
          <t>Q2</t>
        </is>
      </c>
      <c r="E353" s="98" t="inlineStr">
        <is>
          <t>All</t>
        </is>
      </c>
      <c r="F353" s="98" t="inlineStr">
        <is>
          <t>All</t>
        </is>
      </c>
      <c r="G353" s="143" t="inlineStr">
        <is>
          <t>Dragos</t>
        </is>
      </c>
      <c r="H353" s="106" t="inlineStr">
        <is>
          <t>Human</t>
        </is>
      </c>
      <c r="I353" s="145" t="n">
        <v>0.6</v>
      </c>
      <c r="J353" s="145">
        <f>IF(OR(I353="",Settings!$B$6=""),"",IF(I353&gt;Settings!$B$6,"BUY",IF(I353&lt;-Settings!$B$6,"SELL","HOLD")))</f>
        <v/>
      </c>
      <c r="K353" s="145" t="n">
        <v>19</v>
      </c>
      <c r="L353" s="123" t="n">
        <v>45484</v>
      </c>
      <c r="M353" s="140" t="n">
        <v>45484</v>
      </c>
      <c r="N353" s="147" t="n">
        <v>163.95</v>
      </c>
      <c r="O353" s="140" t="n">
        <v>45485</v>
      </c>
      <c r="P353" s="145" t="n">
        <v>164.96</v>
      </c>
      <c r="Q353" s="151">
        <f>IF(OR(N353="",P353=""),"",ROUND((P353-N353)/N353,4))</f>
        <v/>
      </c>
      <c r="R353" s="118">
        <f>IF(OR(N353="",P353=""),"",IF(Q353&gt;Settings!$B$3/100,"UP",IF(Q353&lt;-Settings!$B$3/100,"DOWN","FLAT")))</f>
        <v/>
      </c>
      <c r="S353" s="118">
        <f>IF(OR(N353="",P353="",J353=""),"",IF(OR(AND(J353="BUY",R353="UP"),AND(J353="SELL",R353="DOWN"),AND(J353="HOLD",R353="FLAT")),"YES","NO"))</f>
        <v/>
      </c>
      <c r="T353" s="119">
        <f>IF(J353="","",IF(J353="BUY",1,IF(J353="SELL",-1,0)))</f>
        <v/>
      </c>
      <c r="U353" s="150">
        <f>IFERROR(IF(OR(J353="",N353="",P353=""),"",IF(T353=0,0,T353*Q353-Settings!$B$4/10000-IF(T353&lt;0,Settings!$B$5/10000,0))),"")</f>
        <v/>
      </c>
      <c r="V353" t="inlineStr">
        <is>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is>
      </c>
      <c r="W353" s="21">
        <f>IF($K353="","",$K353*60)</f>
        <v/>
      </c>
      <c r="X353" s="91">
        <f>IF($A353="","",$A353&amp;"|"&amp;$C353&amp;"|"&amp;$D353)</f>
        <v/>
      </c>
      <c r="Y353" s="91">
        <f>IFERROR(IF($X353="","",INDEX(LLM_Data_Entry!$H$3:$H$548,MATCH($X353,INDEX(LLM_Data_Entry!$A$3:$A$548&amp;"|"&amp;LLM_Data_Entry!$C$3:$C$548&amp;"|"&amp;LLM_Data_Entry!$D$3:$D$548,0),0))),"")</f>
        <v/>
      </c>
      <c r="Z353" s="91">
        <f>IFERROR(IF($X353="","",INDEX(LLM_Data_Entry!$R$3:$R$548,MATCH($X353,INDEX(LLM_Data_Entry!$A$3:$A$548&amp;"|"&amp;LLM_Data_Entry!$C$3:$C$548&amp;"|"&amp;LLM_Data_Entry!$D$3:$D$548,0),0))),"")</f>
        <v/>
      </c>
      <c r="AB353" t="inlineStr">
        <is>
          <t>release date + stated time</t>
        </is>
      </c>
      <c r="AC353" t="inlineStr">
        <is>
          <t>PEP</t>
        </is>
      </c>
      <c r="AD353" t="inlineStr">
        <is>
          <t>2024-07-10</t>
        </is>
      </c>
      <c r="AE353" t="n">
        <v>151.8289</v>
      </c>
      <c r="AF353" t="inlineStr">
        <is>
          <t>2024-07-11</t>
        </is>
      </c>
      <c r="AG353" t="n">
        <v>147.6617</v>
      </c>
      <c r="AH353" t="n">
        <v>-0.02744678580892352</v>
      </c>
      <c r="AI353" t="inlineStr">
        <is>
          <t>DOWN</t>
        </is>
      </c>
      <c r="AJ353" t="inlineStr">
        <is>
          <t>NO</t>
        </is>
      </c>
      <c r="AK353" t="n">
        <v>-0.028447</v>
      </c>
      <c r="AL353">
        <f>IF($A353="","",IFERROR(INDEX(Company_List!$G$3:$G$207,MATCH($A353,Company_List!$A$3:$A$207,0)),"unassigned"))</f>
        <v/>
      </c>
      <c r="AM353" t="inlineStr">
        <is>
          <t>Phase 2/PepsiCo/Q2 2024/PEP-Q2-2024-press-release-SEC-EX99-1.htm; Phase 2/PepsiCo/Q2 2024/PEP-Q2-2024-earnings-call-transcript-InsiderMonkey.html</t>
        </is>
      </c>
      <c r="AN353" t="inlineStr">
        <is>
          <t>https://www.insidermonkey.com/blog/pepsico-inc-nasdaqpep-q2-2024-earnings-call-transcript-1322618/; https://www.sec.gov/Archives/edgar/data/77476/000007747624000043/q220248-kxexhibit991.htm</t>
        </is>
      </c>
      <c r="AO353" t="inlineStr">
        <is>
          <t>manifest (whole bundle)</t>
        </is>
      </c>
      <c r="AP353">
        <f>IF($A353="","",IF(COUNTIFS(LLM_Data_Entry!$A$3:$A$548,$A353)&gt;0,"YES","NO"))</f>
        <v/>
      </c>
      <c r="AQ353">
        <f>IF($A353="","",IF(COUNTIFS($A$3:$A353,$A353,$C$3:$C353,$C353,$D$3:$D353,$D353)=1,"YES","NO"))</f>
        <v/>
      </c>
      <c r="AR353">
        <f>IF($A353="","",IF(AND($C353&amp;"-"&amp;$D353&gt;=Settings!$B$19,$C353&amp;"-"&amp;$D353&lt;=Settings!$B$20),"IN","OUT"))</f>
        <v/>
      </c>
      <c r="AS353">
        <f>IF($A353="","",IF($F353="Financial Results","financials",IF($F353="Outlook/Guidance","guidance",IF($F353="Transcript Q&amp;A","qanda",IF($F353="","unrecorded",IF($E353="All","full",IF($E353="","unrecorded",LOWER($E353)&amp;" only")))))))</f>
        <v/>
      </c>
      <c r="AT353">
        <f>IF(AND(OR($J353="BUY",$J353="SELL"),ISNUMBER($U353)),$U353,"")</f>
        <v/>
      </c>
      <c r="AU353">
        <f>IF(AND(OR($J353="BUY",$J353="SELL"),ISNUMBER($AK353)),$AK353,"")</f>
        <v/>
      </c>
      <c r="AV353">
        <f>IF(ISNUMBER($AT353),ABS(IF(ISNUMBER($I353),$I353,0)-Settings!$B$24),"")</f>
        <v/>
      </c>
      <c r="AW353">
        <f>IF(ISNUMBER($AV353),$AV353*$AT353,"")</f>
        <v/>
      </c>
      <c r="AX353">
        <f>IF(ISNUMBER($AU353),ABS(IF(ISNUMBER($I353),$I353,0)-Settings!$B$24),"")</f>
        <v/>
      </c>
      <c r="AY353">
        <f>IF(ISNUMBER($AX353),$AX353*$AU353,"")</f>
        <v/>
      </c>
      <c r="AZ353">
        <f>IF($A353="","",IFERROR(INDEX(Company_List!$H$3:$H$207,MATCH($A353,Company_List!$A$3:$A$207,0)),"unassigned"))</f>
        <v/>
      </c>
      <c r="BC353">
        <f>IF($A353="","",IF(COUNTIFS($A$3:$A353,$A353,$C$3:$C353,$C353,$D$3:$D353,$D353,$G$3:$G353,$G353)=1,1,0))</f>
        <v/>
      </c>
      <c r="BG353" t="inlineStr">
        <is>
          <t>no</t>
        </is>
      </c>
      <c r="BK353">
        <f>IF(OR($H353&lt;&gt;"Human",$S353="",$J353="",$Y353="",$Z353=""),"",IF(EXACT(UPPER($J353),UPPER($Y353)),1,0))</f>
        <v/>
      </c>
      <c r="BL353" t="inlineStr">
        <is>
          <t>assumed - no rater record</t>
        </is>
      </c>
      <c r="BM353" t="n">
        <v>2</v>
      </c>
      <c r="BN353" t="inlineStr">
        <is>
          <t>Insider Monkey (Koala Guide LLC)</t>
        </is>
      </c>
      <c r="BO353" t="inlineStr">
        <is>
          <t>free to read, copyright asserted</t>
        </is>
      </c>
      <c r="BP353" t="inlineStr">
        <is>
          <t>no</t>
        </is>
      </c>
      <c r="BQ353" t="inlineStr">
        <is>
          <t>yes</t>
        </is>
      </c>
    </row>
    <row r="354">
      <c r="A354" s="1" t="inlineStr">
        <is>
          <t>PepsiCo</t>
        </is>
      </c>
      <c r="B354" s="142">
        <f>IF(A354="","",_xlfn.XLOOKUP(A354, Company_List!$A:$A, Company_List!$B:$B, ""))</f>
        <v/>
      </c>
      <c r="C354" s="143" t="n">
        <v>2024</v>
      </c>
      <c r="D354" s="143" t="inlineStr">
        <is>
          <t>Q3</t>
        </is>
      </c>
      <c r="E354" s="98" t="inlineStr">
        <is>
          <t>All</t>
        </is>
      </c>
      <c r="F354" s="98" t="inlineStr">
        <is>
          <t>All</t>
        </is>
      </c>
      <c r="G354" s="143" t="inlineStr">
        <is>
          <t>Dragos</t>
        </is>
      </c>
      <c r="H354" s="106" t="inlineStr">
        <is>
          <t>Human</t>
        </is>
      </c>
      <c r="I354" s="145" t="n">
        <v>0.2</v>
      </c>
      <c r="J354" s="145">
        <f>IF(OR(I354="",Settings!$B$6=""),"",IF(I354&gt;Settings!$B$6,"BUY",IF(I354&lt;-Settings!$B$6,"SELL","HOLD")))</f>
        <v/>
      </c>
      <c r="K354" s="145" t="n">
        <v>22</v>
      </c>
      <c r="L354" s="123" t="n">
        <v>45573</v>
      </c>
      <c r="M354" s="140" t="n">
        <v>45573</v>
      </c>
      <c r="N354" s="147" t="n">
        <v>170.42</v>
      </c>
      <c r="O354" s="140" t="n">
        <v>45574</v>
      </c>
      <c r="P354" s="145" t="n">
        <v>169.38</v>
      </c>
      <c r="Q354" s="151">
        <f>IF(OR(N354="",P354=""),"",ROUND((P354-N354)/N354,4))</f>
        <v/>
      </c>
      <c r="R354" s="118">
        <f>IF(OR(N354="",P354=""),"",IF(Q354&gt;Settings!$B$3/100,"UP",IF(Q354&lt;-Settings!$B$3/100,"DOWN","FLAT")))</f>
        <v/>
      </c>
      <c r="S354" s="118">
        <f>IF(OR(N354="",P354="",J354=""),"",IF(OR(AND(J354="BUY",R354="UP"),AND(J354="SELL",R354="DOWN"),AND(J354="HOLD",R354="FLAT")),"YES","NO"))</f>
        <v/>
      </c>
      <c r="T354" s="119">
        <f>IF(J354="","",IF(J354="BUY",1,IF(J354="SELL",-1,0)))</f>
        <v/>
      </c>
      <c r="U354" s="150">
        <f>IFERROR(IF(OR(J354="",N354="",P354=""),"",IF(T354=0,0,T354*Q354-Settings!$B$4/10000-IF(T354&lt;0,Settings!$B$5/10000,0))),"")</f>
        <v/>
      </c>
      <c r="V354" t="inlineStr">
        <is>
          <t>Full document set positive on balance - Net revenue performance 0.7%; EPS change 4%; Organic revenue growth 1.3%. Against that: Net revenue performance (0.6)%. 3 forward claims flagged hypothetical and discounted, but the concrete numbers carry it.</t>
        </is>
      </c>
      <c r="W354" s="21">
        <f>IF($K354="","",$K354*60)</f>
        <v/>
      </c>
      <c r="X354" s="91">
        <f>IF($A354="","",$A354&amp;"|"&amp;$C354&amp;"|"&amp;$D354)</f>
        <v/>
      </c>
      <c r="Y354" s="91">
        <f>IFERROR(IF($X354="","",INDEX(LLM_Data_Entry!$H$3:$H$548,MATCH($X354,INDEX(LLM_Data_Entry!$A$3:$A$548&amp;"|"&amp;LLM_Data_Entry!$C$3:$C$548&amp;"|"&amp;LLM_Data_Entry!$D$3:$D$548,0),0))),"")</f>
        <v/>
      </c>
      <c r="Z354" s="91">
        <f>IFERROR(IF($X354="","",INDEX(LLM_Data_Entry!$R$3:$R$548,MATCH($X354,INDEX(LLM_Data_Entry!$A$3:$A$548&amp;"|"&amp;LLM_Data_Entry!$C$3:$C$548&amp;"|"&amp;LLM_Data_Entry!$D$3:$D$548,0),0))),"")</f>
        <v/>
      </c>
      <c r="AB354" t="inlineStr">
        <is>
          <t>release date + stated time</t>
        </is>
      </c>
      <c r="AC354" t="inlineStr">
        <is>
          <t>PEP</t>
        </is>
      </c>
      <c r="AD354" t="inlineStr">
        <is>
          <t>2024-10-07</t>
        </is>
      </c>
      <c r="AE354" t="n">
        <v>156.3704</v>
      </c>
      <c r="AF354" t="inlineStr">
        <is>
          <t>2024-10-08</t>
        </is>
      </c>
      <c r="AG354" t="n">
        <v>156.8473</v>
      </c>
      <c r="AH354" t="n">
        <v>0.0030499750038358</v>
      </c>
      <c r="AI354" t="inlineStr">
        <is>
          <t>FLAT</t>
        </is>
      </c>
      <c r="AJ354" t="inlineStr">
        <is>
          <t>YES</t>
        </is>
      </c>
      <c r="AK354" t="n">
        <v>0</v>
      </c>
      <c r="AL354">
        <f>IF($A354="","",IFERROR(INDEX(Company_List!$G$3:$G$207,MATCH($A354,Company_List!$A$3:$A$207,0)),"unassigned"))</f>
        <v/>
      </c>
      <c r="AM354" t="inlineStr">
        <is>
          <t>Phase 2/PepsiCo/Q3 2024/PEP-Q3-2024-press-release-SEC-EX99-1.htm; Phase 2/PepsiCo/Q3 2024/PEP-Q3-2024-earnings-call-transcript-InsiderMonkey.html</t>
        </is>
      </c>
      <c r="AN354" t="inlineStr">
        <is>
          <t>https://www.insidermonkey.com/blog/pepsico-inc-nasdaqpep-q3-2024-earnings-call-transcript-1369843/; https://www.sec.gov/Archives/edgar/data/77476/000007747624000054/q320248-kxexhibit991.htm</t>
        </is>
      </c>
      <c r="AO354" t="inlineStr">
        <is>
          <t>manifest (whole bundle)</t>
        </is>
      </c>
      <c r="AP354">
        <f>IF($A354="","",IF(COUNTIFS(LLM_Data_Entry!$A$3:$A$548,$A354)&gt;0,"YES","NO"))</f>
        <v/>
      </c>
      <c r="AQ354">
        <f>IF($A354="","",IF(COUNTIFS($A$3:$A354,$A354,$C$3:$C354,$C354,$D$3:$D354,$D354)=1,"YES","NO"))</f>
        <v/>
      </c>
      <c r="AR354">
        <f>IF($A354="","",IF(AND($C354&amp;"-"&amp;$D354&gt;=Settings!$B$19,$C354&amp;"-"&amp;$D354&lt;=Settings!$B$20),"IN","OUT"))</f>
        <v/>
      </c>
      <c r="AS354">
        <f>IF($A354="","",IF($F354="Financial Results","financials",IF($F354="Outlook/Guidance","guidance",IF($F354="Transcript Q&amp;A","qanda",IF($F354="","unrecorded",IF($E354="All","full",IF($E354="","unrecorded",LOWER($E354)&amp;" only")))))))</f>
        <v/>
      </c>
      <c r="AT354">
        <f>IF(AND(OR($J354="BUY",$J354="SELL"),ISNUMBER($U354)),$U354,"")</f>
        <v/>
      </c>
      <c r="AU354">
        <f>IF(AND(OR($J354="BUY",$J354="SELL"),ISNUMBER($AK354)),$AK354,"")</f>
        <v/>
      </c>
      <c r="AV354">
        <f>IF(ISNUMBER($AT354),ABS(IF(ISNUMBER($I354),$I354,0)-Settings!$B$24),"")</f>
        <v/>
      </c>
      <c r="AW354">
        <f>IF(ISNUMBER($AV354),$AV354*$AT354,"")</f>
        <v/>
      </c>
      <c r="AX354">
        <f>IF(ISNUMBER($AU354),ABS(IF(ISNUMBER($I354),$I354,0)-Settings!$B$24),"")</f>
        <v/>
      </c>
      <c r="AY354">
        <f>IF(ISNUMBER($AX354),$AX354*$AU354,"")</f>
        <v/>
      </c>
      <c r="AZ354">
        <f>IF($A354="","",IFERROR(INDEX(Company_List!$H$3:$H$207,MATCH($A354,Company_List!$A$3:$A$207,0)),"unassigned"))</f>
        <v/>
      </c>
      <c r="BC354">
        <f>IF($A354="","",IF(COUNTIFS($A$3:$A354,$A354,$C$3:$C354,$C354,$D$3:$D354,$D354,$G$3:$G354,$G354)=1,1,0))</f>
        <v/>
      </c>
      <c r="BG354" t="inlineStr">
        <is>
          <t>no</t>
        </is>
      </c>
      <c r="BK354">
        <f>IF(OR($H354&lt;&gt;"Human",$S354="",$J354="",$Y354="",$Z354=""),"",IF(EXACT(UPPER($J354),UPPER($Y354)),1,0))</f>
        <v/>
      </c>
      <c r="BL354" t="inlineStr">
        <is>
          <t>assumed - no rater record</t>
        </is>
      </c>
      <c r="BM354" t="n">
        <v>2</v>
      </c>
      <c r="BN354" t="inlineStr">
        <is>
          <t>Insider Monkey (Koala Guide LLC)</t>
        </is>
      </c>
      <c r="BO354" t="inlineStr">
        <is>
          <t>free to read, copyright asserted</t>
        </is>
      </c>
      <c r="BP354" t="inlineStr">
        <is>
          <t>no</t>
        </is>
      </c>
      <c r="BQ354" t="inlineStr">
        <is>
          <t>yes</t>
        </is>
      </c>
    </row>
    <row r="355">
      <c r="A355" s="1" t="inlineStr">
        <is>
          <t>PepsiCo</t>
        </is>
      </c>
      <c r="B355" s="142">
        <f>IF(A355="","",_xlfn.XLOOKUP(A355, Company_List!$A:$A, Company_List!$B:$B, ""))</f>
        <v/>
      </c>
      <c r="C355" s="143" t="n">
        <v>2024</v>
      </c>
      <c r="D355" s="143" t="inlineStr">
        <is>
          <t>Q4</t>
        </is>
      </c>
      <c r="E355" s="98" t="inlineStr">
        <is>
          <t>All</t>
        </is>
      </c>
      <c r="F355" s="98" t="inlineStr">
        <is>
          <t>All</t>
        </is>
      </c>
      <c r="G355" s="143" t="inlineStr">
        <is>
          <t>Dragos</t>
        </is>
      </c>
      <c r="H355" s="106" t="inlineStr">
        <is>
          <t>Human</t>
        </is>
      </c>
      <c r="I355" s="145" t="n">
        <v>0.4</v>
      </c>
      <c r="J355" s="145">
        <f>IF(OR(I355="",Settings!$B$6=""),"",IF(I355&gt;Settings!$B$6,"BUY",IF(I355&lt;-Settings!$B$6,"SELL","HOLD")))</f>
        <v/>
      </c>
      <c r="K355" s="145" t="n">
        <v>23</v>
      </c>
      <c r="L355" s="123" t="n">
        <v>45692</v>
      </c>
      <c r="M355" s="140" t="n">
        <v>45692</v>
      </c>
      <c r="N355" s="147" t="n">
        <v>143.49</v>
      </c>
      <c r="O355" s="140" t="n">
        <v>45693</v>
      </c>
      <c r="P355" s="145" t="n">
        <v>143.39</v>
      </c>
      <c r="Q355" s="151">
        <f>IF(OR(N355="",P355=""),"",ROUND((P355-N355)/N355,4))</f>
        <v/>
      </c>
      <c r="R355" s="118">
        <f>IF(OR(N355="",P355=""),"",IF(Q355&gt;Settings!$B$3/100,"UP",IF(Q355&lt;-Settings!$B$3/100,"DOWN","FLAT")))</f>
        <v/>
      </c>
      <c r="S355" s="118">
        <f>IF(OR(N355="",P355="",J355=""),"",IF(OR(AND(J355="BUY",R355="UP"),AND(J355="SELL",R355="DOWN"),AND(J355="HOLD",R355="FLAT")),"YES","NO"))</f>
        <v/>
      </c>
      <c r="T355" s="119">
        <f>IF(J355="","",IF(J355="BUY",1,IF(J355="SELL",-1,0)))</f>
        <v/>
      </c>
      <c r="U355" s="150">
        <f>IFERROR(IF(OR(J355="",N355="",P355=""),"",IF(T355=0,0,T355*Q355-Settings!$B$4/10000-IF(T355&lt;0,Settings!$B$5/10000,0))),"")</f>
        <v/>
      </c>
      <c r="V355" t="inlineStr">
        <is>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is>
      </c>
      <c r="W355" s="21">
        <f>IF($K355="","",$K355*60)</f>
        <v/>
      </c>
      <c r="X355" s="91">
        <f>IF($A355="","",$A355&amp;"|"&amp;$C355&amp;"|"&amp;$D355)</f>
        <v/>
      </c>
      <c r="Y355" s="91">
        <f>IFERROR(IF($X355="","",INDEX(LLM_Data_Entry!$H$3:$H$548,MATCH($X355,INDEX(LLM_Data_Entry!$A$3:$A$548&amp;"|"&amp;LLM_Data_Entry!$C$3:$C$548&amp;"|"&amp;LLM_Data_Entry!$D$3:$D$548,0),0))),"")</f>
        <v/>
      </c>
      <c r="Z355" s="91">
        <f>IFERROR(IF($X355="","",INDEX(LLM_Data_Entry!$R$3:$R$548,MATCH($X355,INDEX(LLM_Data_Entry!$A$3:$A$548&amp;"|"&amp;LLM_Data_Entry!$C$3:$C$548&amp;"|"&amp;LLM_Data_Entry!$D$3:$D$548,0),0))),"")</f>
        <v/>
      </c>
      <c r="AB355" t="inlineStr">
        <is>
          <t>release date + stated time</t>
        </is>
      </c>
      <c r="AC355" t="inlineStr">
        <is>
          <t>PEP</t>
        </is>
      </c>
      <c r="AD355" t="inlineStr">
        <is>
          <t>2025-02-03</t>
        </is>
      </c>
      <c r="AE355" t="n">
        <v>141.7251</v>
      </c>
      <c r="AF355" t="inlineStr">
        <is>
          <t>2025-02-04</t>
        </is>
      </c>
      <c r="AG355" t="n">
        <v>137.7923</v>
      </c>
      <c r="AH355" t="n">
        <v>-0.02775006955132695</v>
      </c>
      <c r="AI355" t="inlineStr">
        <is>
          <t>DOWN</t>
        </is>
      </c>
      <c r="AJ355" t="inlineStr">
        <is>
          <t>NO</t>
        </is>
      </c>
      <c r="AK355" t="n">
        <v>-0.02875</v>
      </c>
      <c r="AL355">
        <f>IF($A355="","",IFERROR(INDEX(Company_List!$G$3:$G$207,MATCH($A355,Company_List!$A$3:$A$207,0)),"unassigned"))</f>
        <v/>
      </c>
      <c r="AM355" t="inlineStr">
        <is>
          <t>Phase 2/PepsiCo/Q4 2024/PEP-Q4-2024-press-release-SEC-EX99-1.htm; Phase 2/PepsiCo/Q4 2024/PEP-Q4-2024-earnings-call-transcript-InsiderMonkey.html</t>
        </is>
      </c>
      <c r="AN355" t="inlineStr">
        <is>
          <t>https://www.insidermonkey.com/blog/pepsico-inc-nasdaqpep-q4-2024-earnings-call-transcript-1443383/; https://www.sec.gov/Archives/edgar/data/77476/000007747625000008/q420248-kxexhibit991.htm</t>
        </is>
      </c>
      <c r="AO355" t="inlineStr">
        <is>
          <t>manifest (whole bundle)</t>
        </is>
      </c>
      <c r="AP355">
        <f>IF($A355="","",IF(COUNTIFS(LLM_Data_Entry!$A$3:$A$548,$A355)&gt;0,"YES","NO"))</f>
        <v/>
      </c>
      <c r="AQ355">
        <f>IF($A355="","",IF(COUNTIFS($A$3:$A355,$A355,$C$3:$C355,$C355,$D$3:$D355,$D355)=1,"YES","NO"))</f>
        <v/>
      </c>
      <c r="AR355">
        <f>IF($A355="","",IF(AND($C355&amp;"-"&amp;$D355&gt;=Settings!$B$19,$C355&amp;"-"&amp;$D355&lt;=Settings!$B$20),"IN","OUT"))</f>
        <v/>
      </c>
      <c r="AS355">
        <f>IF($A355="","",IF($F355="Financial Results","financials",IF($F355="Outlook/Guidance","guidance",IF($F355="Transcript Q&amp;A","qanda",IF($F355="","unrecorded",IF($E355="All","full",IF($E355="","unrecorded",LOWER($E355)&amp;" only")))))))</f>
        <v/>
      </c>
      <c r="AT355">
        <f>IF(AND(OR($J355="BUY",$J355="SELL"),ISNUMBER($U355)),$U355,"")</f>
        <v/>
      </c>
      <c r="AU355">
        <f>IF(AND(OR($J355="BUY",$J355="SELL"),ISNUMBER($AK355)),$AK355,"")</f>
        <v/>
      </c>
      <c r="AV355">
        <f>IF(ISNUMBER($AT355),ABS(IF(ISNUMBER($I355),$I355,0)-Settings!$B$24),"")</f>
        <v/>
      </c>
      <c r="AW355">
        <f>IF(ISNUMBER($AV355),$AV355*$AT355,"")</f>
        <v/>
      </c>
      <c r="AX355">
        <f>IF(ISNUMBER($AU355),ABS(IF(ISNUMBER($I355),$I355,0)-Settings!$B$24),"")</f>
        <v/>
      </c>
      <c r="AY355">
        <f>IF(ISNUMBER($AX355),$AX355*$AU355,"")</f>
        <v/>
      </c>
      <c r="AZ355">
        <f>IF($A355="","",IFERROR(INDEX(Company_List!$H$3:$H$207,MATCH($A355,Company_List!$A$3:$A$207,0)),"unassigned"))</f>
        <v/>
      </c>
      <c r="BC355">
        <f>IF($A355="","",IF(COUNTIFS($A$3:$A355,$A355,$C$3:$C355,$C355,$D$3:$D355,$D355,$G$3:$G355,$G355)=1,1,0))</f>
        <v/>
      </c>
      <c r="BG355" t="inlineStr">
        <is>
          <t>no</t>
        </is>
      </c>
      <c r="BK355">
        <f>IF(OR($H355&lt;&gt;"Human",$S355="",$J355="",$Y355="",$Z355=""),"",IF(EXACT(UPPER($J355),UPPER($Y355)),1,0))</f>
        <v/>
      </c>
      <c r="BL355" t="inlineStr">
        <is>
          <t>assumed - no rater record</t>
        </is>
      </c>
      <c r="BM355" t="n">
        <v>2</v>
      </c>
      <c r="BN355" t="inlineStr">
        <is>
          <t>Insider Monkey (Koala Guide LLC)</t>
        </is>
      </c>
      <c r="BO355" t="inlineStr">
        <is>
          <t>free to read, copyright asserted</t>
        </is>
      </c>
      <c r="BP355" t="inlineStr">
        <is>
          <t>no</t>
        </is>
      </c>
      <c r="BQ355" t="inlineStr">
        <is>
          <t>yes</t>
        </is>
      </c>
    </row>
    <row r="356">
      <c r="A356" s="1" t="inlineStr">
        <is>
          <t>PepsiCo</t>
        </is>
      </c>
      <c r="B356" s="142">
        <f>IF(A356="","",_xlfn.XLOOKUP(A356, Company_List!$A:$A, Company_List!$B:$B, ""))</f>
        <v/>
      </c>
      <c r="C356" s="143" t="n">
        <v>2025</v>
      </c>
      <c r="D356" s="143" t="inlineStr">
        <is>
          <t>Q1</t>
        </is>
      </c>
      <c r="E356" s="98" t="inlineStr">
        <is>
          <t>All</t>
        </is>
      </c>
      <c r="F356" s="98" t="inlineStr">
        <is>
          <t>All</t>
        </is>
      </c>
      <c r="G356" s="143" t="inlineStr">
        <is>
          <t>Dragos</t>
        </is>
      </c>
      <c r="H356" s="106" t="inlineStr">
        <is>
          <t>Human</t>
        </is>
      </c>
      <c r="I356" s="145" t="n">
        <v>0</v>
      </c>
      <c r="J356" s="145">
        <f>IF(OR(I356="",Settings!$B$6=""),"",IF(I356&gt;Settings!$B$6,"BUY",IF(I356&lt;-Settings!$B$6,"SELL","HOLD")))</f>
        <v/>
      </c>
      <c r="K356" s="145" t="n">
        <v>25</v>
      </c>
      <c r="L356" s="123" t="n">
        <v>45771</v>
      </c>
      <c r="M356" s="140" t="n">
        <v>45771</v>
      </c>
      <c r="N356" s="147" t="n">
        <v>135.31</v>
      </c>
      <c r="O356" s="140" t="n">
        <v>45772</v>
      </c>
      <c r="P356" s="145" t="n">
        <v>135.47</v>
      </c>
      <c r="Q356" s="151">
        <f>IF(OR(N356="",P356=""),"",ROUND((P356-N356)/N356,4))</f>
        <v/>
      </c>
      <c r="R356" s="118">
        <f>IF(OR(N356="",P356=""),"",IF(Q356&gt;Settings!$B$3/100,"UP",IF(Q356&lt;-Settings!$B$3/100,"DOWN","FLAT")))</f>
        <v/>
      </c>
      <c r="S356" s="118">
        <f>IF(OR(N356="",P356="",J356=""),"",IF(OR(AND(J356="BUY",R356="UP"),AND(J356="SELL",R356="DOWN"),AND(J356="HOLD",R356="FLAT")),"YES","NO"))</f>
        <v/>
      </c>
      <c r="T356" s="119">
        <f>IF(J356="","",IF(J356="BUY",1,IF(J356="SELL",-1,0)))</f>
        <v/>
      </c>
      <c r="U356" s="150">
        <f>IFERROR(IF(OR(J356="",N356="",P356=""),"",IF(T356=0,0,T356*Q356-Settings!$B$4/10000-IF(T356&lt;0,Settings!$B$5/10000,0))),"")</f>
        <v/>
      </c>
      <c r="V356" t="inlineStr">
        <is>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is>
      </c>
      <c r="W356" s="21">
        <f>IF($K356="","",$K356*60)</f>
        <v/>
      </c>
      <c r="X356" s="91">
        <f>IF($A356="","",$A356&amp;"|"&amp;$C356&amp;"|"&amp;$D356)</f>
        <v/>
      </c>
      <c r="Y356" s="91">
        <f>IFERROR(IF($X356="","",INDEX(LLM_Data_Entry!$H$3:$H$548,MATCH($X356,INDEX(LLM_Data_Entry!$A$3:$A$548&amp;"|"&amp;LLM_Data_Entry!$C$3:$C$548&amp;"|"&amp;LLM_Data_Entry!$D$3:$D$548,0),0))),"")</f>
        <v/>
      </c>
      <c r="Z356" s="91">
        <f>IFERROR(IF($X356="","",INDEX(LLM_Data_Entry!$R$3:$R$548,MATCH($X356,INDEX(LLM_Data_Entry!$A$3:$A$548&amp;"|"&amp;LLM_Data_Entry!$C$3:$C$548&amp;"|"&amp;LLM_Data_Entry!$D$3:$D$548,0),0))),"")</f>
        <v/>
      </c>
      <c r="AB356" t="inlineStr">
        <is>
          <t>release date + stated time</t>
        </is>
      </c>
      <c r="AC356" t="inlineStr">
        <is>
          <t>PEP</t>
        </is>
      </c>
      <c r="AD356" t="inlineStr">
        <is>
          <t>2025-04-23</t>
        </is>
      </c>
      <c r="AE356" t="n">
        <v>135.3569</v>
      </c>
      <c r="AF356" t="inlineStr">
        <is>
          <t>2025-04-24</t>
        </is>
      </c>
      <c r="AG356" t="n">
        <v>134.5862</v>
      </c>
      <c r="AH356" t="n">
        <v>-0.005693766472027005</v>
      </c>
      <c r="AI356" t="inlineStr">
        <is>
          <t>FLAT</t>
        </is>
      </c>
      <c r="AJ356" t="inlineStr">
        <is>
          <t>YES</t>
        </is>
      </c>
      <c r="AK356" t="n">
        <v>0</v>
      </c>
      <c r="AL356">
        <f>IF($A356="","",IFERROR(INDEX(Company_List!$G$3:$G$207,MATCH($A356,Company_List!$A$3:$A$207,0)),"unassigned"))</f>
        <v/>
      </c>
      <c r="AM356" t="inlineStr">
        <is>
          <t>Phase 2/PepsiCo/Q1 2025/PEP-Q1-2025-press-release-SEC-EX99-1.htm; Phase 2/PepsiCo/Q1 2025/PEP-Q1-2025-earnings-call-transcript-InsiderMonkey.html</t>
        </is>
      </c>
      <c r="AN356" t="inlineStr">
        <is>
          <t>https://www.insidermonkey.com/blog/pepsico-inc-nasdaqpep-q1-2025-earnings-call-transcript-1519470/; https://www.sec.gov/Archives/edgar/data/77476/000007747625000022/q120258-kxexhibit991.htm</t>
        </is>
      </c>
      <c r="AO356" t="inlineStr">
        <is>
          <t>manifest (whole bundle)</t>
        </is>
      </c>
      <c r="AP356">
        <f>IF($A356="","",IF(COUNTIFS(LLM_Data_Entry!$A$3:$A$548,$A356)&gt;0,"YES","NO"))</f>
        <v/>
      </c>
      <c r="AQ356">
        <f>IF($A356="","",IF(COUNTIFS($A$3:$A356,$A356,$C$3:$C356,$C356,$D$3:$D356,$D356)=1,"YES","NO"))</f>
        <v/>
      </c>
      <c r="AR356">
        <f>IF($A356="","",IF(AND($C356&amp;"-"&amp;$D356&gt;=Settings!$B$19,$C356&amp;"-"&amp;$D356&lt;=Settings!$B$20),"IN","OUT"))</f>
        <v/>
      </c>
      <c r="AS356">
        <f>IF($A356="","",IF($F356="Financial Results","financials",IF($F356="Outlook/Guidance","guidance",IF($F356="Transcript Q&amp;A","qanda",IF($F356="","unrecorded",IF($E356="All","full",IF($E356="","unrecorded",LOWER($E356)&amp;" only")))))))</f>
        <v/>
      </c>
      <c r="AT356">
        <f>IF(AND(OR($J356="BUY",$J356="SELL"),ISNUMBER($U356)),$U356,"")</f>
        <v/>
      </c>
      <c r="AU356">
        <f>IF(AND(OR($J356="BUY",$J356="SELL"),ISNUMBER($AK356)),$AK356,"")</f>
        <v/>
      </c>
      <c r="AV356">
        <f>IF(ISNUMBER($AT356),ABS(IF(ISNUMBER($I356),$I356,0)-Settings!$B$24),"")</f>
        <v/>
      </c>
      <c r="AW356">
        <f>IF(ISNUMBER($AV356),$AV356*$AT356,"")</f>
        <v/>
      </c>
      <c r="AX356">
        <f>IF(ISNUMBER($AU356),ABS(IF(ISNUMBER($I356),$I356,0)-Settings!$B$24),"")</f>
        <v/>
      </c>
      <c r="AY356">
        <f>IF(ISNUMBER($AX356),$AX356*$AU356,"")</f>
        <v/>
      </c>
      <c r="AZ356">
        <f>IF($A356="","",IFERROR(INDEX(Company_List!$H$3:$H$207,MATCH($A356,Company_List!$A$3:$A$207,0)),"unassigned"))</f>
        <v/>
      </c>
      <c r="BC356">
        <f>IF($A356="","",IF(COUNTIFS($A$3:$A356,$A356,$C$3:$C356,$C356,$D$3:$D356,$D356,$G$3:$G356,$G356)=1,1,0))</f>
        <v/>
      </c>
      <c r="BG356" t="inlineStr">
        <is>
          <t>no</t>
        </is>
      </c>
      <c r="BK356">
        <f>IF(OR($H356&lt;&gt;"Human",$S356="",$J356="",$Y356="",$Z356=""),"",IF(EXACT(UPPER($J356),UPPER($Y356)),1,0))</f>
        <v/>
      </c>
      <c r="BL356" t="inlineStr">
        <is>
          <t>assumed - no rater record</t>
        </is>
      </c>
      <c r="BM356" t="n">
        <v>2</v>
      </c>
      <c r="BN356" t="inlineStr">
        <is>
          <t>Insider Monkey (Koala Guide LLC)</t>
        </is>
      </c>
      <c r="BO356" t="inlineStr">
        <is>
          <t>free to read, copyright asserted</t>
        </is>
      </c>
      <c r="BP356" t="inlineStr">
        <is>
          <t>no</t>
        </is>
      </c>
      <c r="BQ356" t="inlineStr">
        <is>
          <t>yes</t>
        </is>
      </c>
    </row>
    <row r="357">
      <c r="A357" s="1" t="inlineStr">
        <is>
          <t>PepsiCo</t>
        </is>
      </c>
      <c r="B357" s="142">
        <f>IF(A357="","",_xlfn.XLOOKUP(A357, Company_List!$A:$A, Company_List!$B:$B, ""))</f>
        <v/>
      </c>
      <c r="C357" s="143" t="n">
        <v>2025</v>
      </c>
      <c r="D357" s="143" t="inlineStr">
        <is>
          <t>Q2</t>
        </is>
      </c>
      <c r="E357" s="98" t="inlineStr">
        <is>
          <t>All</t>
        </is>
      </c>
      <c r="F357" s="98" t="inlineStr">
        <is>
          <t>All</t>
        </is>
      </c>
      <c r="G357" s="143" t="inlineStr">
        <is>
          <t>Dragos</t>
        </is>
      </c>
      <c r="H357" s="106" t="inlineStr">
        <is>
          <t>Human</t>
        </is>
      </c>
      <c r="I357" s="145" t="n">
        <v>-0.2</v>
      </c>
      <c r="J357" s="145">
        <f>IF(OR(I357="",Settings!$B$6=""),"",IF(I357&gt;Settings!$B$6,"BUY",IF(I357&lt;-Settings!$B$6,"SELL","HOLD")))</f>
        <v/>
      </c>
      <c r="K357" s="145" t="n">
        <v>20</v>
      </c>
      <c r="L357" s="123" t="n">
        <v>45855</v>
      </c>
      <c r="M357" s="140" t="n">
        <v>45855</v>
      </c>
      <c r="N357" s="147" t="n">
        <v>145.44</v>
      </c>
      <c r="O357" s="140" t="n">
        <v>45856</v>
      </c>
      <c r="P357" s="145" t="n">
        <v>146.26</v>
      </c>
      <c r="Q357" s="151">
        <f>IF(OR(N357="",P357=""),"",ROUND((P357-N357)/N357,4))</f>
        <v/>
      </c>
      <c r="R357" s="118">
        <f>IF(OR(N357="",P357=""),"",IF(Q357&gt;Settings!$B$3/100,"UP",IF(Q357&lt;-Settings!$B$3/100,"DOWN","FLAT")))</f>
        <v/>
      </c>
      <c r="S357" s="118">
        <f>IF(OR(N357="",P357="",J357=""),"",IF(OR(AND(J357="BUY",R357="UP"),AND(J357="SELL",R357="DOWN"),AND(J357="HOLD",R357="FLAT")),"YES","NO"))</f>
        <v/>
      </c>
      <c r="T357" s="119">
        <f>IF(J357="","",IF(J357="BUY",1,IF(J357="SELL",-1,0)))</f>
        <v/>
      </c>
      <c r="U357" s="150">
        <f>IFERROR(IF(OR(J357="",N357="",P357=""),"",IF(T357=0,0,T357*Q357-Settings!$B$4/10000-IF(T357&lt;0,Settings!$B$5/10000,0))),"")</f>
        <v/>
      </c>
      <c r="V357" t="inlineStr">
        <is>
          <t>Full document set mildly negative - Net revenue performance 1.0%; Organic revenue performance 2.1%; Organic revenue performance 1.7%. Against that: Net revenue performance (0.3)%. 1 hypothetical claim discounted; they do not offset the concrete negatives.</t>
        </is>
      </c>
      <c r="W357" s="21">
        <f>IF($K357="","",$K357*60)</f>
        <v/>
      </c>
      <c r="X357" s="91">
        <f>IF($A357="","",$A357&amp;"|"&amp;$C357&amp;"|"&amp;$D357)</f>
        <v/>
      </c>
      <c r="Y357" s="91">
        <f>IFERROR(IF($X357="","",INDEX(LLM_Data_Entry!$H$3:$H$548,MATCH($X357,INDEX(LLM_Data_Entry!$A$3:$A$548&amp;"|"&amp;LLM_Data_Entry!$C$3:$C$548&amp;"|"&amp;LLM_Data_Entry!$D$3:$D$548,0),0))),"")</f>
        <v/>
      </c>
      <c r="Z357" s="91">
        <f>IFERROR(IF($X357="","",INDEX(LLM_Data_Entry!$R$3:$R$548,MATCH($X357,INDEX(LLM_Data_Entry!$A$3:$A$548&amp;"|"&amp;LLM_Data_Entry!$C$3:$C$548&amp;"|"&amp;LLM_Data_Entry!$D$3:$D$548,0),0))),"")</f>
        <v/>
      </c>
      <c r="AB357" t="inlineStr">
        <is>
          <t>release date + stated time</t>
        </is>
      </c>
      <c r="AC357" t="inlineStr">
        <is>
          <t>PEP</t>
        </is>
      </c>
      <c r="AD357" t="inlineStr">
        <is>
          <t>2025-07-16</t>
        </is>
      </c>
      <c r="AE357" t="n">
        <v>130.1953</v>
      </c>
      <c r="AF357" t="inlineStr">
        <is>
          <t>2025-07-17</t>
        </is>
      </c>
      <c r="AG357" t="n">
        <v>136.3034</v>
      </c>
      <c r="AH357" t="n">
        <v>0.04691531177604139</v>
      </c>
      <c r="AI357" t="inlineStr">
        <is>
          <t>UP</t>
        </is>
      </c>
      <c r="AJ357" t="inlineStr">
        <is>
          <t>NO</t>
        </is>
      </c>
      <c r="AK357" t="n">
        <v>0</v>
      </c>
      <c r="AL357">
        <f>IF($A357="","",IFERROR(INDEX(Company_List!$G$3:$G$207,MATCH($A357,Company_List!$A$3:$A$207,0)),"unassigned"))</f>
        <v/>
      </c>
      <c r="AM357" t="inlineStr">
        <is>
          <t>Phase 2/PepsiCo/Q2 2025/PEP-Q2-2025-press-release-SEC-EX99-1.htm; Phase 2/PepsiCo/Q2 2025/PEP-Q2-2025-earnings-call-transcript-InsiderMonkey.html</t>
        </is>
      </c>
      <c r="AN357" t="inlineStr">
        <is>
          <t>https://www.insidermonkey.com/blog/pepsico-inc-nasdaqpep-q2-2025-earnings-call-transcript-1571054/; https://www.sec.gov/Archives/edgar/data/77476/000007747625000046/q220258-kxexhibit991.htm</t>
        </is>
      </c>
      <c r="AO357" t="inlineStr">
        <is>
          <t>manifest (whole bundle)</t>
        </is>
      </c>
      <c r="AP357">
        <f>IF($A357="","",IF(COUNTIFS(LLM_Data_Entry!$A$3:$A$548,$A357)&gt;0,"YES","NO"))</f>
        <v/>
      </c>
      <c r="AQ357">
        <f>IF($A357="","",IF(COUNTIFS($A$3:$A357,$A357,$C$3:$C357,$C357,$D$3:$D357,$D357)=1,"YES","NO"))</f>
        <v/>
      </c>
      <c r="AR357">
        <f>IF($A357="","",IF(AND($C357&amp;"-"&amp;$D357&gt;=Settings!$B$19,$C357&amp;"-"&amp;$D357&lt;=Settings!$B$20),"IN","OUT"))</f>
        <v/>
      </c>
      <c r="AS357">
        <f>IF($A357="","",IF($F357="Financial Results","financials",IF($F357="Outlook/Guidance","guidance",IF($F357="Transcript Q&amp;A","qanda",IF($F357="","unrecorded",IF($E357="All","full",IF($E357="","unrecorded",LOWER($E357)&amp;" only")))))))</f>
        <v/>
      </c>
      <c r="AT357">
        <f>IF(AND(OR($J357="BUY",$J357="SELL"),ISNUMBER($U357)),$U357,"")</f>
        <v/>
      </c>
      <c r="AU357">
        <f>IF(AND(OR($J357="BUY",$J357="SELL"),ISNUMBER($AK357)),$AK357,"")</f>
        <v/>
      </c>
      <c r="AV357">
        <f>IF(ISNUMBER($AT357),ABS(IF(ISNUMBER($I357),$I357,0)-Settings!$B$24),"")</f>
        <v/>
      </c>
      <c r="AW357">
        <f>IF(ISNUMBER($AV357),$AV357*$AT357,"")</f>
        <v/>
      </c>
      <c r="AX357">
        <f>IF(ISNUMBER($AU357),ABS(IF(ISNUMBER($I357),$I357,0)-Settings!$B$24),"")</f>
        <v/>
      </c>
      <c r="AY357">
        <f>IF(ISNUMBER($AX357),$AX357*$AU357,"")</f>
        <v/>
      </c>
      <c r="AZ357">
        <f>IF($A357="","",IFERROR(INDEX(Company_List!$H$3:$H$207,MATCH($A357,Company_List!$A$3:$A$207,0)),"unassigned"))</f>
        <v/>
      </c>
      <c r="BC357">
        <f>IF($A357="","",IF(COUNTIFS($A$3:$A357,$A357,$C$3:$C357,$C357,$D$3:$D357,$D357,$G$3:$G357,$G357)=1,1,0))</f>
        <v/>
      </c>
      <c r="BG357" t="inlineStr">
        <is>
          <t>no</t>
        </is>
      </c>
      <c r="BK357">
        <f>IF(OR($H357&lt;&gt;"Human",$S357="",$J357="",$Y357="",$Z357=""),"",IF(EXACT(UPPER($J357),UPPER($Y357)),1,0))</f>
        <v/>
      </c>
      <c r="BL357" t="inlineStr">
        <is>
          <t>assumed - no rater record</t>
        </is>
      </c>
      <c r="BM357" t="n">
        <v>2</v>
      </c>
      <c r="BN357" t="inlineStr">
        <is>
          <t>Insider Monkey (Koala Guide LLC)</t>
        </is>
      </c>
      <c r="BO357" t="inlineStr">
        <is>
          <t>free to read, copyright asserted</t>
        </is>
      </c>
      <c r="BP357" t="inlineStr">
        <is>
          <t>no</t>
        </is>
      </c>
      <c r="BQ357" t="inlineStr">
        <is>
          <t>yes</t>
        </is>
      </c>
    </row>
    <row r="358">
      <c r="A358" s="1" t="inlineStr">
        <is>
          <t>PepsiCo</t>
        </is>
      </c>
      <c r="B358" s="142">
        <f>IF(A358="","",_xlfn.XLOOKUP(A358, Company_List!$A:$A, Company_List!$B:$B, ""))</f>
        <v/>
      </c>
      <c r="C358" s="143" t="n">
        <v>2025</v>
      </c>
      <c r="D358" s="143" t="inlineStr">
        <is>
          <t>Q3</t>
        </is>
      </c>
      <c r="E358" s="98" t="inlineStr">
        <is>
          <t>All</t>
        </is>
      </c>
      <c r="F358" s="98" t="inlineStr">
        <is>
          <t>All</t>
        </is>
      </c>
      <c r="G358" s="143" t="inlineStr">
        <is>
          <t>Dragos</t>
        </is>
      </c>
      <c r="H358" s="106" t="inlineStr">
        <is>
          <t>Human</t>
        </is>
      </c>
      <c r="I358" s="145" t="n">
        <v>0.1</v>
      </c>
      <c r="J358" s="145">
        <f>IF(OR(I358="",Settings!$B$6=""),"",IF(I358&gt;Settings!$B$6,"BUY",IF(I358&lt;-Settings!$B$6,"SELL","HOLD")))</f>
        <v/>
      </c>
      <c r="K358" s="145" t="n">
        <v>18</v>
      </c>
      <c r="L358" s="123" t="n">
        <v>45939</v>
      </c>
      <c r="M358" s="140" t="n">
        <v>45939</v>
      </c>
      <c r="N358" s="147" t="n">
        <v>144.71</v>
      </c>
      <c r="O358" s="140" t="n">
        <v>45940</v>
      </c>
      <c r="P358" s="145" t="n">
        <v>145.63</v>
      </c>
      <c r="Q358" s="151">
        <f>IF(OR(N358="",P358=""),"",ROUND((P358-N358)/N358,4))</f>
        <v/>
      </c>
      <c r="R358" s="118">
        <f>IF(OR(N358="",P358=""),"",IF(Q358&gt;Settings!$B$3/100,"UP",IF(Q358&lt;-Settings!$B$3/100,"DOWN","FLAT")))</f>
        <v/>
      </c>
      <c r="S358" s="118">
        <f>IF(OR(N358="",P358="",J358=""),"",IF(OR(AND(J358="BUY",R358="UP"),AND(J358="SELL",R358="DOWN"),AND(J358="HOLD",R358="FLAT")),"YES","NO"))</f>
        <v/>
      </c>
      <c r="T358" s="119">
        <f>IF(J358="","",IF(J358="BUY",1,IF(J358="SELL",-1,0)))</f>
        <v/>
      </c>
      <c r="U358" s="150">
        <f>IFERROR(IF(OR(J358="",N358="",P358=""),"",IF(T358=0,0,T358*Q358-Settings!$B$4/10000-IF(T358&lt;0,Settings!$B$5/10000,0))),"")</f>
        <v/>
      </c>
      <c r="V358" t="inlineStr">
        <is>
          <t>Full document set mildly positive - Net revenue performance 2.6%; Net revenue performance 0.8%; Foreign exchange impact on net revenue 0.5%. Against that: Foreign exchange impact on net revenue (1)%. 1 forward claim flagged hypothetical and discounted, but the concrete numbers carry it.</t>
        </is>
      </c>
      <c r="W358" s="21">
        <f>IF($K358="","",$K358*60)</f>
        <v/>
      </c>
      <c r="X358" s="91">
        <f>IF($A358="","",$A358&amp;"|"&amp;$C358&amp;"|"&amp;$D358)</f>
        <v/>
      </c>
      <c r="Y358" s="91">
        <f>IFERROR(IF($X358="","",INDEX(LLM_Data_Entry!$H$3:$H$548,MATCH($X358,INDEX(LLM_Data_Entry!$A$3:$A$548&amp;"|"&amp;LLM_Data_Entry!$C$3:$C$548&amp;"|"&amp;LLM_Data_Entry!$D$3:$D$548,0),0))),"")</f>
        <v/>
      </c>
      <c r="Z358" s="91">
        <f>IFERROR(IF($X358="","",INDEX(LLM_Data_Entry!$R$3:$R$548,MATCH($X358,INDEX(LLM_Data_Entry!$A$3:$A$548&amp;"|"&amp;LLM_Data_Entry!$C$3:$C$548&amp;"|"&amp;LLM_Data_Entry!$D$3:$D$548,0),0))),"")</f>
        <v/>
      </c>
      <c r="AB358" t="inlineStr">
        <is>
          <t>release date + stated time</t>
        </is>
      </c>
      <c r="AC358" t="inlineStr">
        <is>
          <t>PEP</t>
        </is>
      </c>
      <c r="AD358" t="inlineStr">
        <is>
          <t>2025-10-08</t>
        </is>
      </c>
      <c r="AE358" t="n">
        <v>134.8588</v>
      </c>
      <c r="AF358" t="inlineStr">
        <is>
          <t>2025-10-09</t>
        </is>
      </c>
      <c r="AG358" t="n">
        <v>136.4323</v>
      </c>
      <c r="AH358" t="n">
        <v>0.01166819884677702</v>
      </c>
      <c r="AI358" t="inlineStr">
        <is>
          <t>FLAT</t>
        </is>
      </c>
      <c r="AJ358" t="inlineStr">
        <is>
          <t>YES</t>
        </is>
      </c>
      <c r="AK358" t="n">
        <v>0</v>
      </c>
      <c r="AL358">
        <f>IF($A358="","",IFERROR(INDEX(Company_List!$G$3:$G$207,MATCH($A358,Company_List!$A$3:$A$207,0)),"unassigned"))</f>
        <v/>
      </c>
      <c r="AM358" t="inlineStr">
        <is>
          <t>Phase 2/PepsiCo/Q3 2025/PEP-Q3-2025-press-release-SEC-EX99-1.htm; Phase 2/PepsiCo/Q3 2025/PEP-Q3-2025-earnings-call-transcript-InsiderMonkey.html</t>
        </is>
      </c>
      <c r="AN358" t="inlineStr">
        <is>
          <t>https://www.insidermonkey.com/blog/pepsico-inc-nasdaqpep-q3-2025-earnings-call-transcript-1625709/; https://www.sec.gov/Archives/edgar/data/77476/000007747625000055/q320258-kxexhibit991.htm</t>
        </is>
      </c>
      <c r="AO358" t="inlineStr">
        <is>
          <t>manifest (whole bundle)</t>
        </is>
      </c>
      <c r="AP358">
        <f>IF($A358="","",IF(COUNTIFS(LLM_Data_Entry!$A$3:$A$548,$A358)&gt;0,"YES","NO"))</f>
        <v/>
      </c>
      <c r="AQ358">
        <f>IF($A358="","",IF(COUNTIFS($A$3:$A358,$A358,$C$3:$C358,$C358,$D$3:$D358,$D358)=1,"YES","NO"))</f>
        <v/>
      </c>
      <c r="AR358">
        <f>IF($A358="","",IF(AND($C358&amp;"-"&amp;$D358&gt;=Settings!$B$19,$C358&amp;"-"&amp;$D358&lt;=Settings!$B$20),"IN","OUT"))</f>
        <v/>
      </c>
      <c r="AS358">
        <f>IF($A358="","",IF($F358="Financial Results","financials",IF($F358="Outlook/Guidance","guidance",IF($F358="Transcript Q&amp;A","qanda",IF($F358="","unrecorded",IF($E358="All","full",IF($E358="","unrecorded",LOWER($E358)&amp;" only")))))))</f>
        <v/>
      </c>
      <c r="AT358">
        <f>IF(AND(OR($J358="BUY",$J358="SELL"),ISNUMBER($U358)),$U358,"")</f>
        <v/>
      </c>
      <c r="AU358">
        <f>IF(AND(OR($J358="BUY",$J358="SELL"),ISNUMBER($AK358)),$AK358,"")</f>
        <v/>
      </c>
      <c r="AV358">
        <f>IF(ISNUMBER($AT358),ABS(IF(ISNUMBER($I358),$I358,0)-Settings!$B$24),"")</f>
        <v/>
      </c>
      <c r="AW358">
        <f>IF(ISNUMBER($AV358),$AV358*$AT358,"")</f>
        <v/>
      </c>
      <c r="AX358">
        <f>IF(ISNUMBER($AU358),ABS(IF(ISNUMBER($I358),$I358,0)-Settings!$B$24),"")</f>
        <v/>
      </c>
      <c r="AY358">
        <f>IF(ISNUMBER($AX358),$AX358*$AU358,"")</f>
        <v/>
      </c>
      <c r="AZ358">
        <f>IF($A358="","",IFERROR(INDEX(Company_List!$H$3:$H$207,MATCH($A358,Company_List!$A$3:$A$207,0)),"unassigned"))</f>
        <v/>
      </c>
      <c r="BC358">
        <f>IF($A358="","",IF(COUNTIFS($A$3:$A358,$A358,$C$3:$C358,$C358,$D$3:$D358,$D358,$G$3:$G358,$G358)=1,1,0))</f>
        <v/>
      </c>
      <c r="BG358" t="inlineStr">
        <is>
          <t>no</t>
        </is>
      </c>
      <c r="BK358">
        <f>IF(OR($H358&lt;&gt;"Human",$S358="",$J358="",$Y358="",$Z358=""),"",IF(EXACT(UPPER($J358),UPPER($Y358)),1,0))</f>
        <v/>
      </c>
      <c r="BL358" t="inlineStr">
        <is>
          <t>assumed - no rater record</t>
        </is>
      </c>
      <c r="BM358" t="n">
        <v>2</v>
      </c>
      <c r="BN358" t="inlineStr">
        <is>
          <t>Insider Monkey (Koala Guide LLC)</t>
        </is>
      </c>
      <c r="BO358" t="inlineStr">
        <is>
          <t>free to read, copyright asserted</t>
        </is>
      </c>
      <c r="BP358" t="inlineStr">
        <is>
          <t>no</t>
        </is>
      </c>
      <c r="BQ358" t="inlineStr">
        <is>
          <t>yes</t>
        </is>
      </c>
    </row>
    <row r="359">
      <c r="A359" s="1" t="inlineStr">
        <is>
          <t>PepsiCo</t>
        </is>
      </c>
      <c r="B359" s="142">
        <f>IF(A359="","",_xlfn.XLOOKUP(A359, Company_List!$A:$A, Company_List!$B:$B, ""))</f>
        <v/>
      </c>
      <c r="C359" s="143" t="n">
        <v>2025</v>
      </c>
      <c r="D359" s="143" t="inlineStr">
        <is>
          <t>Q4</t>
        </is>
      </c>
      <c r="E359" s="98" t="inlineStr">
        <is>
          <t>All</t>
        </is>
      </c>
      <c r="F359" s="98" t="inlineStr">
        <is>
          <t>All</t>
        </is>
      </c>
      <c r="G359" s="143" t="inlineStr">
        <is>
          <t>Dragos</t>
        </is>
      </c>
      <c r="H359" s="106" t="inlineStr">
        <is>
          <t>Human</t>
        </is>
      </c>
      <c r="I359" s="145" t="n">
        <v>0.4</v>
      </c>
      <c r="J359" s="145">
        <f>IF(OR(I359="",Settings!$B$6=""),"",IF(I359&gt;Settings!$B$6,"BUY",IF(I359&lt;-Settings!$B$6,"SELL","HOLD")))</f>
        <v/>
      </c>
      <c r="K359" s="145" t="n">
        <v>15</v>
      </c>
      <c r="L359" s="123" t="n">
        <v>46056</v>
      </c>
      <c r="M359" s="140" t="n">
        <v>46056</v>
      </c>
      <c r="N359" s="147" t="n">
        <v>162.85</v>
      </c>
      <c r="O359" s="140" t="n">
        <v>46057</v>
      </c>
      <c r="P359" s="145" t="n">
        <v>164.89</v>
      </c>
      <c r="Q359" s="151">
        <f>IF(OR(N359="",P359=""),"",ROUND((P359-N359)/N359,4))</f>
        <v/>
      </c>
      <c r="R359" s="118">
        <f>IF(OR(N359="",P359=""),"",IF(Q359&gt;Settings!$B$3/100,"UP",IF(Q359&lt;-Settings!$B$3/100,"DOWN","FLAT")))</f>
        <v/>
      </c>
      <c r="S359" s="118">
        <f>IF(OR(N359="",P359="",J359=""),"",IF(OR(AND(J359="BUY",R359="UP"),AND(J359="SELL",R359="DOWN"),AND(J359="HOLD",R359="FLAT")),"YES","NO"))</f>
        <v/>
      </c>
      <c r="T359" s="119">
        <f>IF(J359="","",IF(J359="BUY",1,IF(J359="SELL",-1,0)))</f>
        <v/>
      </c>
      <c r="U359" s="150">
        <f>IFERROR(IF(OR(J359="",N359="",P359=""),"",IF(T359=0,0,T359*Q359-Settings!$B$4/10000-IF(T359&lt;0,Settings!$B$5/10000,0))),"")</f>
        <v/>
      </c>
      <c r="V359" t="inlineStr">
        <is>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is>
      </c>
      <c r="W359" s="21">
        <f>IF($K359="","",$K359*60)</f>
        <v/>
      </c>
      <c r="X359" s="91">
        <f>IF($A359="","",$A359&amp;"|"&amp;$C359&amp;"|"&amp;$D359)</f>
        <v/>
      </c>
      <c r="Y359" s="91">
        <f>IFERROR(IF($X359="","",INDEX(LLM_Data_Entry!$H$3:$H$548,MATCH($X359,INDEX(LLM_Data_Entry!$A$3:$A$548&amp;"|"&amp;LLM_Data_Entry!$C$3:$C$548&amp;"|"&amp;LLM_Data_Entry!$D$3:$D$548,0),0))),"")</f>
        <v/>
      </c>
      <c r="Z359" s="91">
        <f>IFERROR(IF($X359="","",INDEX(LLM_Data_Entry!$R$3:$R$548,MATCH($X359,INDEX(LLM_Data_Entry!$A$3:$A$548&amp;"|"&amp;LLM_Data_Entry!$C$3:$C$548&amp;"|"&amp;LLM_Data_Entry!$D$3:$D$548,0),0))),"")</f>
        <v/>
      </c>
      <c r="AB359" t="inlineStr">
        <is>
          <t>release date + stated time</t>
        </is>
      </c>
      <c r="AC359" t="inlineStr">
        <is>
          <t>PEP</t>
        </is>
      </c>
      <c r="AD359" t="inlineStr">
        <is>
          <t>2026-02-02</t>
        </is>
      </c>
      <c r="AE359" t="n">
        <v>152.2241</v>
      </c>
      <c r="AF359" t="inlineStr">
        <is>
          <t>2026-02-03</t>
        </is>
      </c>
      <c r="AG359" t="n">
        <v>153.5973</v>
      </c>
      <c r="AH359" t="n">
        <v>0.009020689642925685</v>
      </c>
      <c r="AI359" t="inlineStr">
        <is>
          <t>FLAT</t>
        </is>
      </c>
      <c r="AJ359" t="inlineStr">
        <is>
          <t>NO</t>
        </is>
      </c>
      <c r="AK359" t="n">
        <v>0.008021</v>
      </c>
      <c r="AL359">
        <f>IF($A359="","",IFERROR(INDEX(Company_List!$G$3:$G$207,MATCH($A359,Company_List!$A$3:$A$207,0)),"unassigned"))</f>
        <v/>
      </c>
      <c r="AM359" t="inlineStr">
        <is>
          <t>Phase 2/PepsiCo/Q4 2025/PEP-Q4-2025-press-release-SEC-EX99-1.htm; Phase 2/PepsiCo/Q4 2025/PEP-Q4-2025-earnings-call-transcript-InsiderMonkey.html</t>
        </is>
      </c>
      <c r="AN359" t="inlineStr">
        <is>
          <t>https://www.insidermonkey.com/blog/pepsico-inc-nasdaqpep-q4-2025-earnings-call-transcript-1688541/; https://www.sec.gov/Archives/edgar/data/77476/000007747626000009/q420258-kxexhibit991.htm</t>
        </is>
      </c>
      <c r="AO359" t="inlineStr">
        <is>
          <t>manifest (whole bundle)</t>
        </is>
      </c>
      <c r="AP359">
        <f>IF($A359="","",IF(COUNTIFS(LLM_Data_Entry!$A$3:$A$548,$A359)&gt;0,"YES","NO"))</f>
        <v/>
      </c>
      <c r="AQ359">
        <f>IF($A359="","",IF(COUNTIFS($A$3:$A359,$A359,$C$3:$C359,$C359,$D$3:$D359,$D359)=1,"YES","NO"))</f>
        <v/>
      </c>
      <c r="AR359">
        <f>IF($A359="","",IF(AND($C359&amp;"-"&amp;$D359&gt;=Settings!$B$19,$C359&amp;"-"&amp;$D359&lt;=Settings!$B$20),"IN","OUT"))</f>
        <v/>
      </c>
      <c r="AS359">
        <f>IF($A359="","",IF($F359="Financial Results","financials",IF($F359="Outlook/Guidance","guidance",IF($F359="Transcript Q&amp;A","qanda",IF($F359="","unrecorded",IF($E359="All","full",IF($E359="","unrecorded",LOWER($E359)&amp;" only")))))))</f>
        <v/>
      </c>
      <c r="AT359">
        <f>IF(AND(OR($J359="BUY",$J359="SELL"),ISNUMBER($U359)),$U359,"")</f>
        <v/>
      </c>
      <c r="AU359">
        <f>IF(AND(OR($J359="BUY",$J359="SELL"),ISNUMBER($AK359)),$AK359,"")</f>
        <v/>
      </c>
      <c r="AV359">
        <f>IF(ISNUMBER($AT359),ABS(IF(ISNUMBER($I359),$I359,0)-Settings!$B$24),"")</f>
        <v/>
      </c>
      <c r="AW359">
        <f>IF(ISNUMBER($AV359),$AV359*$AT359,"")</f>
        <v/>
      </c>
      <c r="AX359">
        <f>IF(ISNUMBER($AU359),ABS(IF(ISNUMBER($I359),$I359,0)-Settings!$B$24),"")</f>
        <v/>
      </c>
      <c r="AY359">
        <f>IF(ISNUMBER($AX359),$AX359*$AU359,"")</f>
        <v/>
      </c>
      <c r="AZ359">
        <f>IF($A359="","",IFERROR(INDEX(Company_List!$H$3:$H$207,MATCH($A359,Company_List!$A$3:$A$207,0)),"unassigned"))</f>
        <v/>
      </c>
      <c r="BC359">
        <f>IF($A359="","",IF(COUNTIFS($A$3:$A359,$A359,$C$3:$C359,$C359,$D$3:$D359,$D359,$G$3:$G359,$G359)=1,1,0))</f>
        <v/>
      </c>
      <c r="BG359" t="inlineStr">
        <is>
          <t>no</t>
        </is>
      </c>
      <c r="BK359">
        <f>IF(OR($H359&lt;&gt;"Human",$S359="",$J359="",$Y359="",$Z359=""),"",IF(EXACT(UPPER($J359),UPPER($Y359)),1,0))</f>
        <v/>
      </c>
      <c r="BL359" t="inlineStr">
        <is>
          <t>assumed - no rater record</t>
        </is>
      </c>
      <c r="BM359" t="n">
        <v>2</v>
      </c>
      <c r="BN359" t="inlineStr">
        <is>
          <t>Insider Monkey (Koala Guide LLC)</t>
        </is>
      </c>
      <c r="BO359" t="inlineStr">
        <is>
          <t>free to read, copyright asserted</t>
        </is>
      </c>
      <c r="BP359" t="inlineStr">
        <is>
          <t>no</t>
        </is>
      </c>
      <c r="BQ359" t="inlineStr">
        <is>
          <t>yes</t>
        </is>
      </c>
    </row>
    <row r="360">
      <c r="A360" s="1" t="inlineStr">
        <is>
          <t>PepsiCo</t>
        </is>
      </c>
      <c r="B360" s="142">
        <f>IF(A360="","",_xlfn.XLOOKUP(A360, Company_List!$A:$A, Company_List!$B:$B, ""))</f>
        <v/>
      </c>
      <c r="C360" s="143" t="n">
        <v>2026</v>
      </c>
      <c r="D360" s="143" t="inlineStr">
        <is>
          <t>Q1</t>
        </is>
      </c>
      <c r="E360" s="98" t="inlineStr">
        <is>
          <t>All</t>
        </is>
      </c>
      <c r="F360" s="98" t="inlineStr">
        <is>
          <t>All</t>
        </is>
      </c>
      <c r="G360" s="143" t="inlineStr">
        <is>
          <t>Dragos</t>
        </is>
      </c>
      <c r="H360" s="106" t="inlineStr">
        <is>
          <t>Human</t>
        </is>
      </c>
      <c r="I360" s="145" t="n">
        <v>0.7</v>
      </c>
      <c r="J360" s="145">
        <f>IF(OR(I360="",Settings!$B$6=""),"",IF(I360&gt;Settings!$B$6,"BUY",IF(I360&lt;-Settings!$B$6,"SELL","HOLD")))</f>
        <v/>
      </c>
      <c r="K360" s="145" t="n">
        <v>19</v>
      </c>
      <c r="L360" s="123" t="n">
        <v>46128</v>
      </c>
      <c r="M360" s="140" t="n">
        <v>46128</v>
      </c>
      <c r="N360" s="147" t="n">
        <v>158.38</v>
      </c>
      <c r="O360" s="140" t="n">
        <v>46129</v>
      </c>
      <c r="P360" s="145" t="n">
        <v>158.26</v>
      </c>
      <c r="Q360" s="151">
        <f>IF(OR(N360="",P360=""),"",ROUND((P360-N360)/N360,4))</f>
        <v/>
      </c>
      <c r="R360" s="118">
        <f>IF(OR(N360="",P360=""),"",IF(Q360&gt;Settings!$B$3/100,"UP",IF(Q360&lt;-Settings!$B$3/100,"DOWN","FLAT")))</f>
        <v/>
      </c>
      <c r="S360" s="118">
        <f>IF(OR(N360="",P360="",J360=""),"",IF(OR(AND(J360="BUY",R360="UP"),AND(J360="SELL",R360="DOWN"),AND(J360="HOLD",R360="FLAT")),"YES","NO"))</f>
        <v/>
      </c>
      <c r="T360" s="119">
        <f>IF(J360="","",IF(J360="BUY",1,IF(J360="SELL",-1,0)))</f>
        <v/>
      </c>
      <c r="U360" s="150">
        <f>IFERROR(IF(OR(J360="",N360="",P360=""),"",IF(T360=0,0,T360*Q360-Settings!$B$4/10000-IF(T360&lt;0,Settings!$B$5/10000,0))),"")</f>
        <v/>
      </c>
      <c r="V360" t="inlineStr">
        <is>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is>
      </c>
      <c r="W360" s="21">
        <f>IF($K360="","",$K360*60)</f>
        <v/>
      </c>
      <c r="X360" s="91">
        <f>IF($A360="","",$A360&amp;"|"&amp;$C360&amp;"|"&amp;$D360)</f>
        <v/>
      </c>
      <c r="Y360" s="91">
        <f>IFERROR(IF($X360="","",INDEX(LLM_Data_Entry!$H$3:$H$548,MATCH($X360,INDEX(LLM_Data_Entry!$A$3:$A$548&amp;"|"&amp;LLM_Data_Entry!$C$3:$C$548&amp;"|"&amp;LLM_Data_Entry!$D$3:$D$548,0),0))),"")</f>
        <v/>
      </c>
      <c r="Z360" s="91">
        <f>IFERROR(IF($X360="","",INDEX(LLM_Data_Entry!$R$3:$R$548,MATCH($X360,INDEX(LLM_Data_Entry!$A$3:$A$548&amp;"|"&amp;LLM_Data_Entry!$C$3:$C$548&amp;"|"&amp;LLM_Data_Entry!$D$3:$D$548,0),0))),"")</f>
        <v/>
      </c>
      <c r="AB360" t="inlineStr">
        <is>
          <t>release date + stated time</t>
        </is>
      </c>
      <c r="AC360" t="inlineStr">
        <is>
          <t>PEP</t>
        </is>
      </c>
      <c r="AD360" t="inlineStr">
        <is>
          <t>2026-04-15</t>
        </is>
      </c>
      <c r="AE360" t="n">
        <v>153.2378</v>
      </c>
      <c r="AF360" t="inlineStr">
        <is>
          <t>2026-04-16</t>
        </is>
      </c>
      <c r="AG360" t="n">
        <v>153.9206</v>
      </c>
      <c r="AH360" t="n">
        <v>0.004455800895342488</v>
      </c>
      <c r="AI360" t="inlineStr">
        <is>
          <t>FLAT</t>
        </is>
      </c>
      <c r="AJ360" t="inlineStr">
        <is>
          <t>NO</t>
        </is>
      </c>
      <c r="AK360" t="n">
        <v>0.003456</v>
      </c>
      <c r="AL360">
        <f>IF($A360="","",IFERROR(INDEX(Company_List!$G$3:$G$207,MATCH($A360,Company_List!$A$3:$A$207,0)),"unassigned"))</f>
        <v/>
      </c>
      <c r="AM360" t="inlineStr">
        <is>
          <t>Phase 2/PepsiCo/Q1 2026/PEP-Q1-2026-press-release-SEC-EX99-1.htm; Phase 2/PepsiCo/Q1 2026/PEP-Q1-2026-earnings-call-transcript-MotleyFool.html</t>
        </is>
      </c>
      <c r="AN360" t="inlineStr">
        <is>
          <t>https://www.fool.com/earnings/call-transcripts/2026/04/16/pepsico-pep-q1-2026-earnings-call-transcript/; https://www.sec.gov/Archives/edgar/data/77476/000007747626000019/q120268-kxexhibit991.htm</t>
        </is>
      </c>
      <c r="AO360" t="inlineStr">
        <is>
          <t>manifest (whole bundle)</t>
        </is>
      </c>
      <c r="AP360">
        <f>IF($A360="","",IF(COUNTIFS(LLM_Data_Entry!$A$3:$A$548,$A360)&gt;0,"YES","NO"))</f>
        <v/>
      </c>
      <c r="AQ360">
        <f>IF($A360="","",IF(COUNTIFS($A$3:$A360,$A360,$C$3:$C360,$C360,$D$3:$D360,$D360)=1,"YES","NO"))</f>
        <v/>
      </c>
      <c r="AR360">
        <f>IF($A360="","",IF(AND($C360&amp;"-"&amp;$D360&gt;=Settings!$B$19,$C360&amp;"-"&amp;$D360&lt;=Settings!$B$20),"IN","OUT"))</f>
        <v/>
      </c>
      <c r="AS360">
        <f>IF($A360="","",IF($F360="Financial Results","financials",IF($F360="Outlook/Guidance","guidance",IF($F360="Transcript Q&amp;A","qanda",IF($F360="","unrecorded",IF($E360="All","full",IF($E360="","unrecorded",LOWER($E360)&amp;" only")))))))</f>
        <v/>
      </c>
      <c r="AT360">
        <f>IF(AND(OR($J360="BUY",$J360="SELL"),ISNUMBER($U360)),$U360,"")</f>
        <v/>
      </c>
      <c r="AU360">
        <f>IF(AND(OR($J360="BUY",$J360="SELL"),ISNUMBER($AK360)),$AK360,"")</f>
        <v/>
      </c>
      <c r="AV360">
        <f>IF(ISNUMBER($AT360),ABS(IF(ISNUMBER($I360),$I360,0)-Settings!$B$24),"")</f>
        <v/>
      </c>
      <c r="AW360">
        <f>IF(ISNUMBER($AV360),$AV360*$AT360,"")</f>
        <v/>
      </c>
      <c r="AX360">
        <f>IF(ISNUMBER($AU360),ABS(IF(ISNUMBER($I360),$I360,0)-Settings!$B$24),"")</f>
        <v/>
      </c>
      <c r="AY360">
        <f>IF(ISNUMBER($AX360),$AX360*$AU360,"")</f>
        <v/>
      </c>
      <c r="AZ360">
        <f>IF($A360="","",IFERROR(INDEX(Company_List!$H$3:$H$207,MATCH($A360,Company_List!$A$3:$A$207,0)),"unassigned"))</f>
        <v/>
      </c>
      <c r="BC360">
        <f>IF($A360="","",IF(COUNTIFS($A$3:$A360,$A360,$C$3:$C360,$C360,$D$3:$D360,$D360,$G$3:$G360,$G360)=1,1,0))</f>
        <v/>
      </c>
      <c r="BG360" t="inlineStr">
        <is>
          <t>no</t>
        </is>
      </c>
      <c r="BK360">
        <f>IF(OR($H360&lt;&gt;"Human",$S360="",$J360="",$Y360="",$Z360=""),"",IF(EXACT(UPPER($J360),UPPER($Y360)),1,0))</f>
        <v/>
      </c>
      <c r="BL360" t="inlineStr">
        <is>
          <t>assumed - no rater record</t>
        </is>
      </c>
      <c r="BM360" t="n">
        <v>2</v>
      </c>
      <c r="BN360" t="inlineStr">
        <is>
          <t>The Motley Fool</t>
        </is>
      </c>
      <c r="BO360" t="inlineStr">
        <is>
          <t>free to read, copyright asserted</t>
        </is>
      </c>
      <c r="BP360" t="inlineStr">
        <is>
          <t>no</t>
        </is>
      </c>
      <c r="BQ360" t="inlineStr">
        <is>
          <t>yes</t>
        </is>
      </c>
    </row>
    <row r="361">
      <c r="A361" s="1" t="inlineStr">
        <is>
          <t>PepsiCo</t>
        </is>
      </c>
      <c r="B361" s="142">
        <f>IF(A361="","",_xlfn.XLOOKUP(A361, Company_List!$A:$A, Company_List!$B:$B, ""))</f>
        <v/>
      </c>
      <c r="C361" s="143" t="n">
        <v>2026</v>
      </c>
      <c r="D361" s="143" t="inlineStr">
        <is>
          <t>Q2</t>
        </is>
      </c>
      <c r="E361" s="98" t="inlineStr">
        <is>
          <t>All</t>
        </is>
      </c>
      <c r="F361" s="98" t="inlineStr">
        <is>
          <t>All</t>
        </is>
      </c>
      <c r="G361" s="143" t="inlineStr">
        <is>
          <t>Dragos</t>
        </is>
      </c>
      <c r="H361" s="106" t="inlineStr">
        <is>
          <t>Human</t>
        </is>
      </c>
      <c r="I361" s="145" t="n">
        <v>0.6</v>
      </c>
      <c r="J361" s="145">
        <f>IF(OR(I361="",Settings!$B$6=""),"",IF(I361&gt;Settings!$B$6,"BUY",IF(I361&lt;-Settings!$B$6,"SELL","HOLD")))</f>
        <v/>
      </c>
      <c r="K361" s="145" t="n">
        <v>16</v>
      </c>
      <c r="L361" s="123" t="n">
        <v>46212</v>
      </c>
      <c r="M361" s="140" t="n">
        <v>46212</v>
      </c>
      <c r="N361" s="147" t="n">
        <v>137.86</v>
      </c>
      <c r="O361" s="140" t="n">
        <v>46213</v>
      </c>
      <c r="P361" s="145" t="n">
        <v>135.86</v>
      </c>
      <c r="Q361" s="151">
        <f>IF(OR(N361="",P361=""),"",ROUND((P361-N361)/N361,4))</f>
        <v/>
      </c>
      <c r="R361" s="118">
        <f>IF(OR(N361="",P361=""),"",IF(Q361&gt;Settings!$B$3/100,"UP",IF(Q361&lt;-Settings!$B$3/100,"DOWN","FLAT")))</f>
        <v/>
      </c>
      <c r="S361" s="118">
        <f>IF(OR(N361="",P361="",J361=""),"",IF(OR(AND(J361="BUY",R361="UP"),AND(J361="SELL",R361="DOWN"),AND(J361="HOLD",R361="FLAT")),"YES","NO"))</f>
        <v/>
      </c>
      <c r="T361" s="119">
        <f>IF(J361="","",IF(J361="BUY",1,IF(J361="SELL",-1,0)))</f>
        <v/>
      </c>
      <c r="U361" s="150">
        <f>IFERROR(IF(OR(J361="",N361="",P361=""),"",IF(T361=0,0,T361*Q361-Settings!$B$4/10000-IF(T361&lt;0,Settings!$B$5/10000,0))),"")</f>
        <v/>
      </c>
      <c r="V361" t="inlineStr">
        <is>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is>
      </c>
      <c r="W361" s="21">
        <f>IF($K361="","",$K361*60)</f>
        <v/>
      </c>
      <c r="X361" s="91">
        <f>IF($A361="","",$A361&amp;"|"&amp;$C361&amp;"|"&amp;$D361)</f>
        <v/>
      </c>
      <c r="Y361" s="91">
        <f>IFERROR(IF($X361="","",INDEX(LLM_Data_Entry!$H$3:$H$548,MATCH($X361,INDEX(LLM_Data_Entry!$A$3:$A$548&amp;"|"&amp;LLM_Data_Entry!$C$3:$C$548&amp;"|"&amp;LLM_Data_Entry!$D$3:$D$548,0),0))),"")</f>
        <v/>
      </c>
      <c r="Z361" s="91">
        <f>IFERROR(IF($X361="","",INDEX(LLM_Data_Entry!$R$3:$R$548,MATCH($X361,INDEX(LLM_Data_Entry!$A$3:$A$548&amp;"|"&amp;LLM_Data_Entry!$C$3:$C$548&amp;"|"&amp;LLM_Data_Entry!$D$3:$D$548,0),0))),"")</f>
        <v/>
      </c>
      <c r="AB361" t="inlineStr">
        <is>
          <t>release date + stated time</t>
        </is>
      </c>
      <c r="AC361" t="inlineStr">
        <is>
          <t>PEP</t>
        </is>
      </c>
      <c r="AD361" t="inlineStr">
        <is>
          <t>2026-07-08</t>
        </is>
      </c>
      <c r="AE361" t="n">
        <v>142.51</v>
      </c>
      <c r="AF361" t="inlineStr">
        <is>
          <t>2026-07-09</t>
        </is>
      </c>
      <c r="AG361" t="n">
        <v>137.09</v>
      </c>
      <c r="AH361" t="n">
        <v>-0.03803241309495513</v>
      </c>
      <c r="AI361" t="inlineStr">
        <is>
          <t>DOWN</t>
        </is>
      </c>
      <c r="AJ361" t="inlineStr">
        <is>
          <t>NO</t>
        </is>
      </c>
      <c r="AK361" t="n">
        <v>-0.039032</v>
      </c>
      <c r="AL361">
        <f>IF($A361="","",IFERROR(INDEX(Company_List!$G$3:$G$207,MATCH($A361,Company_List!$A$3:$A$207,0)),"unassigned"))</f>
        <v/>
      </c>
      <c r="AM361" t="inlineStr">
        <is>
          <t>Phase 2/PepsiCo/Q2 2026/PEP-Q2-2026-press-release-SEC-EX99-1.htm; Phase 2/PepsiCo/Q2 2026/PEP-Q2-2026-earnings-call-transcript-AlphaStreet.html</t>
        </is>
      </c>
      <c r="AN361" t="inlineStr">
        <is>
          <t>https://news.alphastreet.com/pepsico-inc-pep-q2-2026-earnings-call-transcript/; https://www.sec.gov/Archives/edgar/data/77476/000007747626000037/q220268-kxexhibit991.htm</t>
        </is>
      </c>
      <c r="AO361" t="inlineStr">
        <is>
          <t>manifest (whole bundle)</t>
        </is>
      </c>
      <c r="AP361">
        <f>IF($A361="","",IF(COUNTIFS(LLM_Data_Entry!$A$3:$A$548,$A361)&gt;0,"YES","NO"))</f>
        <v/>
      </c>
      <c r="AQ361">
        <f>IF($A361="","",IF(COUNTIFS($A$3:$A361,$A361,$C$3:$C361,$C361,$D$3:$D361,$D361)=1,"YES","NO"))</f>
        <v/>
      </c>
      <c r="AR361">
        <f>IF($A361="","",IF(AND($C361&amp;"-"&amp;$D361&gt;=Settings!$B$19,$C361&amp;"-"&amp;$D361&lt;=Settings!$B$20),"IN","OUT"))</f>
        <v/>
      </c>
      <c r="AS361">
        <f>IF($A361="","",IF($F361="Financial Results","financials",IF($F361="Outlook/Guidance","guidance",IF($F361="Transcript Q&amp;A","qanda",IF($F361="","unrecorded",IF($E361="All","full",IF($E361="","unrecorded",LOWER($E361)&amp;" only")))))))</f>
        <v/>
      </c>
      <c r="AT361">
        <f>IF(AND(OR($J361="BUY",$J361="SELL"),ISNUMBER($U361)),$U361,"")</f>
        <v/>
      </c>
      <c r="AU361">
        <f>IF(AND(OR($J361="BUY",$J361="SELL"),ISNUMBER($AK361)),$AK361,"")</f>
        <v/>
      </c>
      <c r="AV361">
        <f>IF(ISNUMBER($AT361),ABS(IF(ISNUMBER($I361),$I361,0)-Settings!$B$24),"")</f>
        <v/>
      </c>
      <c r="AW361">
        <f>IF(ISNUMBER($AV361),$AV361*$AT361,"")</f>
        <v/>
      </c>
      <c r="AX361">
        <f>IF(ISNUMBER($AU361),ABS(IF(ISNUMBER($I361),$I361,0)-Settings!$B$24),"")</f>
        <v/>
      </c>
      <c r="AY361">
        <f>IF(ISNUMBER($AX361),$AX361*$AU361,"")</f>
        <v/>
      </c>
      <c r="AZ361">
        <f>IF($A361="","",IFERROR(INDEX(Company_List!$H$3:$H$207,MATCH($A361,Company_List!$A$3:$A$207,0)),"unassigned"))</f>
        <v/>
      </c>
      <c r="BC361">
        <f>IF($A361="","",IF(COUNTIFS($A$3:$A361,$A361,$C$3:$C361,$C361,$D$3:$D361,$D361,$G$3:$G361,$G361)=1,1,0))</f>
        <v/>
      </c>
      <c r="BG361" t="inlineStr">
        <is>
          <t>no</t>
        </is>
      </c>
      <c r="BK361">
        <f>IF(OR($H361&lt;&gt;"Human",$S361="",$J361="",$Y361="",$Z361=""),"",IF(EXACT(UPPER($J361),UPPER($Y361)),1,0))</f>
        <v/>
      </c>
      <c r="BL361" t="inlineStr">
        <is>
          <t>assumed - no rater record</t>
        </is>
      </c>
      <c r="BM361" t="n">
        <v>2</v>
      </c>
      <c r="BN361" t="inlineStr">
        <is>
          <t>not publisher-identified</t>
        </is>
      </c>
      <c r="BO361" t="inlineStr">
        <is>
          <t>not publisher-identified</t>
        </is>
      </c>
      <c r="BP361" t="inlineStr">
        <is>
          <t>no</t>
        </is>
      </c>
      <c r="BQ361" t="inlineStr">
        <is>
          <t>yes</t>
        </is>
      </c>
    </row>
    <row r="362">
      <c r="A362" s="1" t="inlineStr">
        <is>
          <t>Duke Energy</t>
        </is>
      </c>
      <c r="B362" s="142">
        <f>IF(A362="","",_xlfn.XLOOKUP(A362, Company_List!$A:$A, Company_List!$B:$B, ""))</f>
        <v/>
      </c>
      <c r="C362" s="143" t="n">
        <v>2023</v>
      </c>
      <c r="D362" s="143" t="inlineStr">
        <is>
          <t>Q1</t>
        </is>
      </c>
      <c r="E362" s="98" t="inlineStr">
        <is>
          <t>All</t>
        </is>
      </c>
      <c r="F362" s="98" t="inlineStr">
        <is>
          <t>All</t>
        </is>
      </c>
      <c r="G362" s="143" t="inlineStr">
        <is>
          <t>Dragos</t>
        </is>
      </c>
      <c r="H362" s="106" t="inlineStr">
        <is>
          <t>Human</t>
        </is>
      </c>
      <c r="I362" s="145" t="n">
        <v>0.1</v>
      </c>
      <c r="J362" s="145">
        <f>IF(OR(I362="",Settings!$B$6=""),"",IF(I362&gt;Settings!$B$6,"BUY",IF(I362&lt;-Settings!$B$6,"SELL","HOLD")))</f>
        <v/>
      </c>
      <c r="K362" s="145" t="n">
        <v>21</v>
      </c>
      <c r="L362" s="123" t="n">
        <v>45055</v>
      </c>
      <c r="M362" s="140" t="n">
        <v>45055</v>
      </c>
      <c r="N362" s="147" t="n">
        <v>98.05</v>
      </c>
      <c r="O362" s="140" t="n">
        <v>45056</v>
      </c>
      <c r="P362" s="145" t="n">
        <v>98.81999999999999</v>
      </c>
      <c r="Q362" s="151">
        <f>IF(OR(N362="",P362=""),"",ROUND((P362-N362)/N362,4))</f>
        <v/>
      </c>
      <c r="R362" s="118">
        <f>IF(OR(N362="",P362=""),"",IF(Q362&gt;Settings!$B$3/100,"UP",IF(Q362&lt;-Settings!$B$3/100,"DOWN","FLAT")))</f>
        <v/>
      </c>
      <c r="S362" s="118">
        <f>IF(OR(N362="",P362="",J362=""),"",IF(OR(AND(J362="BUY",R362="UP"),AND(J362="SELL",R362="DOWN"),AND(J362="HOLD",R362="FLAT")),"YES","NO"))</f>
        <v/>
      </c>
      <c r="T362" s="119">
        <f>IF(J362="","",IF(J362="BUY",1,IF(J362="SELL",-1,0)))</f>
        <v/>
      </c>
      <c r="U362" s="150">
        <f>IFERROR(IF(OR(J362="",N362="",P362=""),"",IF(T362=0,0,T362*Q362-Settings!$B$4/10000-IF(T362&lt;0,Settings!$B$5/10000,0))),"")</f>
        <v/>
      </c>
      <c r="V362" t="inlineStr">
        <is>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is>
      </c>
      <c r="W362" s="21">
        <f>IF($K362="","",$K362*60)</f>
        <v/>
      </c>
      <c r="X362" s="91">
        <f>IF($A362="","",$A362&amp;"|"&amp;$C362&amp;"|"&amp;$D362)</f>
        <v/>
      </c>
      <c r="Y362" s="91">
        <f>IFERROR(IF($X362="","",INDEX(LLM_Data_Entry!$H$3:$H$548,MATCH($X362,INDEX(LLM_Data_Entry!$A$3:$A$548&amp;"|"&amp;LLM_Data_Entry!$C$3:$C$548&amp;"|"&amp;LLM_Data_Entry!$D$3:$D$548,0),0))),"")</f>
        <v/>
      </c>
      <c r="Z362" s="91">
        <f>IFERROR(IF($X362="","",INDEX(LLM_Data_Entry!$R$3:$R$548,MATCH($X362,INDEX(LLM_Data_Entry!$A$3:$A$548&amp;"|"&amp;LLM_Data_Entry!$C$3:$C$548&amp;"|"&amp;LLM_Data_Entry!$D$3:$D$548,0),0))),"")</f>
        <v/>
      </c>
      <c r="AB362" t="inlineStr">
        <is>
          <t>earnings calendar, seconded by the issuer's habit</t>
        </is>
      </c>
      <c r="AC362" t="inlineStr">
        <is>
          <t>DUK</t>
        </is>
      </c>
      <c r="AD362" t="inlineStr">
        <is>
          <t>2023-05-08</t>
        </is>
      </c>
      <c r="AE362" t="n">
        <v>87.22929999999999</v>
      </c>
      <c r="AF362" t="inlineStr">
        <is>
          <t>2023-05-09</t>
        </is>
      </c>
      <c r="AG362" t="n">
        <v>86.1885</v>
      </c>
      <c r="AH362" t="n">
        <v>-0.01193117785575892</v>
      </c>
      <c r="AI362" t="inlineStr">
        <is>
          <t>FLAT</t>
        </is>
      </c>
      <c r="AJ362" t="inlineStr">
        <is>
          <t>YES</t>
        </is>
      </c>
      <c r="AK362" t="n">
        <v>0</v>
      </c>
      <c r="AL362">
        <f>IF($A362="","",IFERROR(INDEX(Company_List!$G$3:$G$207,MATCH($A362,Company_List!$A$3:$A$207,0)),"unassigned"))</f>
        <v/>
      </c>
      <c r="AM362" t="inlineStr">
        <is>
          <t>Phase 2/Duke Energy/Q1 2023/DUK-Q1-2023-press-release-SEC-EX99-1.htm; Phase 2/Duke Energy/Q1 2023/DUK-Q1-2023-earnings-call-transcript-stockanalysis-com.html</t>
        </is>
      </c>
      <c r="AN362" t="inlineStr">
        <is>
          <t>https://stockanalysis.com/stocks/duk/transcripts/53031-q1-2023/; https://www.sec.gov/Archives/edgar/data/1326160/000132616023000146/er-20230331xearningsreleas.htm</t>
        </is>
      </c>
      <c r="AO362" t="inlineStr">
        <is>
          <t>manifest (whole bundle)</t>
        </is>
      </c>
      <c r="AP362">
        <f>IF($A362="","",IF(COUNTIFS(LLM_Data_Entry!$A$3:$A$548,$A362)&gt;0,"YES","NO"))</f>
        <v/>
      </c>
      <c r="AQ362">
        <f>IF($A362="","",IF(COUNTIFS($A$3:$A362,$A362,$C$3:$C362,$C362,$D$3:$D362,$D362)=1,"YES","NO"))</f>
        <v/>
      </c>
      <c r="AR362">
        <f>IF($A362="","",IF(AND($C362&amp;"-"&amp;$D362&gt;=Settings!$B$19,$C362&amp;"-"&amp;$D362&lt;=Settings!$B$20),"IN","OUT"))</f>
        <v/>
      </c>
      <c r="AS362">
        <f>IF($A362="","",IF($F362="Financial Results","financials",IF($F362="Outlook/Guidance","guidance",IF($F362="Transcript Q&amp;A","qanda",IF($F362="","unrecorded",IF($E362="All","full",IF($E362="","unrecorded",LOWER($E362)&amp;" only")))))))</f>
        <v/>
      </c>
      <c r="AT362">
        <f>IF(AND(OR($J362="BUY",$J362="SELL"),ISNUMBER($U362)),$U362,"")</f>
        <v/>
      </c>
      <c r="AU362">
        <f>IF(AND(OR($J362="BUY",$J362="SELL"),ISNUMBER($AK362)),$AK362,"")</f>
        <v/>
      </c>
      <c r="AV362">
        <f>IF(ISNUMBER($AT362),ABS(IF(ISNUMBER($I362),$I362,0)-Settings!$B$24),"")</f>
        <v/>
      </c>
      <c r="AW362">
        <f>IF(ISNUMBER($AV362),$AV362*$AT362,"")</f>
        <v/>
      </c>
      <c r="AX362">
        <f>IF(ISNUMBER($AU362),ABS(IF(ISNUMBER($I362),$I362,0)-Settings!$B$24),"")</f>
        <v/>
      </c>
      <c r="AY362">
        <f>IF(ISNUMBER($AX362),$AX362*$AU362,"")</f>
        <v/>
      </c>
      <c r="AZ362">
        <f>IF($A362="","",IFERROR(INDEX(Company_List!$H$3:$H$207,MATCH($A362,Company_List!$A$3:$A$207,0)),"unassigned"))</f>
        <v/>
      </c>
      <c r="BC362">
        <f>IF($A362="","",IF(COUNTIFS($A$3:$A362,$A362,$C$3:$C362,$C362,$D$3:$D362,$D362,$G$3:$G362,$G362)=1,1,0))</f>
        <v/>
      </c>
      <c r="BG362" t="inlineStr">
        <is>
          <t>no</t>
        </is>
      </c>
      <c r="BK362">
        <f>IF(OR($H362&lt;&gt;"Human",$S362="",$J362="",$Y362="",$Z362=""),"",IF(EXACT(UPPER($J362),UPPER($Y362)),1,0))</f>
        <v/>
      </c>
      <c r="BL362" t="inlineStr">
        <is>
          <t>assumed - no rater record</t>
        </is>
      </c>
      <c r="BM362" t="n">
        <v>2</v>
      </c>
      <c r="BN362" t="inlineStr">
        <is>
          <t>not publisher-identified</t>
        </is>
      </c>
      <c r="BO362" t="inlineStr">
        <is>
          <t>not publisher-identified</t>
        </is>
      </c>
      <c r="BP362" t="inlineStr">
        <is>
          <t>no</t>
        </is>
      </c>
      <c r="BQ362" t="inlineStr">
        <is>
          <t>yes</t>
        </is>
      </c>
    </row>
    <row r="363">
      <c r="A363" s="1" t="inlineStr">
        <is>
          <t>Duke Energy</t>
        </is>
      </c>
      <c r="B363" s="142">
        <f>IF(A363="","",_xlfn.XLOOKUP(A363, Company_List!$A:$A, Company_List!$B:$B, ""))</f>
        <v/>
      </c>
      <c r="C363" s="143" t="n">
        <v>2023</v>
      </c>
      <c r="D363" s="143" t="inlineStr">
        <is>
          <t>Q2</t>
        </is>
      </c>
      <c r="E363" s="98" t="inlineStr">
        <is>
          <t>All</t>
        </is>
      </c>
      <c r="F363" s="98" t="inlineStr">
        <is>
          <t>All</t>
        </is>
      </c>
      <c r="G363" s="143" t="inlineStr">
        <is>
          <t>Dragos</t>
        </is>
      </c>
      <c r="H363" s="106" t="inlineStr">
        <is>
          <t>Human</t>
        </is>
      </c>
      <c r="I363" s="145" t="n">
        <v>0</v>
      </c>
      <c r="J363" s="145">
        <f>IF(OR(I363="",Settings!$B$6=""),"",IF(I363&gt;Settings!$B$6,"BUY",IF(I363&lt;-Settings!$B$6,"SELL","HOLD")))</f>
        <v/>
      </c>
      <c r="K363" s="145" t="n">
        <v>24</v>
      </c>
      <c r="L363" s="123" t="n">
        <v>45146</v>
      </c>
      <c r="M363" s="140" t="n">
        <v>45146</v>
      </c>
      <c r="N363" s="147" t="n">
        <v>92.13</v>
      </c>
      <c r="O363" s="140" t="n">
        <v>45147</v>
      </c>
      <c r="P363" s="145" t="n">
        <v>91.87</v>
      </c>
      <c r="Q363" s="151">
        <f>IF(OR(N363="",P363=""),"",ROUND((P363-N363)/N363,4))</f>
        <v/>
      </c>
      <c r="R363" s="118">
        <f>IF(OR(N363="",P363=""),"",IF(Q363&gt;Settings!$B$3/100,"UP",IF(Q363&lt;-Settings!$B$3/100,"DOWN","FLAT")))</f>
        <v/>
      </c>
      <c r="S363" s="118">
        <f>IF(OR(N363="",P363="",J363=""),"",IF(OR(AND(J363="BUY",R363="UP"),AND(J363="SELL",R363="DOWN"),AND(J363="HOLD",R363="FLAT")),"YES","NO"))</f>
        <v/>
      </c>
      <c r="T363" s="119">
        <f>IF(J363="","",IF(J363="BUY",1,IF(J363="SELL",-1,0)))</f>
        <v/>
      </c>
      <c r="U363" s="150">
        <f>IFERROR(IF(OR(J363="",N363="",P363=""),"",IF(T363=0,0,T363*Q363-Settings!$B$4/10000-IF(T363&lt;0,Settings!$B$5/10000,0))),"")</f>
        <v/>
      </c>
      <c r="V363" t="inlineStr">
        <is>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is>
      </c>
      <c r="W363" s="21">
        <f>IF($K363="","",$K363*60)</f>
        <v/>
      </c>
      <c r="X363" s="91">
        <f>IF($A363="","",$A363&amp;"|"&amp;$C363&amp;"|"&amp;$D363)</f>
        <v/>
      </c>
      <c r="Y363" s="91">
        <f>IFERROR(IF($X363="","",INDEX(LLM_Data_Entry!$H$3:$H$548,MATCH($X363,INDEX(LLM_Data_Entry!$A$3:$A$548&amp;"|"&amp;LLM_Data_Entry!$C$3:$C$548&amp;"|"&amp;LLM_Data_Entry!$D$3:$D$548,0),0))),"")</f>
        <v/>
      </c>
      <c r="Z363" s="91">
        <f>IFERROR(IF($X363="","",INDEX(LLM_Data_Entry!$R$3:$R$548,MATCH($X363,INDEX(LLM_Data_Entry!$A$3:$A$548&amp;"|"&amp;LLM_Data_Entry!$C$3:$C$548&amp;"|"&amp;LLM_Data_Entry!$D$3:$D$548,0),0))),"")</f>
        <v/>
      </c>
      <c r="AB363" t="inlineStr">
        <is>
          <t>document date + price signal</t>
        </is>
      </c>
      <c r="AC363" t="inlineStr">
        <is>
          <t>DUK</t>
        </is>
      </c>
      <c r="AD363" t="inlineStr">
        <is>
          <t>2023-08-07</t>
        </is>
      </c>
      <c r="AE363" t="n">
        <v>79.8895</v>
      </c>
      <c r="AF363" t="inlineStr">
        <is>
          <t>2023-08-08</t>
        </is>
      </c>
      <c r="AG363" t="n">
        <v>80.4419</v>
      </c>
      <c r="AH363" t="n">
        <v>0.006914932083307425</v>
      </c>
      <c r="AI363" t="inlineStr">
        <is>
          <t>FLAT</t>
        </is>
      </c>
      <c r="AJ363" t="inlineStr">
        <is>
          <t>YES</t>
        </is>
      </c>
      <c r="AK363" t="n">
        <v>0</v>
      </c>
      <c r="AL363">
        <f>IF($A363="","",IFERROR(INDEX(Company_List!$G$3:$G$207,MATCH($A363,Company_List!$A$3:$A$207,0)),"unassigned"))</f>
        <v/>
      </c>
      <c r="AM363" t="inlineStr">
        <is>
          <t>Phase 2/Duke Energy/Q2 2023/DUK-Q2-2023-press-release-SEC-EX99-1.htm; Phase 2/Duke Energy/Q2 2023/DUK-Q2-2023-earnings-call-transcript-InsiderMonkey.html</t>
        </is>
      </c>
      <c r="AN363" t="inlineStr">
        <is>
          <t>https://www.insidermonkey.com/blog/duke-energy-corporation-nyseduk-q2-2023-earnings-call-transcript-1181159/; https://www.sec.gov/Archives/edgar/data/1326160/000132616023000171/er-20230630xearningsreleas.htm</t>
        </is>
      </c>
      <c r="AO363" t="inlineStr">
        <is>
          <t>manifest (whole bundle)</t>
        </is>
      </c>
      <c r="AP363">
        <f>IF($A363="","",IF(COUNTIFS(LLM_Data_Entry!$A$3:$A$548,$A363)&gt;0,"YES","NO"))</f>
        <v/>
      </c>
      <c r="AQ363">
        <f>IF($A363="","",IF(COUNTIFS($A$3:$A363,$A363,$C$3:$C363,$C363,$D$3:$D363,$D363)=1,"YES","NO"))</f>
        <v/>
      </c>
      <c r="AR363">
        <f>IF($A363="","",IF(AND($C363&amp;"-"&amp;$D363&gt;=Settings!$B$19,$C363&amp;"-"&amp;$D363&lt;=Settings!$B$20),"IN","OUT"))</f>
        <v/>
      </c>
      <c r="AS363">
        <f>IF($A363="","",IF($F363="Financial Results","financials",IF($F363="Outlook/Guidance","guidance",IF($F363="Transcript Q&amp;A","qanda",IF($F363="","unrecorded",IF($E363="All","full",IF($E363="","unrecorded",LOWER($E363)&amp;" only")))))))</f>
        <v/>
      </c>
      <c r="AT363">
        <f>IF(AND(OR($J363="BUY",$J363="SELL"),ISNUMBER($U363)),$U363,"")</f>
        <v/>
      </c>
      <c r="AU363">
        <f>IF(AND(OR($J363="BUY",$J363="SELL"),ISNUMBER($AK363)),$AK363,"")</f>
        <v/>
      </c>
      <c r="AV363">
        <f>IF(ISNUMBER($AT363),ABS(IF(ISNUMBER($I363),$I363,0)-Settings!$B$24),"")</f>
        <v/>
      </c>
      <c r="AW363">
        <f>IF(ISNUMBER($AV363),$AV363*$AT363,"")</f>
        <v/>
      </c>
      <c r="AX363">
        <f>IF(ISNUMBER($AU363),ABS(IF(ISNUMBER($I363),$I363,0)-Settings!$B$24),"")</f>
        <v/>
      </c>
      <c r="AY363">
        <f>IF(ISNUMBER($AX363),$AX363*$AU363,"")</f>
        <v/>
      </c>
      <c r="AZ363">
        <f>IF($A363="","",IFERROR(INDEX(Company_List!$H$3:$H$207,MATCH($A363,Company_List!$A$3:$A$207,0)),"unassigned"))</f>
        <v/>
      </c>
      <c r="BC363">
        <f>IF($A363="","",IF(COUNTIFS($A$3:$A363,$A363,$C$3:$C363,$C363,$D$3:$D363,$D363,$G$3:$G363,$G363)=1,1,0))</f>
        <v/>
      </c>
      <c r="BG363" t="inlineStr">
        <is>
          <t>no</t>
        </is>
      </c>
      <c r="BK363">
        <f>IF(OR($H363&lt;&gt;"Human",$S363="",$J363="",$Y363="",$Z363=""),"",IF(EXACT(UPPER($J363),UPPER($Y363)),1,0))</f>
        <v/>
      </c>
      <c r="BL363" t="inlineStr">
        <is>
          <t>assumed - no rater record</t>
        </is>
      </c>
      <c r="BM363" t="n">
        <v>2</v>
      </c>
      <c r="BN363" t="inlineStr">
        <is>
          <t>Insider Monkey (Koala Guide LLC)</t>
        </is>
      </c>
      <c r="BO363" t="inlineStr">
        <is>
          <t>free to read, copyright asserted</t>
        </is>
      </c>
      <c r="BP363" t="inlineStr">
        <is>
          <t>no</t>
        </is>
      </c>
      <c r="BQ363" t="inlineStr">
        <is>
          <t>yes</t>
        </is>
      </c>
    </row>
    <row r="364">
      <c r="A364" s="1" t="inlineStr">
        <is>
          <t>Duke Energy</t>
        </is>
      </c>
      <c r="B364" s="142">
        <f>IF(A364="","",_xlfn.XLOOKUP(A364, Company_List!$A:$A, Company_List!$B:$B, ""))</f>
        <v/>
      </c>
      <c r="C364" s="143" t="n">
        <v>2023</v>
      </c>
      <c r="D364" s="143" t="inlineStr">
        <is>
          <t>Q3</t>
        </is>
      </c>
      <c r="E364" s="98" t="inlineStr">
        <is>
          <t>All</t>
        </is>
      </c>
      <c r="F364" s="98" t="inlineStr">
        <is>
          <t>All</t>
        </is>
      </c>
      <c r="G364" s="143" t="inlineStr">
        <is>
          <t>Dragos</t>
        </is>
      </c>
      <c r="H364" s="106" t="inlineStr">
        <is>
          <t>Human</t>
        </is>
      </c>
      <c r="I364" s="145" t="n">
        <v>0.3</v>
      </c>
      <c r="J364" s="145">
        <f>IF(OR(I364="",Settings!$B$6=""),"",IF(I364&gt;Settings!$B$6,"BUY",IF(I364&lt;-Settings!$B$6,"SELL","HOLD")))</f>
        <v/>
      </c>
      <c r="K364" s="145" t="n">
        <v>22</v>
      </c>
      <c r="L364" s="123" t="n">
        <v>45232</v>
      </c>
      <c r="M364" s="140" t="n">
        <v>45232</v>
      </c>
      <c r="N364" s="147" t="n">
        <v>89.89</v>
      </c>
      <c r="O364" s="140" t="n">
        <v>45233</v>
      </c>
      <c r="P364" s="145" t="n">
        <v>91.16</v>
      </c>
      <c r="Q364" s="151">
        <f>IF(OR(N364="",P364=""),"",ROUND((P364-N364)/N364,4))</f>
        <v/>
      </c>
      <c r="R364" s="118">
        <f>IF(OR(N364="",P364=""),"",IF(Q364&gt;Settings!$B$3/100,"UP",IF(Q364&lt;-Settings!$B$3/100,"DOWN","FLAT")))</f>
        <v/>
      </c>
      <c r="S364" s="118">
        <f>IF(OR(N364="",P364="",J364=""),"",IF(OR(AND(J364="BUY",R364="UP"),AND(J364="SELL",R364="DOWN"),AND(J364="HOLD",R364="FLAT")),"YES","NO"))</f>
        <v/>
      </c>
      <c r="T364" s="119">
        <f>IF(J364="","",IF(J364="BUY",1,IF(J364="SELL",-1,0)))</f>
        <v/>
      </c>
      <c r="U364" s="150">
        <f>IFERROR(IF(OR(J364="",N364="",P364=""),"",IF(T364=0,0,T364*Q364-Settings!$B$4/10000-IF(T364&lt;0,Settings!$B$5/10000,0))),"")</f>
        <v/>
      </c>
      <c r="V364" t="inlineStr">
        <is>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is>
      </c>
      <c r="W364" s="21">
        <f>IF($K364="","",$K364*60)</f>
        <v/>
      </c>
      <c r="X364" s="91">
        <f>IF($A364="","",$A364&amp;"|"&amp;$C364&amp;"|"&amp;$D364)</f>
        <v/>
      </c>
      <c r="Y364" s="91">
        <f>IFERROR(IF($X364="","",INDEX(LLM_Data_Entry!$H$3:$H$548,MATCH($X364,INDEX(LLM_Data_Entry!$A$3:$A$548&amp;"|"&amp;LLM_Data_Entry!$C$3:$C$548&amp;"|"&amp;LLM_Data_Entry!$D$3:$D$548,0),0))),"")</f>
        <v/>
      </c>
      <c r="Z364" s="91">
        <f>IFERROR(IF($X364="","",INDEX(LLM_Data_Entry!$R$3:$R$548,MATCH($X364,INDEX(LLM_Data_Entry!$A$3:$A$548&amp;"|"&amp;LLM_Data_Entry!$C$3:$C$548&amp;"|"&amp;LLM_Data_Entry!$D$3:$D$548,0),0))),"")</f>
        <v/>
      </c>
      <c r="AB364" t="inlineStr">
        <is>
          <t>document date + price signal</t>
        </is>
      </c>
      <c r="AC364" t="inlineStr">
        <is>
          <t>DUK</t>
        </is>
      </c>
      <c r="AD364" t="inlineStr">
        <is>
          <t>2023-11-02</t>
        </is>
      </c>
      <c r="AE364" t="n">
        <v>80.99979999999999</v>
      </c>
      <c r="AF364" t="inlineStr">
        <is>
          <t>2023-11-03</t>
        </is>
      </c>
      <c r="AG364" t="n">
        <v>82.1442</v>
      </c>
      <c r="AH364" t="n">
        <v>0.01412838710719222</v>
      </c>
      <c r="AI364" t="inlineStr">
        <is>
          <t>FLAT</t>
        </is>
      </c>
      <c r="AJ364" t="inlineStr">
        <is>
          <t>NO</t>
        </is>
      </c>
      <c r="AK364" t="n">
        <v>0.013128</v>
      </c>
      <c r="AL364">
        <f>IF($A364="","",IFERROR(INDEX(Company_List!$G$3:$G$207,MATCH($A364,Company_List!$A$3:$A$207,0)),"unassigned"))</f>
        <v/>
      </c>
      <c r="AM364" t="inlineStr">
        <is>
          <t>Phase 2/Duke Energy/Q3 2023/DUK-Q3-2023-press-release-SEC-EX99-1.htm; Phase 2/Duke Energy/Q3 2023/DUK-Q3-2023-earnings-call-transcript-InsiderMonkey.html</t>
        </is>
      </c>
      <c r="AN364" t="inlineStr">
        <is>
          <t>https://www.insidermonkey.com/blog/duke-energy-corporation-nyseduk-q3-2023-earnings-call-transcript-1216310/; https://www.sec.gov/Archives/edgar/data/1326160/000132616023000188/er-20230930xearningsreleas.htm</t>
        </is>
      </c>
      <c r="AO364" t="inlineStr">
        <is>
          <t>manifest (whole bundle)</t>
        </is>
      </c>
      <c r="AP364">
        <f>IF($A364="","",IF(COUNTIFS(LLM_Data_Entry!$A$3:$A$548,$A364)&gt;0,"YES","NO"))</f>
        <v/>
      </c>
      <c r="AQ364">
        <f>IF($A364="","",IF(COUNTIFS($A$3:$A364,$A364,$C$3:$C364,$C364,$D$3:$D364,$D364)=1,"YES","NO"))</f>
        <v/>
      </c>
      <c r="AR364">
        <f>IF($A364="","",IF(AND($C364&amp;"-"&amp;$D364&gt;=Settings!$B$19,$C364&amp;"-"&amp;$D364&lt;=Settings!$B$20),"IN","OUT"))</f>
        <v/>
      </c>
      <c r="AS364">
        <f>IF($A364="","",IF($F364="Financial Results","financials",IF($F364="Outlook/Guidance","guidance",IF($F364="Transcript Q&amp;A","qanda",IF($F364="","unrecorded",IF($E364="All","full",IF($E364="","unrecorded",LOWER($E364)&amp;" only")))))))</f>
        <v/>
      </c>
      <c r="AT364">
        <f>IF(AND(OR($J364="BUY",$J364="SELL"),ISNUMBER($U364)),$U364,"")</f>
        <v/>
      </c>
      <c r="AU364">
        <f>IF(AND(OR($J364="BUY",$J364="SELL"),ISNUMBER($AK364)),$AK364,"")</f>
        <v/>
      </c>
      <c r="AV364">
        <f>IF(ISNUMBER($AT364),ABS(IF(ISNUMBER($I364),$I364,0)-Settings!$B$24),"")</f>
        <v/>
      </c>
      <c r="AW364">
        <f>IF(ISNUMBER($AV364),$AV364*$AT364,"")</f>
        <v/>
      </c>
      <c r="AX364">
        <f>IF(ISNUMBER($AU364),ABS(IF(ISNUMBER($I364),$I364,0)-Settings!$B$24),"")</f>
        <v/>
      </c>
      <c r="AY364">
        <f>IF(ISNUMBER($AX364),$AX364*$AU364,"")</f>
        <v/>
      </c>
      <c r="AZ364">
        <f>IF($A364="","",IFERROR(INDEX(Company_List!$H$3:$H$207,MATCH($A364,Company_List!$A$3:$A$207,0)),"unassigned"))</f>
        <v/>
      </c>
      <c r="BC364">
        <f>IF($A364="","",IF(COUNTIFS($A$3:$A364,$A364,$C$3:$C364,$C364,$D$3:$D364,$D364,$G$3:$G364,$G364)=1,1,0))</f>
        <v/>
      </c>
      <c r="BG364" t="inlineStr">
        <is>
          <t>no</t>
        </is>
      </c>
      <c r="BK364">
        <f>IF(OR($H364&lt;&gt;"Human",$S364="",$J364="",$Y364="",$Z364=""),"",IF(EXACT(UPPER($J364),UPPER($Y364)),1,0))</f>
        <v/>
      </c>
      <c r="BL364" t="inlineStr">
        <is>
          <t>assumed - no rater record</t>
        </is>
      </c>
      <c r="BM364" t="n">
        <v>2</v>
      </c>
      <c r="BN364" t="inlineStr">
        <is>
          <t>Insider Monkey (Koala Guide LLC)</t>
        </is>
      </c>
      <c r="BO364" t="inlineStr">
        <is>
          <t>free to read, copyright asserted</t>
        </is>
      </c>
      <c r="BP364" t="inlineStr">
        <is>
          <t>no</t>
        </is>
      </c>
      <c r="BQ364" t="inlineStr">
        <is>
          <t>yes</t>
        </is>
      </c>
    </row>
    <row r="365">
      <c r="A365" s="1" t="inlineStr">
        <is>
          <t>Duke Energy</t>
        </is>
      </c>
      <c r="B365" s="142">
        <f>IF(A365="","",_xlfn.XLOOKUP(A365, Company_List!$A:$A, Company_List!$B:$B, ""))</f>
        <v/>
      </c>
      <c r="C365" s="143" t="n">
        <v>2023</v>
      </c>
      <c r="D365" s="143" t="inlineStr">
        <is>
          <t>Q4</t>
        </is>
      </c>
      <c r="E365" s="98" t="inlineStr">
        <is>
          <t>All</t>
        </is>
      </c>
      <c r="F365" s="98" t="inlineStr">
        <is>
          <t>All</t>
        </is>
      </c>
      <c r="G365" s="143" t="inlineStr">
        <is>
          <t>Dragos</t>
        </is>
      </c>
      <c r="H365" s="106" t="inlineStr">
        <is>
          <t>Human</t>
        </is>
      </c>
      <c r="I365" s="145" t="n">
        <v>0.2</v>
      </c>
      <c r="J365" s="145">
        <f>IF(OR(I365="",Settings!$B$6=""),"",IF(I365&gt;Settings!$B$6,"BUY",IF(I365&lt;-Settings!$B$6,"SELL","HOLD")))</f>
        <v/>
      </c>
      <c r="K365" s="145" t="n">
        <v>21</v>
      </c>
      <c r="L365" s="123" t="n">
        <v>45330</v>
      </c>
      <c r="M365" s="140" t="n">
        <v>45330</v>
      </c>
      <c r="N365" s="147" t="n">
        <v>92.65000000000001</v>
      </c>
      <c r="O365" s="140" t="n">
        <v>45331</v>
      </c>
      <c r="P365" s="145" t="n">
        <v>92.26000000000001</v>
      </c>
      <c r="Q365" s="151">
        <f>IF(OR(N365="",P365=""),"",ROUND((P365-N365)/N365,4))</f>
        <v/>
      </c>
      <c r="R365" s="118">
        <f>IF(OR(N365="",P365=""),"",IF(Q365&gt;Settings!$B$3/100,"UP",IF(Q365&lt;-Settings!$B$3/100,"DOWN","FLAT")))</f>
        <v/>
      </c>
      <c r="S365" s="118">
        <f>IF(OR(N365="",P365="",J365=""),"",IF(OR(AND(J365="BUY",R365="UP"),AND(J365="SELL",R365="DOWN"),AND(J365="HOLD",R365="FLAT")),"YES","NO"))</f>
        <v/>
      </c>
      <c r="T365" s="119">
        <f>IF(J365="","",IF(J365="BUY",1,IF(J365="SELL",-1,0)))</f>
        <v/>
      </c>
      <c r="U365" s="150">
        <f>IFERROR(IF(OR(J365="",N365="",P365=""),"",IF(T365=0,0,T365*Q365-Settings!$B$4/10000-IF(T365&lt;0,Settings!$B$5/10000,0))),"")</f>
        <v/>
      </c>
      <c r="V365" t="inlineStr">
        <is>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is>
      </c>
      <c r="W365" s="21">
        <f>IF($K365="","",$K365*60)</f>
        <v/>
      </c>
      <c r="X365" s="91">
        <f>IF($A365="","",$A365&amp;"|"&amp;$C365&amp;"|"&amp;$D365)</f>
        <v/>
      </c>
      <c r="Y365" s="91">
        <f>IFERROR(IF($X365="","",INDEX(LLM_Data_Entry!$H$3:$H$548,MATCH($X365,INDEX(LLM_Data_Entry!$A$3:$A$548&amp;"|"&amp;LLM_Data_Entry!$C$3:$C$548&amp;"|"&amp;LLM_Data_Entry!$D$3:$D$548,0),0))),"")</f>
        <v/>
      </c>
      <c r="Z365" s="91">
        <f>IFERROR(IF($X365="","",INDEX(LLM_Data_Entry!$R$3:$R$548,MATCH($X365,INDEX(LLM_Data_Entry!$A$3:$A$548&amp;"|"&amp;LLM_Data_Entry!$C$3:$C$548&amp;"|"&amp;LLM_Data_Entry!$D$3:$D$548,0),0))),"")</f>
        <v/>
      </c>
      <c r="AB365" t="inlineStr">
        <is>
          <t>earnings calendar, seconded by the issuer's habit</t>
        </is>
      </c>
      <c r="AC365" t="inlineStr">
        <is>
          <t>DUK</t>
        </is>
      </c>
      <c r="AD365" t="inlineStr">
        <is>
          <t>2024-02-07</t>
        </is>
      </c>
      <c r="AE365" t="n">
        <v>87.05070000000001</v>
      </c>
      <c r="AF365" t="inlineStr">
        <is>
          <t>2024-02-08</t>
        </is>
      </c>
      <c r="AG365" t="n">
        <v>86.358</v>
      </c>
      <c r="AH365" t="n">
        <v>-0.007958052398374856</v>
      </c>
      <c r="AI365" t="inlineStr">
        <is>
          <t>FLAT</t>
        </is>
      </c>
      <c r="AJ365" t="inlineStr">
        <is>
          <t>YES</t>
        </is>
      </c>
      <c r="AK365" t="n">
        <v>0</v>
      </c>
      <c r="AL365">
        <f>IF($A365="","",IFERROR(INDEX(Company_List!$G$3:$G$207,MATCH($A365,Company_List!$A$3:$A$207,0)),"unassigned"))</f>
        <v/>
      </c>
      <c r="AM365" t="inlineStr">
        <is>
          <t>Phase 2/Duke Energy/Q4 2023/DUK-Q4-2023-press-release-SEC-EX99-1.htm; Phase 2/Duke Energy/Q4 2023/DUK-Q4-2023-earnings-call-transcript-InsiderMonkey.html</t>
        </is>
      </c>
      <c r="AN365" t="inlineStr">
        <is>
          <t>https://www.insidermonkey.com/blog/duke-energy-corporation-nyseduk-q4-2023-earnings-call-transcript-1256282/; https://www.sec.gov/Archives/edgar/data/1326160/000132616024000031/er-20231231xearningsreleas.htm</t>
        </is>
      </c>
      <c r="AO365" t="inlineStr">
        <is>
          <t>manifest (whole bundle)</t>
        </is>
      </c>
      <c r="AP365">
        <f>IF($A365="","",IF(COUNTIFS(LLM_Data_Entry!$A$3:$A$548,$A365)&gt;0,"YES","NO"))</f>
        <v/>
      </c>
      <c r="AQ365">
        <f>IF($A365="","",IF(COUNTIFS($A$3:$A365,$A365,$C$3:$C365,$C365,$D$3:$D365,$D365)=1,"YES","NO"))</f>
        <v/>
      </c>
      <c r="AR365">
        <f>IF($A365="","",IF(AND($C365&amp;"-"&amp;$D365&gt;=Settings!$B$19,$C365&amp;"-"&amp;$D365&lt;=Settings!$B$20),"IN","OUT"))</f>
        <v/>
      </c>
      <c r="AS365">
        <f>IF($A365="","",IF($F365="Financial Results","financials",IF($F365="Outlook/Guidance","guidance",IF($F365="Transcript Q&amp;A","qanda",IF($F365="","unrecorded",IF($E365="All","full",IF($E365="","unrecorded",LOWER($E365)&amp;" only")))))))</f>
        <v/>
      </c>
      <c r="AT365">
        <f>IF(AND(OR($J365="BUY",$J365="SELL"),ISNUMBER($U365)),$U365,"")</f>
        <v/>
      </c>
      <c r="AU365">
        <f>IF(AND(OR($J365="BUY",$J365="SELL"),ISNUMBER($AK365)),$AK365,"")</f>
        <v/>
      </c>
      <c r="AV365">
        <f>IF(ISNUMBER($AT365),ABS(IF(ISNUMBER($I365),$I365,0)-Settings!$B$24),"")</f>
        <v/>
      </c>
      <c r="AW365">
        <f>IF(ISNUMBER($AV365),$AV365*$AT365,"")</f>
        <v/>
      </c>
      <c r="AX365">
        <f>IF(ISNUMBER($AU365),ABS(IF(ISNUMBER($I365),$I365,0)-Settings!$B$24),"")</f>
        <v/>
      </c>
      <c r="AY365">
        <f>IF(ISNUMBER($AX365),$AX365*$AU365,"")</f>
        <v/>
      </c>
      <c r="AZ365">
        <f>IF($A365="","",IFERROR(INDEX(Company_List!$H$3:$H$207,MATCH($A365,Company_List!$A$3:$A$207,0)),"unassigned"))</f>
        <v/>
      </c>
      <c r="BC365">
        <f>IF($A365="","",IF(COUNTIFS($A$3:$A365,$A365,$C$3:$C365,$C365,$D$3:$D365,$D365,$G$3:$G365,$G365)=1,1,0))</f>
        <v/>
      </c>
      <c r="BG365" t="inlineStr">
        <is>
          <t>no</t>
        </is>
      </c>
      <c r="BK365">
        <f>IF(OR($H365&lt;&gt;"Human",$S365="",$J365="",$Y365="",$Z365=""),"",IF(EXACT(UPPER($J365),UPPER($Y365)),1,0))</f>
        <v/>
      </c>
      <c r="BL365" t="inlineStr">
        <is>
          <t>assumed - no rater record</t>
        </is>
      </c>
      <c r="BM365" t="n">
        <v>2</v>
      </c>
      <c r="BN365" t="inlineStr">
        <is>
          <t>Insider Monkey (Koala Guide LLC)</t>
        </is>
      </c>
      <c r="BO365" t="inlineStr">
        <is>
          <t>free to read, copyright asserted</t>
        </is>
      </c>
      <c r="BP365" t="inlineStr">
        <is>
          <t>no</t>
        </is>
      </c>
      <c r="BQ365" t="inlineStr">
        <is>
          <t>yes</t>
        </is>
      </c>
    </row>
    <row r="366">
      <c r="A366" s="1" t="inlineStr">
        <is>
          <t>Duke Energy</t>
        </is>
      </c>
      <c r="B366" s="142">
        <f>IF(A366="","",_xlfn.XLOOKUP(A366, Company_List!$A:$A, Company_List!$B:$B, ""))</f>
        <v/>
      </c>
      <c r="C366" s="143" t="n">
        <v>2024</v>
      </c>
      <c r="D366" s="143" t="inlineStr">
        <is>
          <t>Q1</t>
        </is>
      </c>
      <c r="E366" s="98" t="inlineStr">
        <is>
          <t>All</t>
        </is>
      </c>
      <c r="F366" s="98" t="inlineStr">
        <is>
          <t>All</t>
        </is>
      </c>
      <c r="G366" s="143" t="inlineStr">
        <is>
          <t>Dragos</t>
        </is>
      </c>
      <c r="H366" s="106" t="inlineStr">
        <is>
          <t>Human</t>
        </is>
      </c>
      <c r="I366" s="145" t="n">
        <v>0.7</v>
      </c>
      <c r="J366" s="145">
        <f>IF(OR(I366="",Settings!$B$6=""),"",IF(I366&gt;Settings!$B$6,"BUY",IF(I366&lt;-Settings!$B$6,"SELL","HOLD")))</f>
        <v/>
      </c>
      <c r="K366" s="145" t="n">
        <v>17</v>
      </c>
      <c r="L366" s="123" t="n">
        <v>45419</v>
      </c>
      <c r="M366" s="140" t="n">
        <v>45419</v>
      </c>
      <c r="N366" s="147" t="n">
        <v>102.26</v>
      </c>
      <c r="O366" s="140" t="n">
        <v>45420</v>
      </c>
      <c r="P366" s="145" t="n">
        <v>102.43</v>
      </c>
      <c r="Q366" s="151">
        <f>IF(OR(N366="",P366=""),"",ROUND((P366-N366)/N366,4))</f>
        <v/>
      </c>
      <c r="R366" s="118">
        <f>IF(OR(N366="",P366=""),"",IF(Q366&gt;Settings!$B$3/100,"UP",IF(Q366&lt;-Settings!$B$3/100,"DOWN","FLAT")))</f>
        <v/>
      </c>
      <c r="S366" s="118">
        <f>IF(OR(N366="",P366="",J366=""),"",IF(OR(AND(J366="BUY",R366="UP"),AND(J366="SELL",R366="DOWN"),AND(J366="HOLD",R366="FLAT")),"YES","NO"))</f>
        <v/>
      </c>
      <c r="T366" s="119">
        <f>IF(J366="","",IF(J366="BUY",1,IF(J366="SELL",-1,0)))</f>
        <v/>
      </c>
      <c r="U366" s="150">
        <f>IFERROR(IF(OR(J366="",N366="",P366=""),"",IF(T366=0,0,T366*Q366-Settings!$B$4/10000-IF(T366&lt;0,Settings!$B$5/10000,0))),"")</f>
        <v/>
      </c>
      <c r="V366" t="inlineStr">
        <is>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is>
      </c>
      <c r="W366" s="21">
        <f>IF($K366="","",$K366*60)</f>
        <v/>
      </c>
      <c r="X366" s="91">
        <f>IF($A366="","",$A366&amp;"|"&amp;$C366&amp;"|"&amp;$D366)</f>
        <v/>
      </c>
      <c r="Y366" s="91">
        <f>IFERROR(IF($X366="","",INDEX(LLM_Data_Entry!$H$3:$H$548,MATCH($X366,INDEX(LLM_Data_Entry!$A$3:$A$548&amp;"|"&amp;LLM_Data_Entry!$C$3:$C$548&amp;"|"&amp;LLM_Data_Entry!$D$3:$D$548,0),0))),"")</f>
        <v/>
      </c>
      <c r="Z366" s="91">
        <f>IFERROR(IF($X366="","",INDEX(LLM_Data_Entry!$R$3:$R$548,MATCH($X366,INDEX(LLM_Data_Entry!$A$3:$A$548&amp;"|"&amp;LLM_Data_Entry!$C$3:$C$548&amp;"|"&amp;LLM_Data_Entry!$D$3:$D$548,0),0))),"")</f>
        <v/>
      </c>
      <c r="AB366" t="inlineStr">
        <is>
          <t>earnings calendar, seconded by the issuer's habit</t>
        </is>
      </c>
      <c r="AC366" t="inlineStr">
        <is>
          <t>DUK</t>
        </is>
      </c>
      <c r="AD366" t="inlineStr">
        <is>
          <t>2024-05-06</t>
        </is>
      </c>
      <c r="AE366" t="n">
        <v>92.57429999999999</v>
      </c>
      <c r="AF366" t="inlineStr">
        <is>
          <t>2024-05-07</t>
        </is>
      </c>
      <c r="AG366" t="n">
        <v>93.10899999999999</v>
      </c>
      <c r="AH366" t="n">
        <v>0.005775736492348381</v>
      </c>
      <c r="AI366" t="inlineStr">
        <is>
          <t>FLAT</t>
        </is>
      </c>
      <c r="AJ366" t="inlineStr">
        <is>
          <t>NO</t>
        </is>
      </c>
      <c r="AK366" t="n">
        <v>0.004776</v>
      </c>
      <c r="AL366">
        <f>IF($A366="","",IFERROR(INDEX(Company_List!$G$3:$G$207,MATCH($A366,Company_List!$A$3:$A$207,0)),"unassigned"))</f>
        <v/>
      </c>
      <c r="AM366" t="inlineStr">
        <is>
          <t>Phase 2/Duke Energy/Q1 2024/DUK-Q1-2024-press-release-SEC-EX99-1.htm; Phase 2/Duke Energy/Q1 2024/DUK-Q1-2024-earnings-call-transcript-InsiderMonkey.html</t>
        </is>
      </c>
      <c r="AN366" t="inlineStr">
        <is>
          <t>https://www.insidermonkey.com/blog/duke-energy-corporation-nyseduk-q1-2024-earnings-call-transcript-1298999/; https://www.sec.gov/Archives/edgar/data/1326160/000132616024000103/er-20240331xearningsreleas.htm</t>
        </is>
      </c>
      <c r="AO366" t="inlineStr">
        <is>
          <t>manifest (whole bundle)</t>
        </is>
      </c>
      <c r="AP366">
        <f>IF($A366="","",IF(COUNTIFS(LLM_Data_Entry!$A$3:$A$548,$A366)&gt;0,"YES","NO"))</f>
        <v/>
      </c>
      <c r="AQ366">
        <f>IF($A366="","",IF(COUNTIFS($A$3:$A366,$A366,$C$3:$C366,$C366,$D$3:$D366,$D366)=1,"YES","NO"))</f>
        <v/>
      </c>
      <c r="AR366">
        <f>IF($A366="","",IF(AND($C366&amp;"-"&amp;$D366&gt;=Settings!$B$19,$C366&amp;"-"&amp;$D366&lt;=Settings!$B$20),"IN","OUT"))</f>
        <v/>
      </c>
      <c r="AS366">
        <f>IF($A366="","",IF($F366="Financial Results","financials",IF($F366="Outlook/Guidance","guidance",IF($F366="Transcript Q&amp;A","qanda",IF($F366="","unrecorded",IF($E366="All","full",IF($E366="","unrecorded",LOWER($E366)&amp;" only")))))))</f>
        <v/>
      </c>
      <c r="AT366">
        <f>IF(AND(OR($J366="BUY",$J366="SELL"),ISNUMBER($U366)),$U366,"")</f>
        <v/>
      </c>
      <c r="AU366">
        <f>IF(AND(OR($J366="BUY",$J366="SELL"),ISNUMBER($AK366)),$AK366,"")</f>
        <v/>
      </c>
      <c r="AV366">
        <f>IF(ISNUMBER($AT366),ABS(IF(ISNUMBER($I366),$I366,0)-Settings!$B$24),"")</f>
        <v/>
      </c>
      <c r="AW366">
        <f>IF(ISNUMBER($AV366),$AV366*$AT366,"")</f>
        <v/>
      </c>
      <c r="AX366">
        <f>IF(ISNUMBER($AU366),ABS(IF(ISNUMBER($I366),$I366,0)-Settings!$B$24),"")</f>
        <v/>
      </c>
      <c r="AY366">
        <f>IF(ISNUMBER($AX366),$AX366*$AU366,"")</f>
        <v/>
      </c>
      <c r="AZ366">
        <f>IF($A366="","",IFERROR(INDEX(Company_List!$H$3:$H$207,MATCH($A366,Company_List!$A$3:$A$207,0)),"unassigned"))</f>
        <v/>
      </c>
      <c r="BC366">
        <f>IF($A366="","",IF(COUNTIFS($A$3:$A366,$A366,$C$3:$C366,$C366,$D$3:$D366,$D366,$G$3:$G366,$G366)=1,1,0))</f>
        <v/>
      </c>
      <c r="BG366" t="inlineStr">
        <is>
          <t>no</t>
        </is>
      </c>
      <c r="BK366">
        <f>IF(OR($H366&lt;&gt;"Human",$S366="",$J366="",$Y366="",$Z366=""),"",IF(EXACT(UPPER($J366),UPPER($Y366)),1,0))</f>
        <v/>
      </c>
      <c r="BL366" t="inlineStr">
        <is>
          <t>assumed - no rater record</t>
        </is>
      </c>
      <c r="BM366" t="n">
        <v>2</v>
      </c>
      <c r="BN366" t="inlineStr">
        <is>
          <t>Insider Monkey (Koala Guide LLC)</t>
        </is>
      </c>
      <c r="BO366" t="inlineStr">
        <is>
          <t>free to read, copyright asserted</t>
        </is>
      </c>
      <c r="BP366" t="inlineStr">
        <is>
          <t>no</t>
        </is>
      </c>
      <c r="BQ366" t="inlineStr">
        <is>
          <t>yes</t>
        </is>
      </c>
    </row>
    <row r="367">
      <c r="A367" s="1" t="inlineStr">
        <is>
          <t>Duke Energy</t>
        </is>
      </c>
      <c r="B367" s="142">
        <f>IF(A367="","",_xlfn.XLOOKUP(A367, Company_List!$A:$A, Company_List!$B:$B, ""))</f>
        <v/>
      </c>
      <c r="C367" s="143" t="n">
        <v>2024</v>
      </c>
      <c r="D367" s="143" t="inlineStr">
        <is>
          <t>Q2</t>
        </is>
      </c>
      <c r="E367" s="98" t="inlineStr">
        <is>
          <t>All</t>
        </is>
      </c>
      <c r="F367" s="98" t="inlineStr">
        <is>
          <t>All</t>
        </is>
      </c>
      <c r="G367" s="143" t="inlineStr">
        <is>
          <t>Dragos</t>
        </is>
      </c>
      <c r="H367" s="106" t="inlineStr">
        <is>
          <t>Human</t>
        </is>
      </c>
      <c r="I367" s="145" t="n">
        <v>0.1</v>
      </c>
      <c r="J367" s="145">
        <f>IF(OR(I367="",Settings!$B$6=""),"",IF(I367&gt;Settings!$B$6,"BUY",IF(I367&lt;-Settings!$B$6,"SELL","HOLD")))</f>
        <v/>
      </c>
      <c r="K367" s="145" t="n">
        <v>19</v>
      </c>
      <c r="L367" s="123" t="n">
        <v>45510</v>
      </c>
      <c r="M367" s="140" t="n">
        <v>45510</v>
      </c>
      <c r="N367" s="147" t="n">
        <v>112.92</v>
      </c>
      <c r="O367" s="140" t="n">
        <v>45511</v>
      </c>
      <c r="P367" s="145" t="n">
        <v>113.22</v>
      </c>
      <c r="Q367" s="151">
        <f>IF(OR(N367="",P367=""),"",ROUND((P367-N367)/N367,4))</f>
        <v/>
      </c>
      <c r="R367" s="118">
        <f>IF(OR(N367="",P367=""),"",IF(Q367&gt;Settings!$B$3/100,"UP",IF(Q367&lt;-Settings!$B$3/100,"DOWN","FLAT")))</f>
        <v/>
      </c>
      <c r="S367" s="118">
        <f>IF(OR(N367="",P367="",J367=""),"",IF(OR(AND(J367="BUY",R367="UP"),AND(J367="SELL",R367="DOWN"),AND(J367="HOLD",R367="FLAT")),"YES","NO"))</f>
        <v/>
      </c>
      <c r="T367" s="119">
        <f>IF(J367="","",IF(J367="BUY",1,IF(J367="SELL",-1,0)))</f>
        <v/>
      </c>
      <c r="U367" s="150">
        <f>IFERROR(IF(OR(J367="",N367="",P367=""),"",IF(T367=0,0,T367*Q367-Settings!$B$4/10000-IF(T367&lt;0,Settings!$B$5/10000,0))),"")</f>
        <v/>
      </c>
      <c r="V367" t="inlineStr">
        <is>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is>
      </c>
      <c r="W367" s="21">
        <f>IF($K367="","",$K367*60)</f>
        <v/>
      </c>
      <c r="X367" s="91">
        <f>IF($A367="","",$A367&amp;"|"&amp;$C367&amp;"|"&amp;$D367)</f>
        <v/>
      </c>
      <c r="Y367" s="91">
        <f>IFERROR(IF($X367="","",INDEX(LLM_Data_Entry!$H$3:$H$548,MATCH($X367,INDEX(LLM_Data_Entry!$A$3:$A$548&amp;"|"&amp;LLM_Data_Entry!$C$3:$C$548&amp;"|"&amp;LLM_Data_Entry!$D$3:$D$548,0),0))),"")</f>
        <v/>
      </c>
      <c r="Z367" s="91">
        <f>IFERROR(IF($X367="","",INDEX(LLM_Data_Entry!$R$3:$R$548,MATCH($X367,INDEX(LLM_Data_Entry!$A$3:$A$548&amp;"|"&amp;LLM_Data_Entry!$C$3:$C$548&amp;"|"&amp;LLM_Data_Entry!$D$3:$D$548,0),0))),"")</f>
        <v/>
      </c>
      <c r="AB367" t="inlineStr">
        <is>
          <t>document date + price signal</t>
        </is>
      </c>
      <c r="AC367" t="inlineStr">
        <is>
          <t>DUK</t>
        </is>
      </c>
      <c r="AD367" t="inlineStr">
        <is>
          <t>2024-08-05</t>
        </is>
      </c>
      <c r="AE367" t="n">
        <v>103.362</v>
      </c>
      <c r="AF367" t="inlineStr">
        <is>
          <t>2024-08-06</t>
        </is>
      </c>
      <c r="AG367" t="n">
        <v>104.7401</v>
      </c>
      <c r="AH367" t="n">
        <v>0.01333206940345277</v>
      </c>
      <c r="AI367" t="inlineStr">
        <is>
          <t>FLAT</t>
        </is>
      </c>
      <c r="AJ367" t="inlineStr">
        <is>
          <t>YES</t>
        </is>
      </c>
      <c r="AK367" t="n">
        <v>0</v>
      </c>
      <c r="AL367">
        <f>IF($A367="","",IFERROR(INDEX(Company_List!$G$3:$G$207,MATCH($A367,Company_List!$A$3:$A$207,0)),"unassigned"))</f>
        <v/>
      </c>
      <c r="AM367" t="inlineStr">
        <is>
          <t>Phase 2/Duke Energy/Q2 2024/DUK-Q2-2024-press-release-SEC-EX99-1.htm; Phase 2/Duke Energy/Q2 2024/DUK-Q2-2024-earnings-call-transcript-stockanalysis-com.html</t>
        </is>
      </c>
      <c r="AN367" t="inlineStr">
        <is>
          <t>https://stockanalysis.com/stocks/duk/transcripts/166263-q2-2024/; https://www.sec.gov/Archives/edgar/data/1326160/000132616024000164/er-20240630xearningsreleas.htm</t>
        </is>
      </c>
      <c r="AO367" t="inlineStr">
        <is>
          <t>manifest (whole bundle)</t>
        </is>
      </c>
      <c r="AP367">
        <f>IF($A367="","",IF(COUNTIFS(LLM_Data_Entry!$A$3:$A$548,$A367)&gt;0,"YES","NO"))</f>
        <v/>
      </c>
      <c r="AQ367">
        <f>IF($A367="","",IF(COUNTIFS($A$3:$A367,$A367,$C$3:$C367,$C367,$D$3:$D367,$D367)=1,"YES","NO"))</f>
        <v/>
      </c>
      <c r="AR367">
        <f>IF($A367="","",IF(AND($C367&amp;"-"&amp;$D367&gt;=Settings!$B$19,$C367&amp;"-"&amp;$D367&lt;=Settings!$B$20),"IN","OUT"))</f>
        <v/>
      </c>
      <c r="AS367">
        <f>IF($A367="","",IF($F367="Financial Results","financials",IF($F367="Outlook/Guidance","guidance",IF($F367="Transcript Q&amp;A","qanda",IF($F367="","unrecorded",IF($E367="All","full",IF($E367="","unrecorded",LOWER($E367)&amp;" only")))))))</f>
        <v/>
      </c>
      <c r="AT367">
        <f>IF(AND(OR($J367="BUY",$J367="SELL"),ISNUMBER($U367)),$U367,"")</f>
        <v/>
      </c>
      <c r="AU367">
        <f>IF(AND(OR($J367="BUY",$J367="SELL"),ISNUMBER($AK367)),$AK367,"")</f>
        <v/>
      </c>
      <c r="AV367">
        <f>IF(ISNUMBER($AT367),ABS(IF(ISNUMBER($I367),$I367,0)-Settings!$B$24),"")</f>
        <v/>
      </c>
      <c r="AW367">
        <f>IF(ISNUMBER($AV367),$AV367*$AT367,"")</f>
        <v/>
      </c>
      <c r="AX367">
        <f>IF(ISNUMBER($AU367),ABS(IF(ISNUMBER($I367),$I367,0)-Settings!$B$24),"")</f>
        <v/>
      </c>
      <c r="AY367">
        <f>IF(ISNUMBER($AX367),$AX367*$AU367,"")</f>
        <v/>
      </c>
      <c r="AZ367">
        <f>IF($A367="","",IFERROR(INDEX(Company_List!$H$3:$H$207,MATCH($A367,Company_List!$A$3:$A$207,0)),"unassigned"))</f>
        <v/>
      </c>
      <c r="BC367">
        <f>IF($A367="","",IF(COUNTIFS($A$3:$A367,$A367,$C$3:$C367,$C367,$D$3:$D367,$D367,$G$3:$G367,$G367)=1,1,0))</f>
        <v/>
      </c>
      <c r="BG367" t="inlineStr">
        <is>
          <t>no</t>
        </is>
      </c>
      <c r="BK367">
        <f>IF(OR($H367&lt;&gt;"Human",$S367="",$J367="",$Y367="",$Z367=""),"",IF(EXACT(UPPER($J367),UPPER($Y367)),1,0))</f>
        <v/>
      </c>
      <c r="BL367" t="inlineStr">
        <is>
          <t>assumed - no rater record</t>
        </is>
      </c>
      <c r="BM367" t="n">
        <v>2</v>
      </c>
      <c r="BN367" t="inlineStr">
        <is>
          <t>not publisher-identified</t>
        </is>
      </c>
      <c r="BO367" t="inlineStr">
        <is>
          <t>not publisher-identified</t>
        </is>
      </c>
      <c r="BP367" t="inlineStr">
        <is>
          <t>no</t>
        </is>
      </c>
      <c r="BQ367" t="inlineStr">
        <is>
          <t>yes</t>
        </is>
      </c>
    </row>
    <row r="368">
      <c r="A368" s="1" t="inlineStr">
        <is>
          <t>Duke Energy</t>
        </is>
      </c>
      <c r="B368" s="142">
        <f>IF(A368="","",_xlfn.XLOOKUP(A368, Company_List!$A:$A, Company_List!$B:$B, ""))</f>
        <v/>
      </c>
      <c r="C368" s="143" t="n">
        <v>2024</v>
      </c>
      <c r="D368" s="143" t="inlineStr">
        <is>
          <t>Q3</t>
        </is>
      </c>
      <c r="E368" s="98" t="inlineStr">
        <is>
          <t>All</t>
        </is>
      </c>
      <c r="F368" s="98" t="inlineStr">
        <is>
          <t>All</t>
        </is>
      </c>
      <c r="G368" s="143" t="inlineStr">
        <is>
          <t>Dragos</t>
        </is>
      </c>
      <c r="H368" s="106" t="inlineStr">
        <is>
          <t>Human</t>
        </is>
      </c>
      <c r="I368" s="145" t="n">
        <v>0.3</v>
      </c>
      <c r="J368" s="145">
        <f>IF(OR(I368="",Settings!$B$6=""),"",IF(I368&gt;Settings!$B$6,"BUY",IF(I368&lt;-Settings!$B$6,"SELL","HOLD")))</f>
        <v/>
      </c>
      <c r="K368" s="145" t="n">
        <v>22</v>
      </c>
      <c r="L368" s="123" t="n">
        <v>45603</v>
      </c>
      <c r="M368" s="140" t="n">
        <v>45603</v>
      </c>
      <c r="N368" s="147" t="n">
        <v>111.08</v>
      </c>
      <c r="O368" s="140" t="n">
        <v>45604</v>
      </c>
      <c r="P368" s="145" t="n">
        <v>111.77</v>
      </c>
      <c r="Q368" s="151">
        <f>IF(OR(N368="",P368=""),"",ROUND((P368-N368)/N368,4))</f>
        <v/>
      </c>
      <c r="R368" s="118">
        <f>IF(OR(N368="",P368=""),"",IF(Q368&gt;Settings!$B$3/100,"UP",IF(Q368&lt;-Settings!$B$3/100,"DOWN","FLAT")))</f>
        <v/>
      </c>
      <c r="S368" s="118">
        <f>IF(OR(N368="",P368="",J368=""),"",IF(OR(AND(J368="BUY",R368="UP"),AND(J368="SELL",R368="DOWN"),AND(J368="HOLD",R368="FLAT")),"YES","NO"))</f>
        <v/>
      </c>
      <c r="T368" s="119">
        <f>IF(J368="","",IF(J368="BUY",1,IF(J368="SELL",-1,0)))</f>
        <v/>
      </c>
      <c r="U368" s="150">
        <f>IFERROR(IF(OR(J368="",N368="",P368=""),"",IF(T368=0,0,T368*Q368-Settings!$B$4/10000-IF(T368&lt;0,Settings!$B$5/10000,0))),"")</f>
        <v/>
      </c>
      <c r="V368" t="inlineStr">
        <is>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is>
      </c>
      <c r="W368" s="21">
        <f>IF($K368="","",$K368*60)</f>
        <v/>
      </c>
      <c r="X368" s="91">
        <f>IF($A368="","",$A368&amp;"|"&amp;$C368&amp;"|"&amp;$D368)</f>
        <v/>
      </c>
      <c r="Y368" s="91">
        <f>IFERROR(IF($X368="","",INDEX(LLM_Data_Entry!$H$3:$H$548,MATCH($X368,INDEX(LLM_Data_Entry!$A$3:$A$548&amp;"|"&amp;LLM_Data_Entry!$C$3:$C$548&amp;"|"&amp;LLM_Data_Entry!$D$3:$D$548,0),0))),"")</f>
        <v/>
      </c>
      <c r="Z368" s="91">
        <f>IFERROR(IF($X368="","",INDEX(LLM_Data_Entry!$R$3:$R$548,MATCH($X368,INDEX(LLM_Data_Entry!$A$3:$A$548&amp;"|"&amp;LLM_Data_Entry!$C$3:$C$548&amp;"|"&amp;LLM_Data_Entry!$D$3:$D$548,0),0))),"")</f>
        <v/>
      </c>
      <c r="AB368" t="inlineStr">
        <is>
          <t>price signal</t>
        </is>
      </c>
      <c r="AC368" t="inlineStr">
        <is>
          <t>DUK</t>
        </is>
      </c>
      <c r="AD368" t="inlineStr">
        <is>
          <t>2024-11-06</t>
        </is>
      </c>
      <c r="AE368" t="n">
        <v>106.7881</v>
      </c>
      <c r="AF368" t="inlineStr">
        <is>
          <t>2024-11-07</t>
        </is>
      </c>
      <c r="AG368" t="n">
        <v>105.8577</v>
      </c>
      <c r="AH368" t="n">
        <v>-0.00871246357725761</v>
      </c>
      <c r="AI368" t="inlineStr">
        <is>
          <t>FLAT</t>
        </is>
      </c>
      <c r="AJ368" t="inlineStr">
        <is>
          <t>NO</t>
        </is>
      </c>
      <c r="AK368" t="n">
        <v>-0.009712</v>
      </c>
      <c r="AL368">
        <f>IF($A368="","",IFERROR(INDEX(Company_List!$G$3:$G$207,MATCH($A368,Company_List!$A$3:$A$207,0)),"unassigned"))</f>
        <v/>
      </c>
      <c r="AM368" t="inlineStr">
        <is>
          <t>Phase 2/Duke Energy/Q3 2024/DUK-Q3-2024-press-release-SEC-EX99-1.htm; Phase 2/Duke Energy/Q3 2024/DUK-Q3-2024-earnings-call-transcript-InsiderMonkey.html</t>
        </is>
      </c>
      <c r="AN368" t="inlineStr">
        <is>
          <t>https://www.insidermonkey.com/blog/duke-energy-corporation-nyseduk-q3-2024-earnings-call-transcript-1388047/; https://www.sec.gov/Archives/edgar/data/1326160/000132616024000179/er-20240930xearningsreleas.htm</t>
        </is>
      </c>
      <c r="AO368" t="inlineStr">
        <is>
          <t>manifest (whole bundle)</t>
        </is>
      </c>
      <c r="AP368">
        <f>IF($A368="","",IF(COUNTIFS(LLM_Data_Entry!$A$3:$A$548,$A368)&gt;0,"YES","NO"))</f>
        <v/>
      </c>
      <c r="AQ368">
        <f>IF($A368="","",IF(COUNTIFS($A$3:$A368,$A368,$C$3:$C368,$C368,$D$3:$D368,$D368)=1,"YES","NO"))</f>
        <v/>
      </c>
      <c r="AR368">
        <f>IF($A368="","",IF(AND($C368&amp;"-"&amp;$D368&gt;=Settings!$B$19,$C368&amp;"-"&amp;$D368&lt;=Settings!$B$20),"IN","OUT"))</f>
        <v/>
      </c>
      <c r="AS368">
        <f>IF($A368="","",IF($F368="Financial Results","financials",IF($F368="Outlook/Guidance","guidance",IF($F368="Transcript Q&amp;A","qanda",IF($F368="","unrecorded",IF($E368="All","full",IF($E368="","unrecorded",LOWER($E368)&amp;" only")))))))</f>
        <v/>
      </c>
      <c r="AT368">
        <f>IF(AND(OR($J368="BUY",$J368="SELL"),ISNUMBER($U368)),$U368,"")</f>
        <v/>
      </c>
      <c r="AU368">
        <f>IF(AND(OR($J368="BUY",$J368="SELL"),ISNUMBER($AK368)),$AK368,"")</f>
        <v/>
      </c>
      <c r="AV368">
        <f>IF(ISNUMBER($AT368),ABS(IF(ISNUMBER($I368),$I368,0)-Settings!$B$24),"")</f>
        <v/>
      </c>
      <c r="AW368">
        <f>IF(ISNUMBER($AV368),$AV368*$AT368,"")</f>
        <v/>
      </c>
      <c r="AX368">
        <f>IF(ISNUMBER($AU368),ABS(IF(ISNUMBER($I368),$I368,0)-Settings!$B$24),"")</f>
        <v/>
      </c>
      <c r="AY368">
        <f>IF(ISNUMBER($AX368),$AX368*$AU368,"")</f>
        <v/>
      </c>
      <c r="AZ368">
        <f>IF($A368="","",IFERROR(INDEX(Company_List!$H$3:$H$207,MATCH($A368,Company_List!$A$3:$A$207,0)),"unassigned"))</f>
        <v/>
      </c>
      <c r="BC368">
        <f>IF($A368="","",IF(COUNTIFS($A$3:$A368,$A368,$C$3:$C368,$C368,$D$3:$D368,$D368,$G$3:$G368,$G368)=1,1,0))</f>
        <v/>
      </c>
      <c r="BG368" t="inlineStr">
        <is>
          <t>no</t>
        </is>
      </c>
      <c r="BK368">
        <f>IF(OR($H368&lt;&gt;"Human",$S368="",$J368="",$Y368="",$Z368=""),"",IF(EXACT(UPPER($J368),UPPER($Y368)),1,0))</f>
        <v/>
      </c>
      <c r="BL368" t="inlineStr">
        <is>
          <t>assumed - no rater record</t>
        </is>
      </c>
      <c r="BM368" t="n">
        <v>2</v>
      </c>
      <c r="BN368" t="inlineStr">
        <is>
          <t>Insider Monkey (Koala Guide LLC)</t>
        </is>
      </c>
      <c r="BO368" t="inlineStr">
        <is>
          <t>free to read, copyright asserted</t>
        </is>
      </c>
      <c r="BP368" t="inlineStr">
        <is>
          <t>no</t>
        </is>
      </c>
      <c r="BQ368" t="inlineStr">
        <is>
          <t>yes</t>
        </is>
      </c>
    </row>
    <row r="369">
      <c r="A369" s="1" t="inlineStr">
        <is>
          <t>Duke Energy</t>
        </is>
      </c>
      <c r="B369" s="142">
        <f>IF(A369="","",_xlfn.XLOOKUP(A369, Company_List!$A:$A, Company_List!$B:$B, ""))</f>
        <v/>
      </c>
      <c r="C369" s="143" t="n">
        <v>2024</v>
      </c>
      <c r="D369" s="143" t="inlineStr">
        <is>
          <t>Q4</t>
        </is>
      </c>
      <c r="E369" s="98" t="inlineStr">
        <is>
          <t>All</t>
        </is>
      </c>
      <c r="F369" s="98" t="inlineStr">
        <is>
          <t>All</t>
        </is>
      </c>
      <c r="G369" s="143" t="inlineStr">
        <is>
          <t>Dragos</t>
        </is>
      </c>
      <c r="H369" s="106" t="inlineStr">
        <is>
          <t>Human</t>
        </is>
      </c>
      <c r="I369" s="145" t="n">
        <v>0.2</v>
      </c>
      <c r="J369" s="145">
        <f>IF(OR(I369="",Settings!$B$6=""),"",IF(I369&gt;Settings!$B$6,"BUY",IF(I369&lt;-Settings!$B$6,"SELL","HOLD")))</f>
        <v/>
      </c>
      <c r="K369" s="145" t="n">
        <v>24</v>
      </c>
      <c r="L369" s="123" t="n">
        <v>45701</v>
      </c>
      <c r="M369" s="140" t="n">
        <v>45701</v>
      </c>
      <c r="N369" s="147" t="n">
        <v>113.95</v>
      </c>
      <c r="O369" s="140" t="n">
        <v>45702</v>
      </c>
      <c r="P369" s="145" t="n">
        <v>113.27</v>
      </c>
      <c r="Q369" s="151">
        <f>IF(OR(N369="",P369=""),"",ROUND((P369-N369)/N369,4))</f>
        <v/>
      </c>
      <c r="R369" s="118">
        <f>IF(OR(N369="",P369=""),"",IF(Q369&gt;Settings!$B$3/100,"UP",IF(Q369&lt;-Settings!$B$3/100,"DOWN","FLAT")))</f>
        <v/>
      </c>
      <c r="S369" s="118">
        <f>IF(OR(N369="",P369="",J369=""),"",IF(OR(AND(J369="BUY",R369="UP"),AND(J369="SELL",R369="DOWN"),AND(J369="HOLD",R369="FLAT")),"YES","NO"))</f>
        <v/>
      </c>
      <c r="T369" s="119">
        <f>IF(J369="","",IF(J369="BUY",1,IF(J369="SELL",-1,0)))</f>
        <v/>
      </c>
      <c r="U369" s="150">
        <f>IFERROR(IF(OR(J369="",N369="",P369=""),"",IF(T369=0,0,T369*Q369-Settings!$B$4/10000-IF(T369&lt;0,Settings!$B$5/10000,0))),"")</f>
        <v/>
      </c>
      <c r="V369" t="inlineStr">
        <is>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is>
      </c>
      <c r="W369" s="21">
        <f>IF($K369="","",$K369*60)</f>
        <v/>
      </c>
      <c r="X369" s="91">
        <f>IF($A369="","",$A369&amp;"|"&amp;$C369&amp;"|"&amp;$D369)</f>
        <v/>
      </c>
      <c r="Y369" s="91">
        <f>IFERROR(IF($X369="","",INDEX(LLM_Data_Entry!$H$3:$H$548,MATCH($X369,INDEX(LLM_Data_Entry!$A$3:$A$548&amp;"|"&amp;LLM_Data_Entry!$C$3:$C$548&amp;"|"&amp;LLM_Data_Entry!$D$3:$D$548,0),0))),"")</f>
        <v/>
      </c>
      <c r="Z369" s="91">
        <f>IFERROR(IF($X369="","",INDEX(LLM_Data_Entry!$R$3:$R$548,MATCH($X369,INDEX(LLM_Data_Entry!$A$3:$A$548&amp;"|"&amp;LLM_Data_Entry!$C$3:$C$548&amp;"|"&amp;LLM_Data_Entry!$D$3:$D$548,0),0))),"")</f>
        <v/>
      </c>
      <c r="AB369" t="inlineStr">
        <is>
          <t>document date + price signal</t>
        </is>
      </c>
      <c r="AC369" t="inlineStr">
        <is>
          <t>DUK</t>
        </is>
      </c>
      <c r="AD369" t="inlineStr">
        <is>
          <t>2025-02-12</t>
        </is>
      </c>
      <c r="AE369" t="n">
        <v>110.4055</v>
      </c>
      <c r="AF369" t="inlineStr">
        <is>
          <t>2025-02-13</t>
        </is>
      </c>
      <c r="AG369" t="n">
        <v>109.3904</v>
      </c>
      <c r="AH369" t="n">
        <v>-0.009194851087188498</v>
      </c>
      <c r="AI369" t="inlineStr">
        <is>
          <t>FLAT</t>
        </is>
      </c>
      <c r="AJ369" t="inlineStr">
        <is>
          <t>YES</t>
        </is>
      </c>
      <c r="AK369" t="n">
        <v>0</v>
      </c>
      <c r="AL369">
        <f>IF($A369="","",IFERROR(INDEX(Company_List!$G$3:$G$207,MATCH($A369,Company_List!$A$3:$A$207,0)),"unassigned"))</f>
        <v/>
      </c>
      <c r="AM369" t="inlineStr">
        <is>
          <t>Phase 2/Duke Energy/Q4 2024/DUK-Q4-2024-press-release-SEC-EX99-1.htm; Phase 2/Duke Energy/Q4 2024/DUK-Q4-2024-earnings-call-transcript-InsiderMonkey.html</t>
        </is>
      </c>
      <c r="AN369" t="inlineStr">
        <is>
          <t>https://www.insidermonkey.com/blog/duke-energy-corporation-nyseduk-q4-2024-earnings-call-transcript-1452880/; https://www.sec.gov/Archives/edgar/data/1326160/000132616025000040/er-20241231xearningsreleas.htm</t>
        </is>
      </c>
      <c r="AO369" t="inlineStr">
        <is>
          <t>manifest (whole bundle)</t>
        </is>
      </c>
      <c r="AP369">
        <f>IF($A369="","",IF(COUNTIFS(LLM_Data_Entry!$A$3:$A$548,$A369)&gt;0,"YES","NO"))</f>
        <v/>
      </c>
      <c r="AQ369">
        <f>IF($A369="","",IF(COUNTIFS($A$3:$A369,$A369,$C$3:$C369,$C369,$D$3:$D369,$D369)=1,"YES","NO"))</f>
        <v/>
      </c>
      <c r="AR369">
        <f>IF($A369="","",IF(AND($C369&amp;"-"&amp;$D369&gt;=Settings!$B$19,$C369&amp;"-"&amp;$D369&lt;=Settings!$B$20),"IN","OUT"))</f>
        <v/>
      </c>
      <c r="AS369">
        <f>IF($A369="","",IF($F369="Financial Results","financials",IF($F369="Outlook/Guidance","guidance",IF($F369="Transcript Q&amp;A","qanda",IF($F369="","unrecorded",IF($E369="All","full",IF($E369="","unrecorded",LOWER($E369)&amp;" only")))))))</f>
        <v/>
      </c>
      <c r="AT369">
        <f>IF(AND(OR($J369="BUY",$J369="SELL"),ISNUMBER($U369)),$U369,"")</f>
        <v/>
      </c>
      <c r="AU369">
        <f>IF(AND(OR($J369="BUY",$J369="SELL"),ISNUMBER($AK369)),$AK369,"")</f>
        <v/>
      </c>
      <c r="AV369">
        <f>IF(ISNUMBER($AT369),ABS(IF(ISNUMBER($I369),$I369,0)-Settings!$B$24),"")</f>
        <v/>
      </c>
      <c r="AW369">
        <f>IF(ISNUMBER($AV369),$AV369*$AT369,"")</f>
        <v/>
      </c>
      <c r="AX369">
        <f>IF(ISNUMBER($AU369),ABS(IF(ISNUMBER($I369),$I369,0)-Settings!$B$24),"")</f>
        <v/>
      </c>
      <c r="AY369">
        <f>IF(ISNUMBER($AX369),$AX369*$AU369,"")</f>
        <v/>
      </c>
      <c r="AZ369">
        <f>IF($A369="","",IFERROR(INDEX(Company_List!$H$3:$H$207,MATCH($A369,Company_List!$A$3:$A$207,0)),"unassigned"))</f>
        <v/>
      </c>
      <c r="BC369">
        <f>IF($A369="","",IF(COUNTIFS($A$3:$A369,$A369,$C$3:$C369,$C369,$D$3:$D369,$D369,$G$3:$G369,$G369)=1,1,0))</f>
        <v/>
      </c>
      <c r="BG369" t="inlineStr">
        <is>
          <t>no</t>
        </is>
      </c>
      <c r="BK369">
        <f>IF(OR($H369&lt;&gt;"Human",$S369="",$J369="",$Y369="",$Z369=""),"",IF(EXACT(UPPER($J369),UPPER($Y369)),1,0))</f>
        <v/>
      </c>
      <c r="BL369" t="inlineStr">
        <is>
          <t>assumed - no rater record</t>
        </is>
      </c>
      <c r="BM369" t="n">
        <v>2</v>
      </c>
      <c r="BN369" t="inlineStr">
        <is>
          <t>Insider Monkey (Koala Guide LLC)</t>
        </is>
      </c>
      <c r="BO369" t="inlineStr">
        <is>
          <t>free to read, copyright asserted</t>
        </is>
      </c>
      <c r="BP369" t="inlineStr">
        <is>
          <t>no</t>
        </is>
      </c>
      <c r="BQ369" t="inlineStr">
        <is>
          <t>yes</t>
        </is>
      </c>
    </row>
    <row r="370">
      <c r="A370" s="1" t="inlineStr">
        <is>
          <t>Duke Energy</t>
        </is>
      </c>
      <c r="B370" s="142">
        <f>IF(A370="","",_xlfn.XLOOKUP(A370, Company_List!$A:$A, Company_List!$B:$B, ""))</f>
        <v/>
      </c>
      <c r="C370" s="143" t="n">
        <v>2025</v>
      </c>
      <c r="D370" s="143" t="inlineStr">
        <is>
          <t>Q1</t>
        </is>
      </c>
      <c r="E370" s="98" t="inlineStr">
        <is>
          <t>All</t>
        </is>
      </c>
      <c r="F370" s="98" t="inlineStr">
        <is>
          <t>All</t>
        </is>
      </c>
      <c r="G370" s="143" t="inlineStr">
        <is>
          <t>Dragos</t>
        </is>
      </c>
      <c r="H370" s="106" t="inlineStr">
        <is>
          <t>Human</t>
        </is>
      </c>
      <c r="I370" s="145" t="n">
        <v>0.7</v>
      </c>
      <c r="J370" s="145">
        <f>IF(OR(I370="",Settings!$B$6=""),"",IF(I370&gt;Settings!$B$6,"BUY",IF(I370&lt;-Settings!$B$6,"SELL","HOLD")))</f>
        <v/>
      </c>
      <c r="K370" s="145" t="n">
        <v>20</v>
      </c>
      <c r="L370" s="123" t="n">
        <v>45783</v>
      </c>
      <c r="M370" s="140" t="n">
        <v>45783</v>
      </c>
      <c r="N370" s="147" t="n">
        <v>122.94</v>
      </c>
      <c r="O370" s="140" t="n">
        <v>45784</v>
      </c>
      <c r="P370" s="145" t="n">
        <v>122.55</v>
      </c>
      <c r="Q370" s="151">
        <f>IF(OR(N370="",P370=""),"",ROUND((P370-N370)/N370,4))</f>
        <v/>
      </c>
      <c r="R370" s="118">
        <f>IF(OR(N370="",P370=""),"",IF(Q370&gt;Settings!$B$3/100,"UP",IF(Q370&lt;-Settings!$B$3/100,"DOWN","FLAT")))</f>
        <v/>
      </c>
      <c r="S370" s="118">
        <f>IF(OR(N370="",P370="",J370=""),"",IF(OR(AND(J370="BUY",R370="UP"),AND(J370="SELL",R370="DOWN"),AND(J370="HOLD",R370="FLAT")),"YES","NO"))</f>
        <v/>
      </c>
      <c r="T370" s="119">
        <f>IF(J370="","",IF(J370="BUY",1,IF(J370="SELL",-1,0)))</f>
        <v/>
      </c>
      <c r="U370" s="150">
        <f>IFERROR(IF(OR(J370="",N370="",P370=""),"",IF(T370=0,0,T370*Q370-Settings!$B$4/10000-IF(T370&lt;0,Settings!$B$5/10000,0))),"")</f>
        <v/>
      </c>
      <c r="V370" t="inlineStr">
        <is>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is>
      </c>
      <c r="W370" s="21">
        <f>IF($K370="","",$K370*60)</f>
        <v/>
      </c>
      <c r="X370" s="91">
        <f>IF($A370="","",$A370&amp;"|"&amp;$C370&amp;"|"&amp;$D370)</f>
        <v/>
      </c>
      <c r="Y370" s="91">
        <f>IFERROR(IF($X370="","",INDEX(LLM_Data_Entry!$H$3:$H$548,MATCH($X370,INDEX(LLM_Data_Entry!$A$3:$A$548&amp;"|"&amp;LLM_Data_Entry!$C$3:$C$548&amp;"|"&amp;LLM_Data_Entry!$D$3:$D$548,0),0))),"")</f>
        <v/>
      </c>
      <c r="Z370" s="91">
        <f>IFERROR(IF($X370="","",INDEX(LLM_Data_Entry!$R$3:$R$548,MATCH($X370,INDEX(LLM_Data_Entry!$A$3:$A$548&amp;"|"&amp;LLM_Data_Entry!$C$3:$C$548&amp;"|"&amp;LLM_Data_Entry!$D$3:$D$548,0),0))),"")</f>
        <v/>
      </c>
      <c r="AB370" t="inlineStr">
        <is>
          <t>document date + price signal</t>
        </is>
      </c>
      <c r="AC370" t="inlineStr">
        <is>
          <t>DUK</t>
        </is>
      </c>
      <c r="AD370" t="inlineStr">
        <is>
          <t>2025-05-05</t>
        </is>
      </c>
      <c r="AE370" t="n">
        <v>115.6214</v>
      </c>
      <c r="AF370" t="inlineStr">
        <is>
          <t>2025-05-06</t>
        </is>
      </c>
      <c r="AG370" t="n">
        <v>116.8279</v>
      </c>
      <c r="AH370" t="n">
        <v>0.01043486155499069</v>
      </c>
      <c r="AI370" t="inlineStr">
        <is>
          <t>FLAT</t>
        </is>
      </c>
      <c r="AJ370" t="inlineStr">
        <is>
          <t>NO</t>
        </is>
      </c>
      <c r="AK370" t="n">
        <v>0.009435000000000001</v>
      </c>
      <c r="AL370">
        <f>IF($A370="","",IFERROR(INDEX(Company_List!$G$3:$G$207,MATCH($A370,Company_List!$A$3:$A$207,0)),"unassigned"))</f>
        <v/>
      </c>
      <c r="AM370" t="inlineStr">
        <is>
          <t>Phase 2/Duke Energy/Q1 2025/DUK-Q1-2025-press-release-SEC-EX99-1.htm; Phase 2/Duke Energy/Q1 2025/DUK-Q1-2025-earnings-call-transcript-InsiderMonkey.html</t>
        </is>
      </c>
      <c r="AN370" t="inlineStr">
        <is>
          <t>https://www.insidermonkey.com/blog/duke-energy-corporation-nyseduk-q1-2025-earnings-call-transcript-1526857/; https://www.sec.gov/Archives/edgar/data/1326160/000132616025000148/er-20250331xearningsreleas.htm</t>
        </is>
      </c>
      <c r="AO370" t="inlineStr">
        <is>
          <t>manifest (whole bundle)</t>
        </is>
      </c>
      <c r="AP370">
        <f>IF($A370="","",IF(COUNTIFS(LLM_Data_Entry!$A$3:$A$548,$A370)&gt;0,"YES","NO"))</f>
        <v/>
      </c>
      <c r="AQ370">
        <f>IF($A370="","",IF(COUNTIFS($A$3:$A370,$A370,$C$3:$C370,$C370,$D$3:$D370,$D370)=1,"YES","NO"))</f>
        <v/>
      </c>
      <c r="AR370">
        <f>IF($A370="","",IF(AND($C370&amp;"-"&amp;$D370&gt;=Settings!$B$19,$C370&amp;"-"&amp;$D370&lt;=Settings!$B$20),"IN","OUT"))</f>
        <v/>
      </c>
      <c r="AS370">
        <f>IF($A370="","",IF($F370="Financial Results","financials",IF($F370="Outlook/Guidance","guidance",IF($F370="Transcript Q&amp;A","qanda",IF($F370="","unrecorded",IF($E370="All","full",IF($E370="","unrecorded",LOWER($E370)&amp;" only")))))))</f>
        <v/>
      </c>
      <c r="AT370">
        <f>IF(AND(OR($J370="BUY",$J370="SELL"),ISNUMBER($U370)),$U370,"")</f>
        <v/>
      </c>
      <c r="AU370">
        <f>IF(AND(OR($J370="BUY",$J370="SELL"),ISNUMBER($AK370)),$AK370,"")</f>
        <v/>
      </c>
      <c r="AV370">
        <f>IF(ISNUMBER($AT370),ABS(IF(ISNUMBER($I370),$I370,0)-Settings!$B$24),"")</f>
        <v/>
      </c>
      <c r="AW370">
        <f>IF(ISNUMBER($AV370),$AV370*$AT370,"")</f>
        <v/>
      </c>
      <c r="AX370">
        <f>IF(ISNUMBER($AU370),ABS(IF(ISNUMBER($I370),$I370,0)-Settings!$B$24),"")</f>
        <v/>
      </c>
      <c r="AY370">
        <f>IF(ISNUMBER($AX370),$AX370*$AU370,"")</f>
        <v/>
      </c>
      <c r="AZ370">
        <f>IF($A370="","",IFERROR(INDEX(Company_List!$H$3:$H$207,MATCH($A370,Company_List!$A$3:$A$207,0)),"unassigned"))</f>
        <v/>
      </c>
      <c r="BC370">
        <f>IF($A370="","",IF(COUNTIFS($A$3:$A370,$A370,$C$3:$C370,$C370,$D$3:$D370,$D370,$G$3:$G370,$G370)=1,1,0))</f>
        <v/>
      </c>
      <c r="BG370" t="inlineStr">
        <is>
          <t>no</t>
        </is>
      </c>
      <c r="BK370">
        <f>IF(OR($H370&lt;&gt;"Human",$S370="",$J370="",$Y370="",$Z370=""),"",IF(EXACT(UPPER($J370),UPPER($Y370)),1,0))</f>
        <v/>
      </c>
      <c r="BL370" t="inlineStr">
        <is>
          <t>assumed - no rater record</t>
        </is>
      </c>
      <c r="BM370" t="n">
        <v>2</v>
      </c>
      <c r="BN370" t="inlineStr">
        <is>
          <t>Insider Monkey (Koala Guide LLC)</t>
        </is>
      </c>
      <c r="BO370" t="inlineStr">
        <is>
          <t>free to read, copyright asserted</t>
        </is>
      </c>
      <c r="BP370" t="inlineStr">
        <is>
          <t>no</t>
        </is>
      </c>
      <c r="BQ370" t="inlineStr">
        <is>
          <t>yes</t>
        </is>
      </c>
    </row>
    <row r="371">
      <c r="A371" s="1" t="inlineStr">
        <is>
          <t>Duke Energy</t>
        </is>
      </c>
      <c r="B371" s="142">
        <f>IF(A371="","",_xlfn.XLOOKUP(A371, Company_List!$A:$A, Company_List!$B:$B, ""))</f>
        <v/>
      </c>
      <c r="C371" s="143" t="n">
        <v>2025</v>
      </c>
      <c r="D371" s="143" t="inlineStr">
        <is>
          <t>Q2</t>
        </is>
      </c>
      <c r="E371" s="98" t="inlineStr">
        <is>
          <t>All</t>
        </is>
      </c>
      <c r="F371" s="98" t="inlineStr">
        <is>
          <t>All</t>
        </is>
      </c>
      <c r="G371" s="143" t="inlineStr">
        <is>
          <t>Dragos</t>
        </is>
      </c>
      <c r="H371" s="106" t="inlineStr">
        <is>
          <t>Human</t>
        </is>
      </c>
      <c r="I371" s="145" t="n">
        <v>0.5</v>
      </c>
      <c r="J371" s="145">
        <f>IF(OR(I371="",Settings!$B$6=""),"",IF(I371&gt;Settings!$B$6,"BUY",IF(I371&lt;-Settings!$B$6,"SELL","HOLD")))</f>
        <v/>
      </c>
      <c r="K371" s="145" t="n">
        <v>26</v>
      </c>
      <c r="L371" s="123" t="n">
        <v>45874</v>
      </c>
      <c r="M371" s="140" t="n">
        <v>45874</v>
      </c>
      <c r="N371" s="147" t="n">
        <v>124</v>
      </c>
      <c r="O371" s="140" t="n">
        <v>45875</v>
      </c>
      <c r="P371" s="145" t="n">
        <v>124.65</v>
      </c>
      <c r="Q371" s="151">
        <f>IF(OR(N371="",P371=""),"",ROUND((P371-N371)/N371,4))</f>
        <v/>
      </c>
      <c r="R371" s="118">
        <f>IF(OR(N371="",P371=""),"",IF(Q371&gt;Settings!$B$3/100,"UP",IF(Q371&lt;-Settings!$B$3/100,"DOWN","FLAT")))</f>
        <v/>
      </c>
      <c r="S371" s="118">
        <f>IF(OR(N371="",P371="",J371=""),"",IF(OR(AND(J371="BUY",R371="UP"),AND(J371="SELL",R371="DOWN"),AND(J371="HOLD",R371="FLAT")),"YES","NO"))</f>
        <v/>
      </c>
      <c r="T371" s="119">
        <f>IF(J371="","",IF(J371="BUY",1,IF(J371="SELL",-1,0)))</f>
        <v/>
      </c>
      <c r="U371" s="150">
        <f>IFERROR(IF(OR(J371="",N371="",P371=""),"",IF(T371=0,0,T371*Q371-Settings!$B$4/10000-IF(T371&lt;0,Settings!$B$5/10000,0))),"")</f>
        <v/>
      </c>
      <c r="V371" t="inlineStr">
        <is>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is>
      </c>
      <c r="W371" s="21">
        <f>IF($K371="","",$K371*60)</f>
        <v/>
      </c>
      <c r="X371" s="91">
        <f>IF($A371="","",$A371&amp;"|"&amp;$C371&amp;"|"&amp;$D371)</f>
        <v/>
      </c>
      <c r="Y371" s="91">
        <f>IFERROR(IF($X371="","",INDEX(LLM_Data_Entry!$H$3:$H$548,MATCH($X371,INDEX(LLM_Data_Entry!$A$3:$A$548&amp;"|"&amp;LLM_Data_Entry!$C$3:$C$548&amp;"|"&amp;LLM_Data_Entry!$D$3:$D$548,0),0))),"")</f>
        <v/>
      </c>
      <c r="Z371" s="91">
        <f>IFERROR(IF($X371="","",INDEX(LLM_Data_Entry!$R$3:$R$548,MATCH($X371,INDEX(LLM_Data_Entry!$A$3:$A$548&amp;"|"&amp;LLM_Data_Entry!$C$3:$C$548&amp;"|"&amp;LLM_Data_Entry!$D$3:$D$548,0),0))),"")</f>
        <v/>
      </c>
      <c r="AB371" t="inlineStr">
        <is>
          <t>document date + price signal</t>
        </is>
      </c>
      <c r="AC371" t="inlineStr">
        <is>
          <t>DUK</t>
        </is>
      </c>
      <c r="AD371" t="inlineStr">
        <is>
          <t>2025-08-04</t>
        </is>
      </c>
      <c r="AE371" t="n">
        <v>119.9775</v>
      </c>
      <c r="AF371" t="inlineStr">
        <is>
          <t>2025-08-05</t>
        </is>
      </c>
      <c r="AG371" t="n">
        <v>122.683</v>
      </c>
      <c r="AH371" t="n">
        <v>0.0225497987577692</v>
      </c>
      <c r="AI371" t="inlineStr">
        <is>
          <t>UP</t>
        </is>
      </c>
      <c r="AJ371" t="inlineStr">
        <is>
          <t>YES</t>
        </is>
      </c>
      <c r="AK371" t="n">
        <v>0.02155</v>
      </c>
      <c r="AL371">
        <f>IF($A371="","",IFERROR(INDEX(Company_List!$G$3:$G$207,MATCH($A371,Company_List!$A$3:$A$207,0)),"unassigned"))</f>
        <v/>
      </c>
      <c r="AM371" t="inlineStr">
        <is>
          <t>Phase 2/Duke Energy/Q2 2025/DUK-Q2-2025-press-release-SEC-EX99-1.htm; Phase 2/Duke Energy/Q2 2025/DUK-Q2-2025-earnings-call-transcript-InsiderMonkey.html</t>
        </is>
      </c>
      <c r="AN371" t="inlineStr">
        <is>
          <t>https://www.insidermonkey.com/blog/duke-energy-corporation-nyseduk-q2-2025-earnings-call-transcript-1584673/; https://www.sec.gov/Archives/edgar/data/1326160/000132616025000165/er-20250630xearningsreleas.htm</t>
        </is>
      </c>
      <c r="AO371" t="inlineStr">
        <is>
          <t>manifest (whole bundle)</t>
        </is>
      </c>
      <c r="AP371">
        <f>IF($A371="","",IF(COUNTIFS(LLM_Data_Entry!$A$3:$A$548,$A371)&gt;0,"YES","NO"))</f>
        <v/>
      </c>
      <c r="AQ371">
        <f>IF($A371="","",IF(COUNTIFS($A$3:$A371,$A371,$C$3:$C371,$C371,$D$3:$D371,$D371)=1,"YES","NO"))</f>
        <v/>
      </c>
      <c r="AR371">
        <f>IF($A371="","",IF(AND($C371&amp;"-"&amp;$D371&gt;=Settings!$B$19,$C371&amp;"-"&amp;$D371&lt;=Settings!$B$20),"IN","OUT"))</f>
        <v/>
      </c>
      <c r="AS371">
        <f>IF($A371="","",IF($F371="Financial Results","financials",IF($F371="Outlook/Guidance","guidance",IF($F371="Transcript Q&amp;A","qanda",IF($F371="","unrecorded",IF($E371="All","full",IF($E371="","unrecorded",LOWER($E371)&amp;" only")))))))</f>
        <v/>
      </c>
      <c r="AT371">
        <f>IF(AND(OR($J371="BUY",$J371="SELL"),ISNUMBER($U371)),$U371,"")</f>
        <v/>
      </c>
      <c r="AU371">
        <f>IF(AND(OR($J371="BUY",$J371="SELL"),ISNUMBER($AK371)),$AK371,"")</f>
        <v/>
      </c>
      <c r="AV371">
        <f>IF(ISNUMBER($AT371),ABS(IF(ISNUMBER($I371),$I371,0)-Settings!$B$24),"")</f>
        <v/>
      </c>
      <c r="AW371">
        <f>IF(ISNUMBER($AV371),$AV371*$AT371,"")</f>
        <v/>
      </c>
      <c r="AX371">
        <f>IF(ISNUMBER($AU371),ABS(IF(ISNUMBER($I371),$I371,0)-Settings!$B$24),"")</f>
        <v/>
      </c>
      <c r="AY371">
        <f>IF(ISNUMBER($AX371),$AX371*$AU371,"")</f>
        <v/>
      </c>
      <c r="AZ371">
        <f>IF($A371="","",IFERROR(INDEX(Company_List!$H$3:$H$207,MATCH($A371,Company_List!$A$3:$A$207,0)),"unassigned"))</f>
        <v/>
      </c>
      <c r="BC371">
        <f>IF($A371="","",IF(COUNTIFS($A$3:$A371,$A371,$C$3:$C371,$C371,$D$3:$D371,$D371,$G$3:$G371,$G371)=1,1,0))</f>
        <v/>
      </c>
      <c r="BG371" t="inlineStr">
        <is>
          <t>no</t>
        </is>
      </c>
      <c r="BK371">
        <f>IF(OR($H371&lt;&gt;"Human",$S371="",$J371="",$Y371="",$Z371=""),"",IF(EXACT(UPPER($J371),UPPER($Y371)),1,0))</f>
        <v/>
      </c>
      <c r="BL371" t="inlineStr">
        <is>
          <t>assumed - no rater record</t>
        </is>
      </c>
      <c r="BM371" t="n">
        <v>2</v>
      </c>
      <c r="BN371" t="inlineStr">
        <is>
          <t>Insider Monkey (Koala Guide LLC)</t>
        </is>
      </c>
      <c r="BO371" t="inlineStr">
        <is>
          <t>free to read, copyright asserted</t>
        </is>
      </c>
      <c r="BP371" t="inlineStr">
        <is>
          <t>no</t>
        </is>
      </c>
      <c r="BQ371" t="inlineStr">
        <is>
          <t>yes</t>
        </is>
      </c>
    </row>
    <row r="372">
      <c r="A372" s="1" t="inlineStr">
        <is>
          <t>Duke Energy</t>
        </is>
      </c>
      <c r="B372" s="142">
        <f>IF(A372="","",_xlfn.XLOOKUP(A372, Company_List!$A:$A, Company_List!$B:$B, ""))</f>
        <v/>
      </c>
      <c r="C372" s="143" t="n">
        <v>2025</v>
      </c>
      <c r="D372" s="143" t="inlineStr">
        <is>
          <t>Q3</t>
        </is>
      </c>
      <c r="E372" s="98" t="inlineStr">
        <is>
          <t>All</t>
        </is>
      </c>
      <c r="F372" s="98" t="inlineStr">
        <is>
          <t>All</t>
        </is>
      </c>
      <c r="G372" s="143" t="inlineStr">
        <is>
          <t>Dragos</t>
        </is>
      </c>
      <c r="H372" s="106" t="inlineStr">
        <is>
          <t>Human</t>
        </is>
      </c>
      <c r="I372" s="145" t="n">
        <v>0.5</v>
      </c>
      <c r="J372" s="145">
        <f>IF(OR(I372="",Settings!$B$6=""),"",IF(I372&gt;Settings!$B$6,"BUY",IF(I372&lt;-Settings!$B$6,"SELL","HOLD")))</f>
        <v/>
      </c>
      <c r="K372" s="145" t="n">
        <v>18</v>
      </c>
      <c r="L372" s="123" t="n">
        <v>45968</v>
      </c>
      <c r="M372" s="140" t="n">
        <v>45968</v>
      </c>
      <c r="N372" s="147" t="n">
        <v>123.66</v>
      </c>
      <c r="O372" s="140" t="n">
        <v>45971</v>
      </c>
      <c r="P372" s="145" t="n">
        <v>123.05</v>
      </c>
      <c r="Q372" s="151">
        <f>IF(OR(N372="",P372=""),"",ROUND((P372-N372)/N372,4))</f>
        <v/>
      </c>
      <c r="R372" s="118">
        <f>IF(OR(N372="",P372=""),"",IF(Q372&gt;Settings!$B$3/100,"UP",IF(Q372&lt;-Settings!$B$3/100,"DOWN","FLAT")))</f>
        <v/>
      </c>
      <c r="S372" s="118">
        <f>IF(OR(N372="",P372="",J372=""),"",IF(OR(AND(J372="BUY",R372="UP"),AND(J372="SELL",R372="DOWN"),AND(J372="HOLD",R372="FLAT")),"YES","NO"))</f>
        <v/>
      </c>
      <c r="T372" s="119">
        <f>IF(J372="","",IF(J372="BUY",1,IF(J372="SELL",-1,0)))</f>
        <v/>
      </c>
      <c r="U372" s="150">
        <f>IFERROR(IF(OR(J372="",N372="",P372=""),"",IF(T372=0,0,T372*Q372-Settings!$B$4/10000-IF(T372&lt;0,Settings!$B$5/10000,0))),"")</f>
        <v/>
      </c>
      <c r="V372" t="inlineStr">
        <is>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is>
      </c>
      <c r="W372" s="21">
        <f>IF($K372="","",$K372*60)</f>
        <v/>
      </c>
      <c r="X372" s="91">
        <f>IF($A372="","",$A372&amp;"|"&amp;$C372&amp;"|"&amp;$D372)</f>
        <v/>
      </c>
      <c r="Y372" s="91">
        <f>IFERROR(IF($X372="","",INDEX(LLM_Data_Entry!$H$3:$H$548,MATCH($X372,INDEX(LLM_Data_Entry!$A$3:$A$548&amp;"|"&amp;LLM_Data_Entry!$C$3:$C$548&amp;"|"&amp;LLM_Data_Entry!$D$3:$D$548,0),0))),"")</f>
        <v/>
      </c>
      <c r="Z372" s="91">
        <f>IFERROR(IF($X372="","",INDEX(LLM_Data_Entry!$R$3:$R$548,MATCH($X372,INDEX(LLM_Data_Entry!$A$3:$A$548&amp;"|"&amp;LLM_Data_Entry!$C$3:$C$548&amp;"|"&amp;LLM_Data_Entry!$D$3:$D$548,0),0))),"")</f>
        <v/>
      </c>
      <c r="AB372" t="inlineStr">
        <is>
          <t>price signal — only this window shows an abnormal move</t>
        </is>
      </c>
      <c r="AC372" t="inlineStr">
        <is>
          <t>DUK</t>
        </is>
      </c>
      <c r="AD372" t="inlineStr">
        <is>
          <t>2025-11-07</t>
        </is>
      </c>
      <c r="AE372" t="n">
        <v>120.5177</v>
      </c>
      <c r="AF372" t="inlineStr">
        <is>
          <t>2025-11-10</t>
        </is>
      </c>
      <c r="AG372" t="n">
        <v>119.9232</v>
      </c>
      <c r="AH372" t="n">
        <v>-0.004932973420458506</v>
      </c>
      <c r="AI372" t="inlineStr">
        <is>
          <t>FLAT</t>
        </is>
      </c>
      <c r="AJ372" t="inlineStr">
        <is>
          <t>NO</t>
        </is>
      </c>
      <c r="AK372" t="n">
        <v>-0.005933</v>
      </c>
      <c r="AL372">
        <f>IF($A372="","",IFERROR(INDEX(Company_List!$G$3:$G$207,MATCH($A372,Company_List!$A$3:$A$207,0)),"unassigned"))</f>
        <v/>
      </c>
      <c r="AM372" t="inlineStr">
        <is>
          <t>Phase 2/Duke Energy/Q3 2025/DUK-Q3-2025-press-release-SEC-EX99-1.htm; Phase 2/Duke Energy/Q3 2025/DUK-Q3-2025-earnings-call-transcript-InsiderMonkey.html</t>
        </is>
      </c>
      <c r="AN372" t="inlineStr">
        <is>
          <t>https://www.insidermonkey.com/blog/duke-energy-corporation-nyseduk-q3-2025-earnings-call-transcript-1642437/; https://www.sec.gov/Archives/edgar/data/1326160/000132616025000190/er-20250930xearningsreleas.htm</t>
        </is>
      </c>
      <c r="AO372" t="inlineStr">
        <is>
          <t>manifest (whole bundle)</t>
        </is>
      </c>
      <c r="AP372">
        <f>IF($A372="","",IF(COUNTIFS(LLM_Data_Entry!$A$3:$A$548,$A372)&gt;0,"YES","NO"))</f>
        <v/>
      </c>
      <c r="AQ372">
        <f>IF($A372="","",IF(COUNTIFS($A$3:$A372,$A372,$C$3:$C372,$C372,$D$3:$D372,$D372)=1,"YES","NO"))</f>
        <v/>
      </c>
      <c r="AR372">
        <f>IF($A372="","",IF(AND($C372&amp;"-"&amp;$D372&gt;=Settings!$B$19,$C372&amp;"-"&amp;$D372&lt;=Settings!$B$20),"IN","OUT"))</f>
        <v/>
      </c>
      <c r="AS372">
        <f>IF($A372="","",IF($F372="Financial Results","financials",IF($F372="Outlook/Guidance","guidance",IF($F372="Transcript Q&amp;A","qanda",IF($F372="","unrecorded",IF($E372="All","full",IF($E372="","unrecorded",LOWER($E372)&amp;" only")))))))</f>
        <v/>
      </c>
      <c r="AT372">
        <f>IF(AND(OR($J372="BUY",$J372="SELL"),ISNUMBER($U372)),$U372,"")</f>
        <v/>
      </c>
      <c r="AU372">
        <f>IF(AND(OR($J372="BUY",$J372="SELL"),ISNUMBER($AK372)),$AK372,"")</f>
        <v/>
      </c>
      <c r="AV372">
        <f>IF(ISNUMBER($AT372),ABS(IF(ISNUMBER($I372),$I372,0)-Settings!$B$24),"")</f>
        <v/>
      </c>
      <c r="AW372">
        <f>IF(ISNUMBER($AV372),$AV372*$AT372,"")</f>
        <v/>
      </c>
      <c r="AX372">
        <f>IF(ISNUMBER($AU372),ABS(IF(ISNUMBER($I372),$I372,0)-Settings!$B$24),"")</f>
        <v/>
      </c>
      <c r="AY372">
        <f>IF(ISNUMBER($AX372),$AX372*$AU372,"")</f>
        <v/>
      </c>
      <c r="AZ372">
        <f>IF($A372="","",IFERROR(INDEX(Company_List!$H$3:$H$207,MATCH($A372,Company_List!$A$3:$A$207,0)),"unassigned"))</f>
        <v/>
      </c>
      <c r="BC372">
        <f>IF($A372="","",IF(COUNTIFS($A$3:$A372,$A372,$C$3:$C372,$C372,$D$3:$D372,$D372,$G$3:$G372,$G372)=1,1,0))</f>
        <v/>
      </c>
      <c r="BG372" t="inlineStr">
        <is>
          <t>no</t>
        </is>
      </c>
      <c r="BK372">
        <f>IF(OR($H372&lt;&gt;"Human",$S372="",$J372="",$Y372="",$Z372=""),"",IF(EXACT(UPPER($J372),UPPER($Y372)),1,0))</f>
        <v/>
      </c>
      <c r="BL372" t="inlineStr">
        <is>
          <t>assumed - no rater record</t>
        </is>
      </c>
      <c r="BM372" t="n">
        <v>2</v>
      </c>
      <c r="BN372" t="inlineStr">
        <is>
          <t>Insider Monkey (Koala Guide LLC)</t>
        </is>
      </c>
      <c r="BO372" t="inlineStr">
        <is>
          <t>free to read, copyright asserted</t>
        </is>
      </c>
      <c r="BP372" t="inlineStr">
        <is>
          <t>no</t>
        </is>
      </c>
      <c r="BQ372" t="inlineStr">
        <is>
          <t>yes</t>
        </is>
      </c>
    </row>
    <row r="373">
      <c r="A373" s="1" t="inlineStr">
        <is>
          <t>Duke Energy</t>
        </is>
      </c>
      <c r="B373" s="142">
        <f>IF(A373="","",_xlfn.XLOOKUP(A373, Company_List!$A:$A, Company_List!$B:$B, ""))</f>
        <v/>
      </c>
      <c r="C373" s="143" t="n">
        <v>2025</v>
      </c>
      <c r="D373" s="143" t="inlineStr">
        <is>
          <t>Q4</t>
        </is>
      </c>
      <c r="E373" s="98" t="inlineStr">
        <is>
          <t>All</t>
        </is>
      </c>
      <c r="F373" s="98" t="inlineStr">
        <is>
          <t>All</t>
        </is>
      </c>
      <c r="G373" s="143" t="inlineStr">
        <is>
          <t>Dragos</t>
        </is>
      </c>
      <c r="H373" s="106" t="inlineStr">
        <is>
          <t>Human</t>
        </is>
      </c>
      <c r="I373" s="145" t="n">
        <v>0.3</v>
      </c>
      <c r="J373" s="145">
        <f>IF(OR(I373="",Settings!$B$6=""),"",IF(I373&gt;Settings!$B$6,"BUY",IF(I373&lt;-Settings!$B$6,"SELL","HOLD")))</f>
        <v/>
      </c>
      <c r="K373" s="145" t="n">
        <v>17</v>
      </c>
      <c r="L373" s="123" t="n">
        <v>46063</v>
      </c>
      <c r="M373" s="140" t="n">
        <v>46063</v>
      </c>
      <c r="N373" s="147" t="n">
        <v>123.64</v>
      </c>
      <c r="O373" s="140" t="n">
        <v>46064</v>
      </c>
      <c r="P373" s="145" t="n">
        <v>124.27</v>
      </c>
      <c r="Q373" s="151">
        <f>IF(OR(N373="",P373=""),"",ROUND((P373-N373)/N373,4))</f>
        <v/>
      </c>
      <c r="R373" s="118">
        <f>IF(OR(N373="",P373=""),"",IF(Q373&gt;Settings!$B$3/100,"UP",IF(Q373&lt;-Settings!$B$3/100,"DOWN","FLAT")))</f>
        <v/>
      </c>
      <c r="S373" s="118">
        <f>IF(OR(N373="",P373="",J373=""),"",IF(OR(AND(J373="BUY",R373="UP"),AND(J373="SELL",R373="DOWN"),AND(J373="HOLD",R373="FLAT")),"YES","NO"))</f>
        <v/>
      </c>
      <c r="T373" s="119">
        <f>IF(J373="","",IF(J373="BUY",1,IF(J373="SELL",-1,0)))</f>
        <v/>
      </c>
      <c r="U373" s="150">
        <f>IFERROR(IF(OR(J373="",N373="",P373=""),"",IF(T373=0,0,T373*Q373-Settings!$B$4/10000-IF(T373&lt;0,Settings!$B$5/10000,0))),"")</f>
        <v/>
      </c>
      <c r="V373" t="inlineStr">
        <is>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is>
      </c>
      <c r="W373" s="21">
        <f>IF($K373="","",$K373*60)</f>
        <v/>
      </c>
      <c r="X373" s="91">
        <f>IF($A373="","",$A373&amp;"|"&amp;$C373&amp;"|"&amp;$D373)</f>
        <v/>
      </c>
      <c r="Y373" s="91">
        <f>IFERROR(IF($X373="","",INDEX(LLM_Data_Entry!$H$3:$H$548,MATCH($X373,INDEX(LLM_Data_Entry!$A$3:$A$548&amp;"|"&amp;LLM_Data_Entry!$C$3:$C$548&amp;"|"&amp;LLM_Data_Entry!$D$3:$D$548,0),0))),"")</f>
        <v/>
      </c>
      <c r="Z373" s="91">
        <f>IFERROR(IF($X373="","",INDEX(LLM_Data_Entry!$R$3:$R$548,MATCH($X373,INDEX(LLM_Data_Entry!$A$3:$A$548&amp;"|"&amp;LLM_Data_Entry!$C$3:$C$548&amp;"|"&amp;LLM_Data_Entry!$D$3:$D$548,0),0))),"")</f>
        <v/>
      </c>
      <c r="AB373" t="inlineStr">
        <is>
          <t>earnings calendar, seconded by the issuer's habit</t>
        </is>
      </c>
      <c r="AC373" t="inlineStr">
        <is>
          <t>DUK</t>
        </is>
      </c>
      <c r="AD373" t="inlineStr">
        <is>
          <t>2026-02-09</t>
        </is>
      </c>
      <c r="AE373" t="n">
        <v>119.6581</v>
      </c>
      <c r="AF373" t="inlineStr">
        <is>
          <t>2026-02-10</t>
        </is>
      </c>
      <c r="AG373" t="n">
        <v>120.1299</v>
      </c>
      <c r="AH373" t="n">
        <v>0.003943449116622979</v>
      </c>
      <c r="AI373" t="inlineStr">
        <is>
          <t>FLAT</t>
        </is>
      </c>
      <c r="AJ373" t="inlineStr">
        <is>
          <t>NO</t>
        </is>
      </c>
      <c r="AK373" t="n">
        <v>0.002943</v>
      </c>
      <c r="AL373">
        <f>IF($A373="","",IFERROR(INDEX(Company_List!$G$3:$G$207,MATCH($A373,Company_List!$A$3:$A$207,0)),"unassigned"))</f>
        <v/>
      </c>
      <c r="AM373" t="inlineStr">
        <is>
          <t>Phase 2/Duke Energy/Q4 2025/DUK-Q4-2025-press-release-SEC-EX99-1.htm; Phase 2/Duke Energy/Q4 2025/DUK-Q4-2025-earnings-call-transcript-InsiderMonkey.html</t>
        </is>
      </c>
      <c r="AN373" t="inlineStr">
        <is>
          <t>https://www.insidermonkey.com/blog/duke-energy-corporation-nyseduk-q4-2025-earnings-call-transcript-1693381/; https://www.sec.gov/Archives/edgar/data/1326160/000132616026000007/er-20251231xearningsreleas.htm</t>
        </is>
      </c>
      <c r="AO373" t="inlineStr">
        <is>
          <t>manifest (whole bundle)</t>
        </is>
      </c>
      <c r="AP373">
        <f>IF($A373="","",IF(COUNTIFS(LLM_Data_Entry!$A$3:$A$548,$A373)&gt;0,"YES","NO"))</f>
        <v/>
      </c>
      <c r="AQ373">
        <f>IF($A373="","",IF(COUNTIFS($A$3:$A373,$A373,$C$3:$C373,$C373,$D$3:$D373,$D373)=1,"YES","NO"))</f>
        <v/>
      </c>
      <c r="AR373">
        <f>IF($A373="","",IF(AND($C373&amp;"-"&amp;$D373&gt;=Settings!$B$19,$C373&amp;"-"&amp;$D373&lt;=Settings!$B$20),"IN","OUT"))</f>
        <v/>
      </c>
      <c r="AS373">
        <f>IF($A373="","",IF($F373="Financial Results","financials",IF($F373="Outlook/Guidance","guidance",IF($F373="Transcript Q&amp;A","qanda",IF($F373="","unrecorded",IF($E373="All","full",IF($E373="","unrecorded",LOWER($E373)&amp;" only")))))))</f>
        <v/>
      </c>
      <c r="AT373">
        <f>IF(AND(OR($J373="BUY",$J373="SELL"),ISNUMBER($U373)),$U373,"")</f>
        <v/>
      </c>
      <c r="AU373">
        <f>IF(AND(OR($J373="BUY",$J373="SELL"),ISNUMBER($AK373)),$AK373,"")</f>
        <v/>
      </c>
      <c r="AV373">
        <f>IF(ISNUMBER($AT373),ABS(IF(ISNUMBER($I373),$I373,0)-Settings!$B$24),"")</f>
        <v/>
      </c>
      <c r="AW373">
        <f>IF(ISNUMBER($AV373),$AV373*$AT373,"")</f>
        <v/>
      </c>
      <c r="AX373">
        <f>IF(ISNUMBER($AU373),ABS(IF(ISNUMBER($I373),$I373,0)-Settings!$B$24),"")</f>
        <v/>
      </c>
      <c r="AY373">
        <f>IF(ISNUMBER($AX373),$AX373*$AU373,"")</f>
        <v/>
      </c>
      <c r="AZ373">
        <f>IF($A373="","",IFERROR(INDEX(Company_List!$H$3:$H$207,MATCH($A373,Company_List!$A$3:$A$207,0)),"unassigned"))</f>
        <v/>
      </c>
      <c r="BC373">
        <f>IF($A373="","",IF(COUNTIFS($A$3:$A373,$A373,$C$3:$C373,$C373,$D$3:$D373,$D373,$G$3:$G373,$G373)=1,1,0))</f>
        <v/>
      </c>
      <c r="BG373" t="inlineStr">
        <is>
          <t>no</t>
        </is>
      </c>
      <c r="BK373">
        <f>IF(OR($H373&lt;&gt;"Human",$S373="",$J373="",$Y373="",$Z373=""),"",IF(EXACT(UPPER($J373),UPPER($Y373)),1,0))</f>
        <v/>
      </c>
      <c r="BL373" t="inlineStr">
        <is>
          <t>assumed - no rater record</t>
        </is>
      </c>
      <c r="BM373" t="n">
        <v>2</v>
      </c>
      <c r="BN373" t="inlineStr">
        <is>
          <t>Insider Monkey (Koala Guide LLC)</t>
        </is>
      </c>
      <c r="BO373" t="inlineStr">
        <is>
          <t>free to read, copyright asserted</t>
        </is>
      </c>
      <c r="BP373" t="inlineStr">
        <is>
          <t>no</t>
        </is>
      </c>
      <c r="BQ373" t="inlineStr">
        <is>
          <t>yes</t>
        </is>
      </c>
    </row>
    <row r="374">
      <c r="A374" s="1" t="inlineStr">
        <is>
          <t>Duke Energy</t>
        </is>
      </c>
      <c r="B374" s="142">
        <f>IF(A374="","",_xlfn.XLOOKUP(A374, Company_List!$A:$A, Company_List!$B:$B, ""))</f>
        <v/>
      </c>
      <c r="C374" s="143" t="n">
        <v>2026</v>
      </c>
      <c r="D374" s="143" t="inlineStr">
        <is>
          <t>Q1</t>
        </is>
      </c>
      <c r="E374" s="98" t="inlineStr">
        <is>
          <t>All</t>
        </is>
      </c>
      <c r="F374" s="98" t="inlineStr">
        <is>
          <t>All</t>
        </is>
      </c>
      <c r="G374" s="143" t="inlineStr">
        <is>
          <t>Dragos</t>
        </is>
      </c>
      <c r="H374" s="106" t="inlineStr">
        <is>
          <t>Human</t>
        </is>
      </c>
      <c r="I374" s="145" t="n">
        <v>0.8</v>
      </c>
      <c r="J374" s="145">
        <f>IF(OR(I374="",Settings!$B$6=""),"",IF(I374&gt;Settings!$B$6,"BUY",IF(I374&lt;-Settings!$B$6,"SELL","HOLD")))</f>
        <v/>
      </c>
      <c r="K374" s="145" t="n">
        <v>15</v>
      </c>
      <c r="L374" s="123" t="n">
        <v>46147</v>
      </c>
      <c r="M374" s="140" t="n">
        <v>46147</v>
      </c>
      <c r="N374" s="147" t="n">
        <v>127.58</v>
      </c>
      <c r="O374" s="140" t="n">
        <v>46148</v>
      </c>
      <c r="P374" s="145" t="n">
        <v>127.04</v>
      </c>
      <c r="Q374" s="151">
        <f>IF(OR(N374="",P374=""),"",ROUND((P374-N374)/N374,4))</f>
        <v/>
      </c>
      <c r="R374" s="118">
        <f>IF(OR(N374="",P374=""),"",IF(Q374&gt;Settings!$B$3/100,"UP",IF(Q374&lt;-Settings!$B$3/100,"DOWN","FLAT")))</f>
        <v/>
      </c>
      <c r="S374" s="118">
        <f>IF(OR(N374="",P374="",J374=""),"",IF(OR(AND(J374="BUY",R374="UP"),AND(J374="SELL",R374="DOWN"),AND(J374="HOLD",R374="FLAT")),"YES","NO"))</f>
        <v/>
      </c>
      <c r="T374" s="119">
        <f>IF(J374="","",IF(J374="BUY",1,IF(J374="SELL",-1,0)))</f>
        <v/>
      </c>
      <c r="U374" s="150">
        <f>IFERROR(IF(OR(J374="",N374="",P374=""),"",IF(T374=0,0,T374*Q374-Settings!$B$4/10000-IF(T374&lt;0,Settings!$B$5/10000,0))),"")</f>
        <v/>
      </c>
      <c r="V374" t="inlineStr">
        <is>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is>
      </c>
      <c r="W374" s="21">
        <f>IF($K374="","",$K374*60)</f>
        <v/>
      </c>
      <c r="X374" s="91">
        <f>IF($A374="","",$A374&amp;"|"&amp;$C374&amp;"|"&amp;$D374)</f>
        <v/>
      </c>
      <c r="Y374" s="91">
        <f>IFERROR(IF($X374="","",INDEX(LLM_Data_Entry!$H$3:$H$548,MATCH($X374,INDEX(LLM_Data_Entry!$A$3:$A$548&amp;"|"&amp;LLM_Data_Entry!$C$3:$C$548&amp;"|"&amp;LLM_Data_Entry!$D$3:$D$548,0),0))),"")</f>
        <v/>
      </c>
      <c r="Z374" s="91">
        <f>IFERROR(IF($X374="","",INDEX(LLM_Data_Entry!$R$3:$R$548,MATCH($X374,INDEX(LLM_Data_Entry!$A$3:$A$548&amp;"|"&amp;LLM_Data_Entry!$C$3:$C$548&amp;"|"&amp;LLM_Data_Entry!$D$3:$D$548,0),0))),"")</f>
        <v/>
      </c>
      <c r="AB374" t="inlineStr">
        <is>
          <t>price signal — only this window shows an abnormal move</t>
        </is>
      </c>
      <c r="AC374" t="inlineStr">
        <is>
          <t>DUK</t>
        </is>
      </c>
      <c r="AD374" t="inlineStr">
        <is>
          <t>2026-05-05</t>
        </is>
      </c>
      <c r="AE374" t="n">
        <v>126.487</v>
      </c>
      <c r="AF374" t="inlineStr">
        <is>
          <t>2026-05-06</t>
        </is>
      </c>
      <c r="AG374" t="n">
        <v>125.9516</v>
      </c>
      <c r="AH374" t="n">
        <v>-0.004232695736692704</v>
      </c>
      <c r="AI374" t="inlineStr">
        <is>
          <t>FLAT</t>
        </is>
      </c>
      <c r="AJ374" t="inlineStr">
        <is>
          <t>NO</t>
        </is>
      </c>
      <c r="AK374" t="n">
        <v>-0.005233</v>
      </c>
      <c r="AL374">
        <f>IF($A374="","",IFERROR(INDEX(Company_List!$G$3:$G$207,MATCH($A374,Company_List!$A$3:$A$207,0)),"unassigned"))</f>
        <v/>
      </c>
      <c r="AM374" t="inlineStr">
        <is>
          <t>Phase 2/Duke Energy/Q1 2026/DUK-Q1-2026-press-release-SEC-EX99-1.htm; Phase 2/Duke Energy/Q1 2026/DUK-Q1-2026-earnings-call-transcript-MotleyFool.html</t>
        </is>
      </c>
      <c r="AN374" t="inlineStr">
        <is>
          <t>https://www.fool.com/earnings/call-transcripts/2026/05/05/duke-energy-duk-q1-2026-earnings-transcript/; https://www.sec.gov/Archives/edgar/data/1326160/000132616026000022/er-20260331xearningsreleas.htm</t>
        </is>
      </c>
      <c r="AO374" t="inlineStr">
        <is>
          <t>manifest (whole bundle)</t>
        </is>
      </c>
      <c r="AP374">
        <f>IF($A374="","",IF(COUNTIFS(LLM_Data_Entry!$A$3:$A$548,$A374)&gt;0,"YES","NO"))</f>
        <v/>
      </c>
      <c r="AQ374">
        <f>IF($A374="","",IF(COUNTIFS($A$3:$A374,$A374,$C$3:$C374,$C374,$D$3:$D374,$D374)=1,"YES","NO"))</f>
        <v/>
      </c>
      <c r="AR374">
        <f>IF($A374="","",IF(AND($C374&amp;"-"&amp;$D374&gt;=Settings!$B$19,$C374&amp;"-"&amp;$D374&lt;=Settings!$B$20),"IN","OUT"))</f>
        <v/>
      </c>
      <c r="AS374">
        <f>IF($A374="","",IF($F374="Financial Results","financials",IF($F374="Outlook/Guidance","guidance",IF($F374="Transcript Q&amp;A","qanda",IF($F374="","unrecorded",IF($E374="All","full",IF($E374="","unrecorded",LOWER($E374)&amp;" only")))))))</f>
        <v/>
      </c>
      <c r="AT374">
        <f>IF(AND(OR($J374="BUY",$J374="SELL"),ISNUMBER($U374)),$U374,"")</f>
        <v/>
      </c>
      <c r="AU374">
        <f>IF(AND(OR($J374="BUY",$J374="SELL"),ISNUMBER($AK374)),$AK374,"")</f>
        <v/>
      </c>
      <c r="AV374">
        <f>IF(ISNUMBER($AT374),ABS(IF(ISNUMBER($I374),$I374,0)-Settings!$B$24),"")</f>
        <v/>
      </c>
      <c r="AW374">
        <f>IF(ISNUMBER($AV374),$AV374*$AT374,"")</f>
        <v/>
      </c>
      <c r="AX374">
        <f>IF(ISNUMBER($AU374),ABS(IF(ISNUMBER($I374),$I374,0)-Settings!$B$24),"")</f>
        <v/>
      </c>
      <c r="AY374">
        <f>IF(ISNUMBER($AX374),$AX374*$AU374,"")</f>
        <v/>
      </c>
      <c r="AZ374">
        <f>IF($A374="","",IFERROR(INDEX(Company_List!$H$3:$H$207,MATCH($A374,Company_List!$A$3:$A$207,0)),"unassigned"))</f>
        <v/>
      </c>
      <c r="BC374">
        <f>IF($A374="","",IF(COUNTIFS($A$3:$A374,$A374,$C$3:$C374,$C374,$D$3:$D374,$D374,$G$3:$G374,$G374)=1,1,0))</f>
        <v/>
      </c>
      <c r="BG374" t="inlineStr">
        <is>
          <t>no</t>
        </is>
      </c>
      <c r="BK374">
        <f>IF(OR($H374&lt;&gt;"Human",$S374="",$J374="",$Y374="",$Z374=""),"",IF(EXACT(UPPER($J374),UPPER($Y374)),1,0))</f>
        <v/>
      </c>
      <c r="BL374" t="inlineStr">
        <is>
          <t>assumed - no rater record</t>
        </is>
      </c>
      <c r="BM374" t="n">
        <v>2</v>
      </c>
      <c r="BN374" t="inlineStr">
        <is>
          <t>The Motley Fool</t>
        </is>
      </c>
      <c r="BO374" t="inlineStr">
        <is>
          <t>free to read, copyright asserted</t>
        </is>
      </c>
      <c r="BP374" t="inlineStr">
        <is>
          <t>no</t>
        </is>
      </c>
      <c r="BQ374" t="inlineStr">
        <is>
          <t>yes</t>
        </is>
      </c>
    </row>
    <row r="375">
      <c r="A375" s="1" t="inlineStr">
        <is>
          <t>ExxonMobil</t>
        </is>
      </c>
      <c r="B375" s="142">
        <f>IF(A375="","",_xlfn.XLOOKUP(A375, Company_List!$A:$A, Company_List!$B:$B, ""))</f>
        <v/>
      </c>
      <c r="C375" s="143" t="n">
        <v>2023</v>
      </c>
      <c r="D375" s="143" t="inlineStr">
        <is>
          <t>Q1</t>
        </is>
      </c>
      <c r="E375" s="98" t="inlineStr">
        <is>
          <t>All</t>
        </is>
      </c>
      <c r="F375" s="98" t="inlineStr">
        <is>
          <t>All</t>
        </is>
      </c>
      <c r="G375" s="143" t="inlineStr">
        <is>
          <t>Dragos</t>
        </is>
      </c>
      <c r="H375" s="106" t="inlineStr">
        <is>
          <t>Human</t>
        </is>
      </c>
      <c r="I375" s="145" t="n">
        <v>-0.1</v>
      </c>
      <c r="J375" s="145">
        <f>IF(OR(I375="",Settings!$B$6=""),"",IF(I375&gt;Settings!$B$6,"BUY",IF(I375&lt;-Settings!$B$6,"SELL","HOLD")))</f>
        <v/>
      </c>
      <c r="K375" s="145" t="n">
        <v>19</v>
      </c>
      <c r="L375" s="123" t="n">
        <v>45044</v>
      </c>
      <c r="M375" s="140" t="n">
        <v>45044</v>
      </c>
      <c r="N375" s="147" t="n">
        <v>118.34</v>
      </c>
      <c r="O375" s="140" t="n">
        <v>45047</v>
      </c>
      <c r="P375" s="145" t="n">
        <v>115.99</v>
      </c>
      <c r="Q375" s="151">
        <f>IF(OR(N375="",P375=""),"",ROUND((P375-N375)/N375,4))</f>
        <v/>
      </c>
      <c r="R375" s="118">
        <f>IF(OR(N375="",P375=""),"",IF(Q375&gt;Settings!$B$3/100,"UP",IF(Q375&lt;-Settings!$B$3/100,"DOWN","FLAT")))</f>
        <v/>
      </c>
      <c r="S375" s="118">
        <f>IF(OR(N375="",P375="",J375=""),"",IF(OR(AND(J375="BUY",R375="UP"),AND(J375="SELL",R375="DOWN"),AND(J375="HOLD",R375="FLAT")),"YES","NO"))</f>
        <v/>
      </c>
      <c r="T375" s="119">
        <f>IF(J375="","",IF(J375="BUY",1,IF(J375="SELL",-1,0)))</f>
        <v/>
      </c>
      <c r="U375" s="150">
        <f>IFERROR(IF(OR(J375="",N375="",P375=""),"",IF(T375=0,0,T375*Q375-Settings!$B$4/10000-IF(T375&lt;0,Settings!$B$5/10000,0))),"")</f>
        <v/>
      </c>
      <c r="V375" t="inlineStr">
        <is>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is>
      </c>
      <c r="W375" s="21">
        <f>IF($K375="","",$K375*60)</f>
        <v/>
      </c>
      <c r="X375" s="91">
        <f>IF($A375="","",$A375&amp;"|"&amp;$C375&amp;"|"&amp;$D375)</f>
        <v/>
      </c>
      <c r="Y375" s="91">
        <f>IFERROR(IF($X375="","",INDEX(LLM_Data_Entry!$H$3:$H$548,MATCH($X375,INDEX(LLM_Data_Entry!$A$3:$A$548&amp;"|"&amp;LLM_Data_Entry!$C$3:$C$548&amp;"|"&amp;LLM_Data_Entry!$D$3:$D$548,0),0))),"")</f>
        <v/>
      </c>
      <c r="Z375" s="91">
        <f>IFERROR(IF($X375="","",INDEX(LLM_Data_Entry!$R$3:$R$548,MATCH($X375,INDEX(LLM_Data_Entry!$A$3:$A$548&amp;"|"&amp;LLM_Data_Entry!$C$3:$C$548&amp;"|"&amp;LLM_Data_Entry!$D$3:$D$548,0),0))),"")</f>
        <v/>
      </c>
      <c r="AB375" t="inlineStr">
        <is>
          <t>release date + stated time</t>
        </is>
      </c>
      <c r="AC375" t="inlineStr">
        <is>
          <t>XOM</t>
        </is>
      </c>
      <c r="AD375" t="inlineStr">
        <is>
          <t>2023-04-27</t>
        </is>
      </c>
      <c r="AE375" t="n">
        <v>104.7754</v>
      </c>
      <c r="AF375" t="inlineStr">
        <is>
          <t>2023-04-28</t>
        </is>
      </c>
      <c r="AG375" t="n">
        <v>105.152</v>
      </c>
      <c r="AH375" t="n">
        <v>0.003594906008784724</v>
      </c>
      <c r="AI375" t="inlineStr">
        <is>
          <t>FLAT</t>
        </is>
      </c>
      <c r="AJ375" t="inlineStr">
        <is>
          <t>YES</t>
        </is>
      </c>
      <c r="AK375" t="n">
        <v>0</v>
      </c>
      <c r="AL375">
        <f>IF($A375="","",IFERROR(INDEX(Company_List!$G$3:$G$207,MATCH($A375,Company_List!$A$3:$A$207,0)),"unassigned"))</f>
        <v/>
      </c>
      <c r="AM375" t="inlineStr">
        <is>
          <t>Phase 2/ExxonMobil/Q1 2023/XOM-Q1-2023-press-release-SEC-EX99-1.htm; Phase 2/ExxonMobil/Q1 2023/XOM-Q1-2023-exhibit-SEC-EX99-2.htm; Phase 2/ExxonMobil/Q1 2023/XOM-Q1-2023-earnings-call-transcript-MotleyFool.html</t>
        </is>
      </c>
      <c r="AN375" t="inlineStr">
        <is>
          <t>https://www.fool.com/earnings/call-transcripts/2023/04/28/exxonmobil-xom-q1-2023-earnings-call-transcript/; https://www.sec.gov/Archives/edgar/data/34088/000003408823000028/f8k1q23991.htm; https://www.sec.gov/Archives/edgar/data/34088/000003408823000028/f8k1q23992.htm</t>
        </is>
      </c>
      <c r="AO375" t="inlineStr">
        <is>
          <t>manifest (whole bundle)</t>
        </is>
      </c>
      <c r="AP375">
        <f>IF($A375="","",IF(COUNTIFS(LLM_Data_Entry!$A$3:$A$548,$A375)&gt;0,"YES","NO"))</f>
        <v/>
      </c>
      <c r="AQ375">
        <f>IF($A375="","",IF(COUNTIFS($A$3:$A375,$A375,$C$3:$C375,$C375,$D$3:$D375,$D375)=1,"YES","NO"))</f>
        <v/>
      </c>
      <c r="AR375">
        <f>IF($A375="","",IF(AND($C375&amp;"-"&amp;$D375&gt;=Settings!$B$19,$C375&amp;"-"&amp;$D375&lt;=Settings!$B$20),"IN","OUT"))</f>
        <v/>
      </c>
      <c r="AS375">
        <f>IF($A375="","",IF($F375="Financial Results","financials",IF($F375="Outlook/Guidance","guidance",IF($F375="Transcript Q&amp;A","qanda",IF($F375="","unrecorded",IF($E375="All","full",IF($E375="","unrecorded",LOWER($E375)&amp;" only")))))))</f>
        <v/>
      </c>
      <c r="AT375">
        <f>IF(AND(OR($J375="BUY",$J375="SELL"),ISNUMBER($U375)),$U375,"")</f>
        <v/>
      </c>
      <c r="AU375">
        <f>IF(AND(OR($J375="BUY",$J375="SELL"),ISNUMBER($AK375)),$AK375,"")</f>
        <v/>
      </c>
      <c r="AV375">
        <f>IF(ISNUMBER($AT375),ABS(IF(ISNUMBER($I375),$I375,0)-Settings!$B$24),"")</f>
        <v/>
      </c>
      <c r="AW375">
        <f>IF(ISNUMBER($AV375),$AV375*$AT375,"")</f>
        <v/>
      </c>
      <c r="AX375">
        <f>IF(ISNUMBER($AU375),ABS(IF(ISNUMBER($I375),$I375,0)-Settings!$B$24),"")</f>
        <v/>
      </c>
      <c r="AY375">
        <f>IF(ISNUMBER($AX375),$AX375*$AU375,"")</f>
        <v/>
      </c>
      <c r="AZ375">
        <f>IF($A375="","",IFERROR(INDEX(Company_List!$H$3:$H$207,MATCH($A375,Company_List!$A$3:$A$207,0)),"unassigned"))</f>
        <v/>
      </c>
      <c r="BC375">
        <f>IF($A375="","",IF(COUNTIFS($A$3:$A375,$A375,$C$3:$C375,$C375,$D$3:$D375,$D375,$G$3:$G375,$G375)=1,1,0))</f>
        <v/>
      </c>
      <c r="BG375" t="inlineStr">
        <is>
          <t>no</t>
        </is>
      </c>
      <c r="BK375">
        <f>IF(OR($H375&lt;&gt;"Human",$S375="",$J375="",$Y375="",$Z375=""),"",IF(EXACT(UPPER($J375),UPPER($Y375)),1,0))</f>
        <v/>
      </c>
      <c r="BL375" t="inlineStr">
        <is>
          <t>assumed - no rater record</t>
        </is>
      </c>
      <c r="BM375" t="n">
        <v>3</v>
      </c>
      <c r="BN375" t="inlineStr">
        <is>
          <t>The Motley Fool</t>
        </is>
      </c>
      <c r="BO375" t="inlineStr">
        <is>
          <t>free to read, copyright asserted</t>
        </is>
      </c>
      <c r="BP375" t="inlineStr">
        <is>
          <t>no</t>
        </is>
      </c>
      <c r="BQ375" t="inlineStr">
        <is>
          <t>yes</t>
        </is>
      </c>
    </row>
    <row r="376">
      <c r="A376" s="1" t="inlineStr">
        <is>
          <t>ExxonMobil</t>
        </is>
      </c>
      <c r="B376" s="142">
        <f>IF(A376="","",_xlfn.XLOOKUP(A376, Company_List!$A:$A, Company_List!$B:$B, ""))</f>
        <v/>
      </c>
      <c r="C376" s="143" t="n">
        <v>2023</v>
      </c>
      <c r="D376" s="143" t="inlineStr">
        <is>
          <t>Q2</t>
        </is>
      </c>
      <c r="E376" s="98" t="inlineStr">
        <is>
          <t>All</t>
        </is>
      </c>
      <c r="F376" s="98" t="inlineStr">
        <is>
          <t>All</t>
        </is>
      </c>
      <c r="G376" s="143" t="inlineStr">
        <is>
          <t>Dragos</t>
        </is>
      </c>
      <c r="H376" s="106" t="inlineStr">
        <is>
          <t>Human</t>
        </is>
      </c>
      <c r="I376" s="145" t="n">
        <v>-0.1</v>
      </c>
      <c r="J376" s="145">
        <f>IF(OR(I376="",Settings!$B$6=""),"",IF(I376&gt;Settings!$B$6,"BUY",IF(I376&lt;-Settings!$B$6,"SELL","HOLD")))</f>
        <v/>
      </c>
      <c r="K376" s="145" t="n">
        <v>22</v>
      </c>
      <c r="L376" s="123" t="n">
        <v>45135</v>
      </c>
      <c r="M376" s="140" t="n">
        <v>45135</v>
      </c>
      <c r="N376" s="147" t="n">
        <v>104.16</v>
      </c>
      <c r="O376" s="140" t="n">
        <v>45138</v>
      </c>
      <c r="P376" s="145" t="n">
        <v>105.19</v>
      </c>
      <c r="Q376" s="151">
        <f>IF(OR(N376="",P376=""),"",ROUND((P376-N376)/N376,4))</f>
        <v/>
      </c>
      <c r="R376" s="118">
        <f>IF(OR(N376="",P376=""),"",IF(Q376&gt;Settings!$B$3/100,"UP",IF(Q376&lt;-Settings!$B$3/100,"DOWN","FLAT")))</f>
        <v/>
      </c>
      <c r="S376" s="118">
        <f>IF(OR(N376="",P376="",J376=""),"",IF(OR(AND(J376="BUY",R376="UP"),AND(J376="SELL",R376="DOWN"),AND(J376="HOLD",R376="FLAT")),"YES","NO"))</f>
        <v/>
      </c>
      <c r="T376" s="119">
        <f>IF(J376="","",IF(J376="BUY",1,IF(J376="SELL",-1,0)))</f>
        <v/>
      </c>
      <c r="U376" s="150">
        <f>IFERROR(IF(OR(J376="",N376="",P376=""),"",IF(T376=0,0,T376*Q376-Settings!$B$4/10000-IF(T376&lt;0,Settings!$B$5/10000,0))),"")</f>
        <v/>
      </c>
      <c r="V376" t="inlineStr">
        <is>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is>
      </c>
      <c r="W376" s="21">
        <f>IF($K376="","",$K376*60)</f>
        <v/>
      </c>
      <c r="X376" s="91">
        <f>IF($A376="","",$A376&amp;"|"&amp;$C376&amp;"|"&amp;$D376)</f>
        <v/>
      </c>
      <c r="Y376" s="91">
        <f>IFERROR(IF($X376="","",INDEX(LLM_Data_Entry!$H$3:$H$548,MATCH($X376,INDEX(LLM_Data_Entry!$A$3:$A$548&amp;"|"&amp;LLM_Data_Entry!$C$3:$C$548&amp;"|"&amp;LLM_Data_Entry!$D$3:$D$548,0),0))),"")</f>
        <v/>
      </c>
      <c r="Z376" s="91">
        <f>IFERROR(IF($X376="","",INDEX(LLM_Data_Entry!$R$3:$R$548,MATCH($X376,INDEX(LLM_Data_Entry!$A$3:$A$548&amp;"|"&amp;LLM_Data_Entry!$C$3:$C$548&amp;"|"&amp;LLM_Data_Entry!$D$3:$D$548,0),0))),"")</f>
        <v/>
      </c>
      <c r="AB376" t="inlineStr">
        <is>
          <t>earnings calendar, seconded by the issuer's habit</t>
        </is>
      </c>
      <c r="AC376" t="inlineStr">
        <is>
          <t>XOM</t>
        </is>
      </c>
      <c r="AD376" t="inlineStr">
        <is>
          <t>2023-07-27</t>
        </is>
      </c>
      <c r="AE376" t="n">
        <v>95.3631</v>
      </c>
      <c r="AF376" t="inlineStr">
        <is>
          <t>2023-07-28</t>
        </is>
      </c>
      <c r="AG376" t="n">
        <v>95.0827</v>
      </c>
      <c r="AH376" t="n">
        <v>-0.002940524262504416</v>
      </c>
      <c r="AI376" t="inlineStr">
        <is>
          <t>FLAT</t>
        </is>
      </c>
      <c r="AJ376" t="inlineStr">
        <is>
          <t>YES</t>
        </is>
      </c>
      <c r="AK376" t="n">
        <v>0</v>
      </c>
      <c r="AL376">
        <f>IF($A376="","",IFERROR(INDEX(Company_List!$G$3:$G$207,MATCH($A376,Company_List!$A$3:$A$207,0)),"unassigned"))</f>
        <v/>
      </c>
      <c r="AM376" t="inlineStr">
        <is>
          <t>Phase 2/ExxonMobil/Q2 2023/XOM-Q2-2023-press-release-SEC-EX99-1.htm; Phase 2/ExxonMobil/Q2 2023/XOM-Q2-2023-exhibit-SEC-EX99-2.htm; Phase 2/ExxonMobil/Q2 2023/XOM-Q2-2023-earnings-call-transcript-InsiderMonkey.html</t>
        </is>
      </c>
      <c r="AN376" t="inlineStr">
        <is>
          <t>https://www.insidermonkey.com/blog/exxon-mobil-corporation-nysexom-q2-2023-earnings-call-transcript-1173871/; https://www.sec.gov/Archives/edgar/data/34088/000003408823000046/f8k2q23991.htm; https://www.sec.gov/Archives/edgar/data/34088/000003408823000046/f8k2q23992.htm</t>
        </is>
      </c>
      <c r="AO376" t="inlineStr">
        <is>
          <t>manifest (whole bundle)</t>
        </is>
      </c>
      <c r="AP376">
        <f>IF($A376="","",IF(COUNTIFS(LLM_Data_Entry!$A$3:$A$548,$A376)&gt;0,"YES","NO"))</f>
        <v/>
      </c>
      <c r="AQ376">
        <f>IF($A376="","",IF(COUNTIFS($A$3:$A376,$A376,$C$3:$C376,$C376,$D$3:$D376,$D376)=1,"YES","NO"))</f>
        <v/>
      </c>
      <c r="AR376">
        <f>IF($A376="","",IF(AND($C376&amp;"-"&amp;$D376&gt;=Settings!$B$19,$C376&amp;"-"&amp;$D376&lt;=Settings!$B$20),"IN","OUT"))</f>
        <v/>
      </c>
      <c r="AS376">
        <f>IF($A376="","",IF($F376="Financial Results","financials",IF($F376="Outlook/Guidance","guidance",IF($F376="Transcript Q&amp;A","qanda",IF($F376="","unrecorded",IF($E376="All","full",IF($E376="","unrecorded",LOWER($E376)&amp;" only")))))))</f>
        <v/>
      </c>
      <c r="AT376">
        <f>IF(AND(OR($J376="BUY",$J376="SELL"),ISNUMBER($U376)),$U376,"")</f>
        <v/>
      </c>
      <c r="AU376">
        <f>IF(AND(OR($J376="BUY",$J376="SELL"),ISNUMBER($AK376)),$AK376,"")</f>
        <v/>
      </c>
      <c r="AV376">
        <f>IF(ISNUMBER($AT376),ABS(IF(ISNUMBER($I376),$I376,0)-Settings!$B$24),"")</f>
        <v/>
      </c>
      <c r="AW376">
        <f>IF(ISNUMBER($AV376),$AV376*$AT376,"")</f>
        <v/>
      </c>
      <c r="AX376">
        <f>IF(ISNUMBER($AU376),ABS(IF(ISNUMBER($I376),$I376,0)-Settings!$B$24),"")</f>
        <v/>
      </c>
      <c r="AY376">
        <f>IF(ISNUMBER($AX376),$AX376*$AU376,"")</f>
        <v/>
      </c>
      <c r="AZ376">
        <f>IF($A376="","",IFERROR(INDEX(Company_List!$H$3:$H$207,MATCH($A376,Company_List!$A$3:$A$207,0)),"unassigned"))</f>
        <v/>
      </c>
      <c r="BC376">
        <f>IF($A376="","",IF(COUNTIFS($A$3:$A376,$A376,$C$3:$C376,$C376,$D$3:$D376,$D376,$G$3:$G376,$G376)=1,1,0))</f>
        <v/>
      </c>
      <c r="BG376" t="inlineStr">
        <is>
          <t>no</t>
        </is>
      </c>
      <c r="BK376">
        <f>IF(OR($H376&lt;&gt;"Human",$S376="",$J376="",$Y376="",$Z376=""),"",IF(EXACT(UPPER($J376),UPPER($Y376)),1,0))</f>
        <v/>
      </c>
      <c r="BL376" t="inlineStr">
        <is>
          <t>assumed - no rater record</t>
        </is>
      </c>
      <c r="BM376" t="n">
        <v>3</v>
      </c>
      <c r="BN376" t="inlineStr">
        <is>
          <t>Insider Monkey (Koala Guide LLC)</t>
        </is>
      </c>
      <c r="BO376" t="inlineStr">
        <is>
          <t>free to read, copyright asserted</t>
        </is>
      </c>
      <c r="BP376" t="inlineStr">
        <is>
          <t>no</t>
        </is>
      </c>
      <c r="BQ376" t="inlineStr">
        <is>
          <t>yes</t>
        </is>
      </c>
    </row>
    <row r="377">
      <c r="A377" s="1" t="inlineStr">
        <is>
          <t>ExxonMobil</t>
        </is>
      </c>
      <c r="B377" s="142">
        <f>IF(A377="","",_xlfn.XLOOKUP(A377, Company_List!$A:$A, Company_List!$B:$B, ""))</f>
        <v/>
      </c>
      <c r="C377" s="143" t="n">
        <v>2023</v>
      </c>
      <c r="D377" s="143" t="inlineStr">
        <is>
          <t>Q3</t>
        </is>
      </c>
      <c r="E377" s="98" t="inlineStr">
        <is>
          <t>All</t>
        </is>
      </c>
      <c r="F377" s="98" t="inlineStr">
        <is>
          <t>All</t>
        </is>
      </c>
      <c r="G377" s="143" t="inlineStr">
        <is>
          <t>Dragos</t>
        </is>
      </c>
      <c r="H377" s="106" t="inlineStr">
        <is>
          <t>Human</t>
        </is>
      </c>
      <c r="I377" s="145" t="n">
        <v>0.1</v>
      </c>
      <c r="J377" s="145">
        <f>IF(OR(I377="",Settings!$B$6=""),"",IF(I377&gt;Settings!$B$6,"BUY",IF(I377&lt;-Settings!$B$6,"SELL","HOLD")))</f>
        <v/>
      </c>
      <c r="K377" s="145" t="n">
        <v>21</v>
      </c>
      <c r="L377" s="123" t="n">
        <v>45226</v>
      </c>
      <c r="M377" s="140" t="n">
        <v>45226</v>
      </c>
      <c r="N377" s="147" t="n">
        <v>105.55</v>
      </c>
      <c r="O377" s="140" t="n">
        <v>45229</v>
      </c>
      <c r="P377" s="145" t="n">
        <v>105.74</v>
      </c>
      <c r="Q377" s="151">
        <f>IF(OR(N377="",P377=""),"",ROUND((P377-N377)/N377,4))</f>
        <v/>
      </c>
      <c r="R377" s="118">
        <f>IF(OR(N377="",P377=""),"",IF(Q377&gt;Settings!$B$3/100,"UP",IF(Q377&lt;-Settings!$B$3/100,"DOWN","FLAT")))</f>
        <v/>
      </c>
      <c r="S377" s="118">
        <f>IF(OR(N377="",P377="",J377=""),"",IF(OR(AND(J377="BUY",R377="UP"),AND(J377="SELL",R377="DOWN"),AND(J377="HOLD",R377="FLAT")),"YES","NO"))</f>
        <v/>
      </c>
      <c r="T377" s="119">
        <f>IF(J377="","",IF(J377="BUY",1,IF(J377="SELL",-1,0)))</f>
        <v/>
      </c>
      <c r="U377" s="150">
        <f>IFERROR(IF(OR(J377="",N377="",P377=""),"",IF(T377=0,0,T377*Q377-Settings!$B$4/10000-IF(T377&lt;0,Settings!$B$5/10000,0))),"")</f>
        <v/>
      </c>
      <c r="V377" t="inlineStr">
        <is>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is>
      </c>
      <c r="W377" s="21">
        <f>IF($K377="","",$K377*60)</f>
        <v/>
      </c>
      <c r="X377" s="91">
        <f>IF($A377="","",$A377&amp;"|"&amp;$C377&amp;"|"&amp;$D377)</f>
        <v/>
      </c>
      <c r="Y377" s="91">
        <f>IFERROR(IF($X377="","",INDEX(LLM_Data_Entry!$H$3:$H$548,MATCH($X377,INDEX(LLM_Data_Entry!$A$3:$A$548&amp;"|"&amp;LLM_Data_Entry!$C$3:$C$548&amp;"|"&amp;LLM_Data_Entry!$D$3:$D$548,0),0))),"")</f>
        <v/>
      </c>
      <c r="Z377" s="91">
        <f>IFERROR(IF($X377="","",INDEX(LLM_Data_Entry!$R$3:$R$548,MATCH($X377,INDEX(LLM_Data_Entry!$A$3:$A$548&amp;"|"&amp;LLM_Data_Entry!$C$3:$C$548&amp;"|"&amp;LLM_Data_Entry!$D$3:$D$548,0),0))),"")</f>
        <v/>
      </c>
      <c r="AB377" t="inlineStr">
        <is>
          <t>release date + stated time</t>
        </is>
      </c>
      <c r="AC377" t="inlineStr">
        <is>
          <t>XOM</t>
        </is>
      </c>
      <c r="AD377" t="inlineStr">
        <is>
          <t>2023-10-26</t>
        </is>
      </c>
      <c r="AE377" t="n">
        <v>98.133</v>
      </c>
      <c r="AF377" t="inlineStr">
        <is>
          <t>2023-10-27</t>
        </is>
      </c>
      <c r="AG377" t="n">
        <v>99.3095</v>
      </c>
      <c r="AH377" t="n">
        <v>0.01198902046479213</v>
      </c>
      <c r="AI377" t="inlineStr">
        <is>
          <t>FLAT</t>
        </is>
      </c>
      <c r="AJ377" t="inlineStr">
        <is>
          <t>YES</t>
        </is>
      </c>
      <c r="AK377" t="n">
        <v>0</v>
      </c>
      <c r="AL377">
        <f>IF($A377="","",IFERROR(INDEX(Company_List!$G$3:$G$207,MATCH($A377,Company_List!$A$3:$A$207,0)),"unassigned"))</f>
        <v/>
      </c>
      <c r="AM377" t="inlineStr">
        <is>
          <t>Phase 2/ExxonMobil/Q3 2023/XOM-Q3-2023-press-release-SEC-EX99-1.htm; Phase 2/ExxonMobil/Q3 2023/XOM-Q3-2023-exhibit-SEC-EX99-2.htm; Phase 2/ExxonMobil/Q3 2023/XOM-Q3-2023-earnings-call-transcript-MotleyFool.html</t>
        </is>
      </c>
      <c r="AN377" t="inlineStr">
        <is>
          <t>https://www.fool.com/earnings/call-transcripts/2023/10/27/exxonmobil-xom-q3-2023-earnings-call-transcript/; https://www.sec.gov/Archives/edgar/data/34088/000003408823000054/f8k3q23991.htm; https://www.sec.gov/Archives/edgar/data/34088/000003408823000054/f8k3q23992.htm</t>
        </is>
      </c>
      <c r="AO377" t="inlineStr">
        <is>
          <t>manifest (whole bundle)</t>
        </is>
      </c>
      <c r="AP377">
        <f>IF($A377="","",IF(COUNTIFS(LLM_Data_Entry!$A$3:$A$548,$A377)&gt;0,"YES","NO"))</f>
        <v/>
      </c>
      <c r="AQ377">
        <f>IF($A377="","",IF(COUNTIFS($A$3:$A377,$A377,$C$3:$C377,$C377,$D$3:$D377,$D377)=1,"YES","NO"))</f>
        <v/>
      </c>
      <c r="AR377">
        <f>IF($A377="","",IF(AND($C377&amp;"-"&amp;$D377&gt;=Settings!$B$19,$C377&amp;"-"&amp;$D377&lt;=Settings!$B$20),"IN","OUT"))</f>
        <v/>
      </c>
      <c r="AS377">
        <f>IF($A377="","",IF($F377="Financial Results","financials",IF($F377="Outlook/Guidance","guidance",IF($F377="Transcript Q&amp;A","qanda",IF($F377="","unrecorded",IF($E377="All","full",IF($E377="","unrecorded",LOWER($E377)&amp;" only")))))))</f>
        <v/>
      </c>
      <c r="AT377">
        <f>IF(AND(OR($J377="BUY",$J377="SELL"),ISNUMBER($U377)),$U377,"")</f>
        <v/>
      </c>
      <c r="AU377">
        <f>IF(AND(OR($J377="BUY",$J377="SELL"),ISNUMBER($AK377)),$AK377,"")</f>
        <v/>
      </c>
      <c r="AV377">
        <f>IF(ISNUMBER($AT377),ABS(IF(ISNUMBER($I377),$I377,0)-Settings!$B$24),"")</f>
        <v/>
      </c>
      <c r="AW377">
        <f>IF(ISNUMBER($AV377),$AV377*$AT377,"")</f>
        <v/>
      </c>
      <c r="AX377">
        <f>IF(ISNUMBER($AU377),ABS(IF(ISNUMBER($I377),$I377,0)-Settings!$B$24),"")</f>
        <v/>
      </c>
      <c r="AY377">
        <f>IF(ISNUMBER($AX377),$AX377*$AU377,"")</f>
        <v/>
      </c>
      <c r="AZ377">
        <f>IF($A377="","",IFERROR(INDEX(Company_List!$H$3:$H$207,MATCH($A377,Company_List!$A$3:$A$207,0)),"unassigned"))</f>
        <v/>
      </c>
      <c r="BC377">
        <f>IF($A377="","",IF(COUNTIFS($A$3:$A377,$A377,$C$3:$C377,$C377,$D$3:$D377,$D377,$G$3:$G377,$G377)=1,1,0))</f>
        <v/>
      </c>
      <c r="BG377" t="inlineStr">
        <is>
          <t>no</t>
        </is>
      </c>
      <c r="BK377">
        <f>IF(OR($H377&lt;&gt;"Human",$S377="",$J377="",$Y377="",$Z377=""),"",IF(EXACT(UPPER($J377),UPPER($Y377)),1,0))</f>
        <v/>
      </c>
      <c r="BL377" t="inlineStr">
        <is>
          <t>assumed - no rater record</t>
        </is>
      </c>
      <c r="BM377" t="n">
        <v>3</v>
      </c>
      <c r="BN377" t="inlineStr">
        <is>
          <t>The Motley Fool</t>
        </is>
      </c>
      <c r="BO377" t="inlineStr">
        <is>
          <t>free to read, copyright asserted</t>
        </is>
      </c>
      <c r="BP377" t="inlineStr">
        <is>
          <t>no</t>
        </is>
      </c>
      <c r="BQ377" t="inlineStr">
        <is>
          <t>yes</t>
        </is>
      </c>
    </row>
    <row r="378">
      <c r="A378" s="1" t="inlineStr">
        <is>
          <t>ExxonMobil</t>
        </is>
      </c>
      <c r="B378" s="142">
        <f>IF(A378="","",_xlfn.XLOOKUP(A378, Company_List!$A:$A, Company_List!$B:$B, ""))</f>
        <v/>
      </c>
      <c r="C378" s="143" t="n">
        <v>2023</v>
      </c>
      <c r="D378" s="143" t="inlineStr">
        <is>
          <t>Q4</t>
        </is>
      </c>
      <c r="E378" s="98" t="inlineStr">
        <is>
          <t>All</t>
        </is>
      </c>
      <c r="F378" s="98" t="inlineStr">
        <is>
          <t>All</t>
        </is>
      </c>
      <c r="G378" s="143" t="inlineStr">
        <is>
          <t>Dragos</t>
        </is>
      </c>
      <c r="H378" s="106" t="inlineStr">
        <is>
          <t>Human</t>
        </is>
      </c>
      <c r="I378" s="145" t="n">
        <v>-0.1</v>
      </c>
      <c r="J378" s="145">
        <f>IF(OR(I378="",Settings!$B$6=""),"",IF(I378&gt;Settings!$B$6,"BUY",IF(I378&lt;-Settings!$B$6,"SELL","HOLD")))</f>
        <v/>
      </c>
      <c r="K378" s="145" t="n">
        <v>23</v>
      </c>
      <c r="L378" s="123" t="n">
        <v>45324</v>
      </c>
      <c r="M378" s="140" t="n">
        <v>45324</v>
      </c>
      <c r="N378" s="147" t="n">
        <v>101.97</v>
      </c>
      <c r="O378" s="140" t="n">
        <v>45327</v>
      </c>
      <c r="P378" s="145" t="n">
        <v>101.45</v>
      </c>
      <c r="Q378" s="151">
        <f>IF(OR(N378="",P378=""),"",ROUND((P378-N378)/N378,4))</f>
        <v/>
      </c>
      <c r="R378" s="118">
        <f>IF(OR(N378="",P378=""),"",IF(Q378&gt;Settings!$B$3/100,"UP",IF(Q378&lt;-Settings!$B$3/100,"DOWN","FLAT")))</f>
        <v/>
      </c>
      <c r="S378" s="118">
        <f>IF(OR(N378="",P378="",J378=""),"",IF(OR(AND(J378="BUY",R378="UP"),AND(J378="SELL",R378="DOWN"),AND(J378="HOLD",R378="FLAT")),"YES","NO"))</f>
        <v/>
      </c>
      <c r="T378" s="119">
        <f>IF(J378="","",IF(J378="BUY",1,IF(J378="SELL",-1,0)))</f>
        <v/>
      </c>
      <c r="U378" s="150">
        <f>IFERROR(IF(OR(J378="",N378="",P378=""),"",IF(T378=0,0,T378*Q378-Settings!$B$4/10000-IF(T378&lt;0,Settings!$B$5/10000,0))),"")</f>
        <v/>
      </c>
      <c r="V378" t="inlineStr">
        <is>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is>
      </c>
      <c r="W378" s="21">
        <f>IF($K378="","",$K378*60)</f>
        <v/>
      </c>
      <c r="X378" s="91">
        <f>IF($A378="","",$A378&amp;"|"&amp;$C378&amp;"|"&amp;$D378)</f>
        <v/>
      </c>
      <c r="Y378" s="91">
        <f>IFERROR(IF($X378="","",INDEX(LLM_Data_Entry!$H$3:$H$548,MATCH($X378,INDEX(LLM_Data_Entry!$A$3:$A$548&amp;"|"&amp;LLM_Data_Entry!$C$3:$C$548&amp;"|"&amp;LLM_Data_Entry!$D$3:$D$548,0),0))),"")</f>
        <v/>
      </c>
      <c r="Z378" s="91">
        <f>IFERROR(IF($X378="","",INDEX(LLM_Data_Entry!$R$3:$R$548,MATCH($X378,INDEX(LLM_Data_Entry!$A$3:$A$548&amp;"|"&amp;LLM_Data_Entry!$C$3:$C$548&amp;"|"&amp;LLM_Data_Entry!$D$3:$D$548,0),0))),"")</f>
        <v/>
      </c>
      <c r="AB378" t="inlineStr">
        <is>
          <t>document date + price signal</t>
        </is>
      </c>
      <c r="AC378" t="inlineStr">
        <is>
          <t>XOM</t>
        </is>
      </c>
      <c r="AD378" t="inlineStr">
        <is>
          <t>2024-02-01</t>
        </is>
      </c>
      <c r="AE378" t="n">
        <v>94.2353</v>
      </c>
      <c r="AF378" t="inlineStr">
        <is>
          <t>2024-02-02</t>
        </is>
      </c>
      <c r="AG378" t="n">
        <v>95.48699999999999</v>
      </c>
      <c r="AH378" t="n">
        <v>0.01328252329581465</v>
      </c>
      <c r="AI378" t="inlineStr">
        <is>
          <t>FLAT</t>
        </is>
      </c>
      <c r="AJ378" t="inlineStr">
        <is>
          <t>YES</t>
        </is>
      </c>
      <c r="AK378" t="n">
        <v>0</v>
      </c>
      <c r="AL378">
        <f>IF($A378="","",IFERROR(INDEX(Company_List!$G$3:$G$207,MATCH($A378,Company_List!$A$3:$A$207,0)),"unassigned"))</f>
        <v/>
      </c>
      <c r="AM378" t="inlineStr">
        <is>
          <t>Phase 2/ExxonMobil/Q4 2023/XOM-Q4-2023-press-release-SEC-EX99-1.htm; Phase 2/ExxonMobil/Q4 2023/XOM-Q4-2023-exhibit-SEC-EX99-2.htm; Phase 2/ExxonMobil/Q4 2023/XOM-Q4-2023-earnings-call-transcript-InsiderMonkey.html</t>
        </is>
      </c>
      <c r="AN378" t="inlineStr">
        <is>
          <t>https://www.insidermonkey.com/blog/exxon-mobil-corporation-nysexom-q4-2023-earnings-call-transcript-1253330/; https://www.sec.gov/Archives/edgar/data/34088/000003408824000007/f8k4q23991.htm; https://www.sec.gov/Archives/edgar/data/34088/000003408824000007/f8k4q23992.htm</t>
        </is>
      </c>
      <c r="AO378" t="inlineStr">
        <is>
          <t>manifest (whole bundle)</t>
        </is>
      </c>
      <c r="AP378">
        <f>IF($A378="","",IF(COUNTIFS(LLM_Data_Entry!$A$3:$A$548,$A378)&gt;0,"YES","NO"))</f>
        <v/>
      </c>
      <c r="AQ378">
        <f>IF($A378="","",IF(COUNTIFS($A$3:$A378,$A378,$C$3:$C378,$C378,$D$3:$D378,$D378)=1,"YES","NO"))</f>
        <v/>
      </c>
      <c r="AR378">
        <f>IF($A378="","",IF(AND($C378&amp;"-"&amp;$D378&gt;=Settings!$B$19,$C378&amp;"-"&amp;$D378&lt;=Settings!$B$20),"IN","OUT"))</f>
        <v/>
      </c>
      <c r="AS378">
        <f>IF($A378="","",IF($F378="Financial Results","financials",IF($F378="Outlook/Guidance","guidance",IF($F378="Transcript Q&amp;A","qanda",IF($F378="","unrecorded",IF($E378="All","full",IF($E378="","unrecorded",LOWER($E378)&amp;" only")))))))</f>
        <v/>
      </c>
      <c r="AT378">
        <f>IF(AND(OR($J378="BUY",$J378="SELL"),ISNUMBER($U378)),$U378,"")</f>
        <v/>
      </c>
      <c r="AU378">
        <f>IF(AND(OR($J378="BUY",$J378="SELL"),ISNUMBER($AK378)),$AK378,"")</f>
        <v/>
      </c>
      <c r="AV378">
        <f>IF(ISNUMBER($AT378),ABS(IF(ISNUMBER($I378),$I378,0)-Settings!$B$24),"")</f>
        <v/>
      </c>
      <c r="AW378">
        <f>IF(ISNUMBER($AV378),$AV378*$AT378,"")</f>
        <v/>
      </c>
      <c r="AX378">
        <f>IF(ISNUMBER($AU378),ABS(IF(ISNUMBER($I378),$I378,0)-Settings!$B$24),"")</f>
        <v/>
      </c>
      <c r="AY378">
        <f>IF(ISNUMBER($AX378),$AX378*$AU378,"")</f>
        <v/>
      </c>
      <c r="AZ378">
        <f>IF($A378="","",IFERROR(INDEX(Company_List!$H$3:$H$207,MATCH($A378,Company_List!$A$3:$A$207,0)),"unassigned"))</f>
        <v/>
      </c>
      <c r="BC378">
        <f>IF($A378="","",IF(COUNTIFS($A$3:$A378,$A378,$C$3:$C378,$C378,$D$3:$D378,$D378,$G$3:$G378,$G378)=1,1,0))</f>
        <v/>
      </c>
      <c r="BG378" t="inlineStr">
        <is>
          <t>no</t>
        </is>
      </c>
      <c r="BK378">
        <f>IF(OR($H378&lt;&gt;"Human",$S378="",$J378="",$Y378="",$Z378=""),"",IF(EXACT(UPPER($J378),UPPER($Y378)),1,0))</f>
        <v/>
      </c>
      <c r="BL378" t="inlineStr">
        <is>
          <t>assumed - no rater record</t>
        </is>
      </c>
      <c r="BM378" t="n">
        <v>3</v>
      </c>
      <c r="BN378" t="inlineStr">
        <is>
          <t>Insider Monkey (Koala Guide LLC)</t>
        </is>
      </c>
      <c r="BO378" t="inlineStr">
        <is>
          <t>free to read, copyright asserted</t>
        </is>
      </c>
      <c r="BP378" t="inlineStr">
        <is>
          <t>no</t>
        </is>
      </c>
      <c r="BQ378" t="inlineStr">
        <is>
          <t>yes</t>
        </is>
      </c>
    </row>
    <row r="379">
      <c r="A379" s="1" t="inlineStr">
        <is>
          <t>ExxonMobil</t>
        </is>
      </c>
      <c r="B379" s="142">
        <f>IF(A379="","",_xlfn.XLOOKUP(A379, Company_List!$A:$A, Company_List!$B:$B, ""))</f>
        <v/>
      </c>
      <c r="C379" s="143" t="n">
        <v>2024</v>
      </c>
      <c r="D379" s="143" t="inlineStr">
        <is>
          <t>Q1</t>
        </is>
      </c>
      <c r="E379" s="98" t="inlineStr">
        <is>
          <t>All</t>
        </is>
      </c>
      <c r="F379" s="98" t="inlineStr">
        <is>
          <t>All</t>
        </is>
      </c>
      <c r="G379" s="143" t="inlineStr">
        <is>
          <t>Dragos</t>
        </is>
      </c>
      <c r="H379" s="106" t="inlineStr">
        <is>
          <t>Human</t>
        </is>
      </c>
      <c r="I379" s="145" t="n">
        <v>0.2</v>
      </c>
      <c r="J379" s="145">
        <f>IF(OR(I379="",Settings!$B$6=""),"",IF(I379&gt;Settings!$B$6,"BUY",IF(I379&lt;-Settings!$B$6,"SELL","HOLD")))</f>
        <v/>
      </c>
      <c r="K379" s="145" t="n">
        <v>21</v>
      </c>
      <c r="L379" s="123" t="n">
        <v>45408</v>
      </c>
      <c r="M379" s="140" t="n">
        <v>45408</v>
      </c>
      <c r="N379" s="147" t="n">
        <v>117.96</v>
      </c>
      <c r="O379" s="140" t="n">
        <v>45411</v>
      </c>
      <c r="P379" s="145" t="n">
        <v>117.76</v>
      </c>
      <c r="Q379" s="151">
        <f>IF(OR(N379="",P379=""),"",ROUND((P379-N379)/N379,4))</f>
        <v/>
      </c>
      <c r="R379" s="118">
        <f>IF(OR(N379="",P379=""),"",IF(Q379&gt;Settings!$B$3/100,"UP",IF(Q379&lt;-Settings!$B$3/100,"DOWN","FLAT")))</f>
        <v/>
      </c>
      <c r="S379" s="118">
        <f>IF(OR(N379="",P379="",J379=""),"",IF(OR(AND(J379="BUY",R379="UP"),AND(J379="SELL",R379="DOWN"),AND(J379="HOLD",R379="FLAT")),"YES","NO"))</f>
        <v/>
      </c>
      <c r="T379" s="119">
        <f>IF(J379="","",IF(J379="BUY",1,IF(J379="SELL",-1,0)))</f>
        <v/>
      </c>
      <c r="U379" s="150">
        <f>IFERROR(IF(OR(J379="",N379="",P379=""),"",IF(T379=0,0,T379*Q379-Settings!$B$4/10000-IF(T379&lt;0,Settings!$B$5/10000,0))),"")</f>
        <v/>
      </c>
      <c r="V379" t="inlineStr">
        <is>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is>
      </c>
      <c r="W379" s="21">
        <f>IF($K379="","",$K379*60)</f>
        <v/>
      </c>
      <c r="X379" s="91">
        <f>IF($A379="","",$A379&amp;"|"&amp;$C379&amp;"|"&amp;$D379)</f>
        <v/>
      </c>
      <c r="Y379" s="91">
        <f>IFERROR(IF($X379="","",INDEX(LLM_Data_Entry!$H$3:$H$548,MATCH($X379,INDEX(LLM_Data_Entry!$A$3:$A$548&amp;"|"&amp;LLM_Data_Entry!$C$3:$C$548&amp;"|"&amp;LLM_Data_Entry!$D$3:$D$548,0),0))),"")</f>
        <v/>
      </c>
      <c r="Z379" s="91">
        <f>IFERROR(IF($X379="","",INDEX(LLM_Data_Entry!$R$3:$R$548,MATCH($X379,INDEX(LLM_Data_Entry!$A$3:$A$548&amp;"|"&amp;LLM_Data_Entry!$C$3:$C$548&amp;"|"&amp;LLM_Data_Entry!$D$3:$D$548,0),0))),"")</f>
        <v/>
      </c>
      <c r="AB379" t="inlineStr">
        <is>
          <t>release date + stated time</t>
        </is>
      </c>
      <c r="AC379" t="inlineStr">
        <is>
          <t>XOM</t>
        </is>
      </c>
      <c r="AD379" t="inlineStr">
        <is>
          <t>2024-04-25</t>
        </is>
      </c>
      <c r="AE379" t="n">
        <v>112.7047</v>
      </c>
      <c r="AF379" t="inlineStr">
        <is>
          <t>2024-04-26</t>
        </is>
      </c>
      <c r="AG379" t="n">
        <v>110.5403</v>
      </c>
      <c r="AH379" t="n">
        <v>-0.01920386323237336</v>
      </c>
      <c r="AI379" t="inlineStr">
        <is>
          <t>FLAT</t>
        </is>
      </c>
      <c r="AJ379" t="inlineStr">
        <is>
          <t>YES</t>
        </is>
      </c>
      <c r="AK379" t="n">
        <v>0</v>
      </c>
      <c r="AL379">
        <f>IF($A379="","",IFERROR(INDEX(Company_List!$G$3:$G$207,MATCH($A379,Company_List!$A$3:$A$207,0)),"unassigned"))</f>
        <v/>
      </c>
      <c r="AM379" t="inlineStr">
        <is>
          <t>Phase 2/ExxonMobil/Q1 2024/XOM-Q1-2024-press-release-SEC-EX99-1.htm; Phase 2/ExxonMobil/Q1 2024/XOM-Q1-2024-exhibit-SEC-EX99-2.htm; Phase 2/ExxonMobil/Q1 2024/XOM-Q1-2024-earnings-call-transcript-MotleyFool.html</t>
        </is>
      </c>
      <c r="AN379" t="inlineStr">
        <is>
          <t>https://www.fool.com/earnings/call-transcripts/2024/04/26/exxonmobil-xom-q1-2024-earnings-call-transcript/; https://www.sec.gov/Archives/edgar/data/34088/000003408824000025/f8k1q24991.htm; https://www.sec.gov/Archives/edgar/data/34088/000003408824000025/f8k1q24992.htm</t>
        </is>
      </c>
      <c r="AO379" t="inlineStr">
        <is>
          <t>manifest (whole bundle)</t>
        </is>
      </c>
      <c r="AP379">
        <f>IF($A379="","",IF(COUNTIFS(LLM_Data_Entry!$A$3:$A$548,$A379)&gt;0,"YES","NO"))</f>
        <v/>
      </c>
      <c r="AQ379">
        <f>IF($A379="","",IF(COUNTIFS($A$3:$A379,$A379,$C$3:$C379,$C379,$D$3:$D379,$D379)=1,"YES","NO"))</f>
        <v/>
      </c>
      <c r="AR379">
        <f>IF($A379="","",IF(AND($C379&amp;"-"&amp;$D379&gt;=Settings!$B$19,$C379&amp;"-"&amp;$D379&lt;=Settings!$B$20),"IN","OUT"))</f>
        <v/>
      </c>
      <c r="AS379">
        <f>IF($A379="","",IF($F379="Financial Results","financials",IF($F379="Outlook/Guidance","guidance",IF($F379="Transcript Q&amp;A","qanda",IF($F379="","unrecorded",IF($E379="All","full",IF($E379="","unrecorded",LOWER($E379)&amp;" only")))))))</f>
        <v/>
      </c>
      <c r="AT379">
        <f>IF(AND(OR($J379="BUY",$J379="SELL"),ISNUMBER($U379)),$U379,"")</f>
        <v/>
      </c>
      <c r="AU379">
        <f>IF(AND(OR($J379="BUY",$J379="SELL"),ISNUMBER($AK379)),$AK379,"")</f>
        <v/>
      </c>
      <c r="AV379">
        <f>IF(ISNUMBER($AT379),ABS(IF(ISNUMBER($I379),$I379,0)-Settings!$B$24),"")</f>
        <v/>
      </c>
      <c r="AW379">
        <f>IF(ISNUMBER($AV379),$AV379*$AT379,"")</f>
        <v/>
      </c>
      <c r="AX379">
        <f>IF(ISNUMBER($AU379),ABS(IF(ISNUMBER($I379),$I379,0)-Settings!$B$24),"")</f>
        <v/>
      </c>
      <c r="AY379">
        <f>IF(ISNUMBER($AX379),$AX379*$AU379,"")</f>
        <v/>
      </c>
      <c r="AZ379">
        <f>IF($A379="","",IFERROR(INDEX(Company_List!$H$3:$H$207,MATCH($A379,Company_List!$A$3:$A$207,0)),"unassigned"))</f>
        <v/>
      </c>
      <c r="BC379">
        <f>IF($A379="","",IF(COUNTIFS($A$3:$A379,$A379,$C$3:$C379,$C379,$D$3:$D379,$D379,$G$3:$G379,$G379)=1,1,0))</f>
        <v/>
      </c>
      <c r="BG379" t="inlineStr">
        <is>
          <t>no</t>
        </is>
      </c>
      <c r="BK379">
        <f>IF(OR($H379&lt;&gt;"Human",$S379="",$J379="",$Y379="",$Z379=""),"",IF(EXACT(UPPER($J379),UPPER($Y379)),1,0))</f>
        <v/>
      </c>
      <c r="BL379" t="inlineStr">
        <is>
          <t>assumed - no rater record</t>
        </is>
      </c>
      <c r="BM379" t="n">
        <v>3</v>
      </c>
      <c r="BN379" t="inlineStr">
        <is>
          <t>The Motley Fool</t>
        </is>
      </c>
      <c r="BO379" t="inlineStr">
        <is>
          <t>free to read, copyright asserted</t>
        </is>
      </c>
      <c r="BP379" t="inlineStr">
        <is>
          <t>no</t>
        </is>
      </c>
      <c r="BQ379" t="inlineStr">
        <is>
          <t>yes</t>
        </is>
      </c>
    </row>
    <row r="380">
      <c r="A380" s="1" t="inlineStr">
        <is>
          <t>ExxonMobil</t>
        </is>
      </c>
      <c r="B380" s="142">
        <f>IF(A380="","",_xlfn.XLOOKUP(A380, Company_List!$A:$A, Company_List!$B:$B, ""))</f>
        <v/>
      </c>
      <c r="C380" s="143" t="n">
        <v>2024</v>
      </c>
      <c r="D380" s="143" t="inlineStr">
        <is>
          <t>Q2</t>
        </is>
      </c>
      <c r="E380" s="98" t="inlineStr">
        <is>
          <t>All</t>
        </is>
      </c>
      <c r="F380" s="98" t="inlineStr">
        <is>
          <t>All</t>
        </is>
      </c>
      <c r="G380" s="143" t="inlineStr">
        <is>
          <t>Dragos</t>
        </is>
      </c>
      <c r="H380" s="106" t="inlineStr">
        <is>
          <t>Human</t>
        </is>
      </c>
      <c r="I380" s="145" t="n">
        <v>0.6</v>
      </c>
      <c r="J380" s="145">
        <f>IF(OR(I380="",Settings!$B$6=""),"",IF(I380&gt;Settings!$B$6,"BUY",IF(I380&lt;-Settings!$B$6,"SELL","HOLD")))</f>
        <v/>
      </c>
      <c r="K380" s="145" t="n">
        <v>19</v>
      </c>
      <c r="L380" s="123" t="n">
        <v>45506</v>
      </c>
      <c r="M380" s="140" t="n">
        <v>45506</v>
      </c>
      <c r="N380" s="147" t="n">
        <v>116.88</v>
      </c>
      <c r="O380" s="140" t="n">
        <v>45509</v>
      </c>
      <c r="P380" s="145" t="n">
        <v>115.54</v>
      </c>
      <c r="Q380" s="151">
        <f>IF(OR(N380="",P380=""),"",ROUND((P380-N380)/N380,4))</f>
        <v/>
      </c>
      <c r="R380" s="118">
        <f>IF(OR(N380="",P380=""),"",IF(Q380&gt;Settings!$B$3/100,"UP",IF(Q380&lt;-Settings!$B$3/100,"DOWN","FLAT")))</f>
        <v/>
      </c>
      <c r="S380" s="118">
        <f>IF(OR(N380="",P380="",J380=""),"",IF(OR(AND(J380="BUY",R380="UP"),AND(J380="SELL",R380="DOWN"),AND(J380="HOLD",R380="FLAT")),"YES","NO"))</f>
        <v/>
      </c>
      <c r="T380" s="119">
        <f>IF(J380="","",IF(J380="BUY",1,IF(J380="SELL",-1,0)))</f>
        <v/>
      </c>
      <c r="U380" s="150">
        <f>IFERROR(IF(OR(J380="",N380="",P380=""),"",IF(T380=0,0,T380*Q380-Settings!$B$4/10000-IF(T380&lt;0,Settings!$B$5/10000,0))),"")</f>
        <v/>
      </c>
      <c r="V380" t="inlineStr">
        <is>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is>
      </c>
      <c r="W380" s="21">
        <f>IF($K380="","",$K380*60)</f>
        <v/>
      </c>
      <c r="X380" s="91">
        <f>IF($A380="","",$A380&amp;"|"&amp;$C380&amp;"|"&amp;$D380)</f>
        <v/>
      </c>
      <c r="Y380" s="91">
        <f>IFERROR(IF($X380="","",INDEX(LLM_Data_Entry!$H$3:$H$548,MATCH($X380,INDEX(LLM_Data_Entry!$A$3:$A$548&amp;"|"&amp;LLM_Data_Entry!$C$3:$C$548&amp;"|"&amp;LLM_Data_Entry!$D$3:$D$548,0),0))),"")</f>
        <v/>
      </c>
      <c r="Z380" s="91">
        <f>IFERROR(IF($X380="","",INDEX(LLM_Data_Entry!$R$3:$R$548,MATCH($X380,INDEX(LLM_Data_Entry!$A$3:$A$548&amp;"|"&amp;LLM_Data_Entry!$C$3:$C$548&amp;"|"&amp;LLM_Data_Entry!$D$3:$D$548,0),0))),"")</f>
        <v/>
      </c>
      <c r="AB380" t="inlineStr">
        <is>
          <t>price signal — only this window shows an abnormal move</t>
        </is>
      </c>
      <c r="AC380" t="inlineStr">
        <is>
          <t>XOM</t>
        </is>
      </c>
      <c r="AD380" t="inlineStr">
        <is>
          <t>2024-08-02</t>
        </is>
      </c>
      <c r="AE380" t="n">
        <v>109.4529</v>
      </c>
      <c r="AF380" t="inlineStr">
        <is>
          <t>2024-08-05</t>
        </is>
      </c>
      <c r="AG380" t="n">
        <v>108.198</v>
      </c>
      <c r="AH380" t="n">
        <v>-0.01146473410969592</v>
      </c>
      <c r="AI380" t="inlineStr">
        <is>
          <t>FLAT</t>
        </is>
      </c>
      <c r="AJ380" t="inlineStr">
        <is>
          <t>NO</t>
        </is>
      </c>
      <c r="AK380" t="n">
        <v>-0.012465</v>
      </c>
      <c r="AL380">
        <f>IF($A380="","",IFERROR(INDEX(Company_List!$G$3:$G$207,MATCH($A380,Company_List!$A$3:$A$207,0)),"unassigned"))</f>
        <v/>
      </c>
      <c r="AM380" t="inlineStr">
        <is>
          <t>Phase 2/ExxonMobil/Q2 2024/XOM-Q2-2024-press-release-SEC-EX99-1.htm; Phase 2/ExxonMobil/Q2 2024/XOM-Q2-2024-exhibit-SEC-EX99-2.htm; Phase 2/ExxonMobil/Q2 2024/XOM-Q2-2024-earnings-call-transcript-AlphaStreet.html</t>
        </is>
      </c>
      <c r="AN380" t="inlineStr">
        <is>
          <t>https://news.alphastreet.com/exxon-mobil-corporation-xom-q2-2024-earnings-call-transcript/; https://www.sec.gov/Archives/edgar/data/34088/000003408824000048/f8k2q24991.htm; https://www.sec.gov/Archives/edgar/data/34088/000003408824000048/f8k2q24992.htm</t>
        </is>
      </c>
      <c r="AO380" t="inlineStr">
        <is>
          <t>manifest (whole bundle)</t>
        </is>
      </c>
      <c r="AP380">
        <f>IF($A380="","",IF(COUNTIFS(LLM_Data_Entry!$A$3:$A$548,$A380)&gt;0,"YES","NO"))</f>
        <v/>
      </c>
      <c r="AQ380">
        <f>IF($A380="","",IF(COUNTIFS($A$3:$A380,$A380,$C$3:$C380,$C380,$D$3:$D380,$D380)=1,"YES","NO"))</f>
        <v/>
      </c>
      <c r="AR380">
        <f>IF($A380="","",IF(AND($C380&amp;"-"&amp;$D380&gt;=Settings!$B$19,$C380&amp;"-"&amp;$D380&lt;=Settings!$B$20),"IN","OUT"))</f>
        <v/>
      </c>
      <c r="AS380">
        <f>IF($A380="","",IF($F380="Financial Results","financials",IF($F380="Outlook/Guidance","guidance",IF($F380="Transcript Q&amp;A","qanda",IF($F380="","unrecorded",IF($E380="All","full",IF($E380="","unrecorded",LOWER($E380)&amp;" only")))))))</f>
        <v/>
      </c>
      <c r="AT380">
        <f>IF(AND(OR($J380="BUY",$J380="SELL"),ISNUMBER($U380)),$U380,"")</f>
        <v/>
      </c>
      <c r="AU380">
        <f>IF(AND(OR($J380="BUY",$J380="SELL"),ISNUMBER($AK380)),$AK380,"")</f>
        <v/>
      </c>
      <c r="AV380">
        <f>IF(ISNUMBER($AT380),ABS(IF(ISNUMBER($I380),$I380,0)-Settings!$B$24),"")</f>
        <v/>
      </c>
      <c r="AW380">
        <f>IF(ISNUMBER($AV380),$AV380*$AT380,"")</f>
        <v/>
      </c>
      <c r="AX380">
        <f>IF(ISNUMBER($AU380),ABS(IF(ISNUMBER($I380),$I380,0)-Settings!$B$24),"")</f>
        <v/>
      </c>
      <c r="AY380">
        <f>IF(ISNUMBER($AX380),$AX380*$AU380,"")</f>
        <v/>
      </c>
      <c r="AZ380">
        <f>IF($A380="","",IFERROR(INDEX(Company_List!$H$3:$H$207,MATCH($A380,Company_List!$A$3:$A$207,0)),"unassigned"))</f>
        <v/>
      </c>
      <c r="BC380">
        <f>IF($A380="","",IF(COUNTIFS($A$3:$A380,$A380,$C$3:$C380,$C380,$D$3:$D380,$D380,$G$3:$G380,$G380)=1,1,0))</f>
        <v/>
      </c>
      <c r="BG380" t="inlineStr">
        <is>
          <t>no</t>
        </is>
      </c>
      <c r="BK380">
        <f>IF(OR($H380&lt;&gt;"Human",$S380="",$J380="",$Y380="",$Z380=""),"",IF(EXACT(UPPER($J380),UPPER($Y380)),1,0))</f>
        <v/>
      </c>
      <c r="BL380" t="inlineStr">
        <is>
          <t>assumed - no rater record</t>
        </is>
      </c>
      <c r="BM380" t="n">
        <v>3</v>
      </c>
      <c r="BN380" t="inlineStr">
        <is>
          <t>not publisher-identified</t>
        </is>
      </c>
      <c r="BO380" t="inlineStr">
        <is>
          <t>not publisher-identified</t>
        </is>
      </c>
      <c r="BP380" t="inlineStr">
        <is>
          <t>no</t>
        </is>
      </c>
      <c r="BQ380" t="inlineStr">
        <is>
          <t>yes</t>
        </is>
      </c>
    </row>
    <row r="381">
      <c r="A381" s="1" t="inlineStr">
        <is>
          <t>ExxonMobil</t>
        </is>
      </c>
      <c r="B381" s="142">
        <f>IF(A381="","",_xlfn.XLOOKUP(A381, Company_List!$A:$A, Company_List!$B:$B, ""))</f>
        <v/>
      </c>
      <c r="C381" s="143" t="n">
        <v>2024</v>
      </c>
      <c r="D381" s="143" t="inlineStr">
        <is>
          <t>Q3</t>
        </is>
      </c>
      <c r="E381" s="98" t="inlineStr">
        <is>
          <t>All</t>
        </is>
      </c>
      <c r="F381" s="98" t="inlineStr">
        <is>
          <t>All</t>
        </is>
      </c>
      <c r="G381" s="143" t="inlineStr">
        <is>
          <t>Dragos</t>
        </is>
      </c>
      <c r="H381" s="106" t="inlineStr">
        <is>
          <t>Human</t>
        </is>
      </c>
      <c r="I381" s="145" t="n">
        <v>0.6</v>
      </c>
      <c r="J381" s="145">
        <f>IF(OR(I381="",Settings!$B$6=""),"",IF(I381&gt;Settings!$B$6,"BUY",IF(I381&lt;-Settings!$B$6,"SELL","HOLD")))</f>
        <v/>
      </c>
      <c r="K381" s="145" t="n">
        <v>15</v>
      </c>
      <c r="L381" s="123" t="n">
        <v>45597</v>
      </c>
      <c r="M381" s="140" t="n">
        <v>45597</v>
      </c>
      <c r="N381" s="147" t="n">
        <v>114.95</v>
      </c>
      <c r="O381" s="140" t="n">
        <v>45600</v>
      </c>
      <c r="P381" s="145" t="n">
        <v>116.07</v>
      </c>
      <c r="Q381" s="151">
        <f>IF(OR(N381="",P381=""),"",ROUND((P381-N381)/N381,4))</f>
        <v/>
      </c>
      <c r="R381" s="118">
        <f>IF(OR(N381="",P381=""),"",IF(Q381&gt;Settings!$B$3/100,"UP",IF(Q381&lt;-Settings!$B$3/100,"DOWN","FLAT")))</f>
        <v/>
      </c>
      <c r="S381" s="118">
        <f>IF(OR(N381="",P381="",J381=""),"",IF(OR(AND(J381="BUY",R381="UP"),AND(J381="SELL",R381="DOWN"),AND(J381="HOLD",R381="FLAT")),"YES","NO"))</f>
        <v/>
      </c>
      <c r="T381" s="119">
        <f>IF(J381="","",IF(J381="BUY",1,IF(J381="SELL",-1,0)))</f>
        <v/>
      </c>
      <c r="U381" s="150">
        <f>IFERROR(IF(OR(J381="",N381="",P381=""),"",IF(T381=0,0,T381*Q381-Settings!$B$4/10000-IF(T381&lt;0,Settings!$B$5/10000,0))),"")</f>
        <v/>
      </c>
      <c r="V381" t="inlineStr">
        <is>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is>
      </c>
      <c r="W381" s="21">
        <f>IF($K381="","",$K381*60)</f>
        <v/>
      </c>
      <c r="X381" s="91">
        <f>IF($A381="","",$A381&amp;"|"&amp;$C381&amp;"|"&amp;$D381)</f>
        <v/>
      </c>
      <c r="Y381" s="91">
        <f>IFERROR(IF($X381="","",INDEX(LLM_Data_Entry!$H$3:$H$548,MATCH($X381,INDEX(LLM_Data_Entry!$A$3:$A$548&amp;"|"&amp;LLM_Data_Entry!$C$3:$C$548&amp;"|"&amp;LLM_Data_Entry!$D$3:$D$548,0),0))),"")</f>
        <v/>
      </c>
      <c r="Z381" s="91">
        <f>IFERROR(IF($X381="","",INDEX(LLM_Data_Entry!$R$3:$R$548,MATCH($X381,INDEX(LLM_Data_Entry!$A$3:$A$548&amp;"|"&amp;LLM_Data_Entry!$C$3:$C$548&amp;"|"&amp;LLM_Data_Entry!$D$3:$D$548,0),0))),"")</f>
        <v/>
      </c>
      <c r="AB381" t="inlineStr">
        <is>
          <t>document date + price signal</t>
        </is>
      </c>
      <c r="AC381" t="inlineStr">
        <is>
          <t>XOM</t>
        </is>
      </c>
      <c r="AD381" t="inlineStr">
        <is>
          <t>2024-10-31</t>
        </is>
      </c>
      <c r="AE381" t="n">
        <v>110.2396</v>
      </c>
      <c r="AF381" t="inlineStr">
        <is>
          <t>2024-11-01</t>
        </is>
      </c>
      <c r="AG381" t="n">
        <v>113.2132</v>
      </c>
      <c r="AH381" t="n">
        <v>0.02697383625741938</v>
      </c>
      <c r="AI381" t="inlineStr">
        <is>
          <t>UP</t>
        </is>
      </c>
      <c r="AJ381" t="inlineStr">
        <is>
          <t>YES</t>
        </is>
      </c>
      <c r="AK381" t="n">
        <v>0.025974</v>
      </c>
      <c r="AL381">
        <f>IF($A381="","",IFERROR(INDEX(Company_List!$G$3:$G$207,MATCH($A381,Company_List!$A$3:$A$207,0)),"unassigned"))</f>
        <v/>
      </c>
      <c r="AM381" t="inlineStr">
        <is>
          <t>Phase 2/ExxonMobil/Q3 2024/XOM-Q3-2024-press-release-SEC-EX99-1.htm; Phase 2/ExxonMobil/Q3 2024/XOM-Q3-2024-exhibit-SEC-EX99-2.htm; Phase 2/ExxonMobil/Q3 2024/XOM-Q3-2024-earnings-call-transcript-InsiderMonkey.html</t>
        </is>
      </c>
      <c r="AN381" t="inlineStr">
        <is>
          <t>https://www.insidermonkey.com/blog/exxon-mobil-corporation-nysexom-q3-2024-earnings-call-transcript-1384592/; https://www.sec.gov/Archives/edgar/data/34088/000003408824000066/f8k3q24991.htm; https://www.sec.gov/Archives/edgar/data/34088/000003408824000066/f8k3q24992.htm</t>
        </is>
      </c>
      <c r="AO381" t="inlineStr">
        <is>
          <t>manifest (whole bundle)</t>
        </is>
      </c>
      <c r="AP381">
        <f>IF($A381="","",IF(COUNTIFS(LLM_Data_Entry!$A$3:$A$548,$A381)&gt;0,"YES","NO"))</f>
        <v/>
      </c>
      <c r="AQ381">
        <f>IF($A381="","",IF(COUNTIFS($A$3:$A381,$A381,$C$3:$C381,$C381,$D$3:$D381,$D381)=1,"YES","NO"))</f>
        <v/>
      </c>
      <c r="AR381">
        <f>IF($A381="","",IF(AND($C381&amp;"-"&amp;$D381&gt;=Settings!$B$19,$C381&amp;"-"&amp;$D381&lt;=Settings!$B$20),"IN","OUT"))</f>
        <v/>
      </c>
      <c r="AS381">
        <f>IF($A381="","",IF($F381="Financial Results","financials",IF($F381="Outlook/Guidance","guidance",IF($F381="Transcript Q&amp;A","qanda",IF($F381="","unrecorded",IF($E381="All","full",IF($E381="","unrecorded",LOWER($E381)&amp;" only")))))))</f>
        <v/>
      </c>
      <c r="AT381">
        <f>IF(AND(OR($J381="BUY",$J381="SELL"),ISNUMBER($U381)),$U381,"")</f>
        <v/>
      </c>
      <c r="AU381">
        <f>IF(AND(OR($J381="BUY",$J381="SELL"),ISNUMBER($AK381)),$AK381,"")</f>
        <v/>
      </c>
      <c r="AV381">
        <f>IF(ISNUMBER($AT381),ABS(IF(ISNUMBER($I381),$I381,0)-Settings!$B$24),"")</f>
        <v/>
      </c>
      <c r="AW381">
        <f>IF(ISNUMBER($AV381),$AV381*$AT381,"")</f>
        <v/>
      </c>
      <c r="AX381">
        <f>IF(ISNUMBER($AU381),ABS(IF(ISNUMBER($I381),$I381,0)-Settings!$B$24),"")</f>
        <v/>
      </c>
      <c r="AY381">
        <f>IF(ISNUMBER($AX381),$AX381*$AU381,"")</f>
        <v/>
      </c>
      <c r="AZ381">
        <f>IF($A381="","",IFERROR(INDEX(Company_List!$H$3:$H$207,MATCH($A381,Company_List!$A$3:$A$207,0)),"unassigned"))</f>
        <v/>
      </c>
      <c r="BC381">
        <f>IF($A381="","",IF(COUNTIFS($A$3:$A381,$A381,$C$3:$C381,$C381,$D$3:$D381,$D381,$G$3:$G381,$G381)=1,1,0))</f>
        <v/>
      </c>
      <c r="BG381" t="inlineStr">
        <is>
          <t>no</t>
        </is>
      </c>
      <c r="BK381">
        <f>IF(OR($H381&lt;&gt;"Human",$S381="",$J381="",$Y381="",$Z381=""),"",IF(EXACT(UPPER($J381),UPPER($Y381)),1,0))</f>
        <v/>
      </c>
      <c r="BL381" t="inlineStr">
        <is>
          <t>assumed - no rater record</t>
        </is>
      </c>
      <c r="BM381" t="n">
        <v>3</v>
      </c>
      <c r="BN381" t="inlineStr">
        <is>
          <t>Insider Monkey (Koala Guide LLC)</t>
        </is>
      </c>
      <c r="BO381" t="inlineStr">
        <is>
          <t>free to read, copyright asserted</t>
        </is>
      </c>
      <c r="BP381" t="inlineStr">
        <is>
          <t>no</t>
        </is>
      </c>
      <c r="BQ381" t="inlineStr">
        <is>
          <t>yes</t>
        </is>
      </c>
    </row>
    <row r="382">
      <c r="A382" s="1" t="inlineStr">
        <is>
          <t>ExxonMobil</t>
        </is>
      </c>
      <c r="B382" s="142">
        <f>IF(A382="","",_xlfn.XLOOKUP(A382, Company_List!$A:$A, Company_List!$B:$B, ""))</f>
        <v/>
      </c>
      <c r="C382" s="143" t="n">
        <v>2024</v>
      </c>
      <c r="D382" s="143" t="inlineStr">
        <is>
          <t>Q4</t>
        </is>
      </c>
      <c r="E382" s="98" t="inlineStr">
        <is>
          <t>All</t>
        </is>
      </c>
      <c r="F382" s="98" t="inlineStr">
        <is>
          <t>All</t>
        </is>
      </c>
      <c r="G382" s="143" t="inlineStr">
        <is>
          <t>Dragos</t>
        </is>
      </c>
      <c r="H382" s="106" t="inlineStr">
        <is>
          <t>Human</t>
        </is>
      </c>
      <c r="I382" s="145" t="n">
        <v>0.4</v>
      </c>
      <c r="J382" s="145">
        <f>IF(OR(I382="",Settings!$B$6=""),"",IF(I382&gt;Settings!$B$6,"BUY",IF(I382&lt;-Settings!$B$6,"SELL","HOLD")))</f>
        <v/>
      </c>
      <c r="K382" s="145" t="n">
        <v>18</v>
      </c>
      <c r="L382" s="123" t="n">
        <v>45688</v>
      </c>
      <c r="M382" s="140" t="n">
        <v>45688</v>
      </c>
      <c r="N382" s="147" t="n">
        <v>106.83</v>
      </c>
      <c r="O382" s="140" t="n">
        <v>45691</v>
      </c>
      <c r="P382" s="145" t="n">
        <v>106.64</v>
      </c>
      <c r="Q382" s="151">
        <f>IF(OR(N382="",P382=""),"",ROUND((P382-N382)/N382,4))</f>
        <v/>
      </c>
      <c r="R382" s="118">
        <f>IF(OR(N382="",P382=""),"",IF(Q382&gt;Settings!$B$3/100,"UP",IF(Q382&lt;-Settings!$B$3/100,"DOWN","FLAT")))</f>
        <v/>
      </c>
      <c r="S382" s="118">
        <f>IF(OR(N382="",P382="",J382=""),"",IF(OR(AND(J382="BUY",R382="UP"),AND(J382="SELL",R382="DOWN"),AND(J382="HOLD",R382="FLAT")),"YES","NO"))</f>
        <v/>
      </c>
      <c r="T382" s="119">
        <f>IF(J382="","",IF(J382="BUY",1,IF(J382="SELL",-1,0)))</f>
        <v/>
      </c>
      <c r="U382" s="150">
        <f>IFERROR(IF(OR(J382="",N382="",P382=""),"",IF(T382=0,0,T382*Q382-Settings!$B$4/10000-IF(T382&lt;0,Settings!$B$5/10000,0))),"")</f>
        <v/>
      </c>
      <c r="V382" t="inlineStr">
        <is>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is>
      </c>
      <c r="W382" s="21">
        <f>IF($K382="","",$K382*60)</f>
        <v/>
      </c>
      <c r="X382" s="91">
        <f>IF($A382="","",$A382&amp;"|"&amp;$C382&amp;"|"&amp;$D382)</f>
        <v/>
      </c>
      <c r="Y382" s="91">
        <f>IFERROR(IF($X382="","",INDEX(LLM_Data_Entry!$H$3:$H$548,MATCH($X382,INDEX(LLM_Data_Entry!$A$3:$A$548&amp;"|"&amp;LLM_Data_Entry!$C$3:$C$548&amp;"|"&amp;LLM_Data_Entry!$D$3:$D$548,0),0))),"")</f>
        <v/>
      </c>
      <c r="Z382" s="91">
        <f>IFERROR(IF($X382="","",INDEX(LLM_Data_Entry!$R$3:$R$548,MATCH($X382,INDEX(LLM_Data_Entry!$A$3:$A$548&amp;"|"&amp;LLM_Data_Entry!$C$3:$C$548&amp;"|"&amp;LLM_Data_Entry!$D$3:$D$548,0),0))),"")</f>
        <v/>
      </c>
      <c r="AB382" t="inlineStr">
        <is>
          <t>price signal — only this window shows an abnormal move</t>
        </is>
      </c>
      <c r="AC382" t="inlineStr">
        <is>
          <t>XOM</t>
        </is>
      </c>
      <c r="AD382" t="inlineStr">
        <is>
          <t>2025-01-31</t>
        </is>
      </c>
      <c r="AE382" t="n">
        <v>101.6756</v>
      </c>
      <c r="AF382" t="inlineStr">
        <is>
          <t>2025-02-03</t>
        </is>
      </c>
      <c r="AG382" t="n">
        <v>101.4947</v>
      </c>
      <c r="AH382" t="n">
        <v>-0.001778687900665696</v>
      </c>
      <c r="AI382" t="inlineStr">
        <is>
          <t>FLAT</t>
        </is>
      </c>
      <c r="AJ382" t="inlineStr">
        <is>
          <t>NO</t>
        </is>
      </c>
      <c r="AK382" t="n">
        <v>-0.002779</v>
      </c>
      <c r="AL382">
        <f>IF($A382="","",IFERROR(INDEX(Company_List!$G$3:$G$207,MATCH($A382,Company_List!$A$3:$A$207,0)),"unassigned"))</f>
        <v/>
      </c>
      <c r="AM382" t="inlineStr">
        <is>
          <t>Phase 2/ExxonMobil/Q4 2024/XOM-Q4-2024-press-release-SEC-EX99-1.htm; Phase 2/ExxonMobil/Q4 2024/XOM-Q4-2024-exhibit-SEC-EX99-2.htm; Phase 2/ExxonMobil/Q4 2024/XOM-Q4-2024-earnings-call-transcript-InsiderMonkey.html</t>
        </is>
      </c>
      <c r="AN382" t="inlineStr">
        <is>
          <t>https://www.insidermonkey.com/blog/exxon-mobil-corporation-nysexom-q4-2024-earnings-call-transcript-1440191/; https://www.sec.gov/Archives/edgar/data/34088/000003408825000006/f8k4q24991.htm; https://www.sec.gov/Archives/edgar/data/34088/000003408825000006/f8k4q24992.htm</t>
        </is>
      </c>
      <c r="AO382" t="inlineStr">
        <is>
          <t>manifest (whole bundle)</t>
        </is>
      </c>
      <c r="AP382">
        <f>IF($A382="","",IF(COUNTIFS(LLM_Data_Entry!$A$3:$A$548,$A382)&gt;0,"YES","NO"))</f>
        <v/>
      </c>
      <c r="AQ382">
        <f>IF($A382="","",IF(COUNTIFS($A$3:$A382,$A382,$C$3:$C382,$C382,$D$3:$D382,$D382)=1,"YES","NO"))</f>
        <v/>
      </c>
      <c r="AR382">
        <f>IF($A382="","",IF(AND($C382&amp;"-"&amp;$D382&gt;=Settings!$B$19,$C382&amp;"-"&amp;$D382&lt;=Settings!$B$20),"IN","OUT"))</f>
        <v/>
      </c>
      <c r="AS382">
        <f>IF($A382="","",IF($F382="Financial Results","financials",IF($F382="Outlook/Guidance","guidance",IF($F382="Transcript Q&amp;A","qanda",IF($F382="","unrecorded",IF($E382="All","full",IF($E382="","unrecorded",LOWER($E382)&amp;" only")))))))</f>
        <v/>
      </c>
      <c r="AT382">
        <f>IF(AND(OR($J382="BUY",$J382="SELL"),ISNUMBER($U382)),$U382,"")</f>
        <v/>
      </c>
      <c r="AU382">
        <f>IF(AND(OR($J382="BUY",$J382="SELL"),ISNUMBER($AK382)),$AK382,"")</f>
        <v/>
      </c>
      <c r="AV382">
        <f>IF(ISNUMBER($AT382),ABS(IF(ISNUMBER($I382),$I382,0)-Settings!$B$24),"")</f>
        <v/>
      </c>
      <c r="AW382">
        <f>IF(ISNUMBER($AV382),$AV382*$AT382,"")</f>
        <v/>
      </c>
      <c r="AX382">
        <f>IF(ISNUMBER($AU382),ABS(IF(ISNUMBER($I382),$I382,0)-Settings!$B$24),"")</f>
        <v/>
      </c>
      <c r="AY382">
        <f>IF(ISNUMBER($AX382),$AX382*$AU382,"")</f>
        <v/>
      </c>
      <c r="AZ382">
        <f>IF($A382="","",IFERROR(INDEX(Company_List!$H$3:$H$207,MATCH($A382,Company_List!$A$3:$A$207,0)),"unassigned"))</f>
        <v/>
      </c>
      <c r="BC382">
        <f>IF($A382="","",IF(COUNTIFS($A$3:$A382,$A382,$C$3:$C382,$C382,$D$3:$D382,$D382,$G$3:$G382,$G382)=1,1,0))</f>
        <v/>
      </c>
      <c r="BG382" t="inlineStr">
        <is>
          <t>no</t>
        </is>
      </c>
      <c r="BK382">
        <f>IF(OR($H382&lt;&gt;"Human",$S382="",$J382="",$Y382="",$Z382=""),"",IF(EXACT(UPPER($J382),UPPER($Y382)),1,0))</f>
        <v/>
      </c>
      <c r="BL382" t="inlineStr">
        <is>
          <t>assumed - no rater record</t>
        </is>
      </c>
      <c r="BM382" t="n">
        <v>3</v>
      </c>
      <c r="BN382" t="inlineStr">
        <is>
          <t>Insider Monkey (Koala Guide LLC)</t>
        </is>
      </c>
      <c r="BO382" t="inlineStr">
        <is>
          <t>free to read, copyright asserted</t>
        </is>
      </c>
      <c r="BP382" t="inlineStr">
        <is>
          <t>no</t>
        </is>
      </c>
      <c r="BQ382" t="inlineStr">
        <is>
          <t>yes</t>
        </is>
      </c>
    </row>
    <row r="383">
      <c r="A383" s="1" t="inlineStr">
        <is>
          <t>ExxonMobil</t>
        </is>
      </c>
      <c r="B383" s="142">
        <f>IF(A383="","",_xlfn.XLOOKUP(A383, Company_List!$A:$A, Company_List!$B:$B, ""))</f>
        <v/>
      </c>
      <c r="C383" s="143" t="n">
        <v>2025</v>
      </c>
      <c r="D383" s="143" t="inlineStr">
        <is>
          <t>Q1</t>
        </is>
      </c>
      <c r="E383" s="98" t="inlineStr">
        <is>
          <t>All</t>
        </is>
      </c>
      <c r="F383" s="98" t="inlineStr">
        <is>
          <t>All</t>
        </is>
      </c>
      <c r="G383" s="143" t="inlineStr">
        <is>
          <t>Dragos</t>
        </is>
      </c>
      <c r="H383" s="106" t="inlineStr">
        <is>
          <t>Human</t>
        </is>
      </c>
      <c r="I383" s="145" t="n">
        <v>0.3</v>
      </c>
      <c r="J383" s="145">
        <f>IF(OR(I383="",Settings!$B$6=""),"",IF(I383&gt;Settings!$B$6,"BUY",IF(I383&lt;-Settings!$B$6,"SELL","HOLD")))</f>
        <v/>
      </c>
      <c r="K383" s="145" t="n">
        <v>20</v>
      </c>
      <c r="L383" s="123" t="n">
        <v>45779</v>
      </c>
      <c r="M383" s="140" t="n">
        <v>45779</v>
      </c>
      <c r="N383" s="147" t="n">
        <v>106.21</v>
      </c>
      <c r="O383" s="140" t="n">
        <v>45782</v>
      </c>
      <c r="P383" s="145" t="n">
        <v>104.65</v>
      </c>
      <c r="Q383" s="151">
        <f>IF(OR(N383="",P383=""),"",ROUND((P383-N383)/N383,4))</f>
        <v/>
      </c>
      <c r="R383" s="118">
        <f>IF(OR(N383="",P383=""),"",IF(Q383&gt;Settings!$B$3/100,"UP",IF(Q383&lt;-Settings!$B$3/100,"DOWN","FLAT")))</f>
        <v/>
      </c>
      <c r="S383" s="118">
        <f>IF(OR(N383="",P383="",J383=""),"",IF(OR(AND(J383="BUY",R383="UP"),AND(J383="SELL",R383="DOWN"),AND(J383="HOLD",R383="FLAT")),"YES","NO"))</f>
        <v/>
      </c>
      <c r="T383" s="119">
        <f>IF(J383="","",IF(J383="BUY",1,IF(J383="SELL",-1,0)))</f>
        <v/>
      </c>
      <c r="U383" s="150">
        <f>IFERROR(IF(OR(J383="",N383="",P383=""),"",IF(T383=0,0,T383*Q383-Settings!$B$4/10000-IF(T383&lt;0,Settings!$B$5/10000,0))),"")</f>
        <v/>
      </c>
      <c r="V383" t="inlineStr">
        <is>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is>
      </c>
      <c r="W383" s="21">
        <f>IF($K383="","",$K383*60)</f>
        <v/>
      </c>
      <c r="X383" s="91">
        <f>IF($A383="","",$A383&amp;"|"&amp;$C383&amp;"|"&amp;$D383)</f>
        <v/>
      </c>
      <c r="Y383" s="91">
        <f>IFERROR(IF($X383="","",INDEX(LLM_Data_Entry!$H$3:$H$548,MATCH($X383,INDEX(LLM_Data_Entry!$A$3:$A$548&amp;"|"&amp;LLM_Data_Entry!$C$3:$C$548&amp;"|"&amp;LLM_Data_Entry!$D$3:$D$548,0),0))),"")</f>
        <v/>
      </c>
      <c r="Z383" s="91">
        <f>IFERROR(IF($X383="","",INDEX(LLM_Data_Entry!$R$3:$R$548,MATCH($X383,INDEX(LLM_Data_Entry!$A$3:$A$548&amp;"|"&amp;LLM_Data_Entry!$C$3:$C$548&amp;"|"&amp;LLM_Data_Entry!$D$3:$D$548,0),0))),"")</f>
        <v/>
      </c>
      <c r="AB383" t="inlineStr">
        <is>
          <t>earnings calendar, seconded by the issuer's habit</t>
        </is>
      </c>
      <c r="AC383" t="inlineStr">
        <is>
          <t>XOM</t>
        </is>
      </c>
      <c r="AD383" t="inlineStr">
        <is>
          <t>2025-05-01</t>
        </is>
      </c>
      <c r="AE383" t="n">
        <v>101.5768</v>
      </c>
      <c r="AF383" t="inlineStr">
        <is>
          <t>2025-05-02</t>
        </is>
      </c>
      <c r="AG383" t="n">
        <v>103.4397</v>
      </c>
      <c r="AH383" t="n">
        <v>0.01834008344917179</v>
      </c>
      <c r="AI383" t="inlineStr">
        <is>
          <t>FLAT</t>
        </is>
      </c>
      <c r="AJ383" t="inlineStr">
        <is>
          <t>NO</t>
        </is>
      </c>
      <c r="AK383" t="n">
        <v>0.01734</v>
      </c>
      <c r="AL383">
        <f>IF($A383="","",IFERROR(INDEX(Company_List!$G$3:$G$207,MATCH($A383,Company_List!$A$3:$A$207,0)),"unassigned"))</f>
        <v/>
      </c>
      <c r="AM383" t="inlineStr">
        <is>
          <t>Phase 2/ExxonMobil/Q1 2025/XOM-Q1-2025-press-release-SEC-EX99-1.htm; Phase 2/ExxonMobil/Q1 2025/XOM-Q1-2025-exhibit-SEC-EX99-2.htm; Phase 2/ExxonMobil/Q1 2025/XOM-Q1-2025-earnings-call-transcript-InsiderMonkey.html</t>
        </is>
      </c>
      <c r="AN383" t="inlineStr">
        <is>
          <t>https://www.insidermonkey.com/blog/exxon-mobil-corporation-nysexom-q1-2025-earnings-call-transcript-1523928/; https://www.sec.gov/Archives/edgar/data/34088/000003408825000022/livef8k1q25991.htm; https://www.sec.gov/Archives/edgar/data/34088/000003408825000022/livef8k1q25992.htm</t>
        </is>
      </c>
      <c r="AO383" t="inlineStr">
        <is>
          <t>manifest (whole bundle)</t>
        </is>
      </c>
      <c r="AP383">
        <f>IF($A383="","",IF(COUNTIFS(LLM_Data_Entry!$A$3:$A$548,$A383)&gt;0,"YES","NO"))</f>
        <v/>
      </c>
      <c r="AQ383">
        <f>IF($A383="","",IF(COUNTIFS($A$3:$A383,$A383,$C$3:$C383,$C383,$D$3:$D383,$D383)=1,"YES","NO"))</f>
        <v/>
      </c>
      <c r="AR383">
        <f>IF($A383="","",IF(AND($C383&amp;"-"&amp;$D383&gt;=Settings!$B$19,$C383&amp;"-"&amp;$D383&lt;=Settings!$B$20),"IN","OUT"))</f>
        <v/>
      </c>
      <c r="AS383">
        <f>IF($A383="","",IF($F383="Financial Results","financials",IF($F383="Outlook/Guidance","guidance",IF($F383="Transcript Q&amp;A","qanda",IF($F383="","unrecorded",IF($E383="All","full",IF($E383="","unrecorded",LOWER($E383)&amp;" only")))))))</f>
        <v/>
      </c>
      <c r="AT383">
        <f>IF(AND(OR($J383="BUY",$J383="SELL"),ISNUMBER($U383)),$U383,"")</f>
        <v/>
      </c>
      <c r="AU383">
        <f>IF(AND(OR($J383="BUY",$J383="SELL"),ISNUMBER($AK383)),$AK383,"")</f>
        <v/>
      </c>
      <c r="AV383">
        <f>IF(ISNUMBER($AT383),ABS(IF(ISNUMBER($I383),$I383,0)-Settings!$B$24),"")</f>
        <v/>
      </c>
      <c r="AW383">
        <f>IF(ISNUMBER($AV383),$AV383*$AT383,"")</f>
        <v/>
      </c>
      <c r="AX383">
        <f>IF(ISNUMBER($AU383),ABS(IF(ISNUMBER($I383),$I383,0)-Settings!$B$24),"")</f>
        <v/>
      </c>
      <c r="AY383">
        <f>IF(ISNUMBER($AX383),$AX383*$AU383,"")</f>
        <v/>
      </c>
      <c r="AZ383">
        <f>IF($A383="","",IFERROR(INDEX(Company_List!$H$3:$H$207,MATCH($A383,Company_List!$A$3:$A$207,0)),"unassigned"))</f>
        <v/>
      </c>
      <c r="BC383">
        <f>IF($A383="","",IF(COUNTIFS($A$3:$A383,$A383,$C$3:$C383,$C383,$D$3:$D383,$D383,$G$3:$G383,$G383)=1,1,0))</f>
        <v/>
      </c>
      <c r="BG383" t="inlineStr">
        <is>
          <t>no</t>
        </is>
      </c>
      <c r="BK383">
        <f>IF(OR($H383&lt;&gt;"Human",$S383="",$J383="",$Y383="",$Z383=""),"",IF(EXACT(UPPER($J383),UPPER($Y383)),1,0))</f>
        <v/>
      </c>
      <c r="BL383" t="inlineStr">
        <is>
          <t>assumed - no rater record</t>
        </is>
      </c>
      <c r="BM383" t="n">
        <v>3</v>
      </c>
      <c r="BN383" t="inlineStr">
        <is>
          <t>Insider Monkey (Koala Guide LLC)</t>
        </is>
      </c>
      <c r="BO383" t="inlineStr">
        <is>
          <t>free to read, copyright asserted</t>
        </is>
      </c>
      <c r="BP383" t="inlineStr">
        <is>
          <t>no</t>
        </is>
      </c>
      <c r="BQ383" t="inlineStr">
        <is>
          <t>yes</t>
        </is>
      </c>
    </row>
    <row r="384">
      <c r="A384" s="1" t="inlineStr">
        <is>
          <t>ExxonMobil</t>
        </is>
      </c>
      <c r="B384" s="142">
        <f>IF(A384="","",_xlfn.XLOOKUP(A384, Company_List!$A:$A, Company_List!$B:$B, ""))</f>
        <v/>
      </c>
      <c r="C384" s="143" t="n">
        <v>2025</v>
      </c>
      <c r="D384" s="143" t="inlineStr">
        <is>
          <t>Q2</t>
        </is>
      </c>
      <c r="E384" s="98" t="inlineStr">
        <is>
          <t>All</t>
        </is>
      </c>
      <c r="F384" s="98" t="inlineStr">
        <is>
          <t>All</t>
        </is>
      </c>
      <c r="G384" s="143" t="inlineStr">
        <is>
          <t>Dragos</t>
        </is>
      </c>
      <c r="H384" s="106" t="inlineStr">
        <is>
          <t>Human</t>
        </is>
      </c>
      <c r="I384" s="145" t="n">
        <v>0.3</v>
      </c>
      <c r="J384" s="145">
        <f>IF(OR(I384="",Settings!$B$6=""),"",IF(I384&gt;Settings!$B$6,"BUY",IF(I384&lt;-Settings!$B$6,"SELL","HOLD")))</f>
        <v/>
      </c>
      <c r="K384" s="145" t="n">
        <v>17</v>
      </c>
      <c r="L384" s="123" t="n">
        <v>45870</v>
      </c>
      <c r="M384" s="140" t="n">
        <v>45870</v>
      </c>
      <c r="N384" s="147" t="n">
        <v>109.64</v>
      </c>
      <c r="O384" s="140" t="n">
        <v>45873</v>
      </c>
      <c r="P384" s="145" t="n">
        <v>109.22</v>
      </c>
      <c r="Q384" s="151">
        <f>IF(OR(N384="",P384=""),"",ROUND((P384-N384)/N384,4))</f>
        <v/>
      </c>
      <c r="R384" s="118">
        <f>IF(OR(N384="",P384=""),"",IF(Q384&gt;Settings!$B$3/100,"UP",IF(Q384&lt;-Settings!$B$3/100,"DOWN","FLAT")))</f>
        <v/>
      </c>
      <c r="S384" s="118">
        <f>IF(OR(N384="",P384="",J384=""),"",IF(OR(AND(J384="BUY",R384="UP"),AND(J384="SELL",R384="DOWN"),AND(J384="HOLD",R384="FLAT")),"YES","NO"))</f>
        <v/>
      </c>
      <c r="T384" s="119">
        <f>IF(J384="","",IF(J384="BUY",1,IF(J384="SELL",-1,0)))</f>
        <v/>
      </c>
      <c r="U384" s="150">
        <f>IFERROR(IF(OR(J384="",N384="",P384=""),"",IF(T384=0,0,T384*Q384-Settings!$B$4/10000-IF(T384&lt;0,Settings!$B$5/10000,0))),"")</f>
        <v/>
      </c>
      <c r="V384" t="inlineStr">
        <is>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is>
      </c>
      <c r="W384" s="21">
        <f>IF($K384="","",$K384*60)</f>
        <v/>
      </c>
      <c r="X384" s="91">
        <f>IF($A384="","",$A384&amp;"|"&amp;$C384&amp;"|"&amp;$D384)</f>
        <v/>
      </c>
      <c r="Y384" s="91">
        <f>IFERROR(IF($X384="","",INDEX(LLM_Data_Entry!$H$3:$H$548,MATCH($X384,INDEX(LLM_Data_Entry!$A$3:$A$548&amp;"|"&amp;LLM_Data_Entry!$C$3:$C$548&amp;"|"&amp;LLM_Data_Entry!$D$3:$D$548,0),0))),"")</f>
        <v/>
      </c>
      <c r="Z384" s="91">
        <f>IFERROR(IF($X384="","",INDEX(LLM_Data_Entry!$R$3:$R$548,MATCH($X384,INDEX(LLM_Data_Entry!$A$3:$A$548&amp;"|"&amp;LLM_Data_Entry!$C$3:$C$548&amp;"|"&amp;LLM_Data_Entry!$D$3:$D$548,0),0))),"")</f>
        <v/>
      </c>
      <c r="AB384" t="inlineStr">
        <is>
          <t>document date + price signal</t>
        </is>
      </c>
      <c r="AC384" t="inlineStr">
        <is>
          <t>XOM</t>
        </is>
      </c>
      <c r="AD384" t="inlineStr">
        <is>
          <t>2025-07-30</t>
        </is>
      </c>
      <c r="AE384" t="n">
        <v>108.4432</v>
      </c>
      <c r="AF384" t="inlineStr">
        <is>
          <t>2025-07-31</t>
        </is>
      </c>
      <c r="AG384" t="n">
        <v>106.9508</v>
      </c>
      <c r="AH384" t="n">
        <v>-0.0137623409159373</v>
      </c>
      <c r="AI384" t="inlineStr">
        <is>
          <t>FLAT</t>
        </is>
      </c>
      <c r="AJ384" t="inlineStr">
        <is>
          <t>NO</t>
        </is>
      </c>
      <c r="AK384" t="n">
        <v>-0.014762</v>
      </c>
      <c r="AL384">
        <f>IF($A384="","",IFERROR(INDEX(Company_List!$G$3:$G$207,MATCH($A384,Company_List!$A$3:$A$207,0)),"unassigned"))</f>
        <v/>
      </c>
      <c r="AM384" t="inlineStr">
        <is>
          <t>Phase 2/ExxonMobil/Q2 2025/XOM-Q2-2025-press-release-SEC-EX99-1.htm; Phase 2/ExxonMobil/Q2 2025/XOM-Q2-2025-exhibit-SEC-EX99-2.htm; Phase 2/ExxonMobil/Q2 2025/XOM-Q2-2025-earnings-call-transcript-InsiderMonkey.html</t>
        </is>
      </c>
      <c r="AN384" t="inlineStr">
        <is>
          <t>https://www.insidermonkey.com/blog/exxon-mobil-corporation-nysexom-q2-2025-earnings-call-transcript-1582775/; https://www.sec.gov/Archives/edgar/data/34088/000003408825000040/livef8k2q25991.htm; https://www.sec.gov/Archives/edgar/data/34088/000003408825000040/livef8k2q25992.htm</t>
        </is>
      </c>
      <c r="AO384" t="inlineStr">
        <is>
          <t>manifest (whole bundle)</t>
        </is>
      </c>
      <c r="AP384">
        <f>IF($A384="","",IF(COUNTIFS(LLM_Data_Entry!$A$3:$A$548,$A384)&gt;0,"YES","NO"))</f>
        <v/>
      </c>
      <c r="AQ384">
        <f>IF($A384="","",IF(COUNTIFS($A$3:$A384,$A384,$C$3:$C384,$C384,$D$3:$D384,$D384)=1,"YES","NO"))</f>
        <v/>
      </c>
      <c r="AR384">
        <f>IF($A384="","",IF(AND($C384&amp;"-"&amp;$D384&gt;=Settings!$B$19,$C384&amp;"-"&amp;$D384&lt;=Settings!$B$20),"IN","OUT"))</f>
        <v/>
      </c>
      <c r="AS384">
        <f>IF($A384="","",IF($F384="Financial Results","financials",IF($F384="Outlook/Guidance","guidance",IF($F384="Transcript Q&amp;A","qanda",IF($F384="","unrecorded",IF($E384="All","full",IF($E384="","unrecorded",LOWER($E384)&amp;" only")))))))</f>
        <v/>
      </c>
      <c r="AT384">
        <f>IF(AND(OR($J384="BUY",$J384="SELL"),ISNUMBER($U384)),$U384,"")</f>
        <v/>
      </c>
      <c r="AU384">
        <f>IF(AND(OR($J384="BUY",$J384="SELL"),ISNUMBER($AK384)),$AK384,"")</f>
        <v/>
      </c>
      <c r="AV384">
        <f>IF(ISNUMBER($AT384),ABS(IF(ISNUMBER($I384),$I384,0)-Settings!$B$24),"")</f>
        <v/>
      </c>
      <c r="AW384">
        <f>IF(ISNUMBER($AV384),$AV384*$AT384,"")</f>
        <v/>
      </c>
      <c r="AX384">
        <f>IF(ISNUMBER($AU384),ABS(IF(ISNUMBER($I384),$I384,0)-Settings!$B$24),"")</f>
        <v/>
      </c>
      <c r="AY384">
        <f>IF(ISNUMBER($AX384),$AX384*$AU384,"")</f>
        <v/>
      </c>
      <c r="AZ384">
        <f>IF($A384="","",IFERROR(INDEX(Company_List!$H$3:$H$207,MATCH($A384,Company_List!$A$3:$A$207,0)),"unassigned"))</f>
        <v/>
      </c>
      <c r="BC384">
        <f>IF($A384="","",IF(COUNTIFS($A$3:$A384,$A384,$C$3:$C384,$C384,$D$3:$D384,$D384,$G$3:$G384,$G384)=1,1,0))</f>
        <v/>
      </c>
      <c r="BG384" t="inlineStr">
        <is>
          <t>no</t>
        </is>
      </c>
      <c r="BK384">
        <f>IF(OR($H384&lt;&gt;"Human",$S384="",$J384="",$Y384="",$Z384=""),"",IF(EXACT(UPPER($J384),UPPER($Y384)),1,0))</f>
        <v/>
      </c>
      <c r="BL384" t="inlineStr">
        <is>
          <t>assumed - no rater record</t>
        </is>
      </c>
      <c r="BM384" t="n">
        <v>3</v>
      </c>
      <c r="BN384" t="inlineStr">
        <is>
          <t>Insider Monkey (Koala Guide LLC)</t>
        </is>
      </c>
      <c r="BO384" t="inlineStr">
        <is>
          <t>free to read, copyright asserted</t>
        </is>
      </c>
      <c r="BP384" t="inlineStr">
        <is>
          <t>no</t>
        </is>
      </c>
      <c r="BQ384" t="inlineStr">
        <is>
          <t>yes</t>
        </is>
      </c>
    </row>
    <row r="385">
      <c r="A385" s="1" t="inlineStr">
        <is>
          <t>ExxonMobil</t>
        </is>
      </c>
      <c r="B385" s="142">
        <f>IF(A385="","",_xlfn.XLOOKUP(A385, Company_List!$A:$A, Company_List!$B:$B, ""))</f>
        <v/>
      </c>
      <c r="C385" s="143" t="n">
        <v>2025</v>
      </c>
      <c r="D385" s="143" t="inlineStr">
        <is>
          <t>Q3</t>
        </is>
      </c>
      <c r="E385" s="98" t="inlineStr">
        <is>
          <t>All</t>
        </is>
      </c>
      <c r="F385" s="98" t="inlineStr">
        <is>
          <t>All</t>
        </is>
      </c>
      <c r="G385" s="143" t="inlineStr">
        <is>
          <t>Dragos</t>
        </is>
      </c>
      <c r="H385" s="106" t="inlineStr">
        <is>
          <t>Human</t>
        </is>
      </c>
      <c r="I385" s="145" t="n">
        <v>0.3</v>
      </c>
      <c r="J385" s="145">
        <f>IF(OR(I385="",Settings!$B$6=""),"",IF(I385&gt;Settings!$B$6,"BUY",IF(I385&lt;-Settings!$B$6,"SELL","HOLD")))</f>
        <v/>
      </c>
      <c r="K385" s="145" t="n">
        <v>23</v>
      </c>
      <c r="L385" s="123" t="n">
        <v>45961</v>
      </c>
      <c r="M385" s="140" t="n">
        <v>45961</v>
      </c>
      <c r="N385" s="147" t="n">
        <v>114.36</v>
      </c>
      <c r="O385" s="140" t="n">
        <v>45964</v>
      </c>
      <c r="P385" s="145" t="n">
        <v>114.5</v>
      </c>
      <c r="Q385" s="151">
        <f>IF(OR(N385="",P385=""),"",ROUND((P385-N385)/N385,4))</f>
        <v/>
      </c>
      <c r="R385" s="118">
        <f>IF(OR(N385="",P385=""),"",IF(Q385&gt;Settings!$B$3/100,"UP",IF(Q385&lt;-Settings!$B$3/100,"DOWN","FLAT")))</f>
        <v/>
      </c>
      <c r="S385" s="118">
        <f>IF(OR(N385="",P385="",J385=""),"",IF(OR(AND(J385="BUY",R385="UP"),AND(J385="SELL",R385="DOWN"),AND(J385="HOLD",R385="FLAT")),"YES","NO"))</f>
        <v/>
      </c>
      <c r="T385" s="119">
        <f>IF(J385="","",IF(J385="BUY",1,IF(J385="SELL",-1,0)))</f>
        <v/>
      </c>
      <c r="U385" s="150">
        <f>IFERROR(IF(OR(J385="",N385="",P385=""),"",IF(T385=0,0,T385*Q385-Settings!$B$4/10000-IF(T385&lt;0,Settings!$B$5/10000,0))),"")</f>
        <v/>
      </c>
      <c r="V385" t="inlineStr">
        <is>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is>
      </c>
      <c r="W385" s="21">
        <f>IF($K385="","",$K385*60)</f>
        <v/>
      </c>
      <c r="X385" s="91">
        <f>IF($A385="","",$A385&amp;"|"&amp;$C385&amp;"|"&amp;$D385)</f>
        <v/>
      </c>
      <c r="Y385" s="91">
        <f>IFERROR(IF($X385="","",INDEX(LLM_Data_Entry!$H$3:$H$548,MATCH($X385,INDEX(LLM_Data_Entry!$A$3:$A$548&amp;"|"&amp;LLM_Data_Entry!$C$3:$C$548&amp;"|"&amp;LLM_Data_Entry!$D$3:$D$548,0),0))),"")</f>
        <v/>
      </c>
      <c r="Z385" s="91">
        <f>IFERROR(IF($X385="","",INDEX(LLM_Data_Entry!$R$3:$R$548,MATCH($X385,INDEX(LLM_Data_Entry!$A$3:$A$548&amp;"|"&amp;LLM_Data_Entry!$C$3:$C$548&amp;"|"&amp;LLM_Data_Entry!$D$3:$D$548,0),0))),"")</f>
        <v/>
      </c>
      <c r="AB385" t="inlineStr">
        <is>
          <t>document date + price signal</t>
        </is>
      </c>
      <c r="AC385" t="inlineStr">
        <is>
          <t>XOM</t>
        </is>
      </c>
      <c r="AD385" t="inlineStr">
        <is>
          <t>2025-10-30</t>
        </is>
      </c>
      <c r="AE385" t="n">
        <v>112.1813</v>
      </c>
      <c r="AF385" t="inlineStr">
        <is>
          <t>2025-10-31</t>
        </is>
      </c>
      <c r="AG385" t="n">
        <v>111.4869</v>
      </c>
      <c r="AH385" t="n">
        <v>-0.006190541337310667</v>
      </c>
      <c r="AI385" t="inlineStr">
        <is>
          <t>FLAT</t>
        </is>
      </c>
      <c r="AJ385" t="inlineStr">
        <is>
          <t>NO</t>
        </is>
      </c>
      <c r="AK385" t="n">
        <v>-0.007191</v>
      </c>
      <c r="AL385">
        <f>IF($A385="","",IFERROR(INDEX(Company_List!$G$3:$G$207,MATCH($A385,Company_List!$A$3:$A$207,0)),"unassigned"))</f>
        <v/>
      </c>
      <c r="AM385" t="inlineStr">
        <is>
          <t>Phase 2/ExxonMobil/Q3 2025/XOM-Q3-2025-press-release-SEC-EX99-1.htm; Phase 2/ExxonMobil/Q3 2025/XOM-Q3-2025-exhibit-SEC-EX99-2.htm; Phase 2/ExxonMobil/Q3 2025/XOM-Q3-2025-earnings-call-transcript-InsiderMonkey.html</t>
        </is>
      </c>
      <c r="AN385" t="inlineStr">
        <is>
          <t>https://www.insidermonkey.com/blog/exxon-mobil-corporation-nysexom-q3-2025-earnings-call-transcript-1638821/; https://www.sec.gov/Archives/edgar/data/34088/000003408825000059/livef8k3q25991.htm; https://www.sec.gov/Archives/edgar/data/34088/000003408825000059/livef8k3q25992.htm</t>
        </is>
      </c>
      <c r="AO385" t="inlineStr">
        <is>
          <t>manifest (whole bundle)</t>
        </is>
      </c>
      <c r="AP385">
        <f>IF($A385="","",IF(COUNTIFS(LLM_Data_Entry!$A$3:$A$548,$A385)&gt;0,"YES","NO"))</f>
        <v/>
      </c>
      <c r="AQ385">
        <f>IF($A385="","",IF(COUNTIFS($A$3:$A385,$A385,$C$3:$C385,$C385,$D$3:$D385,$D385)=1,"YES","NO"))</f>
        <v/>
      </c>
      <c r="AR385">
        <f>IF($A385="","",IF(AND($C385&amp;"-"&amp;$D385&gt;=Settings!$B$19,$C385&amp;"-"&amp;$D385&lt;=Settings!$B$20),"IN","OUT"))</f>
        <v/>
      </c>
      <c r="AS385">
        <f>IF($A385="","",IF($F385="Financial Results","financials",IF($F385="Outlook/Guidance","guidance",IF($F385="Transcript Q&amp;A","qanda",IF($F385="","unrecorded",IF($E385="All","full",IF($E385="","unrecorded",LOWER($E385)&amp;" only")))))))</f>
        <v/>
      </c>
      <c r="AT385">
        <f>IF(AND(OR($J385="BUY",$J385="SELL"),ISNUMBER($U385)),$U385,"")</f>
        <v/>
      </c>
      <c r="AU385">
        <f>IF(AND(OR($J385="BUY",$J385="SELL"),ISNUMBER($AK385)),$AK385,"")</f>
        <v/>
      </c>
      <c r="AV385">
        <f>IF(ISNUMBER($AT385),ABS(IF(ISNUMBER($I385),$I385,0)-Settings!$B$24),"")</f>
        <v/>
      </c>
      <c r="AW385">
        <f>IF(ISNUMBER($AV385),$AV385*$AT385,"")</f>
        <v/>
      </c>
      <c r="AX385">
        <f>IF(ISNUMBER($AU385),ABS(IF(ISNUMBER($I385),$I385,0)-Settings!$B$24),"")</f>
        <v/>
      </c>
      <c r="AY385">
        <f>IF(ISNUMBER($AX385),$AX385*$AU385,"")</f>
        <v/>
      </c>
      <c r="AZ385">
        <f>IF($A385="","",IFERROR(INDEX(Company_List!$H$3:$H$207,MATCH($A385,Company_List!$A$3:$A$207,0)),"unassigned"))</f>
        <v/>
      </c>
      <c r="BC385">
        <f>IF($A385="","",IF(COUNTIFS($A$3:$A385,$A385,$C$3:$C385,$C385,$D$3:$D385,$D385,$G$3:$G385,$G385)=1,1,0))</f>
        <v/>
      </c>
      <c r="BG385" t="inlineStr">
        <is>
          <t>no</t>
        </is>
      </c>
      <c r="BK385">
        <f>IF(OR($H385&lt;&gt;"Human",$S385="",$J385="",$Y385="",$Z385=""),"",IF(EXACT(UPPER($J385),UPPER($Y385)),1,0))</f>
        <v/>
      </c>
      <c r="BL385" t="inlineStr">
        <is>
          <t>assumed - no rater record</t>
        </is>
      </c>
      <c r="BM385" t="n">
        <v>3</v>
      </c>
      <c r="BN385" t="inlineStr">
        <is>
          <t>Insider Monkey (Koala Guide LLC)</t>
        </is>
      </c>
      <c r="BO385" t="inlineStr">
        <is>
          <t>free to read, copyright asserted</t>
        </is>
      </c>
      <c r="BP385" t="inlineStr">
        <is>
          <t>no</t>
        </is>
      </c>
      <c r="BQ385" t="inlineStr">
        <is>
          <t>yes</t>
        </is>
      </c>
    </row>
    <row r="386">
      <c r="A386" s="1" t="inlineStr">
        <is>
          <t>ExxonMobil</t>
        </is>
      </c>
      <c r="B386" s="142">
        <f>IF(A386="","",_xlfn.XLOOKUP(A386, Company_List!$A:$A, Company_List!$B:$B, ""))</f>
        <v/>
      </c>
      <c r="C386" s="143" t="n">
        <v>2025</v>
      </c>
      <c r="D386" s="143" t="inlineStr">
        <is>
          <t>Q4</t>
        </is>
      </c>
      <c r="E386" s="98" t="inlineStr">
        <is>
          <t>All</t>
        </is>
      </c>
      <c r="F386" s="98" t="inlineStr">
        <is>
          <t>All</t>
        </is>
      </c>
      <c r="G386" s="143" t="inlineStr">
        <is>
          <t>Dragos</t>
        </is>
      </c>
      <c r="H386" s="106" t="inlineStr">
        <is>
          <t>Human</t>
        </is>
      </c>
      <c r="I386" s="145" t="n">
        <v>0</v>
      </c>
      <c r="J386" s="145">
        <f>IF(OR(I386="",Settings!$B$6=""),"",IF(I386&gt;Settings!$B$6,"BUY",IF(I386&lt;-Settings!$B$6,"SELL","HOLD")))</f>
        <v/>
      </c>
      <c r="K386" s="145" t="n">
        <v>20</v>
      </c>
      <c r="L386" s="123" t="n">
        <v>46052</v>
      </c>
      <c r="M386" s="140" t="n">
        <v>46052</v>
      </c>
      <c r="N386" s="147" t="n">
        <v>141.4</v>
      </c>
      <c r="O386" s="140" t="n">
        <v>46055</v>
      </c>
      <c r="P386" s="145" t="n">
        <v>139.83</v>
      </c>
      <c r="Q386" s="151">
        <f>IF(OR(N386="",P386=""),"",ROUND((P386-N386)/N386,4))</f>
        <v/>
      </c>
      <c r="R386" s="118">
        <f>IF(OR(N386="",P386=""),"",IF(Q386&gt;Settings!$B$3/100,"UP",IF(Q386&lt;-Settings!$B$3/100,"DOWN","FLAT")))</f>
        <v/>
      </c>
      <c r="S386" s="118">
        <f>IF(OR(N386="",P386="",J386=""),"",IF(OR(AND(J386="BUY",R386="UP"),AND(J386="SELL",R386="DOWN"),AND(J386="HOLD",R386="FLAT")),"YES","NO"))</f>
        <v/>
      </c>
      <c r="T386" s="119">
        <f>IF(J386="","",IF(J386="BUY",1,IF(J386="SELL",-1,0)))</f>
        <v/>
      </c>
      <c r="U386" s="150">
        <f>IFERROR(IF(OR(J386="",N386="",P386=""),"",IF(T386=0,0,T386*Q386-Settings!$B$4/10000-IF(T386&lt;0,Settings!$B$5/10000,0))),"")</f>
        <v/>
      </c>
      <c r="V386" t="inlineStr">
        <is>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is>
      </c>
      <c r="W386" s="21">
        <f>IF($K386="","",$K386*60)</f>
        <v/>
      </c>
      <c r="X386" s="91">
        <f>IF($A386="","",$A386&amp;"|"&amp;$C386&amp;"|"&amp;$D386)</f>
        <v/>
      </c>
      <c r="Y386" s="91">
        <f>IFERROR(IF($X386="","",INDEX(LLM_Data_Entry!$H$3:$H$548,MATCH($X386,INDEX(LLM_Data_Entry!$A$3:$A$548&amp;"|"&amp;LLM_Data_Entry!$C$3:$C$548&amp;"|"&amp;LLM_Data_Entry!$D$3:$D$548,0),0))),"")</f>
        <v/>
      </c>
      <c r="Z386" s="91">
        <f>IFERROR(IF($X386="","",INDEX(LLM_Data_Entry!$R$3:$R$548,MATCH($X386,INDEX(LLM_Data_Entry!$A$3:$A$548&amp;"|"&amp;LLM_Data_Entry!$C$3:$C$548&amp;"|"&amp;LLM_Data_Entry!$D$3:$D$548,0),0))),"")</f>
        <v/>
      </c>
      <c r="AB386" t="inlineStr">
        <is>
          <t>earnings calendar, seconded by the issuer's habit</t>
        </is>
      </c>
      <c r="AC386" t="inlineStr">
        <is>
          <t>XOM</t>
        </is>
      </c>
      <c r="AD386" t="inlineStr">
        <is>
          <t>2026-01-29</t>
        </is>
      </c>
      <c r="AE386" t="n">
        <v>138.6386</v>
      </c>
      <c r="AF386" t="inlineStr">
        <is>
          <t>2026-01-30</t>
        </is>
      </c>
      <c r="AG386" t="n">
        <v>136.8922</v>
      </c>
      <c r="AH386" t="n">
        <v>-0.01259690969588901</v>
      </c>
      <c r="AI386" t="inlineStr">
        <is>
          <t>FLAT</t>
        </is>
      </c>
      <c r="AJ386" t="inlineStr">
        <is>
          <t>YES</t>
        </is>
      </c>
      <c r="AK386" t="n">
        <v>0</v>
      </c>
      <c r="AL386">
        <f>IF($A386="","",IFERROR(INDEX(Company_List!$G$3:$G$207,MATCH($A386,Company_List!$A$3:$A$207,0)),"unassigned"))</f>
        <v/>
      </c>
      <c r="AM386" t="inlineStr">
        <is>
          <t>Phase 2/ExxonMobil/Q4 2025/XOM-Q4-2025-press-release-SEC-EX99-1.htm; Phase 2/ExxonMobil/Q4 2025/XOM-Q4-2025-exhibit-SEC-EX99-2.htm; Phase 2/ExxonMobil/Q4 2025/XOM-Q4-2025-earnings-call-transcript-InsiderMonkey.html</t>
        </is>
      </c>
      <c r="AN386" t="inlineStr">
        <is>
          <t>https://www.insidermonkey.com/blog/exxon-mobil-corporation-nysexom-q4-2025-earnings-call-transcript-1686033/; https://www.sec.gov/Archives/edgar/data/34088/000003408826000033/livef8k4q25991.htm; https://www.sec.gov/Archives/edgar/data/34088/000003408826000033/livef8k4q25992.htm</t>
        </is>
      </c>
      <c r="AO386" t="inlineStr">
        <is>
          <t>manifest (whole bundle)</t>
        </is>
      </c>
      <c r="AP386">
        <f>IF($A386="","",IF(COUNTIFS(LLM_Data_Entry!$A$3:$A$548,$A386)&gt;0,"YES","NO"))</f>
        <v/>
      </c>
      <c r="AQ386">
        <f>IF($A386="","",IF(COUNTIFS($A$3:$A386,$A386,$C$3:$C386,$C386,$D$3:$D386,$D386)=1,"YES","NO"))</f>
        <v/>
      </c>
      <c r="AR386">
        <f>IF($A386="","",IF(AND($C386&amp;"-"&amp;$D386&gt;=Settings!$B$19,$C386&amp;"-"&amp;$D386&lt;=Settings!$B$20),"IN","OUT"))</f>
        <v/>
      </c>
      <c r="AS386">
        <f>IF($A386="","",IF($F386="Financial Results","financials",IF($F386="Outlook/Guidance","guidance",IF($F386="Transcript Q&amp;A","qanda",IF($F386="","unrecorded",IF($E386="All","full",IF($E386="","unrecorded",LOWER($E386)&amp;" only")))))))</f>
        <v/>
      </c>
      <c r="AT386">
        <f>IF(AND(OR($J386="BUY",$J386="SELL"),ISNUMBER($U386)),$U386,"")</f>
        <v/>
      </c>
      <c r="AU386">
        <f>IF(AND(OR($J386="BUY",$J386="SELL"),ISNUMBER($AK386)),$AK386,"")</f>
        <v/>
      </c>
      <c r="AV386">
        <f>IF(ISNUMBER($AT386),ABS(IF(ISNUMBER($I386),$I386,0)-Settings!$B$24),"")</f>
        <v/>
      </c>
      <c r="AW386">
        <f>IF(ISNUMBER($AV386),$AV386*$AT386,"")</f>
        <v/>
      </c>
      <c r="AX386">
        <f>IF(ISNUMBER($AU386),ABS(IF(ISNUMBER($I386),$I386,0)-Settings!$B$24),"")</f>
        <v/>
      </c>
      <c r="AY386">
        <f>IF(ISNUMBER($AX386),$AX386*$AU386,"")</f>
        <v/>
      </c>
      <c r="AZ386">
        <f>IF($A386="","",IFERROR(INDEX(Company_List!$H$3:$H$207,MATCH($A386,Company_List!$A$3:$A$207,0)),"unassigned"))</f>
        <v/>
      </c>
      <c r="BC386">
        <f>IF($A386="","",IF(COUNTIFS($A$3:$A386,$A386,$C$3:$C386,$C386,$D$3:$D386,$D386,$G$3:$G386,$G386)=1,1,0))</f>
        <v/>
      </c>
      <c r="BG386" t="inlineStr">
        <is>
          <t>no</t>
        </is>
      </c>
      <c r="BK386">
        <f>IF(OR($H386&lt;&gt;"Human",$S386="",$J386="",$Y386="",$Z386=""),"",IF(EXACT(UPPER($J386),UPPER($Y386)),1,0))</f>
        <v/>
      </c>
      <c r="BL386" t="inlineStr">
        <is>
          <t>assumed - no rater record</t>
        </is>
      </c>
      <c r="BM386" t="n">
        <v>3</v>
      </c>
      <c r="BN386" t="inlineStr">
        <is>
          <t>Insider Monkey (Koala Guide LLC)</t>
        </is>
      </c>
      <c r="BO386" t="inlineStr">
        <is>
          <t>free to read, copyright asserted</t>
        </is>
      </c>
      <c r="BP386" t="inlineStr">
        <is>
          <t>no</t>
        </is>
      </c>
      <c r="BQ386" t="inlineStr">
        <is>
          <t>yes</t>
        </is>
      </c>
    </row>
    <row r="387">
      <c r="A387" s="1" t="inlineStr">
        <is>
          <t>ExxonMobil</t>
        </is>
      </c>
      <c r="B387" s="142">
        <f>IF(A387="","",_xlfn.XLOOKUP(A387, Company_List!$A:$A, Company_List!$B:$B, ""))</f>
        <v/>
      </c>
      <c r="C387" s="143" t="n">
        <v>2026</v>
      </c>
      <c r="D387" s="143" t="inlineStr">
        <is>
          <t>Q1</t>
        </is>
      </c>
      <c r="E387" s="98" t="inlineStr">
        <is>
          <t>All</t>
        </is>
      </c>
      <c r="F387" s="98" t="inlineStr">
        <is>
          <t>All</t>
        </is>
      </c>
      <c r="G387" s="143" t="inlineStr">
        <is>
          <t>Dragos</t>
        </is>
      </c>
      <c r="H387" s="106" t="inlineStr">
        <is>
          <t>Human</t>
        </is>
      </c>
      <c r="I387" s="145" t="n">
        <v>0.2</v>
      </c>
      <c r="J387" s="145">
        <f>IF(OR(I387="",Settings!$B$6=""),"",IF(I387&gt;Settings!$B$6,"BUY",IF(I387&lt;-Settings!$B$6,"SELL","HOLD")))</f>
        <v/>
      </c>
      <c r="K387" s="145" t="n">
        <v>18</v>
      </c>
      <c r="L387" s="123" t="n">
        <v>46143</v>
      </c>
      <c r="M387" s="140" t="n">
        <v>46143</v>
      </c>
      <c r="N387" s="147" t="n">
        <v>152.75</v>
      </c>
      <c r="O387" s="140" t="n">
        <v>46146</v>
      </c>
      <c r="P387" s="145" t="n">
        <v>152.67</v>
      </c>
      <c r="Q387" s="151">
        <f>IF(OR(N387="",P387=""),"",ROUND((P387-N387)/N387,4))</f>
        <v/>
      </c>
      <c r="R387" s="118">
        <f>IF(OR(N387="",P387=""),"",IF(Q387&gt;Settings!$B$3/100,"UP",IF(Q387&lt;-Settings!$B$3/100,"DOWN","FLAT")))</f>
        <v/>
      </c>
      <c r="S387" s="118">
        <f>IF(OR(N387="",P387="",J387=""),"",IF(OR(AND(J387="BUY",R387="UP"),AND(J387="SELL",R387="DOWN"),AND(J387="HOLD",R387="FLAT")),"YES","NO"))</f>
        <v/>
      </c>
      <c r="T387" s="119">
        <f>IF(J387="","",IF(J387="BUY",1,IF(J387="SELL",-1,0)))</f>
        <v/>
      </c>
      <c r="U387" s="150">
        <f>IFERROR(IF(OR(J387="",N387="",P387=""),"",IF(T387=0,0,T387*Q387-Settings!$B$4/10000-IF(T387&lt;0,Settings!$B$5/10000,0))),"")</f>
        <v/>
      </c>
      <c r="V387" t="inlineStr">
        <is>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is>
      </c>
      <c r="W387" s="21">
        <f>IF($K387="","",$K387*60)</f>
        <v/>
      </c>
      <c r="X387" s="91">
        <f>IF($A387="","",$A387&amp;"|"&amp;$C387&amp;"|"&amp;$D387)</f>
        <v/>
      </c>
      <c r="Y387" s="91">
        <f>IFERROR(IF($X387="","",INDEX(LLM_Data_Entry!$H$3:$H$548,MATCH($X387,INDEX(LLM_Data_Entry!$A$3:$A$548&amp;"|"&amp;LLM_Data_Entry!$C$3:$C$548&amp;"|"&amp;LLM_Data_Entry!$D$3:$D$548,0),0))),"")</f>
        <v/>
      </c>
      <c r="Z387" s="91">
        <f>IFERROR(IF($X387="","",INDEX(LLM_Data_Entry!$R$3:$R$548,MATCH($X387,INDEX(LLM_Data_Entry!$A$3:$A$548&amp;"|"&amp;LLM_Data_Entry!$C$3:$C$548&amp;"|"&amp;LLM_Data_Entry!$D$3:$D$548,0),0))),"")</f>
        <v/>
      </c>
      <c r="AB387" t="inlineStr">
        <is>
          <t>document date + price signal</t>
        </is>
      </c>
      <c r="AC387" t="inlineStr">
        <is>
          <t>XOM</t>
        </is>
      </c>
      <c r="AD387" t="inlineStr">
        <is>
          <t>2026-04-30</t>
        </is>
      </c>
      <c r="AE387" t="n">
        <v>153.2896</v>
      </c>
      <c r="AF387" t="inlineStr">
        <is>
          <t>2026-05-01</t>
        </is>
      </c>
      <c r="AG387" t="n">
        <v>151.5811</v>
      </c>
      <c r="AH387" t="n">
        <v>-0.01114496162795326</v>
      </c>
      <c r="AI387" t="inlineStr">
        <is>
          <t>FLAT</t>
        </is>
      </c>
      <c r="AJ387" t="inlineStr">
        <is>
          <t>YES</t>
        </is>
      </c>
      <c r="AK387" t="n">
        <v>0</v>
      </c>
      <c r="AL387">
        <f>IF($A387="","",IFERROR(INDEX(Company_List!$G$3:$G$207,MATCH($A387,Company_List!$A$3:$A$207,0)),"unassigned"))</f>
        <v/>
      </c>
      <c r="AM387" t="inlineStr">
        <is>
          <t>Phase 2/ExxonMobil/Q1 2026/XOM-Q1-2026-press-release-SEC-EX99-1.htm; Phase 2/ExxonMobil/Q1 2026/XOM-Q1-2026-exhibit-SEC-EX99-2.htm; Phase 2/ExxonMobil/Q1 2026/XOM-Q1-2026-earnings-call-transcript-InsiderMonkey.html</t>
        </is>
      </c>
      <c r="AN387" t="inlineStr">
        <is>
          <t>https://www.insidermonkey.com/blog/exxon-mobil-corporation-nysexom-q1-2026-earnings-call-transcript-1752603/; https://www.sec.gov/Archives/edgar/data/34088/000003408826000065/livef8k1q26991.htm; https://www.sec.gov/Archives/edgar/data/34088/000003408826000065/livef8k1q26992.htm</t>
        </is>
      </c>
      <c r="AO387" t="inlineStr">
        <is>
          <t>manifest (whole bundle)</t>
        </is>
      </c>
      <c r="AP387">
        <f>IF($A387="","",IF(COUNTIFS(LLM_Data_Entry!$A$3:$A$548,$A387)&gt;0,"YES","NO"))</f>
        <v/>
      </c>
      <c r="AQ387">
        <f>IF($A387="","",IF(COUNTIFS($A$3:$A387,$A387,$C$3:$C387,$C387,$D$3:$D387,$D387)=1,"YES","NO"))</f>
        <v/>
      </c>
      <c r="AR387">
        <f>IF($A387="","",IF(AND($C387&amp;"-"&amp;$D387&gt;=Settings!$B$19,$C387&amp;"-"&amp;$D387&lt;=Settings!$B$20),"IN","OUT"))</f>
        <v/>
      </c>
      <c r="AS387">
        <f>IF($A387="","",IF($F387="Financial Results","financials",IF($F387="Outlook/Guidance","guidance",IF($F387="Transcript Q&amp;A","qanda",IF($F387="","unrecorded",IF($E387="All","full",IF($E387="","unrecorded",LOWER($E387)&amp;" only")))))))</f>
        <v/>
      </c>
      <c r="AT387">
        <f>IF(AND(OR($J387="BUY",$J387="SELL"),ISNUMBER($U387)),$U387,"")</f>
        <v/>
      </c>
      <c r="AU387">
        <f>IF(AND(OR($J387="BUY",$J387="SELL"),ISNUMBER($AK387)),$AK387,"")</f>
        <v/>
      </c>
      <c r="AV387">
        <f>IF(ISNUMBER($AT387),ABS(IF(ISNUMBER($I387),$I387,0)-Settings!$B$24),"")</f>
        <v/>
      </c>
      <c r="AW387">
        <f>IF(ISNUMBER($AV387),$AV387*$AT387,"")</f>
        <v/>
      </c>
      <c r="AX387">
        <f>IF(ISNUMBER($AU387),ABS(IF(ISNUMBER($I387),$I387,0)-Settings!$B$24),"")</f>
        <v/>
      </c>
      <c r="AY387">
        <f>IF(ISNUMBER($AX387),$AX387*$AU387,"")</f>
        <v/>
      </c>
      <c r="AZ387">
        <f>IF($A387="","",IFERROR(INDEX(Company_List!$H$3:$H$207,MATCH($A387,Company_List!$A$3:$A$207,0)),"unassigned"))</f>
        <v/>
      </c>
      <c r="BC387">
        <f>IF($A387="","",IF(COUNTIFS($A$3:$A387,$A387,$C$3:$C387,$C387,$D$3:$D387,$D387,$G$3:$G387,$G387)=1,1,0))</f>
        <v/>
      </c>
      <c r="BG387" t="inlineStr">
        <is>
          <t>no</t>
        </is>
      </c>
      <c r="BK387">
        <f>IF(OR($H387&lt;&gt;"Human",$S387="",$J387="",$Y387="",$Z387=""),"",IF(EXACT(UPPER($J387),UPPER($Y387)),1,0))</f>
        <v/>
      </c>
      <c r="BL387" t="inlineStr">
        <is>
          <t>assumed - no rater record</t>
        </is>
      </c>
      <c r="BM387" t="n">
        <v>3</v>
      </c>
      <c r="BN387" t="inlineStr">
        <is>
          <t>Insider Monkey (Koala Guide LLC)</t>
        </is>
      </c>
      <c r="BO387" t="inlineStr">
        <is>
          <t>free to read, copyright asserted</t>
        </is>
      </c>
      <c r="BP387" t="inlineStr">
        <is>
          <t>no</t>
        </is>
      </c>
      <c r="BQ387" t="inlineStr">
        <is>
          <t>yes</t>
        </is>
      </c>
    </row>
    <row r="388">
      <c r="A388" s="1" t="inlineStr">
        <is>
          <t>American Express</t>
        </is>
      </c>
      <c r="B388" s="142">
        <f>IF(A388="","",_xlfn.XLOOKUP(A388, Company_List!$A:$A, Company_List!$B:$B, ""))</f>
        <v/>
      </c>
      <c r="C388" s="143" t="n">
        <v>2025</v>
      </c>
      <c r="D388" s="143" t="inlineStr">
        <is>
          <t>Q2</t>
        </is>
      </c>
      <c r="E388" s="98" t="inlineStr">
        <is>
          <t>Financial Statement</t>
        </is>
      </c>
      <c r="F388" s="98" t="inlineStr">
        <is>
          <t>Financial Results</t>
        </is>
      </c>
      <c r="G388" s="143" t="inlineStr">
        <is>
          <t>David</t>
        </is>
      </c>
      <c r="H388" s="106" t="inlineStr">
        <is>
          <t>Human</t>
        </is>
      </c>
      <c r="I388" s="145" t="n">
        <v>0.25</v>
      </c>
      <c r="J388" s="145">
        <f>IF(OR(I388="",Settings!$B$6=""),"",IF(I388&gt;Settings!$B$6,"BUY",IF(I388&lt;-Settings!$B$6,"SELL","HOLD")))</f>
        <v/>
      </c>
      <c r="K388" s="145" t="n">
        <v>22</v>
      </c>
      <c r="L388" s="123" t="n">
        <v>45856</v>
      </c>
      <c r="M388" s="140" t="n">
        <v>45855</v>
      </c>
      <c r="N388" s="147" t="n">
        <v>315.35</v>
      </c>
      <c r="O388" s="140" t="n">
        <v>45856</v>
      </c>
      <c r="P388" s="145" t="n">
        <v>311.86</v>
      </c>
      <c r="Q388" s="151">
        <f>IF(OR(N388="",P388=""),"",ROUND((P388-N388)/N388,4))</f>
        <v/>
      </c>
      <c r="R388" s="118">
        <f>IF(OR(N388="",P388=""),"",IF(Q388&gt;Settings!$B$3/100,"UP",IF(Q388&lt;-Settings!$B$3/100,"DOWN","FLAT")))</f>
        <v/>
      </c>
      <c r="S388" s="118">
        <f>IF(OR(N388="",P388="",J388=""),"",IF(OR(AND(J388="BUY",R388="UP"),AND(J388="SELL",R388="DOWN"),AND(J388="HOLD",R388="FLAT")),"YES","NO"))</f>
        <v/>
      </c>
      <c r="T388" s="119">
        <f>IF(J388="","",IF(J388="BUY",1,IF(J388="SELL",-1,0)))</f>
        <v/>
      </c>
      <c r="U388" s="150">
        <f>IFERROR(IF(OR(J388="",N388="",P388=""),"",IF(T388=0,0,T388*Q388-Settings!$B$4/10000-IF(T388&lt;0,Settings!$B$5/10000,0))),"")</f>
        <v/>
      </c>
      <c r="W388" s="21">
        <f>IF($K388="","",$K388*60)</f>
        <v/>
      </c>
      <c r="X388" s="91">
        <f>IF($A388="","",$A388&amp;"|"&amp;$C388&amp;"|"&amp;$D388)</f>
        <v/>
      </c>
      <c r="Y388" s="91">
        <f>IFERROR(IF($X388="","",INDEX(LLM_Data_Entry!$H$3:$H$548,MATCH($X388,INDEX(LLM_Data_Entry!$A$3:$A$548&amp;"|"&amp;LLM_Data_Entry!$C$3:$C$548&amp;"|"&amp;LLM_Data_Entry!$D$3:$D$548,0),0))),"")</f>
        <v/>
      </c>
      <c r="Z388" s="91">
        <f>IFERROR(IF($X388="","",INDEX(LLM_Data_Entry!$R$3:$R$548,MATCH($X388,INDEX(LLM_Data_Entry!$A$3:$A$548&amp;"|"&amp;LLM_Data_Entry!$C$3:$C$548&amp;"|"&amp;LLM_Data_Entry!$D$3:$D$548,0),0))),"")</f>
        <v/>
      </c>
      <c r="AB388" t="inlineStr">
        <is>
          <t>price signal, re-derived — only this window shows an abnormal move</t>
        </is>
      </c>
      <c r="AC388" t="inlineStr">
        <is>
          <t>AXP</t>
        </is>
      </c>
      <c r="AD388" t="inlineStr">
        <is>
          <t>2025-07-17</t>
        </is>
      </c>
      <c r="AE388" t="n">
        <v>312.0126</v>
      </c>
      <c r="AF388" t="inlineStr">
        <is>
          <t>2025-07-18</t>
        </is>
      </c>
      <c r="AG388" t="n">
        <v>308.5595</v>
      </c>
      <c r="AH388" t="n">
        <v>-0.01106716102514595</v>
      </c>
      <c r="AI388" t="inlineStr">
        <is>
          <t>FLAT</t>
        </is>
      </c>
      <c r="AJ388" t="inlineStr">
        <is>
          <t>NO</t>
        </is>
      </c>
      <c r="AK388" t="n">
        <v>-0.012067</v>
      </c>
      <c r="AL388">
        <f>IF($A388="","",IFERROR(INDEX(Company_List!$G$3:$G$207,MATCH($A388,Company_List!$A$3:$A$207,0)),"unassigned"))</f>
        <v/>
      </c>
      <c r="AM388" t="inlineStr">
        <is>
          <t>Phase 2/American Express/2025-Q2/AXP-2025-Q2-quarterly-financial-statements-SEC-10-Q.htm</t>
        </is>
      </c>
      <c r="AN388" t="inlineStr">
        <is>
          <t>https://www.sec.gov/Archives/edgar/data/4962/ (10-Q, Q2 2025)</t>
        </is>
      </c>
      <c r="AO388" t="inlineStr">
        <is>
          <t>manifest</t>
        </is>
      </c>
      <c r="AP388">
        <f>IF($A388="","",IF(COUNTIFS(LLM_Data_Entry!$A$3:$A$548,$A388)&gt;0,"YES","NO"))</f>
        <v/>
      </c>
      <c r="AQ388">
        <f>IF($A388="","",IF(COUNTIFS($A$3:$A388,$A388,$C$3:$C388,$C388,$D$3:$D388,$D388)=1,"YES","NO"))</f>
        <v/>
      </c>
      <c r="AR388">
        <f>IF($A388="","",IF(AND($C388&amp;"-"&amp;$D388&gt;=Settings!$B$19,$C388&amp;"-"&amp;$D388&lt;=Settings!$B$20),"IN","OUT"))</f>
        <v/>
      </c>
      <c r="AS388">
        <f>IF($A388="","",IF($F388="Financial Results","financials",IF($F388="Outlook/Guidance","guidance",IF($F388="Transcript Q&amp;A","qanda",IF($F388="","unrecorded",IF($E388="All","full",IF($E388="","unrecorded",LOWER($E388)&amp;" only")))))))</f>
        <v/>
      </c>
      <c r="AT388">
        <f>IF(AND(OR($J388="BUY",$J388="SELL"),ISNUMBER($U388)),$U388,"")</f>
        <v/>
      </c>
      <c r="AU388">
        <f>IF(AND(OR($J388="BUY",$J388="SELL"),ISNUMBER($AK388)),$AK388,"")</f>
        <v/>
      </c>
      <c r="AV388">
        <f>IF(ISNUMBER($AT388),ABS(IF(ISNUMBER($I388),$I388,0)-Settings!$B$24),"")</f>
        <v/>
      </c>
      <c r="AW388">
        <f>IF(ISNUMBER($AV388),$AV388*$AT388,"")</f>
        <v/>
      </c>
      <c r="AX388">
        <f>IF(ISNUMBER($AU388),ABS(IF(ISNUMBER($I388),$I388,0)-Settings!$B$24),"")</f>
        <v/>
      </c>
      <c r="AY388">
        <f>IF(ISNUMBER($AX388),$AX388*$AU388,"")</f>
        <v/>
      </c>
      <c r="AZ388">
        <f>IF($A388="","",IFERROR(INDEX(Company_List!$H$3:$H$207,MATCH($A388,Company_List!$A$3:$A$207,0)),"unassigned"))</f>
        <v/>
      </c>
      <c r="BC388">
        <f>IF($A388="","",IF(COUNTIFS($A$3:$A388,$A388,$C$3:$C388,$C388,$D$3:$D388,$D388,$G$3:$G388,$G388)=1,1,0))</f>
        <v/>
      </c>
      <c r="BG388" t="inlineStr">
        <is>
          <t>no</t>
        </is>
      </c>
      <c r="BK388">
        <f>IF(OR($H388&lt;&gt;"Human",$S388="",$J388="",$Y388="",$Z388=""),"",IF(EXACT(UPPER($J388),UPPER($Y388)),1,0))</f>
        <v/>
      </c>
      <c r="BL388" t="inlineStr">
        <is>
          <t>assumed - no rater record</t>
        </is>
      </c>
      <c r="BM388" t="n">
        <v>1</v>
      </c>
      <c r="BN388" t="inlineStr">
        <is>
          <t>not publisher-identified</t>
        </is>
      </c>
      <c r="BO388" t="inlineStr">
        <is>
          <t>not publisher-identified</t>
        </is>
      </c>
      <c r="BP388" t="inlineStr">
        <is>
          <t>sole source</t>
        </is>
      </c>
      <c r="BQ388" t="inlineStr">
        <is>
          <t>yes</t>
        </is>
      </c>
    </row>
    <row r="389">
      <c r="A389" s="1" t="inlineStr">
        <is>
          <t>American Express</t>
        </is>
      </c>
      <c r="B389" s="142">
        <f>IF(A389="","",_xlfn.XLOOKUP(A389, Company_List!$A:$A, Company_List!$B:$B, ""))</f>
        <v/>
      </c>
      <c r="C389" s="143" t="n">
        <v>2025</v>
      </c>
      <c r="D389" s="143" t="inlineStr">
        <is>
          <t>Q2</t>
        </is>
      </c>
      <c r="E389" s="98" t="inlineStr">
        <is>
          <t>All</t>
        </is>
      </c>
      <c r="F389" s="98" t="inlineStr">
        <is>
          <t>All</t>
        </is>
      </c>
      <c r="G389" s="143" t="inlineStr">
        <is>
          <t>David</t>
        </is>
      </c>
      <c r="H389" s="106" t="inlineStr">
        <is>
          <t>Human</t>
        </is>
      </c>
      <c r="I389" s="145" t="n">
        <v>0.22</v>
      </c>
      <c r="J389" s="145">
        <f>IF(OR(I389="",Settings!$B$6=""),"",IF(I389&gt;Settings!$B$6,"BUY",IF(I389&lt;-Settings!$B$6,"SELL","HOLD")))</f>
        <v/>
      </c>
      <c r="K389" s="145" t="n">
        <v>29</v>
      </c>
      <c r="L389" s="123" t="n">
        <v>45856</v>
      </c>
      <c r="M389" s="140" t="n">
        <v>45855</v>
      </c>
      <c r="N389" s="147" t="n">
        <v>315.35</v>
      </c>
      <c r="O389" s="140" t="n">
        <v>45856</v>
      </c>
      <c r="P389" s="145" t="n">
        <v>311.86</v>
      </c>
      <c r="Q389" s="151">
        <f>IF(OR(N389="",P389=""),"",ROUND((P389-N389)/N389,4))</f>
        <v/>
      </c>
      <c r="R389" s="118">
        <f>IF(OR(N389="",P389=""),"",IF(Q389&gt;Settings!$B$3/100,"UP",IF(Q389&lt;-Settings!$B$3/100,"DOWN","FLAT")))</f>
        <v/>
      </c>
      <c r="S389" s="118">
        <f>IF(OR(N389="",P389="",J389=""),"",IF(OR(AND(J389="BUY",R389="UP"),AND(J389="SELL",R389="DOWN"),AND(J389="HOLD",R389="FLAT")),"YES","NO"))</f>
        <v/>
      </c>
      <c r="T389" s="119">
        <f>IF(J389="","",IF(J389="BUY",1,IF(J389="SELL",-1,0)))</f>
        <v/>
      </c>
      <c r="U389" s="150">
        <f>IFERROR(IF(OR(J389="",N389="",P389=""),"",IF(T389=0,0,T389*Q389-Settings!$B$4/10000-IF(T389&lt;0,Settings!$B$5/10000,0))),"")</f>
        <v/>
      </c>
      <c r="W389" s="21">
        <f>IF($K389="","",$K389*60)</f>
        <v/>
      </c>
      <c r="X389" s="91">
        <f>IF($A389="","",$A389&amp;"|"&amp;$C389&amp;"|"&amp;$D389)</f>
        <v/>
      </c>
      <c r="Y389" s="91">
        <f>IFERROR(IF($X389="","",INDEX(LLM_Data_Entry!$H$3:$H$548,MATCH($X389,INDEX(LLM_Data_Entry!$A$3:$A$548&amp;"|"&amp;LLM_Data_Entry!$C$3:$C$548&amp;"|"&amp;LLM_Data_Entry!$D$3:$D$548,0),0))),"")</f>
        <v/>
      </c>
      <c r="Z389" s="91">
        <f>IFERROR(IF($X389="","",INDEX(LLM_Data_Entry!$R$3:$R$548,MATCH($X389,INDEX(LLM_Data_Entry!$A$3:$A$548&amp;"|"&amp;LLM_Data_Entry!$C$3:$C$548&amp;"|"&amp;LLM_Data_Entry!$D$3:$D$548,0),0))),"")</f>
        <v/>
      </c>
      <c r="AB389" t="inlineStr">
        <is>
          <t>price signal, re-derived — only this window shows an abnormal move</t>
        </is>
      </c>
      <c r="AC389" t="inlineStr">
        <is>
          <t>AXP</t>
        </is>
      </c>
      <c r="AD389" t="inlineStr">
        <is>
          <t>2025-07-17</t>
        </is>
      </c>
      <c r="AE389" t="n">
        <v>312.0126</v>
      </c>
      <c r="AF389" t="inlineStr">
        <is>
          <t>2025-07-18</t>
        </is>
      </c>
      <c r="AG389" t="n">
        <v>308.5595</v>
      </c>
      <c r="AH389" t="n">
        <v>-0.01106716102514595</v>
      </c>
      <c r="AI389" t="inlineStr">
        <is>
          <t>FLAT</t>
        </is>
      </c>
      <c r="AJ389" t="inlineStr">
        <is>
          <t>NO</t>
        </is>
      </c>
      <c r="AK389" t="n">
        <v>-0.012067</v>
      </c>
      <c r="AL389">
        <f>IF($A389="","",IFERROR(INDEX(Company_List!$G$3:$G$207,MATCH($A389,Company_List!$A$3:$A$207,0)),"unassigned"))</f>
        <v/>
      </c>
      <c r="AM389" t="inlineStr">
        <is>
          <t>Phase 2/American Express/2025-Q2/AXP-2025-Q2-press-release-SEC-EX-99-1.htm; Phase 2/American Express/2025-Q2/AXP-2025-Q2-quarterly-financial-statements-SEC-10-Q.htm</t>
        </is>
      </c>
      <c r="AN389" t="inlineStr">
        <is>
          <t>https://www.sec.gov/Archives/edgar/data/4962/ (10-Q, Q2 2025); https://www.sec.gov/Archives/edgar/data/4962/000000496225000082/q225exhibit991.htm</t>
        </is>
      </c>
      <c r="AO389" t="inlineStr">
        <is>
          <t>manifest (whole bundle)</t>
        </is>
      </c>
      <c r="AP389">
        <f>IF($A389="","",IF(COUNTIFS(LLM_Data_Entry!$A$3:$A$548,$A389)&gt;0,"YES","NO"))</f>
        <v/>
      </c>
      <c r="AQ389">
        <f>IF($A389="","",IF(COUNTIFS($A$3:$A389,$A389,$C$3:$C389,$C389,$D$3:$D389,$D389)=1,"YES","NO"))</f>
        <v/>
      </c>
      <c r="AR389">
        <f>IF($A389="","",IF(AND($C389&amp;"-"&amp;$D389&gt;=Settings!$B$19,$C389&amp;"-"&amp;$D389&lt;=Settings!$B$20),"IN","OUT"))</f>
        <v/>
      </c>
      <c r="AS389">
        <f>IF($A389="","",IF($F389="Financial Results","financials",IF($F389="Outlook/Guidance","guidance",IF($F389="Transcript Q&amp;A","qanda",IF($F389="","unrecorded",IF($E389="All","full",IF($E389="","unrecorded",LOWER($E389)&amp;" only")))))))</f>
        <v/>
      </c>
      <c r="AT389">
        <f>IF(AND(OR($J389="BUY",$J389="SELL"),ISNUMBER($U389)),$U389,"")</f>
        <v/>
      </c>
      <c r="AU389">
        <f>IF(AND(OR($J389="BUY",$J389="SELL"),ISNUMBER($AK389)),$AK389,"")</f>
        <v/>
      </c>
      <c r="AV389">
        <f>IF(ISNUMBER($AT389),ABS(IF(ISNUMBER($I389),$I389,0)-Settings!$B$24),"")</f>
        <v/>
      </c>
      <c r="AW389">
        <f>IF(ISNUMBER($AV389),$AV389*$AT389,"")</f>
        <v/>
      </c>
      <c r="AX389">
        <f>IF(ISNUMBER($AU389),ABS(IF(ISNUMBER($I389),$I389,0)-Settings!$B$24),"")</f>
        <v/>
      </c>
      <c r="AY389">
        <f>IF(ISNUMBER($AX389),$AX389*$AU389,"")</f>
        <v/>
      </c>
      <c r="AZ389">
        <f>IF($A389="","",IFERROR(INDEX(Company_List!$H$3:$H$207,MATCH($A389,Company_List!$A$3:$A$207,0)),"unassigned"))</f>
        <v/>
      </c>
      <c r="BC389">
        <f>IF($A389="","",IF(COUNTIFS($A$3:$A389,$A389,$C$3:$C389,$C389,$D$3:$D389,$D389,$G$3:$G389,$G389)=1,1,0))</f>
        <v/>
      </c>
      <c r="BG389" t="inlineStr">
        <is>
          <t>no</t>
        </is>
      </c>
      <c r="BK389">
        <f>IF(OR($H389&lt;&gt;"Human",$S389="",$J389="",$Y389="",$Z389=""),"",IF(EXACT(UPPER($J389),UPPER($Y389)),1,0))</f>
        <v/>
      </c>
      <c r="BL389" t="inlineStr">
        <is>
          <t>assumed - no rater record</t>
        </is>
      </c>
      <c r="BM389" t="n">
        <v>2</v>
      </c>
      <c r="BN389" t="inlineStr">
        <is>
          <t>not publisher-identified</t>
        </is>
      </c>
      <c r="BO389" t="inlineStr">
        <is>
          <t>not publisher-identified</t>
        </is>
      </c>
      <c r="BP389" t="inlineStr">
        <is>
          <t>one of several</t>
        </is>
      </c>
      <c r="BQ389" t="inlineStr">
        <is>
          <t>yes</t>
        </is>
      </c>
    </row>
    <row r="390">
      <c r="A390" s="1" t="inlineStr">
        <is>
          <t>American Express</t>
        </is>
      </c>
      <c r="B390" s="142">
        <f>IF(A390="","",_xlfn.XLOOKUP(A390, Company_List!$A:$A, Company_List!$B:$B, ""))</f>
        <v/>
      </c>
      <c r="C390" s="143" t="n">
        <v>2025</v>
      </c>
      <c r="D390" s="143" t="inlineStr">
        <is>
          <t>Q3</t>
        </is>
      </c>
      <c r="E390" s="98" t="inlineStr">
        <is>
          <t>Transcript</t>
        </is>
      </c>
      <c r="F390" s="98" t="inlineStr">
        <is>
          <t>Outlook/Guidance</t>
        </is>
      </c>
      <c r="G390" s="143" t="inlineStr">
        <is>
          <t>David</t>
        </is>
      </c>
      <c r="H390" s="106" t="inlineStr">
        <is>
          <t>Human</t>
        </is>
      </c>
      <c r="I390" s="145" t="n">
        <v>0.1</v>
      </c>
      <c r="J390" s="145">
        <f>IF(OR(I390="",Settings!$B$6=""),"",IF(I390&gt;Settings!$B$6,"BUY",IF(I390&lt;-Settings!$B$6,"SELL","HOLD")))</f>
        <v/>
      </c>
      <c r="K390" s="145" t="n">
        <v>24</v>
      </c>
      <c r="L390" s="123" t="n">
        <v>45947</v>
      </c>
      <c r="M390" s="140" t="n">
        <v>45946</v>
      </c>
      <c r="N390" s="147" t="n">
        <v>323.12</v>
      </c>
      <c r="O390" s="140" t="n">
        <v>45947</v>
      </c>
      <c r="P390" s="145" t="n">
        <v>332.38</v>
      </c>
      <c r="Q390" s="151">
        <f>IF(OR(N390="",P390=""),"",ROUND((P390-N390)/N390,4))</f>
        <v/>
      </c>
      <c r="R390" s="118">
        <f>IF(OR(N390="",P390=""),"",IF(Q390&gt;Settings!$B$3/100,"UP",IF(Q390&lt;-Settings!$B$3/100,"DOWN","FLAT")))</f>
        <v/>
      </c>
      <c r="S390" s="118">
        <f>IF(OR(N390="",P390="",J390=""),"",IF(OR(AND(J390="BUY",R390="UP"),AND(J390="SELL",R390="DOWN"),AND(J390="HOLD",R390="FLAT")),"YES","NO"))</f>
        <v/>
      </c>
      <c r="T390" s="119">
        <f>IF(J390="","",IF(J390="BUY",1,IF(J390="SELL",-1,0)))</f>
        <v/>
      </c>
      <c r="U390" s="150">
        <f>IFERROR(IF(OR(J390="",N390="",P390=""),"",IF(T390=0,0,T390*Q390-Settings!$B$4/10000-IF(T390&lt;0,Settings!$B$5/10000,0))),"")</f>
        <v/>
      </c>
      <c r="W390" s="21">
        <f>IF($K390="","",$K390*60)</f>
        <v/>
      </c>
      <c r="X390" s="91">
        <f>IF($A390="","",$A390&amp;"|"&amp;$C390&amp;"|"&amp;$D390)</f>
        <v/>
      </c>
      <c r="Y390" s="91">
        <f>IFERROR(IF($X390="","",INDEX(LLM_Data_Entry!$H$3:$H$548,MATCH($X390,INDEX(LLM_Data_Entry!$A$3:$A$548&amp;"|"&amp;LLM_Data_Entry!$C$3:$C$548&amp;"|"&amp;LLM_Data_Entry!$D$3:$D$548,0),0))),"")</f>
        <v/>
      </c>
      <c r="Z390" s="91">
        <f>IFERROR(IF($X390="","",INDEX(LLM_Data_Entry!$R$3:$R$548,MATCH($X390,INDEX(LLM_Data_Entry!$A$3:$A$548&amp;"|"&amp;LLM_Data_Entry!$C$3:$C$548&amp;"|"&amp;LLM_Data_Entry!$D$3:$D$548,0),0))),"")</f>
        <v/>
      </c>
      <c r="AB390" t="inlineStr">
        <is>
          <t>price signal, re-derived — only this window shows an abnormal move</t>
        </is>
      </c>
      <c r="AC390" t="inlineStr">
        <is>
          <t>AXP</t>
        </is>
      </c>
      <c r="AD390" t="inlineStr">
        <is>
          <t>2025-10-16</t>
        </is>
      </c>
      <c r="AE390" t="n">
        <v>320.5104</v>
      </c>
      <c r="AF390" t="inlineStr">
        <is>
          <t>2025-10-17</t>
        </is>
      </c>
      <c r="AG390" t="n">
        <v>329.6956</v>
      </c>
      <c r="AH390" t="n">
        <v>0.02865802524885775</v>
      </c>
      <c r="AI390" t="inlineStr">
        <is>
          <t>UP</t>
        </is>
      </c>
      <c r="AJ390" t="inlineStr">
        <is>
          <t>NO</t>
        </is>
      </c>
      <c r="AK390" t="n">
        <v>0</v>
      </c>
      <c r="AL390">
        <f>IF($A390="","",IFERROR(INDEX(Company_List!$G$3:$G$207,MATCH($A390,Company_List!$A$3:$A$207,0)),"unassigned"))</f>
        <v/>
      </c>
      <c r="AM390" t="inlineStr">
        <is>
          <t>Phase 2/American Express/2025-Q3/AXP-2025-Q3-earnings-call-transcript-fool-com.html</t>
        </is>
      </c>
      <c r="AN390" t="inlineStr">
        <is>
          <t>https://www.fool.com/earnings/call-transcripts/2025/10/17/amex-axp-q3-2025-earnings-call-transcript/</t>
        </is>
      </c>
      <c r="AO390" t="inlineStr">
        <is>
          <t>manifest</t>
        </is>
      </c>
      <c r="AP390">
        <f>IF($A390="","",IF(COUNTIFS(LLM_Data_Entry!$A$3:$A$548,$A390)&gt;0,"YES","NO"))</f>
        <v/>
      </c>
      <c r="AQ390">
        <f>IF($A390="","",IF(COUNTIFS($A$3:$A390,$A390,$C$3:$C390,$C390,$D$3:$D390,$D390)=1,"YES","NO"))</f>
        <v/>
      </c>
      <c r="AR390">
        <f>IF($A390="","",IF(AND($C390&amp;"-"&amp;$D390&gt;=Settings!$B$19,$C390&amp;"-"&amp;$D390&lt;=Settings!$B$20),"IN","OUT"))</f>
        <v/>
      </c>
      <c r="AS390">
        <f>IF($A390="","",IF($F390="Financial Results","financials",IF($F390="Outlook/Guidance","guidance",IF($F390="Transcript Q&amp;A","qanda",IF($F390="","unrecorded",IF($E390="All","full",IF($E390="","unrecorded",LOWER($E390)&amp;" only")))))))</f>
        <v/>
      </c>
      <c r="AT390">
        <f>IF(AND(OR($J390="BUY",$J390="SELL"),ISNUMBER($U390)),$U390,"")</f>
        <v/>
      </c>
      <c r="AU390">
        <f>IF(AND(OR($J390="BUY",$J390="SELL"),ISNUMBER($AK390)),$AK390,"")</f>
        <v/>
      </c>
      <c r="AV390">
        <f>IF(ISNUMBER($AT390),ABS(IF(ISNUMBER($I390),$I390,0)-Settings!$B$24),"")</f>
        <v/>
      </c>
      <c r="AW390">
        <f>IF(ISNUMBER($AV390),$AV390*$AT390,"")</f>
        <v/>
      </c>
      <c r="AX390">
        <f>IF(ISNUMBER($AU390),ABS(IF(ISNUMBER($I390),$I390,0)-Settings!$B$24),"")</f>
        <v/>
      </c>
      <c r="AY390">
        <f>IF(ISNUMBER($AX390),$AX390*$AU390,"")</f>
        <v/>
      </c>
      <c r="AZ390">
        <f>IF($A390="","",IFERROR(INDEX(Company_List!$H$3:$H$207,MATCH($A390,Company_List!$A$3:$A$207,0)),"unassigned"))</f>
        <v/>
      </c>
      <c r="BC390">
        <f>IF($A390="","",IF(COUNTIFS($A$3:$A390,$A390,$C$3:$C390,$C390,$D$3:$D390,$D390,$G$3:$G390,$G390)=1,1,0))</f>
        <v/>
      </c>
      <c r="BG390" t="inlineStr">
        <is>
          <t>no</t>
        </is>
      </c>
      <c r="BK390">
        <f>IF(OR($H390&lt;&gt;"Human",$S390="",$J390="",$Y390="",$Z390=""),"",IF(EXACT(UPPER($J390),UPPER($Y390)),1,0))</f>
        <v/>
      </c>
      <c r="BL390" t="inlineStr">
        <is>
          <t>assumed - no rater record</t>
        </is>
      </c>
      <c r="BM390" t="n">
        <v>1</v>
      </c>
      <c r="BN390" t="inlineStr">
        <is>
          <t>The Motley Fool</t>
        </is>
      </c>
      <c r="BO390" t="inlineStr">
        <is>
          <t>free to read, copyright asserted</t>
        </is>
      </c>
      <c r="BP390" t="inlineStr">
        <is>
          <t>no</t>
        </is>
      </c>
      <c r="BQ390" t="inlineStr">
        <is>
          <t>yes</t>
        </is>
      </c>
    </row>
    <row r="391">
      <c r="A391" s="1" t="inlineStr">
        <is>
          <t>American Express</t>
        </is>
      </c>
      <c r="B391" s="142">
        <f>IF(A391="","",_xlfn.XLOOKUP(A391, Company_List!$A:$A, Company_List!$B:$B, ""))</f>
        <v/>
      </c>
      <c r="C391" s="143" t="n">
        <v>2025</v>
      </c>
      <c r="D391" s="143" t="inlineStr">
        <is>
          <t>Q3</t>
        </is>
      </c>
      <c r="E391" s="98" t="inlineStr">
        <is>
          <t>All</t>
        </is>
      </c>
      <c r="F391" s="98" t="inlineStr">
        <is>
          <t>All</t>
        </is>
      </c>
      <c r="G391" s="143" t="inlineStr">
        <is>
          <t>David</t>
        </is>
      </c>
      <c r="H391" s="106" t="inlineStr">
        <is>
          <t>Human</t>
        </is>
      </c>
      <c r="I391" s="145" t="n">
        <v>0.3</v>
      </c>
      <c r="J391" s="145">
        <f>IF(OR(I391="",Settings!$B$6=""),"",IF(I391&gt;Settings!$B$6,"BUY",IF(I391&lt;-Settings!$B$6,"SELL","HOLD")))</f>
        <v/>
      </c>
      <c r="K391" s="145" t="n">
        <v>31</v>
      </c>
      <c r="L391" s="123" t="n">
        <v>45947</v>
      </c>
      <c r="M391" s="140" t="n">
        <v>45946</v>
      </c>
      <c r="N391" s="147" t="n">
        <v>323.12</v>
      </c>
      <c r="O391" s="140" t="n">
        <v>45947</v>
      </c>
      <c r="P391" s="145" t="n">
        <v>332.38</v>
      </c>
      <c r="Q391" s="151">
        <f>IF(OR(N391="",P391=""),"",ROUND((P391-N391)/N391,4))</f>
        <v/>
      </c>
      <c r="R391" s="118">
        <f>IF(OR(N391="",P391=""),"",IF(Q391&gt;Settings!$B$3/100,"UP",IF(Q391&lt;-Settings!$B$3/100,"DOWN","FLAT")))</f>
        <v/>
      </c>
      <c r="S391" s="118">
        <f>IF(OR(N391="",P391="",J391=""),"",IF(OR(AND(J391="BUY",R391="UP"),AND(J391="SELL",R391="DOWN"),AND(J391="HOLD",R391="FLAT")),"YES","NO"))</f>
        <v/>
      </c>
      <c r="T391" s="119">
        <f>IF(J391="","",IF(J391="BUY",1,IF(J391="SELL",-1,0)))</f>
        <v/>
      </c>
      <c r="U391" s="150">
        <f>IFERROR(IF(OR(J391="",N391="",P391=""),"",IF(T391=0,0,T391*Q391-Settings!$B$4/10000-IF(T391&lt;0,Settings!$B$5/10000,0))),"")</f>
        <v/>
      </c>
      <c r="W391" s="21">
        <f>IF($K391="","",$K391*60)</f>
        <v/>
      </c>
      <c r="X391" s="91">
        <f>IF($A391="","",$A391&amp;"|"&amp;$C391&amp;"|"&amp;$D391)</f>
        <v/>
      </c>
      <c r="Y391" s="91">
        <f>IFERROR(IF($X391="","",INDEX(LLM_Data_Entry!$H$3:$H$548,MATCH($X391,INDEX(LLM_Data_Entry!$A$3:$A$548&amp;"|"&amp;LLM_Data_Entry!$C$3:$C$548&amp;"|"&amp;LLM_Data_Entry!$D$3:$D$548,0),0))),"")</f>
        <v/>
      </c>
      <c r="Z391" s="91">
        <f>IFERROR(IF($X391="","",INDEX(LLM_Data_Entry!$R$3:$R$548,MATCH($X391,INDEX(LLM_Data_Entry!$A$3:$A$548&amp;"|"&amp;LLM_Data_Entry!$C$3:$C$548&amp;"|"&amp;LLM_Data_Entry!$D$3:$D$548,0),0))),"")</f>
        <v/>
      </c>
      <c r="AB391" t="inlineStr">
        <is>
          <t>price signal, re-derived — only this window shows an abnormal move</t>
        </is>
      </c>
      <c r="AC391" t="inlineStr">
        <is>
          <t>AXP</t>
        </is>
      </c>
      <c r="AD391" t="inlineStr">
        <is>
          <t>2025-10-16</t>
        </is>
      </c>
      <c r="AE391" t="n">
        <v>320.5104</v>
      </c>
      <c r="AF391" t="inlineStr">
        <is>
          <t>2025-10-17</t>
        </is>
      </c>
      <c r="AG391" t="n">
        <v>329.6956</v>
      </c>
      <c r="AH391" t="n">
        <v>0.02865802524885775</v>
      </c>
      <c r="AI391" t="inlineStr">
        <is>
          <t>UP</t>
        </is>
      </c>
      <c r="AJ391" t="inlineStr">
        <is>
          <t>YES</t>
        </is>
      </c>
      <c r="AK391" t="n">
        <v>0.027658</v>
      </c>
      <c r="AL391">
        <f>IF($A391="","",IFERROR(INDEX(Company_List!$G$3:$G$207,MATCH($A391,Company_List!$A$3:$A$207,0)),"unassigned"))</f>
        <v/>
      </c>
      <c r="AM391" t="inlineStr">
        <is>
          <t>Phase 2/American Express/2025-Q3/AXP-2025-Q3-press-release-SEC-EX-99-1.htm; Phase 2/American Express/2025-Q3/AXP-2025-Q3-earnings-call-transcript-fool-com.html</t>
        </is>
      </c>
      <c r="AN391" t="inlineStr">
        <is>
          <t>https://www.fool.com/earnings/call-transcripts/2025/10/17/amex-axp-q3-2025-earnings-call-transcript/; https://www.sec.gov/Archives/edgar/data/4962/000000496225000218/q325exhibit991v2.htm</t>
        </is>
      </c>
      <c r="AO391" t="inlineStr">
        <is>
          <t>manifest (whole bundle)</t>
        </is>
      </c>
      <c r="AP391">
        <f>IF($A391="","",IF(COUNTIFS(LLM_Data_Entry!$A$3:$A$548,$A391)&gt;0,"YES","NO"))</f>
        <v/>
      </c>
      <c r="AQ391">
        <f>IF($A391="","",IF(COUNTIFS($A$3:$A391,$A391,$C$3:$C391,$C391,$D$3:$D391,$D391)=1,"YES","NO"))</f>
        <v/>
      </c>
      <c r="AR391">
        <f>IF($A391="","",IF(AND($C391&amp;"-"&amp;$D391&gt;=Settings!$B$19,$C391&amp;"-"&amp;$D391&lt;=Settings!$B$20),"IN","OUT"))</f>
        <v/>
      </c>
      <c r="AS391">
        <f>IF($A391="","",IF($F391="Financial Results","financials",IF($F391="Outlook/Guidance","guidance",IF($F391="Transcript Q&amp;A","qanda",IF($F391="","unrecorded",IF($E391="All","full",IF($E391="","unrecorded",LOWER($E391)&amp;" only")))))))</f>
        <v/>
      </c>
      <c r="AT391">
        <f>IF(AND(OR($J391="BUY",$J391="SELL"),ISNUMBER($U391)),$U391,"")</f>
        <v/>
      </c>
      <c r="AU391">
        <f>IF(AND(OR($J391="BUY",$J391="SELL"),ISNUMBER($AK391)),$AK391,"")</f>
        <v/>
      </c>
      <c r="AV391">
        <f>IF(ISNUMBER($AT391),ABS(IF(ISNUMBER($I391),$I391,0)-Settings!$B$24),"")</f>
        <v/>
      </c>
      <c r="AW391">
        <f>IF(ISNUMBER($AV391),$AV391*$AT391,"")</f>
        <v/>
      </c>
      <c r="AX391">
        <f>IF(ISNUMBER($AU391),ABS(IF(ISNUMBER($I391),$I391,0)-Settings!$B$24),"")</f>
        <v/>
      </c>
      <c r="AY391">
        <f>IF(ISNUMBER($AX391),$AX391*$AU391,"")</f>
        <v/>
      </c>
      <c r="AZ391">
        <f>IF($A391="","",IFERROR(INDEX(Company_List!$H$3:$H$207,MATCH($A391,Company_List!$A$3:$A$207,0)),"unassigned"))</f>
        <v/>
      </c>
      <c r="BC391">
        <f>IF($A391="","",IF(COUNTIFS($A$3:$A391,$A391,$C$3:$C391,$C391,$D$3:$D391,$D391,$G$3:$G391,$G391)=1,1,0))</f>
        <v/>
      </c>
      <c r="BG391" t="inlineStr">
        <is>
          <t>no</t>
        </is>
      </c>
      <c r="BK391">
        <f>IF(OR($H391&lt;&gt;"Human",$S391="",$J391="",$Y391="",$Z391=""),"",IF(EXACT(UPPER($J391),UPPER($Y391)),1,0))</f>
        <v/>
      </c>
      <c r="BL391" t="inlineStr">
        <is>
          <t>assumed - no rater record</t>
        </is>
      </c>
      <c r="BM391" t="n">
        <v>2</v>
      </c>
      <c r="BN391" t="inlineStr">
        <is>
          <t>The Motley Fool</t>
        </is>
      </c>
      <c r="BO391" t="inlineStr">
        <is>
          <t>free to read, copyright asserted</t>
        </is>
      </c>
      <c r="BP391" t="inlineStr">
        <is>
          <t>no</t>
        </is>
      </c>
      <c r="BQ391" t="inlineStr">
        <is>
          <t>yes</t>
        </is>
      </c>
    </row>
    <row r="392">
      <c r="A392" s="1" t="inlineStr">
        <is>
          <t>American Express</t>
        </is>
      </c>
      <c r="B392" s="142">
        <f>IF(A392="","",_xlfn.XLOOKUP(A392, Company_List!$A:$A, Company_List!$B:$B, ""))</f>
        <v/>
      </c>
      <c r="C392" s="143" t="n">
        <v>2025</v>
      </c>
      <c r="D392" s="143" t="inlineStr">
        <is>
          <t>Q4</t>
        </is>
      </c>
      <c r="E392" s="98" t="inlineStr">
        <is>
          <t>Transcript</t>
        </is>
      </c>
      <c r="F392" s="98" t="inlineStr">
        <is>
          <t>Transcript Q&amp;A</t>
        </is>
      </c>
      <c r="G392" s="143" t="inlineStr">
        <is>
          <t>David</t>
        </is>
      </c>
      <c r="H392" s="106" t="inlineStr">
        <is>
          <t>Human</t>
        </is>
      </c>
      <c r="I392" s="145" t="n">
        <v>-0.05</v>
      </c>
      <c r="J392" s="145">
        <f>IF(OR(I392="",Settings!$B$6=""),"",IF(I392&gt;Settings!$B$6,"BUY",IF(I392&lt;-Settings!$B$6,"SELL","HOLD")))</f>
        <v/>
      </c>
      <c r="K392" s="145" t="n">
        <v>26</v>
      </c>
      <c r="L392" s="123" t="n">
        <v>46052</v>
      </c>
      <c r="M392" s="140" t="n">
        <v>46051</v>
      </c>
      <c r="N392" s="147" t="n">
        <v>358.5</v>
      </c>
      <c r="O392" s="140" t="n">
        <v>46052</v>
      </c>
      <c r="P392" s="145" t="n">
        <v>355</v>
      </c>
      <c r="Q392" s="151">
        <f>IF(OR(N392="",P392=""),"",ROUND((P392-N392)/N392,4))</f>
        <v/>
      </c>
      <c r="R392" s="118">
        <f>IF(OR(N392="",P392=""),"",IF(Q392&gt;Settings!$B$3/100,"UP",IF(Q392&lt;-Settings!$B$3/100,"DOWN","FLAT")))</f>
        <v/>
      </c>
      <c r="S392" s="118">
        <f>IF(OR(N392="",P392="",J392=""),"",IF(OR(AND(J392="BUY",R392="UP"),AND(J392="SELL",R392="DOWN"),AND(J392="HOLD",R392="FLAT")),"YES","NO"))</f>
        <v/>
      </c>
      <c r="T392" s="119">
        <f>IF(J392="","",IF(J392="BUY",1,IF(J392="SELL",-1,0)))</f>
        <v/>
      </c>
      <c r="U392" s="150">
        <f>IFERROR(IF(OR(J392="",N392="",P392=""),"",IF(T392=0,0,T392*Q392-Settings!$B$4/10000-IF(T392&lt;0,Settings!$B$5/10000,0))),"")</f>
        <v/>
      </c>
      <c r="W392" s="21">
        <f>IF($K392="","",$K392*60)</f>
        <v/>
      </c>
      <c r="X392" s="91">
        <f>IF($A392="","",$A392&amp;"|"&amp;$C392&amp;"|"&amp;$D392)</f>
        <v/>
      </c>
      <c r="Y392" s="91">
        <f>IFERROR(IF($X392="","",INDEX(LLM_Data_Entry!$H$3:$H$548,MATCH($X392,INDEX(LLM_Data_Entry!$A$3:$A$548&amp;"|"&amp;LLM_Data_Entry!$C$3:$C$548&amp;"|"&amp;LLM_Data_Entry!$D$3:$D$548,0),0))),"")</f>
        <v/>
      </c>
      <c r="Z392" s="91">
        <f>IFERROR(IF($X392="","",INDEX(LLM_Data_Entry!$R$3:$R$548,MATCH($X392,INDEX(LLM_Data_Entry!$A$3:$A$548&amp;"|"&amp;LLM_Data_Entry!$C$3:$C$548&amp;"|"&amp;LLM_Data_Entry!$D$3:$D$548,0),0))),"")</f>
        <v/>
      </c>
      <c r="AB392" t="inlineStr">
        <is>
          <t>release time published by the issuer (section C)</t>
        </is>
      </c>
      <c r="AC392" t="inlineStr">
        <is>
          <t>AXP</t>
        </is>
      </c>
      <c r="AD392" t="inlineStr">
        <is>
          <t>2026-01-29</t>
        </is>
      </c>
      <c r="AE392" t="n">
        <v>356.3946</v>
      </c>
      <c r="AF392" t="inlineStr">
        <is>
          <t>2026-01-30</t>
        </is>
      </c>
      <c r="AG392" t="n">
        <v>352.9152</v>
      </c>
      <c r="AH392" t="n">
        <v>-0.009762910487534401</v>
      </c>
      <c r="AI392" t="inlineStr">
        <is>
          <t>FLAT</t>
        </is>
      </c>
      <c r="AJ392" t="inlineStr">
        <is>
          <t>YES</t>
        </is>
      </c>
      <c r="AK392" t="n">
        <v>0</v>
      </c>
      <c r="AL392">
        <f>IF($A392="","",IFERROR(INDEX(Company_List!$G$3:$G$207,MATCH($A392,Company_List!$A$3:$A$207,0)),"unassigned"))</f>
        <v/>
      </c>
      <c r="AM392" t="inlineStr">
        <is>
          <t>Phase 2/American Express/2025-Q4/AXP-2025-Q4-earnings-call-transcript-fool-com.html</t>
        </is>
      </c>
      <c r="AN392" t="inlineStr">
        <is>
          <t>https://www.fool.com/earnings/call-transcripts/2026/01/30/american-express-axp-q4-2025-earnings-call-transcript/</t>
        </is>
      </c>
      <c r="AO392" t="inlineStr">
        <is>
          <t>manifest</t>
        </is>
      </c>
      <c r="AP392">
        <f>IF($A392="","",IF(COUNTIFS(LLM_Data_Entry!$A$3:$A$548,$A392)&gt;0,"YES","NO"))</f>
        <v/>
      </c>
      <c r="AQ392">
        <f>IF($A392="","",IF(COUNTIFS($A$3:$A392,$A392,$C$3:$C392,$C392,$D$3:$D392,$D392)=1,"YES","NO"))</f>
        <v/>
      </c>
      <c r="AR392">
        <f>IF($A392="","",IF(AND($C392&amp;"-"&amp;$D392&gt;=Settings!$B$19,$C392&amp;"-"&amp;$D392&lt;=Settings!$B$20),"IN","OUT"))</f>
        <v/>
      </c>
      <c r="AS392">
        <f>IF($A392="","",IF($F392="Financial Results","financials",IF($F392="Outlook/Guidance","guidance",IF($F392="Transcript Q&amp;A","qanda",IF($F392="","unrecorded",IF($E392="All","full",IF($E392="","unrecorded",LOWER($E392)&amp;" only")))))))</f>
        <v/>
      </c>
      <c r="AT392">
        <f>IF(AND(OR($J392="BUY",$J392="SELL"),ISNUMBER($U392)),$U392,"")</f>
        <v/>
      </c>
      <c r="AU392">
        <f>IF(AND(OR($J392="BUY",$J392="SELL"),ISNUMBER($AK392)),$AK392,"")</f>
        <v/>
      </c>
      <c r="AV392">
        <f>IF(ISNUMBER($AT392),ABS(IF(ISNUMBER($I392),$I392,0)-Settings!$B$24),"")</f>
        <v/>
      </c>
      <c r="AW392">
        <f>IF(ISNUMBER($AV392),$AV392*$AT392,"")</f>
        <v/>
      </c>
      <c r="AX392">
        <f>IF(ISNUMBER($AU392),ABS(IF(ISNUMBER($I392),$I392,0)-Settings!$B$24),"")</f>
        <v/>
      </c>
      <c r="AY392">
        <f>IF(ISNUMBER($AX392),$AX392*$AU392,"")</f>
        <v/>
      </c>
      <c r="AZ392">
        <f>IF($A392="","",IFERROR(INDEX(Company_List!$H$3:$H$207,MATCH($A392,Company_List!$A$3:$A$207,0)),"unassigned"))</f>
        <v/>
      </c>
      <c r="BC392">
        <f>IF($A392="","",IF(COUNTIFS($A$3:$A392,$A392,$C$3:$C392,$C392,$D$3:$D392,$D392,$G$3:$G392,$G392)=1,1,0))</f>
        <v/>
      </c>
      <c r="BG392" t="inlineStr">
        <is>
          <t>no</t>
        </is>
      </c>
      <c r="BK392">
        <f>IF(OR($H392&lt;&gt;"Human",$S392="",$J392="",$Y392="",$Z392=""),"",IF(EXACT(UPPER($J392),UPPER($Y392)),1,0))</f>
        <v/>
      </c>
      <c r="BL392" t="inlineStr">
        <is>
          <t>assumed - no rater record</t>
        </is>
      </c>
      <c r="BM392" t="n">
        <v>1</v>
      </c>
      <c r="BN392" t="inlineStr">
        <is>
          <t>The Motley Fool</t>
        </is>
      </c>
      <c r="BO392" t="inlineStr">
        <is>
          <t>free to read, copyright asserted</t>
        </is>
      </c>
      <c r="BP392" t="inlineStr">
        <is>
          <t>no</t>
        </is>
      </c>
      <c r="BQ392" t="inlineStr">
        <is>
          <t>yes</t>
        </is>
      </c>
    </row>
    <row r="393">
      <c r="A393" s="1" t="inlineStr">
        <is>
          <t>American Express</t>
        </is>
      </c>
      <c r="B393" s="142">
        <f>IF(A393="","",_xlfn.XLOOKUP(A393, Company_List!$A:$A, Company_List!$B:$B, ""))</f>
        <v/>
      </c>
      <c r="C393" s="143" t="n">
        <v>2025</v>
      </c>
      <c r="D393" s="143" t="inlineStr">
        <is>
          <t>Q4</t>
        </is>
      </c>
      <c r="E393" s="98" t="inlineStr">
        <is>
          <t>All</t>
        </is>
      </c>
      <c r="F393" s="98" t="inlineStr">
        <is>
          <t>All</t>
        </is>
      </c>
      <c r="G393" s="143" t="inlineStr">
        <is>
          <t>David</t>
        </is>
      </c>
      <c r="H393" s="106" t="inlineStr">
        <is>
          <t>Human</t>
        </is>
      </c>
      <c r="I393" s="145" t="n">
        <v>0</v>
      </c>
      <c r="J393" s="145">
        <f>IF(OR(I393="",Settings!$B$6=""),"",IF(I393&gt;Settings!$B$6,"BUY",IF(I393&lt;-Settings!$B$6,"SELL","HOLD")))</f>
        <v/>
      </c>
      <c r="K393" s="145" t="n">
        <v>30</v>
      </c>
      <c r="L393" s="123" t="n">
        <v>46052</v>
      </c>
      <c r="M393" s="140" t="n">
        <v>46051</v>
      </c>
      <c r="N393" s="147" t="n">
        <v>358.5</v>
      </c>
      <c r="O393" s="140" t="n">
        <v>46052</v>
      </c>
      <c r="P393" s="145" t="n">
        <v>355</v>
      </c>
      <c r="Q393" s="151">
        <f>IF(OR(N393="",P393=""),"",ROUND((P393-N393)/N393,4))</f>
        <v/>
      </c>
      <c r="R393" s="118">
        <f>IF(OR(N393="",P393=""),"",IF(Q393&gt;Settings!$B$3/100,"UP",IF(Q393&lt;-Settings!$B$3/100,"DOWN","FLAT")))</f>
        <v/>
      </c>
      <c r="S393" s="118">
        <f>IF(OR(N393="",P393="",J393=""),"",IF(OR(AND(J393="BUY",R393="UP"),AND(J393="SELL",R393="DOWN"),AND(J393="HOLD",R393="FLAT")),"YES","NO"))</f>
        <v/>
      </c>
      <c r="T393" s="119">
        <f>IF(J393="","",IF(J393="BUY",1,IF(J393="SELL",-1,0)))</f>
        <v/>
      </c>
      <c r="U393" s="150">
        <f>IFERROR(IF(OR(J393="",N393="",P393=""),"",IF(T393=0,0,T393*Q393-Settings!$B$4/10000-IF(T393&lt;0,Settings!$B$5/10000,0))),"")</f>
        <v/>
      </c>
      <c r="W393" s="21">
        <f>IF($K393="","",$K393*60)</f>
        <v/>
      </c>
      <c r="X393" s="91">
        <f>IF($A393="","",$A393&amp;"|"&amp;$C393&amp;"|"&amp;$D393)</f>
        <v/>
      </c>
      <c r="Y393" s="91">
        <f>IFERROR(IF($X393="","",INDEX(LLM_Data_Entry!$H$3:$H$548,MATCH($X393,INDEX(LLM_Data_Entry!$A$3:$A$548&amp;"|"&amp;LLM_Data_Entry!$C$3:$C$548&amp;"|"&amp;LLM_Data_Entry!$D$3:$D$548,0),0))),"")</f>
        <v/>
      </c>
      <c r="Z393" s="91">
        <f>IFERROR(IF($X393="","",INDEX(LLM_Data_Entry!$R$3:$R$548,MATCH($X393,INDEX(LLM_Data_Entry!$A$3:$A$548&amp;"|"&amp;LLM_Data_Entry!$C$3:$C$548&amp;"|"&amp;LLM_Data_Entry!$D$3:$D$548,0),0))),"")</f>
        <v/>
      </c>
      <c r="AB393" t="inlineStr">
        <is>
          <t>release time published by the issuer (section C)</t>
        </is>
      </c>
      <c r="AC393" t="inlineStr">
        <is>
          <t>AXP</t>
        </is>
      </c>
      <c r="AD393" t="inlineStr">
        <is>
          <t>2026-01-29</t>
        </is>
      </c>
      <c r="AE393" t="n">
        <v>356.3946</v>
      </c>
      <c r="AF393" t="inlineStr">
        <is>
          <t>2026-01-30</t>
        </is>
      </c>
      <c r="AG393" t="n">
        <v>352.9152</v>
      </c>
      <c r="AH393" t="n">
        <v>-0.009762910487534401</v>
      </c>
      <c r="AI393" t="inlineStr">
        <is>
          <t>FLAT</t>
        </is>
      </c>
      <c r="AJ393" t="inlineStr">
        <is>
          <t>YES</t>
        </is>
      </c>
      <c r="AK393" t="n">
        <v>0</v>
      </c>
      <c r="AL393">
        <f>IF($A393="","",IFERROR(INDEX(Company_List!$G$3:$G$207,MATCH($A393,Company_List!$A$3:$A$207,0)),"unassigned"))</f>
        <v/>
      </c>
      <c r="AM393" t="inlineStr">
        <is>
          <t>Phase 2/American Express/2025-Q4/AXP-2025-Q4-press-release-SEC-EX-99-1.htm; Phase 2/American Express/2025-Q4/AXP-2025-Q4-earnings-call-transcript-fool-com.html</t>
        </is>
      </c>
      <c r="AN393" t="inlineStr">
        <is>
          <t>https://www.fool.com/earnings/call-transcripts/2026/01/30/american-express-axp-q4-2025-earnings-call-transcript/; https://www.sec.gov/Archives/edgar/data/4962/000000496226000037/q425exhibit991.htm</t>
        </is>
      </c>
      <c r="AO393" t="inlineStr">
        <is>
          <t>manifest (whole bundle)</t>
        </is>
      </c>
      <c r="AP393">
        <f>IF($A393="","",IF(COUNTIFS(LLM_Data_Entry!$A$3:$A$548,$A393)&gt;0,"YES","NO"))</f>
        <v/>
      </c>
      <c r="AQ393">
        <f>IF($A393="","",IF(COUNTIFS($A$3:$A393,$A393,$C$3:$C393,$C393,$D$3:$D393,$D393)=1,"YES","NO"))</f>
        <v/>
      </c>
      <c r="AR393">
        <f>IF($A393="","",IF(AND($C393&amp;"-"&amp;$D393&gt;=Settings!$B$19,$C393&amp;"-"&amp;$D393&lt;=Settings!$B$20),"IN","OUT"))</f>
        <v/>
      </c>
      <c r="AS393">
        <f>IF($A393="","",IF($F393="Financial Results","financials",IF($F393="Outlook/Guidance","guidance",IF($F393="Transcript Q&amp;A","qanda",IF($F393="","unrecorded",IF($E393="All","full",IF($E393="","unrecorded",LOWER($E393)&amp;" only")))))))</f>
        <v/>
      </c>
      <c r="AT393">
        <f>IF(AND(OR($J393="BUY",$J393="SELL"),ISNUMBER($U393)),$U393,"")</f>
        <v/>
      </c>
      <c r="AU393">
        <f>IF(AND(OR($J393="BUY",$J393="SELL"),ISNUMBER($AK393)),$AK393,"")</f>
        <v/>
      </c>
      <c r="AV393">
        <f>IF(ISNUMBER($AT393),ABS(IF(ISNUMBER($I393),$I393,0)-Settings!$B$24),"")</f>
        <v/>
      </c>
      <c r="AW393">
        <f>IF(ISNUMBER($AV393),$AV393*$AT393,"")</f>
        <v/>
      </c>
      <c r="AX393">
        <f>IF(ISNUMBER($AU393),ABS(IF(ISNUMBER($I393),$I393,0)-Settings!$B$24),"")</f>
        <v/>
      </c>
      <c r="AY393">
        <f>IF(ISNUMBER($AX393),$AX393*$AU393,"")</f>
        <v/>
      </c>
      <c r="AZ393">
        <f>IF($A393="","",IFERROR(INDEX(Company_List!$H$3:$H$207,MATCH($A393,Company_List!$A$3:$A$207,0)),"unassigned"))</f>
        <v/>
      </c>
      <c r="BC393">
        <f>IF($A393="","",IF(COUNTIFS($A$3:$A393,$A393,$C$3:$C393,$C393,$D$3:$D393,$D393,$G$3:$G393,$G393)=1,1,0))</f>
        <v/>
      </c>
      <c r="BG393" t="inlineStr">
        <is>
          <t>no</t>
        </is>
      </c>
      <c r="BK393">
        <f>IF(OR($H393&lt;&gt;"Human",$S393="",$J393="",$Y393="",$Z393=""),"",IF(EXACT(UPPER($J393),UPPER($Y393)),1,0))</f>
        <v/>
      </c>
      <c r="BL393" t="inlineStr">
        <is>
          <t>assumed - no rater record</t>
        </is>
      </c>
      <c r="BM393" t="n">
        <v>2</v>
      </c>
      <c r="BN393" t="inlineStr">
        <is>
          <t>The Motley Fool</t>
        </is>
      </c>
      <c r="BO393" t="inlineStr">
        <is>
          <t>free to read, copyright asserted</t>
        </is>
      </c>
      <c r="BP393" t="inlineStr">
        <is>
          <t>no</t>
        </is>
      </c>
      <c r="BQ393" t="inlineStr">
        <is>
          <t>yes</t>
        </is>
      </c>
    </row>
    <row r="394">
      <c r="A394" s="1" t="inlineStr">
        <is>
          <t>American Express</t>
        </is>
      </c>
      <c r="B394" s="142">
        <f>IF(A394="","",_xlfn.XLOOKUP(A394, Company_List!$A:$A, Company_List!$B:$B, ""))</f>
        <v/>
      </c>
      <c r="C394" s="143" t="n">
        <v>2026</v>
      </c>
      <c r="D394" s="143" t="inlineStr">
        <is>
          <t>Q1</t>
        </is>
      </c>
      <c r="E394" s="98" t="inlineStr">
        <is>
          <t>All</t>
        </is>
      </c>
      <c r="F394" s="98" t="inlineStr">
        <is>
          <t>All</t>
        </is>
      </c>
      <c r="G394" s="143" t="inlineStr">
        <is>
          <t>David</t>
        </is>
      </c>
      <c r="H394" s="106" t="inlineStr">
        <is>
          <t>Human</t>
        </is>
      </c>
      <c r="I394" s="145" t="n">
        <v>0.1</v>
      </c>
      <c r="J394" s="145">
        <f>IF(OR(I394="",Settings!$B$6=""),"",IF(I394&gt;Settings!$B$6,"BUY",IF(I394&lt;-Settings!$B$6,"SELL","HOLD")))</f>
        <v/>
      </c>
      <c r="K394" s="145" t="n">
        <v>33</v>
      </c>
      <c r="L394" s="123" t="n">
        <v>46135</v>
      </c>
      <c r="M394" s="140" t="n">
        <v>46134</v>
      </c>
      <c r="N394" s="147" t="n">
        <v>332.9</v>
      </c>
      <c r="O394" s="140" t="n">
        <v>46135</v>
      </c>
      <c r="P394" s="145" t="n">
        <v>332.2</v>
      </c>
      <c r="Q394" s="151">
        <f>IF(OR(N394="",P394=""),"",ROUND((P394-N394)/N394,4))</f>
        <v/>
      </c>
      <c r="R394" s="118">
        <f>IF(OR(N394="",P394=""),"",IF(Q394&gt;Settings!$B$3/100,"UP",IF(Q394&lt;-Settings!$B$3/100,"DOWN","FLAT")))</f>
        <v/>
      </c>
      <c r="S394" s="118">
        <f>IF(OR(N394="",P394="",J394=""),"",IF(OR(AND(J394="BUY",R394="UP"),AND(J394="SELL",R394="DOWN"),AND(J394="HOLD",R394="FLAT")),"YES","NO"))</f>
        <v/>
      </c>
      <c r="T394" s="119">
        <f>IF(J394="","",IF(J394="BUY",1,IF(J394="SELL",-1,0)))</f>
        <v/>
      </c>
      <c r="U394" s="150">
        <f>IFERROR(IF(OR(J394="",N394="",P394=""),"",IF(T394=0,0,T394*Q394-Settings!$B$4/10000-IF(T394&lt;0,Settings!$B$5/10000,0))),"")</f>
        <v/>
      </c>
      <c r="W394" s="21">
        <f>IF($K394="","",$K394*60)</f>
        <v/>
      </c>
      <c r="X394" s="91">
        <f>IF($A394="","",$A394&amp;"|"&amp;$C394&amp;"|"&amp;$D394)</f>
        <v/>
      </c>
      <c r="Y394" s="91">
        <f>IFERROR(IF($X394="","",INDEX(LLM_Data_Entry!$H$3:$H$548,MATCH($X394,INDEX(LLM_Data_Entry!$A$3:$A$548&amp;"|"&amp;LLM_Data_Entry!$C$3:$C$548&amp;"|"&amp;LLM_Data_Entry!$D$3:$D$548,0),0))),"")</f>
        <v/>
      </c>
      <c r="Z394" s="91">
        <f>IFERROR(IF($X394="","",INDEX(LLM_Data_Entry!$R$3:$R$548,MATCH($X394,INDEX(LLM_Data_Entry!$A$3:$A$548&amp;"|"&amp;LLM_Data_Entry!$C$3:$C$548&amp;"|"&amp;LLM_Data_Entry!$D$3:$D$548,0),0))),"")</f>
        <v/>
      </c>
      <c r="AB394" t="inlineStr">
        <is>
          <t>price signal, re-derived — only this window shows an abnormal move</t>
        </is>
      </c>
      <c r="AC394" t="inlineStr">
        <is>
          <t>AXP</t>
        </is>
      </c>
      <c r="AD394" t="inlineStr">
        <is>
          <t>2026-04-23</t>
        </is>
      </c>
      <c r="AE394" t="n">
        <v>317.6804</v>
      </c>
      <c r="AF394" t="inlineStr">
        <is>
          <t>2026-04-24</t>
        </is>
      </c>
      <c r="AG394" t="n">
        <v>315.646</v>
      </c>
      <c r="AH394" t="n">
        <v>-0.006403935132646094</v>
      </c>
      <c r="AI394" t="inlineStr">
        <is>
          <t>FLAT</t>
        </is>
      </c>
      <c r="AJ394" t="inlineStr">
        <is>
          <t>YES</t>
        </is>
      </c>
      <c r="AK394" t="n">
        <v>0</v>
      </c>
      <c r="AL394">
        <f>IF($A394="","",IFERROR(INDEX(Company_List!$G$3:$G$207,MATCH($A394,Company_List!$A$3:$A$207,0)),"unassigned"))</f>
        <v/>
      </c>
      <c r="AM394" t="inlineStr">
        <is>
          <t>Phase 2/American Express/2026-Q1/AXP-2026-Q1-press-release-SEC-EX-99-1.htm</t>
        </is>
      </c>
      <c r="AN394" t="inlineStr">
        <is>
          <t>https://www.sec.gov/Archives/edgar/data/4962/000000496226000188/q126exhibit991.htm</t>
        </is>
      </c>
      <c r="AO394" t="inlineStr">
        <is>
          <t>manifest</t>
        </is>
      </c>
      <c r="AP394">
        <f>IF($A394="","",IF(COUNTIFS(LLM_Data_Entry!$A$3:$A$548,$A394)&gt;0,"YES","NO"))</f>
        <v/>
      </c>
      <c r="AQ394">
        <f>IF($A394="","",IF(COUNTIFS($A$3:$A394,$A394,$C$3:$C394,$C394,$D$3:$D394,$D394)=1,"YES","NO"))</f>
        <v/>
      </c>
      <c r="AR394">
        <f>IF($A394="","",IF(AND($C394&amp;"-"&amp;$D394&gt;=Settings!$B$19,$C394&amp;"-"&amp;$D394&lt;=Settings!$B$20),"IN","OUT"))</f>
        <v/>
      </c>
      <c r="AS394">
        <f>IF($A394="","",IF($F394="Financial Results","financials",IF($F394="Outlook/Guidance","guidance",IF($F394="Transcript Q&amp;A","qanda",IF($F394="","unrecorded",IF($E394="All","full",IF($E394="","unrecorded",LOWER($E394)&amp;" only")))))))</f>
        <v/>
      </c>
      <c r="AT394">
        <f>IF(AND(OR($J394="BUY",$J394="SELL"),ISNUMBER($U394)),$U394,"")</f>
        <v/>
      </c>
      <c r="AU394">
        <f>IF(AND(OR($J394="BUY",$J394="SELL"),ISNUMBER($AK394)),$AK394,"")</f>
        <v/>
      </c>
      <c r="AV394">
        <f>IF(ISNUMBER($AT394),ABS(IF(ISNUMBER($I394),$I394,0)-Settings!$B$24),"")</f>
        <v/>
      </c>
      <c r="AW394">
        <f>IF(ISNUMBER($AV394),$AV394*$AT394,"")</f>
        <v/>
      </c>
      <c r="AX394">
        <f>IF(ISNUMBER($AU394),ABS(IF(ISNUMBER($I394),$I394,0)-Settings!$B$24),"")</f>
        <v/>
      </c>
      <c r="AY394">
        <f>IF(ISNUMBER($AX394),$AX394*$AU394,"")</f>
        <v/>
      </c>
      <c r="AZ394">
        <f>IF($A394="","",IFERROR(INDEX(Company_List!$H$3:$H$207,MATCH($A394,Company_List!$A$3:$A$207,0)),"unassigned"))</f>
        <v/>
      </c>
      <c r="BC394">
        <f>IF($A394="","",IF(COUNTIFS($A$3:$A394,$A394,$C$3:$C394,$C394,$D$3:$D394,$D394,$G$3:$G394,$G394)=1,1,0))</f>
        <v/>
      </c>
      <c r="BG394" t="inlineStr">
        <is>
          <t>no</t>
        </is>
      </c>
      <c r="BK394">
        <f>IF(OR($H394&lt;&gt;"Human",$S394="",$J394="",$Y394="",$Z394=""),"",IF(EXACT(UPPER($J394),UPPER($Y394)),1,0))</f>
        <v/>
      </c>
      <c r="BL394" t="inlineStr">
        <is>
          <t>assumed - no rater record</t>
        </is>
      </c>
      <c r="BM394" t="n">
        <v>1</v>
      </c>
      <c r="BN394" t="inlineStr">
        <is>
          <t>not publisher-identified</t>
        </is>
      </c>
      <c r="BO394" t="inlineStr">
        <is>
          <t>not publisher-identified</t>
        </is>
      </c>
      <c r="BP394" t="inlineStr">
        <is>
          <t>no</t>
        </is>
      </c>
      <c r="BQ394" t="inlineStr">
        <is>
          <t>yes</t>
        </is>
      </c>
    </row>
    <row r="395">
      <c r="A395" s="1" t="inlineStr">
        <is>
          <t>Chevron</t>
        </is>
      </c>
      <c r="B395" s="142">
        <f>IF(A395="","",_xlfn.XLOOKUP(A395, Company_List!$A:$A, Company_List!$B:$B, ""))</f>
        <v/>
      </c>
      <c r="C395" s="143" t="n">
        <v>2025</v>
      </c>
      <c r="D395" s="143" t="inlineStr">
        <is>
          <t>Q2</t>
        </is>
      </c>
      <c r="E395" s="98" t="inlineStr">
        <is>
          <t>Financial Statement</t>
        </is>
      </c>
      <c r="F395" s="98" t="inlineStr">
        <is>
          <t>Financial Results</t>
        </is>
      </c>
      <c r="G395" s="143" t="inlineStr">
        <is>
          <t>David</t>
        </is>
      </c>
      <c r="H395" s="106" t="inlineStr">
        <is>
          <t>Human</t>
        </is>
      </c>
      <c r="I395" s="145" t="n">
        <v>-0.2</v>
      </c>
      <c r="J395" s="145">
        <f>IF(OR(I395="",Settings!$B$6=""),"",IF(I395&gt;Settings!$B$6,"BUY",IF(I395&lt;-Settings!$B$6,"SELL","HOLD")))</f>
        <v/>
      </c>
      <c r="K395" s="145" t="n">
        <v>25</v>
      </c>
      <c r="L395" s="123" t="n">
        <v>45870</v>
      </c>
      <c r="M395" s="140" t="n">
        <v>45869</v>
      </c>
      <c r="N395" s="147" t="n">
        <v>151.64</v>
      </c>
      <c r="O395" s="140" t="n">
        <v>45870</v>
      </c>
      <c r="P395" s="145" t="n">
        <v>152.54</v>
      </c>
      <c r="Q395" s="151">
        <f>IF(OR(N395="",P395=""),"",ROUND((P395-N395)/N395,4))</f>
        <v/>
      </c>
      <c r="R395" s="118">
        <f>IF(OR(N395="",P395=""),"",IF(Q395&gt;Settings!$B$3/100,"UP",IF(Q395&lt;-Settings!$B$3/100,"DOWN","FLAT")))</f>
        <v/>
      </c>
      <c r="S395" s="118">
        <f>IF(OR(N395="",P395="",J395=""),"",IF(OR(AND(J395="BUY",R395="UP"),AND(J395="SELL",R395="DOWN"),AND(J395="HOLD",R395="FLAT")),"YES","NO"))</f>
        <v/>
      </c>
      <c r="T395" s="119">
        <f>IF(J395="","",IF(J395="BUY",1,IF(J395="SELL",-1,0)))</f>
        <v/>
      </c>
      <c r="U395" s="150">
        <f>IFERROR(IF(OR(J395="",N395="",P395=""),"",IF(T395=0,0,T395*Q395-Settings!$B$4/10000-IF(T395&lt;0,Settings!$B$5/10000,0))),"")</f>
        <v/>
      </c>
      <c r="W395" s="21">
        <f>IF($K395="","",$K395*60)</f>
        <v/>
      </c>
      <c r="X395" s="91">
        <f>IF($A395="","",$A395&amp;"|"&amp;$C395&amp;"|"&amp;$D395)</f>
        <v/>
      </c>
      <c r="Y395" s="91">
        <f>IFERROR(IF($X395="","",INDEX(LLM_Data_Entry!$H$3:$H$548,MATCH($X395,INDEX(LLM_Data_Entry!$A$3:$A$548&amp;"|"&amp;LLM_Data_Entry!$C$3:$C$548&amp;"|"&amp;LLM_Data_Entry!$D$3:$D$548,0),0))),"")</f>
        <v/>
      </c>
      <c r="Z395" s="91">
        <f>IFERROR(IF($X395="","",INDEX(LLM_Data_Entry!$R$3:$R$548,MATCH($X395,INDEX(LLM_Data_Entry!$A$3:$A$548&amp;"|"&amp;LLM_Data_Entry!$C$3:$C$548&amp;"|"&amp;LLM_Data_Entry!$D$3:$D$548,0),0))),"")</f>
        <v/>
      </c>
      <c r="AB395" t="inlineStr">
        <is>
          <t>price signal, re-derived — only this window shows an abnormal move</t>
        </is>
      </c>
      <c r="AC395" t="inlineStr">
        <is>
          <t>CVX</t>
        </is>
      </c>
      <c r="AD395" t="inlineStr">
        <is>
          <t>2025-07-31</t>
        </is>
      </c>
      <c r="AE395" t="n">
        <v>145.5442</v>
      </c>
      <c r="AF395" t="inlineStr">
        <is>
          <t>2025-08-01</t>
        </is>
      </c>
      <c r="AG395" t="n">
        <v>146.408</v>
      </c>
      <c r="AH395" t="n">
        <v>0.005935145990041951</v>
      </c>
      <c r="AI395" t="inlineStr">
        <is>
          <t>FLAT</t>
        </is>
      </c>
      <c r="AJ395" t="inlineStr">
        <is>
          <t>YES</t>
        </is>
      </c>
      <c r="AK395" t="n">
        <v>0</v>
      </c>
      <c r="AL395">
        <f>IF($A395="","",IFERROR(INDEX(Company_List!$G$3:$G$207,MATCH($A395,Company_List!$A$3:$A$207,0)),"unassigned"))</f>
        <v/>
      </c>
      <c r="AM395" t="inlineStr">
        <is>
          <t>Phase 2/Chevron/2025-Q2/CVX-2025-Q2-quarterly-financial-statements-SEC-10-Q.htm</t>
        </is>
      </c>
      <c r="AN395" t="inlineStr">
        <is>
          <t>https://www.sec.gov/Archives/edgar/data/93410/ (10-Q, Q2 2025)</t>
        </is>
      </c>
      <c r="AO395" t="inlineStr">
        <is>
          <t>manifest</t>
        </is>
      </c>
      <c r="AP395">
        <f>IF($A395="","",IF(COUNTIFS(LLM_Data_Entry!$A$3:$A$548,$A395)&gt;0,"YES","NO"))</f>
        <v/>
      </c>
      <c r="AQ395">
        <f>IF($A395="","",IF(COUNTIFS($A$3:$A395,$A395,$C$3:$C395,$C395,$D$3:$D395,$D395)=1,"YES","NO"))</f>
        <v/>
      </c>
      <c r="AR395">
        <f>IF($A395="","",IF(AND($C395&amp;"-"&amp;$D395&gt;=Settings!$B$19,$C395&amp;"-"&amp;$D395&lt;=Settings!$B$20),"IN","OUT"))</f>
        <v/>
      </c>
      <c r="AS395">
        <f>IF($A395="","",IF($F395="Financial Results","financials",IF($F395="Outlook/Guidance","guidance",IF($F395="Transcript Q&amp;A","qanda",IF($F395="","unrecorded",IF($E395="All","full",IF($E395="","unrecorded",LOWER($E395)&amp;" only")))))))</f>
        <v/>
      </c>
      <c r="AT395">
        <f>IF(AND(OR($J395="BUY",$J395="SELL"),ISNUMBER($U395)),$U395,"")</f>
        <v/>
      </c>
      <c r="AU395">
        <f>IF(AND(OR($J395="BUY",$J395="SELL"),ISNUMBER($AK395)),$AK395,"")</f>
        <v/>
      </c>
      <c r="AV395">
        <f>IF(ISNUMBER($AT395),ABS(IF(ISNUMBER($I395),$I395,0)-Settings!$B$24),"")</f>
        <v/>
      </c>
      <c r="AW395">
        <f>IF(ISNUMBER($AV395),$AV395*$AT395,"")</f>
        <v/>
      </c>
      <c r="AX395">
        <f>IF(ISNUMBER($AU395),ABS(IF(ISNUMBER($I395),$I395,0)-Settings!$B$24),"")</f>
        <v/>
      </c>
      <c r="AY395">
        <f>IF(ISNUMBER($AX395),$AX395*$AU395,"")</f>
        <v/>
      </c>
      <c r="AZ395">
        <f>IF($A395="","",IFERROR(INDEX(Company_List!$H$3:$H$207,MATCH($A395,Company_List!$A$3:$A$207,0)),"unassigned"))</f>
        <v/>
      </c>
      <c r="BA395" t="n">
        <v>1</v>
      </c>
      <c r="BB395" t="n">
        <v>2</v>
      </c>
      <c r="BC395">
        <f>IF($A395="","",IF(COUNTIFS($A$3:$A395,$A395,$C$3:$C395,$C395,$D$3:$D395,$D395,$G$3:$G395,$G395)=1,1,0))</f>
        <v/>
      </c>
      <c r="BD395" t="n">
        <v>25</v>
      </c>
      <c r="BE395" t="n">
        <v>30</v>
      </c>
      <c r="BF395" t="n">
        <v>-0.2</v>
      </c>
      <c r="BG395" t="inlineStr">
        <is>
          <t>no</t>
        </is>
      </c>
      <c r="BH395" t="inlineStr">
        <is>
          <t>no</t>
        </is>
      </c>
      <c r="BI395" t="inlineStr">
        <is>
          <t>Driven by realisations and the shareholder return commitment</t>
        </is>
      </c>
      <c r="BJ395" t="inlineStr">
        <is>
          <t>56 chevron q22025 financials.pdf</t>
        </is>
      </c>
      <c r="BK395">
        <f>IF(OR($H395&lt;&gt;"Human",$S395="",$J395="",$Y395="",$Z395=""),"",IF(EXACT(UPPER($J395),UPPER($Y395)),1,0))</f>
        <v/>
      </c>
      <c r="BL395" t="inlineStr">
        <is>
          <t>attested - rater record</t>
        </is>
      </c>
      <c r="BM395" t="n">
        <v>1</v>
      </c>
      <c r="BN395" t="inlineStr">
        <is>
          <t>not publisher-identified</t>
        </is>
      </c>
      <c r="BO395" t="inlineStr">
        <is>
          <t>not publisher-identified</t>
        </is>
      </c>
      <c r="BP395" t="inlineStr">
        <is>
          <t>sole source</t>
        </is>
      </c>
      <c r="BQ395" t="inlineStr">
        <is>
          <t>yes</t>
        </is>
      </c>
    </row>
    <row r="396">
      <c r="A396" s="1" t="inlineStr">
        <is>
          <t>Chevron</t>
        </is>
      </c>
      <c r="B396" s="142">
        <f>IF(A396="","",_xlfn.XLOOKUP(A396, Company_List!$A:$A, Company_List!$B:$B, ""))</f>
        <v/>
      </c>
      <c r="C396" s="143" t="n">
        <v>2025</v>
      </c>
      <c r="D396" s="143" t="inlineStr">
        <is>
          <t>Q2</t>
        </is>
      </c>
      <c r="E396" s="98" t="inlineStr">
        <is>
          <t>All</t>
        </is>
      </c>
      <c r="F396" s="98" t="inlineStr">
        <is>
          <t>All</t>
        </is>
      </c>
      <c r="G396" s="143" t="inlineStr">
        <is>
          <t>David</t>
        </is>
      </c>
      <c r="H396" s="106" t="inlineStr">
        <is>
          <t>Human</t>
        </is>
      </c>
      <c r="I396" s="145" t="n">
        <v>-0.22</v>
      </c>
      <c r="J396" s="145">
        <f>IF(OR(I396="",Settings!$B$6=""),"",IF(I396&gt;Settings!$B$6,"BUY",IF(I396&lt;-Settings!$B$6,"SELL","HOLD")))</f>
        <v/>
      </c>
      <c r="K396" s="145" t="n">
        <v>30</v>
      </c>
      <c r="L396" s="123" t="n">
        <v>45870</v>
      </c>
      <c r="M396" s="140" t="n">
        <v>45869</v>
      </c>
      <c r="N396" s="147" t="n">
        <v>151.64</v>
      </c>
      <c r="O396" s="140" t="n">
        <v>45870</v>
      </c>
      <c r="P396" s="145" t="n">
        <v>152.54</v>
      </c>
      <c r="Q396" s="151">
        <f>IF(OR(N396="",P396=""),"",ROUND((P396-N396)/N396,4))</f>
        <v/>
      </c>
      <c r="R396" s="118">
        <f>IF(OR(N396="",P396=""),"",IF(Q396&gt;Settings!$B$3/100,"UP",IF(Q396&lt;-Settings!$B$3/100,"DOWN","FLAT")))</f>
        <v/>
      </c>
      <c r="S396" s="118">
        <f>IF(OR(N396="",P396="",J396=""),"",IF(OR(AND(J396="BUY",R396="UP"),AND(J396="SELL",R396="DOWN"),AND(J396="HOLD",R396="FLAT")),"YES","NO"))</f>
        <v/>
      </c>
      <c r="T396" s="119">
        <f>IF(J396="","",IF(J396="BUY",1,IF(J396="SELL",-1,0)))</f>
        <v/>
      </c>
      <c r="U396" s="150">
        <f>IFERROR(IF(OR(J396="",N396="",P396=""),"",IF(T396=0,0,T396*Q396-Settings!$B$4/10000-IF(T396&lt;0,Settings!$B$5/10000,0))),"")</f>
        <v/>
      </c>
      <c r="W396" s="21">
        <f>IF($K396="","",$K396*60)</f>
        <v/>
      </c>
      <c r="X396" s="91">
        <f>IF($A396="","",$A396&amp;"|"&amp;$C396&amp;"|"&amp;$D396)</f>
        <v/>
      </c>
      <c r="Y396" s="91">
        <f>IFERROR(IF($X396="","",INDEX(LLM_Data_Entry!$H$3:$H$548,MATCH($X396,INDEX(LLM_Data_Entry!$A$3:$A$548&amp;"|"&amp;LLM_Data_Entry!$C$3:$C$548&amp;"|"&amp;LLM_Data_Entry!$D$3:$D$548,0),0))),"")</f>
        <v/>
      </c>
      <c r="Z396" s="91">
        <f>IFERROR(IF($X396="","",INDEX(LLM_Data_Entry!$R$3:$R$548,MATCH($X396,INDEX(LLM_Data_Entry!$A$3:$A$548&amp;"|"&amp;LLM_Data_Entry!$C$3:$C$548&amp;"|"&amp;LLM_Data_Entry!$D$3:$D$548,0),0))),"")</f>
        <v/>
      </c>
      <c r="AB396" t="inlineStr">
        <is>
          <t>price signal, re-derived — only this window shows an abnormal move</t>
        </is>
      </c>
      <c r="AC396" t="inlineStr">
        <is>
          <t>CVX</t>
        </is>
      </c>
      <c r="AD396" t="inlineStr">
        <is>
          <t>2025-07-31</t>
        </is>
      </c>
      <c r="AE396" t="n">
        <v>145.5442</v>
      </c>
      <c r="AF396" t="inlineStr">
        <is>
          <t>2025-08-01</t>
        </is>
      </c>
      <c r="AG396" t="n">
        <v>146.408</v>
      </c>
      <c r="AH396" t="n">
        <v>0.005935145990041951</v>
      </c>
      <c r="AI396" t="inlineStr">
        <is>
          <t>FLAT</t>
        </is>
      </c>
      <c r="AJ396" t="inlineStr">
        <is>
          <t>NO</t>
        </is>
      </c>
      <c r="AK396" t="n">
        <v>-0.006935</v>
      </c>
      <c r="AL396">
        <f>IF($A396="","",IFERROR(INDEX(Company_List!$G$3:$G$207,MATCH($A396,Company_List!$A$3:$A$207,0)),"unassigned"))</f>
        <v/>
      </c>
      <c r="AM396" t="inlineStr">
        <is>
          <t>Phase 2/Chevron/2025-Q2/CVX-2025-Q2-press-release-SEC-EX-99-1.htm; Phase 2/Chevron/2025-Q2/CVX-2025-Q2-quarterly-financial-statements-SEC-10-Q.htm</t>
        </is>
      </c>
      <c r="AN396" t="inlineStr">
        <is>
          <t>https://www.sec.gov/Archives/edgar/data/93410/ (10-Q, Q2 2025); https://www.sec.gov/Archives/edgar/data/93410/000009341025000058/a06302025ex9918-k.htm</t>
        </is>
      </c>
      <c r="AO396" t="inlineStr">
        <is>
          <t>manifest (whole bundle)</t>
        </is>
      </c>
      <c r="AP396">
        <f>IF($A396="","",IF(COUNTIFS(LLM_Data_Entry!$A$3:$A$548,$A396)&gt;0,"YES","NO"))</f>
        <v/>
      </c>
      <c r="AQ396">
        <f>IF($A396="","",IF(COUNTIFS($A$3:$A396,$A396,$C$3:$C396,$C396,$D$3:$D396,$D396)=1,"YES","NO"))</f>
        <v/>
      </c>
      <c r="AR396">
        <f>IF($A396="","",IF(AND($C396&amp;"-"&amp;$D396&gt;=Settings!$B$19,$C396&amp;"-"&amp;$D396&lt;=Settings!$B$20),"IN","OUT"))</f>
        <v/>
      </c>
      <c r="AS396">
        <f>IF($A396="","",IF($F396="Financial Results","financials",IF($F396="Outlook/Guidance","guidance",IF($F396="Transcript Q&amp;A","qanda",IF($F396="","unrecorded",IF($E396="All","full",IF($E396="","unrecorded",LOWER($E396)&amp;" only")))))))</f>
        <v/>
      </c>
      <c r="AT396">
        <f>IF(AND(OR($J396="BUY",$J396="SELL"),ISNUMBER($U396)),$U396,"")</f>
        <v/>
      </c>
      <c r="AU396">
        <f>IF(AND(OR($J396="BUY",$J396="SELL"),ISNUMBER($AK396)),$AK396,"")</f>
        <v/>
      </c>
      <c r="AV396">
        <f>IF(ISNUMBER($AT396),ABS(IF(ISNUMBER($I396),$I396,0)-Settings!$B$24),"")</f>
        <v/>
      </c>
      <c r="AW396">
        <f>IF(ISNUMBER($AV396),$AV396*$AT396,"")</f>
        <v/>
      </c>
      <c r="AX396">
        <f>IF(ISNUMBER($AU396),ABS(IF(ISNUMBER($I396),$I396,0)-Settings!$B$24),"")</f>
        <v/>
      </c>
      <c r="AY396">
        <f>IF(ISNUMBER($AX396),$AX396*$AU396,"")</f>
        <v/>
      </c>
      <c r="AZ396">
        <f>IF($A396="","",IFERROR(INDEX(Company_List!$H$3:$H$207,MATCH($A396,Company_List!$A$3:$A$207,0)),"unassigned"))</f>
        <v/>
      </c>
      <c r="BA396" t="n">
        <v>2</v>
      </c>
      <c r="BB396" t="n">
        <v>2</v>
      </c>
      <c r="BC396">
        <f>IF($A396="","",IF(COUNTIFS($A$3:$A396,$A396,$C$3:$C396,$C396,$D$3:$D396,$D396,$G$3:$G396,$G396)=1,1,0))</f>
        <v/>
      </c>
      <c r="BD396" t="n">
        <v>25</v>
      </c>
      <c r="BE396" t="n">
        <v>30</v>
      </c>
      <c r="BF396" t="n">
        <v>-0.2</v>
      </c>
      <c r="BG396" t="inlineStr">
        <is>
          <t>no</t>
        </is>
      </c>
      <c r="BH396" t="inlineStr">
        <is>
          <t>no</t>
        </is>
      </c>
      <c r="BI396" t="inlineStr">
        <is>
          <t>Driven by realisations and the shareholder return commitment</t>
        </is>
      </c>
      <c r="BJ396" t="inlineStr">
        <is>
          <t>56 chevron q22025 financials.pdf</t>
        </is>
      </c>
      <c r="BK396">
        <f>IF(OR($H396&lt;&gt;"Human",$S396="",$J396="",$Y396="",$Z396=""),"",IF(EXACT(UPPER($J396),UPPER($Y396)),1,0))</f>
        <v/>
      </c>
      <c r="BL396" t="inlineStr">
        <is>
          <t>attested - rater record</t>
        </is>
      </c>
      <c r="BM396" t="n">
        <v>2</v>
      </c>
      <c r="BN396" t="inlineStr">
        <is>
          <t>not publisher-identified</t>
        </is>
      </c>
      <c r="BO396" t="inlineStr">
        <is>
          <t>not publisher-identified</t>
        </is>
      </c>
      <c r="BP396" t="inlineStr">
        <is>
          <t>one of several</t>
        </is>
      </c>
      <c r="BQ396" t="inlineStr">
        <is>
          <t>yes</t>
        </is>
      </c>
    </row>
    <row r="397">
      <c r="A397" s="1" t="inlineStr">
        <is>
          <t>Chevron</t>
        </is>
      </c>
      <c r="B397" s="142">
        <f>IF(A397="","",_xlfn.XLOOKUP(A397, Company_List!$A:$A, Company_List!$B:$B, ""))</f>
        <v/>
      </c>
      <c r="C397" s="143" t="n">
        <v>2025</v>
      </c>
      <c r="D397" s="143" t="inlineStr">
        <is>
          <t>Q3</t>
        </is>
      </c>
      <c r="E397" s="98" t="inlineStr">
        <is>
          <t>Transcript</t>
        </is>
      </c>
      <c r="F397" s="98" t="inlineStr">
        <is>
          <t>Outlook/Guidance</t>
        </is>
      </c>
      <c r="G397" s="143" t="inlineStr">
        <is>
          <t>David</t>
        </is>
      </c>
      <c r="H397" s="106" t="inlineStr">
        <is>
          <t>Human</t>
        </is>
      </c>
      <c r="I397" s="145" t="n">
        <v>0.05</v>
      </c>
      <c r="J397" s="145">
        <f>IF(OR(I397="",Settings!$B$6=""),"",IF(I397&gt;Settings!$B$6,"BUY",IF(I397&lt;-Settings!$B$6,"SELL","HOLD")))</f>
        <v/>
      </c>
      <c r="K397" s="145" t="n">
        <v>20</v>
      </c>
      <c r="L397" s="123" t="n">
        <v>45961</v>
      </c>
      <c r="M397" s="140" t="n">
        <v>45960</v>
      </c>
      <c r="N397" s="147" t="n">
        <v>153.52</v>
      </c>
      <c r="O397" s="140" t="n">
        <v>45961</v>
      </c>
      <c r="P397" s="145" t="n">
        <v>155.73</v>
      </c>
      <c r="Q397" s="151">
        <f>IF(OR(N397="",P397=""),"",ROUND((P397-N397)/N397,4))</f>
        <v/>
      </c>
      <c r="R397" s="118">
        <f>IF(OR(N397="",P397=""),"",IF(Q397&gt;Settings!$B$3/100,"UP",IF(Q397&lt;-Settings!$B$3/100,"DOWN","FLAT")))</f>
        <v/>
      </c>
      <c r="S397" s="118">
        <f>IF(OR(N397="",P397="",J397=""),"",IF(OR(AND(J397="BUY",R397="UP"),AND(J397="SELL",R397="DOWN"),AND(J397="HOLD",R397="FLAT")),"YES","NO"))</f>
        <v/>
      </c>
      <c r="T397" s="119">
        <f>IF(J397="","",IF(J397="BUY",1,IF(J397="SELL",-1,0)))</f>
        <v/>
      </c>
      <c r="U397" s="150">
        <f>IFERROR(IF(OR(J397="",N397="",P397=""),"",IF(T397=0,0,T397*Q397-Settings!$B$4/10000-IF(T397&lt;0,Settings!$B$5/10000,0))),"")</f>
        <v/>
      </c>
      <c r="W397" s="21">
        <f>IF($K397="","",$K397*60)</f>
        <v/>
      </c>
      <c r="X397" s="91">
        <f>IF($A397="","",$A397&amp;"|"&amp;$C397&amp;"|"&amp;$D397)</f>
        <v/>
      </c>
      <c r="Y397" s="91">
        <f>IFERROR(IF($X397="","",INDEX(LLM_Data_Entry!$H$3:$H$548,MATCH($X397,INDEX(LLM_Data_Entry!$A$3:$A$548&amp;"|"&amp;LLM_Data_Entry!$C$3:$C$548&amp;"|"&amp;LLM_Data_Entry!$D$3:$D$548,0),0))),"")</f>
        <v/>
      </c>
      <c r="Z397" s="91">
        <f>IFERROR(IF($X397="","",INDEX(LLM_Data_Entry!$R$3:$R$548,MATCH($X397,INDEX(LLM_Data_Entry!$A$3:$A$548&amp;"|"&amp;LLM_Data_Entry!$C$3:$C$548&amp;"|"&amp;LLM_Data_Entry!$D$3:$D$548,0),0))),"")</f>
        <v/>
      </c>
      <c r="AB397" t="inlineStr">
        <is>
          <t>release time published by the issuer (section C)</t>
        </is>
      </c>
      <c r="AC397" t="inlineStr">
        <is>
          <t>CVX</t>
        </is>
      </c>
      <c r="AD397" t="inlineStr">
        <is>
          <t>2025-10-30</t>
        </is>
      </c>
      <c r="AE397" t="n">
        <v>148.9889</v>
      </c>
      <c r="AF397" t="inlineStr">
        <is>
          <t>2025-10-31</t>
        </is>
      </c>
      <c r="AG397" t="n">
        <v>151.1337</v>
      </c>
      <c r="AH397" t="n">
        <v>0.01439556041751753</v>
      </c>
      <c r="AI397" t="inlineStr">
        <is>
          <t>FLAT</t>
        </is>
      </c>
      <c r="AJ397" t="inlineStr">
        <is>
          <t>YES</t>
        </is>
      </c>
      <c r="AK397" t="n">
        <v>0</v>
      </c>
      <c r="AL397">
        <f>IF($A397="","",IFERROR(INDEX(Company_List!$G$3:$G$207,MATCH($A397,Company_List!$A$3:$A$207,0)),"unassigned"))</f>
        <v/>
      </c>
      <c r="AM397" t="inlineStr">
        <is>
          <t>Phase 2/Chevron/2025-Q3/CVX-2025-Q3-earnings-call-transcript-fool-com.html</t>
        </is>
      </c>
      <c r="AN397" t="inlineStr">
        <is>
          <t>https://www.fool.com/earnings/call-transcripts/2025/10/31/chevron-cvx-q3-2025-earnings-call-transcript/</t>
        </is>
      </c>
      <c r="AO397" t="inlineStr">
        <is>
          <t>manifest</t>
        </is>
      </c>
      <c r="AP397">
        <f>IF($A397="","",IF(COUNTIFS(LLM_Data_Entry!$A$3:$A$548,$A397)&gt;0,"YES","NO"))</f>
        <v/>
      </c>
      <c r="AQ397">
        <f>IF($A397="","",IF(COUNTIFS($A$3:$A397,$A397,$C$3:$C397,$C397,$D$3:$D397,$D397)=1,"YES","NO"))</f>
        <v/>
      </c>
      <c r="AR397">
        <f>IF($A397="","",IF(AND($C397&amp;"-"&amp;$D397&gt;=Settings!$B$19,$C397&amp;"-"&amp;$D397&lt;=Settings!$B$20),"IN","OUT"))</f>
        <v/>
      </c>
      <c r="AS397">
        <f>IF($A397="","",IF($F397="Financial Results","financials",IF($F397="Outlook/Guidance","guidance",IF($F397="Transcript Q&amp;A","qanda",IF($F397="","unrecorded",IF($E397="All","full",IF($E397="","unrecorded",LOWER($E397)&amp;" only")))))))</f>
        <v/>
      </c>
      <c r="AT397">
        <f>IF(AND(OR($J397="BUY",$J397="SELL"),ISNUMBER($U397)),$U397,"")</f>
        <v/>
      </c>
      <c r="AU397">
        <f>IF(AND(OR($J397="BUY",$J397="SELL"),ISNUMBER($AK397)),$AK397,"")</f>
        <v/>
      </c>
      <c r="AV397">
        <f>IF(ISNUMBER($AT397),ABS(IF(ISNUMBER($I397),$I397,0)-Settings!$B$24),"")</f>
        <v/>
      </c>
      <c r="AW397">
        <f>IF(ISNUMBER($AV397),$AV397*$AT397,"")</f>
        <v/>
      </c>
      <c r="AX397">
        <f>IF(ISNUMBER($AU397),ABS(IF(ISNUMBER($I397),$I397,0)-Settings!$B$24),"")</f>
        <v/>
      </c>
      <c r="AY397">
        <f>IF(ISNUMBER($AX397),$AX397*$AU397,"")</f>
        <v/>
      </c>
      <c r="AZ397">
        <f>IF($A397="","",IFERROR(INDEX(Company_List!$H$3:$H$207,MATCH($A397,Company_List!$A$3:$A$207,0)),"unassigned"))</f>
        <v/>
      </c>
      <c r="BA397" t="n">
        <v>1</v>
      </c>
      <c r="BB397" t="n">
        <v>2</v>
      </c>
      <c r="BC397">
        <f>IF($A397="","",IF(COUNTIFS($A$3:$A397,$A397,$C$3:$C397,$C397,$D$3:$D397,$D397,$G$3:$G397,$G397)=1,1,0))</f>
        <v/>
      </c>
      <c r="BD397" t="n">
        <v>20</v>
      </c>
      <c r="BE397" t="n">
        <v>27</v>
      </c>
      <c r="BF397" t="n">
        <v>0.05</v>
      </c>
      <c r="BG397" t="inlineStr">
        <is>
          <t>no</t>
        </is>
      </c>
      <c r="BH397" t="inlineStr">
        <is>
          <t>no</t>
        </is>
      </c>
      <c r="BI397" t="inlineStr">
        <is>
          <t>Driven by realisations and the shareholder return commitment</t>
        </is>
      </c>
      <c r="BJ397" t="inlineStr">
        <is>
          <t>57 chevron q32025 guidance.pdf</t>
        </is>
      </c>
      <c r="BK397">
        <f>IF(OR($H397&lt;&gt;"Human",$S397="",$J397="",$Y397="",$Z397=""),"",IF(EXACT(UPPER($J397),UPPER($Y397)),1,0))</f>
        <v/>
      </c>
      <c r="BL397" t="inlineStr">
        <is>
          <t>attested - rater record</t>
        </is>
      </c>
      <c r="BM397" t="n">
        <v>1</v>
      </c>
      <c r="BN397" t="inlineStr">
        <is>
          <t>The Motley Fool</t>
        </is>
      </c>
      <c r="BO397" t="inlineStr">
        <is>
          <t>free to read, copyright asserted</t>
        </is>
      </c>
      <c r="BP397" t="inlineStr">
        <is>
          <t>no</t>
        </is>
      </c>
      <c r="BQ397" t="inlineStr">
        <is>
          <t>yes</t>
        </is>
      </c>
    </row>
    <row r="398">
      <c r="A398" s="1" t="inlineStr">
        <is>
          <t>Chevron</t>
        </is>
      </c>
      <c r="B398" s="142">
        <f>IF(A398="","",_xlfn.XLOOKUP(A398, Company_List!$A:$A, Company_List!$B:$B, ""))</f>
        <v/>
      </c>
      <c r="C398" s="143" t="n">
        <v>2025</v>
      </c>
      <c r="D398" s="143" t="inlineStr">
        <is>
          <t>Q3</t>
        </is>
      </c>
      <c r="E398" s="98" t="inlineStr">
        <is>
          <t>All</t>
        </is>
      </c>
      <c r="F398" s="98" t="inlineStr">
        <is>
          <t>All</t>
        </is>
      </c>
      <c r="G398" s="143" t="inlineStr">
        <is>
          <t>David</t>
        </is>
      </c>
      <c r="H398" s="106" t="inlineStr">
        <is>
          <t>Human</t>
        </is>
      </c>
      <c r="I398" s="145" t="n">
        <v>0.1</v>
      </c>
      <c r="J398" s="145">
        <f>IF(OR(I398="",Settings!$B$6=""),"",IF(I398&gt;Settings!$B$6,"BUY",IF(I398&lt;-Settings!$B$6,"SELL","HOLD")))</f>
        <v/>
      </c>
      <c r="K398" s="145" t="n">
        <v>27</v>
      </c>
      <c r="L398" s="123" t="n">
        <v>45961</v>
      </c>
      <c r="M398" s="140" t="n">
        <v>45960</v>
      </c>
      <c r="N398" s="147" t="n">
        <v>153.52</v>
      </c>
      <c r="O398" s="140" t="n">
        <v>45961</v>
      </c>
      <c r="P398" s="145" t="n">
        <v>155.73</v>
      </c>
      <c r="Q398" s="151">
        <f>IF(OR(N398="",P398=""),"",ROUND((P398-N398)/N398,4))</f>
        <v/>
      </c>
      <c r="R398" s="118">
        <f>IF(OR(N398="",P398=""),"",IF(Q398&gt;Settings!$B$3/100,"UP",IF(Q398&lt;-Settings!$B$3/100,"DOWN","FLAT")))</f>
        <v/>
      </c>
      <c r="S398" s="118">
        <f>IF(OR(N398="",P398="",J398=""),"",IF(OR(AND(J398="BUY",R398="UP"),AND(J398="SELL",R398="DOWN"),AND(J398="HOLD",R398="FLAT")),"YES","NO"))</f>
        <v/>
      </c>
      <c r="T398" s="119">
        <f>IF(J398="","",IF(J398="BUY",1,IF(J398="SELL",-1,0)))</f>
        <v/>
      </c>
      <c r="U398" s="150">
        <f>IFERROR(IF(OR(J398="",N398="",P398=""),"",IF(T398=0,0,T398*Q398-Settings!$B$4/10000-IF(T398&lt;0,Settings!$B$5/10000,0))),"")</f>
        <v/>
      </c>
      <c r="W398" s="21">
        <f>IF($K398="","",$K398*60)</f>
        <v/>
      </c>
      <c r="X398" s="91">
        <f>IF($A398="","",$A398&amp;"|"&amp;$C398&amp;"|"&amp;$D398)</f>
        <v/>
      </c>
      <c r="Y398" s="91">
        <f>IFERROR(IF($X398="","",INDEX(LLM_Data_Entry!$H$3:$H$548,MATCH($X398,INDEX(LLM_Data_Entry!$A$3:$A$548&amp;"|"&amp;LLM_Data_Entry!$C$3:$C$548&amp;"|"&amp;LLM_Data_Entry!$D$3:$D$548,0),0))),"")</f>
        <v/>
      </c>
      <c r="Z398" s="91">
        <f>IFERROR(IF($X398="","",INDEX(LLM_Data_Entry!$R$3:$R$548,MATCH($X398,INDEX(LLM_Data_Entry!$A$3:$A$548&amp;"|"&amp;LLM_Data_Entry!$C$3:$C$548&amp;"|"&amp;LLM_Data_Entry!$D$3:$D$548,0),0))),"")</f>
        <v/>
      </c>
      <c r="AB398" t="inlineStr">
        <is>
          <t>release time published by the issuer (section C)</t>
        </is>
      </c>
      <c r="AC398" t="inlineStr">
        <is>
          <t>CVX</t>
        </is>
      </c>
      <c r="AD398" t="inlineStr">
        <is>
          <t>2025-10-30</t>
        </is>
      </c>
      <c r="AE398" t="n">
        <v>148.9889</v>
      </c>
      <c r="AF398" t="inlineStr">
        <is>
          <t>2025-10-31</t>
        </is>
      </c>
      <c r="AG398" t="n">
        <v>151.1337</v>
      </c>
      <c r="AH398" t="n">
        <v>0.01439556041751753</v>
      </c>
      <c r="AI398" t="inlineStr">
        <is>
          <t>FLAT</t>
        </is>
      </c>
      <c r="AJ398" t="inlineStr">
        <is>
          <t>YES</t>
        </is>
      </c>
      <c r="AK398" t="n">
        <v>0</v>
      </c>
      <c r="AL398">
        <f>IF($A398="","",IFERROR(INDEX(Company_List!$G$3:$G$207,MATCH($A398,Company_List!$A$3:$A$207,0)),"unassigned"))</f>
        <v/>
      </c>
      <c r="AM398" t="inlineStr">
        <is>
          <t>Phase 2/Chevron/2025-Q3/CVX-2025-Q3-press-release-SEC-EX-99-1.htm; Phase 2/Chevron/2025-Q3/CVX-2025-Q3-earnings-call-transcript-fool-com.html</t>
        </is>
      </c>
      <c r="AN398" t="inlineStr">
        <is>
          <t>https://www.fool.com/earnings/call-transcripts/2025/10/31/chevron-cvx-q3-2025-earnings-call-transcript/; https://www.sec.gov/Archives/edgar/data/93410/000009341025000103/a09302025ex9918-k.htm</t>
        </is>
      </c>
      <c r="AO398" t="inlineStr">
        <is>
          <t>manifest (whole bundle)</t>
        </is>
      </c>
      <c r="AP398">
        <f>IF($A398="","",IF(COUNTIFS(LLM_Data_Entry!$A$3:$A$548,$A398)&gt;0,"YES","NO"))</f>
        <v/>
      </c>
      <c r="AQ398">
        <f>IF($A398="","",IF(COUNTIFS($A$3:$A398,$A398,$C$3:$C398,$C398,$D$3:$D398,$D398)=1,"YES","NO"))</f>
        <v/>
      </c>
      <c r="AR398">
        <f>IF($A398="","",IF(AND($C398&amp;"-"&amp;$D398&gt;=Settings!$B$19,$C398&amp;"-"&amp;$D398&lt;=Settings!$B$20),"IN","OUT"))</f>
        <v/>
      </c>
      <c r="AS398">
        <f>IF($A398="","",IF($F398="Financial Results","financials",IF($F398="Outlook/Guidance","guidance",IF($F398="Transcript Q&amp;A","qanda",IF($F398="","unrecorded",IF($E398="All","full",IF($E398="","unrecorded",LOWER($E398)&amp;" only")))))))</f>
        <v/>
      </c>
      <c r="AT398">
        <f>IF(AND(OR($J398="BUY",$J398="SELL"),ISNUMBER($U398)),$U398,"")</f>
        <v/>
      </c>
      <c r="AU398">
        <f>IF(AND(OR($J398="BUY",$J398="SELL"),ISNUMBER($AK398)),$AK398,"")</f>
        <v/>
      </c>
      <c r="AV398">
        <f>IF(ISNUMBER($AT398),ABS(IF(ISNUMBER($I398),$I398,0)-Settings!$B$24),"")</f>
        <v/>
      </c>
      <c r="AW398">
        <f>IF(ISNUMBER($AV398),$AV398*$AT398,"")</f>
        <v/>
      </c>
      <c r="AX398">
        <f>IF(ISNUMBER($AU398),ABS(IF(ISNUMBER($I398),$I398,0)-Settings!$B$24),"")</f>
        <v/>
      </c>
      <c r="AY398">
        <f>IF(ISNUMBER($AX398),$AX398*$AU398,"")</f>
        <v/>
      </c>
      <c r="AZ398">
        <f>IF($A398="","",IFERROR(INDEX(Company_List!$H$3:$H$207,MATCH($A398,Company_List!$A$3:$A$207,0)),"unassigned"))</f>
        <v/>
      </c>
      <c r="BA398" t="n">
        <v>2</v>
      </c>
      <c r="BB398" t="n">
        <v>2</v>
      </c>
      <c r="BC398">
        <f>IF($A398="","",IF(COUNTIFS($A$3:$A398,$A398,$C$3:$C398,$C398,$D$3:$D398,$D398,$G$3:$G398,$G398)=1,1,0))</f>
        <v/>
      </c>
      <c r="BD398" t="n">
        <v>20</v>
      </c>
      <c r="BE398" t="n">
        <v>27</v>
      </c>
      <c r="BF398" t="n">
        <v>0.05</v>
      </c>
      <c r="BG398" t="inlineStr">
        <is>
          <t>no</t>
        </is>
      </c>
      <c r="BH398" t="inlineStr">
        <is>
          <t>no</t>
        </is>
      </c>
      <c r="BI398" t="inlineStr">
        <is>
          <t>Driven by realisations and the shareholder return commitment</t>
        </is>
      </c>
      <c r="BJ398" t="inlineStr">
        <is>
          <t>57 chevron q32025 guidance.pdf</t>
        </is>
      </c>
      <c r="BK398">
        <f>IF(OR($H398&lt;&gt;"Human",$S398="",$J398="",$Y398="",$Z398=""),"",IF(EXACT(UPPER($J398),UPPER($Y398)),1,0))</f>
        <v/>
      </c>
      <c r="BL398" t="inlineStr">
        <is>
          <t>attested - rater record</t>
        </is>
      </c>
      <c r="BM398" t="n">
        <v>2</v>
      </c>
      <c r="BN398" t="inlineStr">
        <is>
          <t>The Motley Fool</t>
        </is>
      </c>
      <c r="BO398" t="inlineStr">
        <is>
          <t>free to read, copyright asserted</t>
        </is>
      </c>
      <c r="BP398" t="inlineStr">
        <is>
          <t>no</t>
        </is>
      </c>
      <c r="BQ398" t="inlineStr">
        <is>
          <t>yes</t>
        </is>
      </c>
    </row>
    <row r="399">
      <c r="A399" s="1" t="inlineStr">
        <is>
          <t>Chevron</t>
        </is>
      </c>
      <c r="B399" s="142">
        <f>IF(A399="","",_xlfn.XLOOKUP(A399, Company_List!$A:$A, Company_List!$B:$B, ""))</f>
        <v/>
      </c>
      <c r="C399" s="143" t="n">
        <v>2025</v>
      </c>
      <c r="D399" s="143" t="inlineStr">
        <is>
          <t>Q4</t>
        </is>
      </c>
      <c r="E399" s="98" t="inlineStr">
        <is>
          <t>Transcript</t>
        </is>
      </c>
      <c r="F399" s="98" t="inlineStr">
        <is>
          <t>Transcript Q&amp;A</t>
        </is>
      </c>
      <c r="G399" s="143" t="inlineStr">
        <is>
          <t>David</t>
        </is>
      </c>
      <c r="H399" s="106" t="inlineStr">
        <is>
          <t>Human</t>
        </is>
      </c>
      <c r="I399" s="145" t="n">
        <v>0.15</v>
      </c>
      <c r="J399" s="145">
        <f>IF(OR(I399="",Settings!$B$6=""),"",IF(I399&gt;Settings!$B$6,"BUY",IF(I399&lt;-Settings!$B$6,"SELL","HOLD")))</f>
        <v/>
      </c>
      <c r="K399" s="145" t="n">
        <v>27</v>
      </c>
      <c r="L399" s="123" t="n">
        <v>46052</v>
      </c>
      <c r="M399" s="140" t="n">
        <v>46051</v>
      </c>
      <c r="N399" s="147" t="n">
        <v>171.19</v>
      </c>
      <c r="O399" s="140" t="n">
        <v>46052</v>
      </c>
      <c r="P399" s="145" t="n">
        <v>172.62</v>
      </c>
      <c r="Q399" s="151">
        <f>IF(OR(N399="",P399=""),"",ROUND((P399-N399)/N399,4))</f>
        <v/>
      </c>
      <c r="R399" s="118">
        <f>IF(OR(N399="",P399=""),"",IF(Q399&gt;Settings!$B$3/100,"UP",IF(Q399&lt;-Settings!$B$3/100,"DOWN","FLAT")))</f>
        <v/>
      </c>
      <c r="S399" s="118">
        <f>IF(OR(N399="",P399="",J399=""),"",IF(OR(AND(J399="BUY",R399="UP"),AND(J399="SELL",R399="DOWN"),AND(J399="HOLD",R399="FLAT")),"YES","NO"))</f>
        <v/>
      </c>
      <c r="T399" s="119">
        <f>IF(J399="","",IF(J399="BUY",1,IF(J399="SELL",-1,0)))</f>
        <v/>
      </c>
      <c r="U399" s="150">
        <f>IFERROR(IF(OR(J399="",N399="",P399=""),"",IF(T399=0,0,T399*Q399-Settings!$B$4/10000-IF(T399&lt;0,Settings!$B$5/10000,0))),"")</f>
        <v/>
      </c>
      <c r="W399" s="21">
        <f>IF($K399="","",$K399*60)</f>
        <v/>
      </c>
      <c r="X399" s="91">
        <f>IF($A399="","",$A399&amp;"|"&amp;$C399&amp;"|"&amp;$D399)</f>
        <v/>
      </c>
      <c r="Y399" s="91">
        <f>IFERROR(IF($X399="","",INDEX(LLM_Data_Entry!$H$3:$H$548,MATCH($X399,INDEX(LLM_Data_Entry!$A$3:$A$548&amp;"|"&amp;LLM_Data_Entry!$C$3:$C$548&amp;"|"&amp;LLM_Data_Entry!$D$3:$D$548,0),0))),"")</f>
        <v/>
      </c>
      <c r="Z399" s="91">
        <f>IFERROR(IF($X399="","",INDEX(LLM_Data_Entry!$R$3:$R$548,MATCH($X399,INDEX(LLM_Data_Entry!$A$3:$A$548&amp;"|"&amp;LLM_Data_Entry!$C$3:$C$548&amp;"|"&amp;LLM_Data_Entry!$D$3:$D$548,0),0))),"")</f>
        <v/>
      </c>
      <c r="AB399" t="inlineStr">
        <is>
          <t>price signal, re-derived — only this window shows an abnormal move</t>
        </is>
      </c>
      <c r="AC399" t="inlineStr">
        <is>
          <t>CVX</t>
        </is>
      </c>
      <c r="AD399" t="inlineStr">
        <is>
          <t>2026-01-30</t>
        </is>
      </c>
      <c r="AE399" t="n">
        <v>173.5963</v>
      </c>
      <c r="AF399" t="inlineStr">
        <is>
          <t>2026-02-02</t>
        </is>
      </c>
      <c r="AG399" t="n">
        <v>170.2009</v>
      </c>
      <c r="AH399" t="n">
        <v>-0.01955909197807928</v>
      </c>
      <c r="AI399" t="inlineStr">
        <is>
          <t>FLAT</t>
        </is>
      </c>
      <c r="AJ399" t="inlineStr">
        <is>
          <t>YES</t>
        </is>
      </c>
      <c r="AK399" t="n">
        <v>0</v>
      </c>
      <c r="AL399">
        <f>IF($A399="","",IFERROR(INDEX(Company_List!$G$3:$G$207,MATCH($A399,Company_List!$A$3:$A$207,0)),"unassigned"))</f>
        <v/>
      </c>
      <c r="AM399" t="inlineStr">
        <is>
          <t>Phase 2/Chevron/2025-Q4/CVX-2025-Q4-earnings-call-transcript-fool-com.html</t>
        </is>
      </c>
      <c r="AN399" t="inlineStr">
        <is>
          <t>https://www.fool.com/earnings/call-transcripts/2026/01/30/chevron-cvx-q4-2025-earnings-call-transcript/</t>
        </is>
      </c>
      <c r="AO399" t="inlineStr">
        <is>
          <t>manifest</t>
        </is>
      </c>
      <c r="AP399">
        <f>IF($A399="","",IF(COUNTIFS(LLM_Data_Entry!$A$3:$A$548,$A399)&gt;0,"YES","NO"))</f>
        <v/>
      </c>
      <c r="AQ399">
        <f>IF($A399="","",IF(COUNTIFS($A$3:$A399,$A399,$C$3:$C399,$C399,$D$3:$D399,$D399)=1,"YES","NO"))</f>
        <v/>
      </c>
      <c r="AR399">
        <f>IF($A399="","",IF(AND($C399&amp;"-"&amp;$D399&gt;=Settings!$B$19,$C399&amp;"-"&amp;$D399&lt;=Settings!$B$20),"IN","OUT"))</f>
        <v/>
      </c>
      <c r="AS399">
        <f>IF($A399="","",IF($F399="Financial Results","financials",IF($F399="Outlook/Guidance","guidance",IF($F399="Transcript Q&amp;A","qanda",IF($F399="","unrecorded",IF($E399="All","full",IF($E399="","unrecorded",LOWER($E399)&amp;" only")))))))</f>
        <v/>
      </c>
      <c r="AT399">
        <f>IF(AND(OR($J399="BUY",$J399="SELL"),ISNUMBER($U399)),$U399,"")</f>
        <v/>
      </c>
      <c r="AU399">
        <f>IF(AND(OR($J399="BUY",$J399="SELL"),ISNUMBER($AK399)),$AK399,"")</f>
        <v/>
      </c>
      <c r="AV399">
        <f>IF(ISNUMBER($AT399),ABS(IF(ISNUMBER($I399),$I399,0)-Settings!$B$24),"")</f>
        <v/>
      </c>
      <c r="AW399">
        <f>IF(ISNUMBER($AV399),$AV399*$AT399,"")</f>
        <v/>
      </c>
      <c r="AX399">
        <f>IF(ISNUMBER($AU399),ABS(IF(ISNUMBER($I399),$I399,0)-Settings!$B$24),"")</f>
        <v/>
      </c>
      <c r="AY399">
        <f>IF(ISNUMBER($AX399),$AX399*$AU399,"")</f>
        <v/>
      </c>
      <c r="AZ399">
        <f>IF($A399="","",IFERROR(INDEX(Company_List!$H$3:$H$207,MATCH($A399,Company_List!$A$3:$A$207,0)),"unassigned"))</f>
        <v/>
      </c>
      <c r="BA399" t="n">
        <v>1</v>
      </c>
      <c r="BB399" t="n">
        <v>2</v>
      </c>
      <c r="BC399">
        <f>IF($A399="","",IF(COUNTIFS($A$3:$A399,$A399,$C$3:$C399,$C399,$D$3:$D399,$D399,$G$3:$G399,$G399)=1,1,0))</f>
        <v/>
      </c>
      <c r="BD399" t="n">
        <v>27</v>
      </c>
      <c r="BE399" t="n">
        <v>29</v>
      </c>
      <c r="BF399" t="n">
        <v>0.15</v>
      </c>
      <c r="BG399" t="inlineStr">
        <is>
          <t>no</t>
        </is>
      </c>
      <c r="BH399" t="inlineStr">
        <is>
          <t>no</t>
        </is>
      </c>
      <c r="BI399" t="inlineStr">
        <is>
          <t>Driven by realisations and the shareholder return commitment</t>
        </is>
      </c>
      <c r="BJ399" t="inlineStr">
        <is>
          <t>58 chevron q42025 qanda.pdf</t>
        </is>
      </c>
      <c r="BK399">
        <f>IF(OR($H399&lt;&gt;"Human",$S399="",$J399="",$Y399="",$Z399=""),"",IF(EXACT(UPPER($J399),UPPER($Y399)),1,0))</f>
        <v/>
      </c>
      <c r="BL399" t="inlineStr">
        <is>
          <t>attested - rater record</t>
        </is>
      </c>
      <c r="BM399" t="n">
        <v>1</v>
      </c>
      <c r="BN399" t="inlineStr">
        <is>
          <t>The Motley Fool</t>
        </is>
      </c>
      <c r="BO399" t="inlineStr">
        <is>
          <t>free to read, copyright asserted</t>
        </is>
      </c>
      <c r="BP399" t="inlineStr">
        <is>
          <t>no</t>
        </is>
      </c>
      <c r="BQ399" t="inlineStr">
        <is>
          <t>yes</t>
        </is>
      </c>
    </row>
    <row r="400">
      <c r="A400" s="1" t="inlineStr">
        <is>
          <t>Chevron</t>
        </is>
      </c>
      <c r="B400" s="142">
        <f>IF(A400="","",_xlfn.XLOOKUP(A400, Company_List!$A:$A, Company_List!$B:$B, ""))</f>
        <v/>
      </c>
      <c r="C400" s="143" t="n">
        <v>2025</v>
      </c>
      <c r="D400" s="143" t="inlineStr">
        <is>
          <t>Q4</t>
        </is>
      </c>
      <c r="E400" s="98" t="inlineStr">
        <is>
          <t>All</t>
        </is>
      </c>
      <c r="F400" s="98" t="inlineStr">
        <is>
          <t>All</t>
        </is>
      </c>
      <c r="G400" s="143" t="inlineStr">
        <is>
          <t>David</t>
        </is>
      </c>
      <c r="H400" s="106" t="inlineStr">
        <is>
          <t>Human</t>
        </is>
      </c>
      <c r="I400" s="145" t="n">
        <v>0.1</v>
      </c>
      <c r="J400" s="145">
        <f>IF(OR(I400="",Settings!$B$6=""),"",IF(I400&gt;Settings!$B$6,"BUY",IF(I400&lt;-Settings!$B$6,"SELL","HOLD")))</f>
        <v/>
      </c>
      <c r="K400" s="145" t="n">
        <v>29</v>
      </c>
      <c r="L400" s="123" t="n">
        <v>46052</v>
      </c>
      <c r="M400" s="140" t="n">
        <v>46051</v>
      </c>
      <c r="N400" s="147" t="n">
        <v>171.19</v>
      </c>
      <c r="O400" s="140" t="n">
        <v>46052</v>
      </c>
      <c r="P400" s="145" t="n">
        <v>172.62</v>
      </c>
      <c r="Q400" s="151">
        <f>IF(OR(N400="",P400=""),"",ROUND((P400-N400)/N400,4))</f>
        <v/>
      </c>
      <c r="R400" s="118">
        <f>IF(OR(N400="",P400=""),"",IF(Q400&gt;Settings!$B$3/100,"UP",IF(Q400&lt;-Settings!$B$3/100,"DOWN","FLAT")))</f>
        <v/>
      </c>
      <c r="S400" s="118">
        <f>IF(OR(N400="",P400="",J400=""),"",IF(OR(AND(J400="BUY",R400="UP"),AND(J400="SELL",R400="DOWN"),AND(J400="HOLD",R400="FLAT")),"YES","NO"))</f>
        <v/>
      </c>
      <c r="T400" s="119">
        <f>IF(J400="","",IF(J400="BUY",1,IF(J400="SELL",-1,0)))</f>
        <v/>
      </c>
      <c r="U400" s="150">
        <f>IFERROR(IF(OR(J400="",N400="",P400=""),"",IF(T400=0,0,T400*Q400-Settings!$B$4/10000-IF(T400&lt;0,Settings!$B$5/10000,0))),"")</f>
        <v/>
      </c>
      <c r="W400" s="21">
        <f>IF($K400="","",$K400*60)</f>
        <v/>
      </c>
      <c r="X400" s="91">
        <f>IF($A400="","",$A400&amp;"|"&amp;$C400&amp;"|"&amp;$D400)</f>
        <v/>
      </c>
      <c r="Y400" s="91">
        <f>IFERROR(IF($X400="","",INDEX(LLM_Data_Entry!$H$3:$H$548,MATCH($X400,INDEX(LLM_Data_Entry!$A$3:$A$548&amp;"|"&amp;LLM_Data_Entry!$C$3:$C$548&amp;"|"&amp;LLM_Data_Entry!$D$3:$D$548,0),0))),"")</f>
        <v/>
      </c>
      <c r="Z400" s="91">
        <f>IFERROR(IF($X400="","",INDEX(LLM_Data_Entry!$R$3:$R$548,MATCH($X400,INDEX(LLM_Data_Entry!$A$3:$A$548&amp;"|"&amp;LLM_Data_Entry!$C$3:$C$548&amp;"|"&amp;LLM_Data_Entry!$D$3:$D$548,0),0))),"")</f>
        <v/>
      </c>
      <c r="AB400" t="inlineStr">
        <is>
          <t>price signal, re-derived — only this window shows an abnormal move</t>
        </is>
      </c>
      <c r="AC400" t="inlineStr">
        <is>
          <t>CVX</t>
        </is>
      </c>
      <c r="AD400" t="inlineStr">
        <is>
          <t>2026-01-30</t>
        </is>
      </c>
      <c r="AE400" t="n">
        <v>173.5963</v>
      </c>
      <c r="AF400" t="inlineStr">
        <is>
          <t>2026-02-02</t>
        </is>
      </c>
      <c r="AG400" t="n">
        <v>170.2009</v>
      </c>
      <c r="AH400" t="n">
        <v>-0.01955909197807928</v>
      </c>
      <c r="AI400" t="inlineStr">
        <is>
          <t>FLAT</t>
        </is>
      </c>
      <c r="AJ400" t="inlineStr">
        <is>
          <t>YES</t>
        </is>
      </c>
      <c r="AK400" t="n">
        <v>0</v>
      </c>
      <c r="AL400">
        <f>IF($A400="","",IFERROR(INDEX(Company_List!$G$3:$G$207,MATCH($A400,Company_List!$A$3:$A$207,0)),"unassigned"))</f>
        <v/>
      </c>
      <c r="AM400" t="inlineStr">
        <is>
          <t>Phase 2/Chevron/2025-Q4/CVX-2025-Q4-press-release-SEC-EX-99-1.htm; Phase 2/Chevron/2025-Q4/CVX-2025-Q4-earnings-call-transcript-fool-com.html</t>
        </is>
      </c>
      <c r="AN400" t="inlineStr">
        <is>
          <t>https://www.fool.com/earnings/call-transcripts/2026/01/30/chevron-cvx-q4-2025-earnings-call-transcript/; https://www.sec.gov/Archives/edgar/data/93410/000009341026000019/a12312025ex9918-k.htm</t>
        </is>
      </c>
      <c r="AO400" t="inlineStr">
        <is>
          <t>manifest (whole bundle)</t>
        </is>
      </c>
      <c r="AP400">
        <f>IF($A400="","",IF(COUNTIFS(LLM_Data_Entry!$A$3:$A$548,$A400)&gt;0,"YES","NO"))</f>
        <v/>
      </c>
      <c r="AQ400">
        <f>IF($A400="","",IF(COUNTIFS($A$3:$A400,$A400,$C$3:$C400,$C400,$D$3:$D400,$D400)=1,"YES","NO"))</f>
        <v/>
      </c>
      <c r="AR400">
        <f>IF($A400="","",IF(AND($C400&amp;"-"&amp;$D400&gt;=Settings!$B$19,$C400&amp;"-"&amp;$D400&lt;=Settings!$B$20),"IN","OUT"))</f>
        <v/>
      </c>
      <c r="AS400">
        <f>IF($A400="","",IF($F400="Financial Results","financials",IF($F400="Outlook/Guidance","guidance",IF($F400="Transcript Q&amp;A","qanda",IF($F400="","unrecorded",IF($E400="All","full",IF($E400="","unrecorded",LOWER($E400)&amp;" only")))))))</f>
        <v/>
      </c>
      <c r="AT400">
        <f>IF(AND(OR($J400="BUY",$J400="SELL"),ISNUMBER($U400)),$U400,"")</f>
        <v/>
      </c>
      <c r="AU400">
        <f>IF(AND(OR($J400="BUY",$J400="SELL"),ISNUMBER($AK400)),$AK400,"")</f>
        <v/>
      </c>
      <c r="AV400">
        <f>IF(ISNUMBER($AT400),ABS(IF(ISNUMBER($I400),$I400,0)-Settings!$B$24),"")</f>
        <v/>
      </c>
      <c r="AW400">
        <f>IF(ISNUMBER($AV400),$AV400*$AT400,"")</f>
        <v/>
      </c>
      <c r="AX400">
        <f>IF(ISNUMBER($AU400),ABS(IF(ISNUMBER($I400),$I400,0)-Settings!$B$24),"")</f>
        <v/>
      </c>
      <c r="AY400">
        <f>IF(ISNUMBER($AX400),$AX400*$AU400,"")</f>
        <v/>
      </c>
      <c r="AZ400">
        <f>IF($A400="","",IFERROR(INDEX(Company_List!$H$3:$H$207,MATCH($A400,Company_List!$A$3:$A$207,0)),"unassigned"))</f>
        <v/>
      </c>
      <c r="BA400" t="n">
        <v>2</v>
      </c>
      <c r="BB400" t="n">
        <v>2</v>
      </c>
      <c r="BC400">
        <f>IF($A400="","",IF(COUNTIFS($A$3:$A400,$A400,$C$3:$C400,$C400,$D$3:$D400,$D400,$G$3:$G400,$G400)=1,1,0))</f>
        <v/>
      </c>
      <c r="BD400" t="n">
        <v>27</v>
      </c>
      <c r="BE400" t="n">
        <v>29</v>
      </c>
      <c r="BF400" t="n">
        <v>0.15</v>
      </c>
      <c r="BG400" t="inlineStr">
        <is>
          <t>no</t>
        </is>
      </c>
      <c r="BH400" t="inlineStr">
        <is>
          <t>no</t>
        </is>
      </c>
      <c r="BI400" t="inlineStr">
        <is>
          <t>Driven by realisations and the shareholder return commitment</t>
        </is>
      </c>
      <c r="BJ400" t="inlineStr">
        <is>
          <t>58 chevron q42025 qanda.pdf</t>
        </is>
      </c>
      <c r="BK400">
        <f>IF(OR($H400&lt;&gt;"Human",$S400="",$J400="",$Y400="",$Z400=""),"",IF(EXACT(UPPER($J400),UPPER($Y400)),1,0))</f>
        <v/>
      </c>
      <c r="BL400" t="inlineStr">
        <is>
          <t>attested - rater record</t>
        </is>
      </c>
      <c r="BM400" t="n">
        <v>2</v>
      </c>
      <c r="BN400" t="inlineStr">
        <is>
          <t>The Motley Fool</t>
        </is>
      </c>
      <c r="BO400" t="inlineStr">
        <is>
          <t>free to read, copyright asserted</t>
        </is>
      </c>
      <c r="BP400" t="inlineStr">
        <is>
          <t>no</t>
        </is>
      </c>
      <c r="BQ400" t="inlineStr">
        <is>
          <t>yes</t>
        </is>
      </c>
    </row>
    <row r="401">
      <c r="A401" s="1" t="inlineStr">
        <is>
          <t>Chevron</t>
        </is>
      </c>
      <c r="B401" s="142">
        <f>IF(A401="","",_xlfn.XLOOKUP(A401, Company_List!$A:$A, Company_List!$B:$B, ""))</f>
        <v/>
      </c>
      <c r="C401" s="143" t="n">
        <v>2026</v>
      </c>
      <c r="D401" s="143" t="inlineStr">
        <is>
          <t>Q1</t>
        </is>
      </c>
      <c r="E401" s="98" t="inlineStr">
        <is>
          <t>All</t>
        </is>
      </c>
      <c r="F401" s="98" t="inlineStr">
        <is>
          <t>All</t>
        </is>
      </c>
      <c r="G401" s="143" t="inlineStr">
        <is>
          <t>David</t>
        </is>
      </c>
      <c r="H401" s="106" t="inlineStr">
        <is>
          <t>Human</t>
        </is>
      </c>
      <c r="I401" s="145" t="n">
        <v>-0.05</v>
      </c>
      <c r="J401" s="145">
        <f>IF(OR(I401="",Settings!$B$6=""),"",IF(I401&gt;Settings!$B$6,"BUY",IF(I401&lt;-Settings!$B$6,"SELL","HOLD")))</f>
        <v/>
      </c>
      <c r="K401" s="145" t="n">
        <v>32</v>
      </c>
      <c r="L401" s="123" t="n">
        <v>46143</v>
      </c>
      <c r="M401" s="140" t="n">
        <v>46142</v>
      </c>
      <c r="N401" s="147" t="n">
        <v>193.31</v>
      </c>
      <c r="O401" s="140" t="n">
        <v>46143</v>
      </c>
      <c r="P401" s="145" t="n">
        <v>191.3</v>
      </c>
      <c r="Q401" s="151">
        <f>IF(OR(N401="",P401=""),"",ROUND((P401-N401)/N401,4))</f>
        <v/>
      </c>
      <c r="R401" s="118">
        <f>IF(OR(N401="",P401=""),"",IF(Q401&gt;Settings!$B$3/100,"UP",IF(Q401&lt;-Settings!$B$3/100,"DOWN","FLAT")))</f>
        <v/>
      </c>
      <c r="S401" s="118">
        <f>IF(OR(N401="",P401="",J401=""),"",IF(OR(AND(J401="BUY",R401="UP"),AND(J401="SELL",R401="DOWN"),AND(J401="HOLD",R401="FLAT")),"YES","NO"))</f>
        <v/>
      </c>
      <c r="T401" s="119">
        <f>IF(J401="","",IF(J401="BUY",1,IF(J401="SELL",-1,0)))</f>
        <v/>
      </c>
      <c r="U401" s="150">
        <f>IFERROR(IF(OR(J401="",N401="",P401=""),"",IF(T401=0,0,T401*Q401-Settings!$B$4/10000-IF(T401&lt;0,Settings!$B$5/10000,0))),"")</f>
        <v/>
      </c>
      <c r="W401" s="21">
        <f>IF($K401="","",$K401*60)</f>
        <v/>
      </c>
      <c r="X401" s="91">
        <f>IF($A401="","",$A401&amp;"|"&amp;$C401&amp;"|"&amp;$D401)</f>
        <v/>
      </c>
      <c r="Y401" s="91">
        <f>IFERROR(IF($X401="","",INDEX(LLM_Data_Entry!$H$3:$H$548,MATCH($X401,INDEX(LLM_Data_Entry!$A$3:$A$548&amp;"|"&amp;LLM_Data_Entry!$C$3:$C$548&amp;"|"&amp;LLM_Data_Entry!$D$3:$D$548,0),0))),"")</f>
        <v/>
      </c>
      <c r="Z401" s="91">
        <f>IFERROR(IF($X401="","",INDEX(LLM_Data_Entry!$R$3:$R$548,MATCH($X401,INDEX(LLM_Data_Entry!$A$3:$A$548&amp;"|"&amp;LLM_Data_Entry!$C$3:$C$548&amp;"|"&amp;LLM_Data_Entry!$D$3:$D$548,0),0))),"")</f>
        <v/>
      </c>
      <c r="AB401" t="inlineStr">
        <is>
          <t>price signal, re-derived — only this window shows an abnormal move</t>
        </is>
      </c>
      <c r="AC401" t="inlineStr">
        <is>
          <t>CVX</t>
        </is>
      </c>
      <c r="AD401" t="inlineStr">
        <is>
          <t>2026-04-30</t>
        </is>
      </c>
      <c r="AE401" t="n">
        <v>191.5555</v>
      </c>
      <c r="AF401" t="inlineStr">
        <is>
          <t>2026-05-01</t>
        </is>
      </c>
      <c r="AG401" t="n">
        <v>189.5638</v>
      </c>
      <c r="AH401" t="n">
        <v>-0.01039778450017114</v>
      </c>
      <c r="AI401" t="inlineStr">
        <is>
          <t>FLAT</t>
        </is>
      </c>
      <c r="AJ401" t="inlineStr">
        <is>
          <t>YES</t>
        </is>
      </c>
      <c r="AK401" t="n">
        <v>0</v>
      </c>
      <c r="AL401">
        <f>IF($A401="","",IFERROR(INDEX(Company_List!$G$3:$G$207,MATCH($A401,Company_List!$A$3:$A$207,0)),"unassigned"))</f>
        <v/>
      </c>
      <c r="AM401" t="inlineStr">
        <is>
          <t>Phase 2/Chevron/2026-Q1/CVX-2026-Q1-press-release-SEC-EX-99-1.htm</t>
        </is>
      </c>
      <c r="AN401" t="inlineStr">
        <is>
          <t>https://www.sec.gov/Archives/edgar/data/93410/000009341026000110/a03312026ex9918-k.htm</t>
        </is>
      </c>
      <c r="AO401" t="inlineStr">
        <is>
          <t>manifest</t>
        </is>
      </c>
      <c r="AP401">
        <f>IF($A401="","",IF(COUNTIFS(LLM_Data_Entry!$A$3:$A$548,$A401)&gt;0,"YES","NO"))</f>
        <v/>
      </c>
      <c r="AQ401">
        <f>IF($A401="","",IF(COUNTIFS($A$3:$A401,$A401,$C$3:$C401,$C401,$D$3:$D401,$D401)=1,"YES","NO"))</f>
        <v/>
      </c>
      <c r="AR401">
        <f>IF($A401="","",IF(AND($C401&amp;"-"&amp;$D401&gt;=Settings!$B$19,$C401&amp;"-"&amp;$D401&lt;=Settings!$B$20),"IN","OUT"))</f>
        <v/>
      </c>
      <c r="AS401">
        <f>IF($A401="","",IF($F401="Financial Results","financials",IF($F401="Outlook/Guidance","guidance",IF($F401="Transcript Q&amp;A","qanda",IF($F401="","unrecorded",IF($E401="All","full",IF($E401="","unrecorded",LOWER($E401)&amp;" only")))))))</f>
        <v/>
      </c>
      <c r="AT401">
        <f>IF(AND(OR($J401="BUY",$J401="SELL"),ISNUMBER($U401)),$U401,"")</f>
        <v/>
      </c>
      <c r="AU401">
        <f>IF(AND(OR($J401="BUY",$J401="SELL"),ISNUMBER($AK401)),$AK401,"")</f>
        <v/>
      </c>
      <c r="AV401">
        <f>IF(ISNUMBER($AT401),ABS(IF(ISNUMBER($I401),$I401,0)-Settings!$B$24),"")</f>
        <v/>
      </c>
      <c r="AW401">
        <f>IF(ISNUMBER($AV401),$AV401*$AT401,"")</f>
        <v/>
      </c>
      <c r="AX401">
        <f>IF(ISNUMBER($AU401),ABS(IF(ISNUMBER($I401),$I401,0)-Settings!$B$24),"")</f>
        <v/>
      </c>
      <c r="AY401">
        <f>IF(ISNUMBER($AX401),$AX401*$AU401,"")</f>
        <v/>
      </c>
      <c r="AZ401">
        <f>IF($A401="","",IFERROR(INDEX(Company_List!$H$3:$H$207,MATCH($A401,Company_List!$A$3:$A$207,0)),"unassigned"))</f>
        <v/>
      </c>
      <c r="BA401" t="n">
        <v>1</v>
      </c>
      <c r="BB401" t="n">
        <v>1</v>
      </c>
      <c r="BC401">
        <f>IF($A401="","",IF(COUNTIFS($A$3:$A401,$A401,$C$3:$C401,$C401,$D$3:$D401,$D401,$G$3:$G401,$G401)=1,1,0))</f>
        <v/>
      </c>
      <c r="BD401" t="n">
        <v>32</v>
      </c>
      <c r="BG401" t="inlineStr">
        <is>
          <t>no</t>
        </is>
      </c>
      <c r="BH401" t="inlineStr">
        <is>
          <t>no</t>
        </is>
      </c>
      <c r="BI401" t="inlineStr">
        <is>
          <t>Driven by realisations and the shareholder return commitment</t>
        </is>
      </c>
      <c r="BJ401" t="inlineStr">
        <is>
          <t>59 chevron q12026 full.pdf</t>
        </is>
      </c>
      <c r="BK401">
        <f>IF(OR($H401&lt;&gt;"Human",$S401="",$J401="",$Y401="",$Z401=""),"",IF(EXACT(UPPER($J401),UPPER($Y401)),1,0))</f>
        <v/>
      </c>
      <c r="BL401" t="inlineStr">
        <is>
          <t>attested - rater record</t>
        </is>
      </c>
      <c r="BM401" t="n">
        <v>1</v>
      </c>
      <c r="BN401" t="inlineStr">
        <is>
          <t>not publisher-identified</t>
        </is>
      </c>
      <c r="BO401" t="inlineStr">
        <is>
          <t>not publisher-identified</t>
        </is>
      </c>
      <c r="BP401" t="inlineStr">
        <is>
          <t>no</t>
        </is>
      </c>
      <c r="BQ401" t="inlineStr">
        <is>
          <t>yes</t>
        </is>
      </c>
    </row>
    <row r="402">
      <c r="A402" s="1" t="inlineStr">
        <is>
          <t>Intel</t>
        </is>
      </c>
      <c r="B402" s="142">
        <f>IF(A402="","",_xlfn.XLOOKUP(A402, Company_List!$A:$A, Company_List!$B:$B, ""))</f>
        <v/>
      </c>
      <c r="C402" s="143" t="n">
        <v>2025</v>
      </c>
      <c r="D402" s="143" t="inlineStr">
        <is>
          <t>Q2</t>
        </is>
      </c>
      <c r="E402" s="98" t="inlineStr">
        <is>
          <t>Financial Statement</t>
        </is>
      </c>
      <c r="F402" s="98" t="inlineStr">
        <is>
          <t>Financial Results</t>
        </is>
      </c>
      <c r="G402" s="143" t="inlineStr">
        <is>
          <t>David</t>
        </is>
      </c>
      <c r="H402" s="106" t="inlineStr">
        <is>
          <t>Human</t>
        </is>
      </c>
      <c r="I402" s="145" t="n">
        <v>-0.25</v>
      </c>
      <c r="J402" s="145">
        <f>IF(OR(I402="",Settings!$B$6=""),"",IF(I402&gt;Settings!$B$6,"BUY",IF(I402&lt;-Settings!$B$6,"SELL","HOLD")))</f>
        <v/>
      </c>
      <c r="K402" s="145" t="n">
        <v>26</v>
      </c>
      <c r="L402" s="123" t="n">
        <v>45862</v>
      </c>
      <c r="M402" s="140" t="n">
        <v>45862</v>
      </c>
      <c r="N402" s="147" t="n">
        <v>22.63</v>
      </c>
      <c r="O402" s="140" t="n">
        <v>45863</v>
      </c>
      <c r="P402" s="145" t="n">
        <v>20.68</v>
      </c>
      <c r="Q402" s="151">
        <f>IF(OR(N402="",P402=""),"",ROUND((P402-N402)/N402,4))</f>
        <v/>
      </c>
      <c r="R402" s="118">
        <f>IF(OR(N402="",P402=""),"",IF(Q402&gt;Settings!$B$3/100,"UP",IF(Q402&lt;-Settings!$B$3/100,"DOWN","FLAT")))</f>
        <v/>
      </c>
      <c r="S402" s="118">
        <f>IF(OR(N402="",P402="",J402=""),"",IF(OR(AND(J402="BUY",R402="UP"),AND(J402="SELL",R402="DOWN"),AND(J402="HOLD",R402="FLAT")),"YES","NO"))</f>
        <v/>
      </c>
      <c r="T402" s="119">
        <f>IF(J402="","",IF(J402="BUY",1,IF(J402="SELL",-1,0)))</f>
        <v/>
      </c>
      <c r="U402" s="150">
        <f>IFERROR(IF(OR(J402="",N402="",P402=""),"",IF(T402=0,0,T402*Q402-Settings!$B$4/10000-IF(T402&lt;0,Settings!$B$5/10000,0))),"")</f>
        <v/>
      </c>
      <c r="W402" s="21">
        <f>IF($K402="","",$K402*60)</f>
        <v/>
      </c>
      <c r="X402" s="91">
        <f>IF($A402="","",$A402&amp;"|"&amp;$C402&amp;"|"&amp;$D402)</f>
        <v/>
      </c>
      <c r="Y402" s="91">
        <f>IFERROR(IF($X402="","",INDEX(LLM_Data_Entry!$H$3:$H$548,MATCH($X402,INDEX(LLM_Data_Entry!$A$3:$A$548&amp;"|"&amp;LLM_Data_Entry!$C$3:$C$548&amp;"|"&amp;LLM_Data_Entry!$D$3:$D$548,0),0))),"")</f>
        <v/>
      </c>
      <c r="Z402" s="91">
        <f>IFERROR(IF($X402="","",INDEX(LLM_Data_Entry!$R$3:$R$548,MATCH($X402,INDEX(LLM_Data_Entry!$A$3:$A$548&amp;"|"&amp;LLM_Data_Entry!$C$3:$C$548&amp;"|"&amp;LLM_Data_Entry!$D$3:$D$548,0),0))),"")</f>
        <v/>
      </c>
      <c r="AB402" t="inlineStr">
        <is>
          <t>price signal, re-derived — only this window shows an abnormal move</t>
        </is>
      </c>
      <c r="AC402" t="inlineStr">
        <is>
          <t>INTC</t>
        </is>
      </c>
      <c r="AD402" t="inlineStr">
        <is>
          <t>2025-07-24</t>
        </is>
      </c>
      <c r="AE402" t="n">
        <v>22.63</v>
      </c>
      <c r="AF402" t="inlineStr">
        <is>
          <t>2025-07-25</t>
        </is>
      </c>
      <c r="AG402" t="n">
        <v>20.68</v>
      </c>
      <c r="AH402" t="n">
        <v>-0.08616876209318444</v>
      </c>
      <c r="AI402" t="inlineStr">
        <is>
          <t>DOWN</t>
        </is>
      </c>
      <c r="AJ402" t="inlineStr">
        <is>
          <t>YES</t>
        </is>
      </c>
      <c r="AK402" t="n">
        <v>0.08516899999999999</v>
      </c>
      <c r="AL402">
        <f>IF($A402="","",IFERROR(INDEX(Company_List!$G$3:$G$207,MATCH($A402,Company_List!$A$3:$A$207,0)),"unassigned"))</f>
        <v/>
      </c>
      <c r="AM402" t="inlineStr">
        <is>
          <t>Phase 2/Intel/2025-Q2/INTC-2025-Q2-quarterly-financial-statements-SEC-10-Q.htm</t>
        </is>
      </c>
      <c r="AN402" t="inlineStr">
        <is>
          <t>https://www.sec.gov/Archives/edgar/data/50863/ (10-Q, Q2 2025)</t>
        </is>
      </c>
      <c r="AO402" t="inlineStr">
        <is>
          <t>manifest</t>
        </is>
      </c>
      <c r="AP402">
        <f>IF($A402="","",IF(COUNTIFS(LLM_Data_Entry!$A$3:$A$548,$A402)&gt;0,"YES","NO"))</f>
        <v/>
      </c>
      <c r="AQ402">
        <f>IF($A402="","",IF(COUNTIFS($A$3:$A402,$A402,$C$3:$C402,$C402,$D$3:$D402,$D402)=1,"YES","NO"))</f>
        <v/>
      </c>
      <c r="AR402">
        <f>IF($A402="","",IF(AND($C402&amp;"-"&amp;$D402&gt;=Settings!$B$19,$C402&amp;"-"&amp;$D402&lt;=Settings!$B$20),"IN","OUT"))</f>
        <v/>
      </c>
      <c r="AS402">
        <f>IF($A402="","",IF($F402="Financial Results","financials",IF($F402="Outlook/Guidance","guidance",IF($F402="Transcript Q&amp;A","qanda",IF($F402="","unrecorded",IF($E402="All","full",IF($E402="","unrecorded",LOWER($E402)&amp;" only")))))))</f>
        <v/>
      </c>
      <c r="AT402">
        <f>IF(AND(OR($J402="BUY",$J402="SELL"),ISNUMBER($U402)),$U402,"")</f>
        <v/>
      </c>
      <c r="AU402">
        <f>IF(AND(OR($J402="BUY",$J402="SELL"),ISNUMBER($AK402)),$AK402,"")</f>
        <v/>
      </c>
      <c r="AV402">
        <f>IF(ISNUMBER($AT402),ABS(IF(ISNUMBER($I402),$I402,0)-Settings!$B$24),"")</f>
        <v/>
      </c>
      <c r="AW402">
        <f>IF(ISNUMBER($AV402),$AV402*$AT402,"")</f>
        <v/>
      </c>
      <c r="AX402">
        <f>IF(ISNUMBER($AU402),ABS(IF(ISNUMBER($I402),$I402,0)-Settings!$B$24),"")</f>
        <v/>
      </c>
      <c r="AY402">
        <f>IF(ISNUMBER($AX402),$AX402*$AU402,"")</f>
        <v/>
      </c>
      <c r="AZ402">
        <f>IF($A402="","",IFERROR(INDEX(Company_List!$H$3:$H$207,MATCH($A402,Company_List!$A$3:$A$207,0)),"unassigned"))</f>
        <v/>
      </c>
      <c r="BA402" t="n">
        <v>1</v>
      </c>
      <c r="BB402" t="n">
        <v>2</v>
      </c>
      <c r="BC402">
        <f>IF($A402="","",IF(COUNTIFS($A$3:$A402,$A402,$C$3:$C402,$C402,$D$3:$D402,$D402,$G$3:$G402,$G402)=1,1,0))</f>
        <v/>
      </c>
      <c r="BD402" t="n">
        <v>26</v>
      </c>
      <c r="BE402" t="n">
        <v>31</v>
      </c>
      <c r="BF402" t="n">
        <v>-0.25</v>
      </c>
      <c r="BG402" t="inlineStr">
        <is>
          <t>no</t>
        </is>
      </c>
      <c r="BH402" t="inlineStr">
        <is>
          <t>no</t>
        </is>
      </c>
      <c r="BI402" t="inlineStr">
        <is>
          <t>This name lives on the foundry losses and the cash burn, not</t>
        </is>
      </c>
      <c r="BJ402" t="inlineStr">
        <is>
          <t>60 intel q22025 financials.pdf</t>
        </is>
      </c>
      <c r="BK402">
        <f>IF(OR($H402&lt;&gt;"Human",$S402="",$J402="",$Y402="",$Z402=""),"",IF(EXACT(UPPER($J402),UPPER($Y402)),1,0))</f>
        <v/>
      </c>
      <c r="BL402" t="inlineStr">
        <is>
          <t>attested - rater record</t>
        </is>
      </c>
      <c r="BM402" t="n">
        <v>1</v>
      </c>
      <c r="BN402" t="inlineStr">
        <is>
          <t>not publisher-identified</t>
        </is>
      </c>
      <c r="BO402" t="inlineStr">
        <is>
          <t>not publisher-identified</t>
        </is>
      </c>
      <c r="BP402" t="inlineStr">
        <is>
          <t>sole source</t>
        </is>
      </c>
      <c r="BQ402" t="inlineStr">
        <is>
          <t>yes</t>
        </is>
      </c>
    </row>
    <row r="403">
      <c r="A403" s="1" t="inlineStr">
        <is>
          <t>Intel</t>
        </is>
      </c>
      <c r="B403" s="142">
        <f>IF(A403="","",_xlfn.XLOOKUP(A403, Company_List!$A:$A, Company_List!$B:$B, ""))</f>
        <v/>
      </c>
      <c r="C403" s="143" t="n">
        <v>2025</v>
      </c>
      <c r="D403" s="143" t="inlineStr">
        <is>
          <t>Q2</t>
        </is>
      </c>
      <c r="E403" s="98" t="inlineStr">
        <is>
          <t>All</t>
        </is>
      </c>
      <c r="F403" s="98" t="inlineStr">
        <is>
          <t>All</t>
        </is>
      </c>
      <c r="G403" s="143" t="inlineStr">
        <is>
          <t>David</t>
        </is>
      </c>
      <c r="H403" s="106" t="inlineStr">
        <is>
          <t>Human</t>
        </is>
      </c>
      <c r="I403" s="145" t="n">
        <v>-0.3</v>
      </c>
      <c r="J403" s="145">
        <f>IF(OR(I403="",Settings!$B$6=""),"",IF(I403&gt;Settings!$B$6,"BUY",IF(I403&lt;-Settings!$B$6,"SELL","HOLD")))</f>
        <v/>
      </c>
      <c r="K403" s="145" t="n">
        <v>31</v>
      </c>
      <c r="L403" s="123" t="n">
        <v>45862</v>
      </c>
      <c r="M403" s="140" t="n">
        <v>45862</v>
      </c>
      <c r="N403" s="147" t="n">
        <v>22.63</v>
      </c>
      <c r="O403" s="140" t="n">
        <v>45863</v>
      </c>
      <c r="P403" s="145" t="n">
        <v>20.68</v>
      </c>
      <c r="Q403" s="151">
        <f>IF(OR(N403="",P403=""),"",ROUND((P403-N403)/N403,4))</f>
        <v/>
      </c>
      <c r="R403" s="118">
        <f>IF(OR(N403="",P403=""),"",IF(Q403&gt;Settings!$B$3/100,"UP",IF(Q403&lt;-Settings!$B$3/100,"DOWN","FLAT")))</f>
        <v/>
      </c>
      <c r="S403" s="118">
        <f>IF(OR(N403="",P403="",J403=""),"",IF(OR(AND(J403="BUY",R403="UP"),AND(J403="SELL",R403="DOWN"),AND(J403="HOLD",R403="FLAT")),"YES","NO"))</f>
        <v/>
      </c>
      <c r="T403" s="119">
        <f>IF(J403="","",IF(J403="BUY",1,IF(J403="SELL",-1,0)))</f>
        <v/>
      </c>
      <c r="U403" s="150">
        <f>IFERROR(IF(OR(J403="",N403="",P403=""),"",IF(T403=0,0,T403*Q403-Settings!$B$4/10000-IF(T403&lt;0,Settings!$B$5/10000,0))),"")</f>
        <v/>
      </c>
      <c r="W403" s="21">
        <f>IF($K403="","",$K403*60)</f>
        <v/>
      </c>
      <c r="X403" s="91">
        <f>IF($A403="","",$A403&amp;"|"&amp;$C403&amp;"|"&amp;$D403)</f>
        <v/>
      </c>
      <c r="Y403" s="91">
        <f>IFERROR(IF($X403="","",INDEX(LLM_Data_Entry!$H$3:$H$548,MATCH($X403,INDEX(LLM_Data_Entry!$A$3:$A$548&amp;"|"&amp;LLM_Data_Entry!$C$3:$C$548&amp;"|"&amp;LLM_Data_Entry!$D$3:$D$548,0),0))),"")</f>
        <v/>
      </c>
      <c r="Z403" s="91">
        <f>IFERROR(IF($X403="","",INDEX(LLM_Data_Entry!$R$3:$R$548,MATCH($X403,INDEX(LLM_Data_Entry!$A$3:$A$548&amp;"|"&amp;LLM_Data_Entry!$C$3:$C$548&amp;"|"&amp;LLM_Data_Entry!$D$3:$D$548,0),0))),"")</f>
        <v/>
      </c>
      <c r="AB403" t="inlineStr">
        <is>
          <t>price signal, re-derived — only this window shows an abnormal move</t>
        </is>
      </c>
      <c r="AC403" t="inlineStr">
        <is>
          <t>INTC</t>
        </is>
      </c>
      <c r="AD403" t="inlineStr">
        <is>
          <t>2025-07-24</t>
        </is>
      </c>
      <c r="AE403" t="n">
        <v>22.63</v>
      </c>
      <c r="AF403" t="inlineStr">
        <is>
          <t>2025-07-25</t>
        </is>
      </c>
      <c r="AG403" t="n">
        <v>20.68</v>
      </c>
      <c r="AH403" t="n">
        <v>-0.08616876209318444</v>
      </c>
      <c r="AI403" t="inlineStr">
        <is>
          <t>DOWN</t>
        </is>
      </c>
      <c r="AJ403" t="inlineStr">
        <is>
          <t>YES</t>
        </is>
      </c>
      <c r="AK403" t="n">
        <v>0.08516899999999999</v>
      </c>
      <c r="AL403">
        <f>IF($A403="","",IFERROR(INDEX(Company_List!$G$3:$G$207,MATCH($A403,Company_List!$A$3:$A$207,0)),"unassigned"))</f>
        <v/>
      </c>
      <c r="AM403" t="inlineStr">
        <is>
          <t>Phase 2/Intel/2025-Q2/INTC-2025-Q2-press-release-SEC-EX-99-1.htm; Phase 2/Intel/2025-Q2/INTC-2025-Q2-quarterly-financial-statements-SEC-10-Q.htm</t>
        </is>
      </c>
      <c r="AN403" t="inlineStr">
        <is>
          <t>https://www.sec.gov/Archives/edgar/data/50863/ (10-Q, Q2 2025); https://www.sec.gov/Archives/edgar/data/50863/000005086325000107/q225_earningsrelease.htm</t>
        </is>
      </c>
      <c r="AO403" t="inlineStr">
        <is>
          <t>manifest (whole bundle)</t>
        </is>
      </c>
      <c r="AP403">
        <f>IF($A403="","",IF(COUNTIFS(LLM_Data_Entry!$A$3:$A$548,$A403)&gt;0,"YES","NO"))</f>
        <v/>
      </c>
      <c r="AQ403">
        <f>IF($A403="","",IF(COUNTIFS($A$3:$A403,$A403,$C$3:$C403,$C403,$D$3:$D403,$D403)=1,"YES","NO"))</f>
        <v/>
      </c>
      <c r="AR403">
        <f>IF($A403="","",IF(AND($C403&amp;"-"&amp;$D403&gt;=Settings!$B$19,$C403&amp;"-"&amp;$D403&lt;=Settings!$B$20),"IN","OUT"))</f>
        <v/>
      </c>
      <c r="AS403">
        <f>IF($A403="","",IF($F403="Financial Results","financials",IF($F403="Outlook/Guidance","guidance",IF($F403="Transcript Q&amp;A","qanda",IF($F403="","unrecorded",IF($E403="All","full",IF($E403="","unrecorded",LOWER($E403)&amp;" only")))))))</f>
        <v/>
      </c>
      <c r="AT403">
        <f>IF(AND(OR($J403="BUY",$J403="SELL"),ISNUMBER($U403)),$U403,"")</f>
        <v/>
      </c>
      <c r="AU403">
        <f>IF(AND(OR($J403="BUY",$J403="SELL"),ISNUMBER($AK403)),$AK403,"")</f>
        <v/>
      </c>
      <c r="AV403">
        <f>IF(ISNUMBER($AT403),ABS(IF(ISNUMBER($I403),$I403,0)-Settings!$B$24),"")</f>
        <v/>
      </c>
      <c r="AW403">
        <f>IF(ISNUMBER($AV403),$AV403*$AT403,"")</f>
        <v/>
      </c>
      <c r="AX403">
        <f>IF(ISNUMBER($AU403),ABS(IF(ISNUMBER($I403),$I403,0)-Settings!$B$24),"")</f>
        <v/>
      </c>
      <c r="AY403">
        <f>IF(ISNUMBER($AX403),$AX403*$AU403,"")</f>
        <v/>
      </c>
      <c r="AZ403">
        <f>IF($A403="","",IFERROR(INDEX(Company_List!$H$3:$H$207,MATCH($A403,Company_List!$A$3:$A$207,0)),"unassigned"))</f>
        <v/>
      </c>
      <c r="BA403" t="n">
        <v>2</v>
      </c>
      <c r="BB403" t="n">
        <v>2</v>
      </c>
      <c r="BC403">
        <f>IF($A403="","",IF(COUNTIFS($A$3:$A403,$A403,$C$3:$C403,$C403,$D$3:$D403,$D403,$G$3:$G403,$G403)=1,1,0))</f>
        <v/>
      </c>
      <c r="BD403" t="n">
        <v>26</v>
      </c>
      <c r="BE403" t="n">
        <v>31</v>
      </c>
      <c r="BF403" t="n">
        <v>-0.25</v>
      </c>
      <c r="BG403" t="inlineStr">
        <is>
          <t>no</t>
        </is>
      </c>
      <c r="BH403" t="inlineStr">
        <is>
          <t>no</t>
        </is>
      </c>
      <c r="BI403" t="inlineStr">
        <is>
          <t>This name lives on the foundry losses and the cash burn, not</t>
        </is>
      </c>
      <c r="BJ403" t="inlineStr">
        <is>
          <t>60 intel q22025 financials.pdf</t>
        </is>
      </c>
      <c r="BK403">
        <f>IF(OR($H403&lt;&gt;"Human",$S403="",$J403="",$Y403="",$Z403=""),"",IF(EXACT(UPPER($J403),UPPER($Y403)),1,0))</f>
        <v/>
      </c>
      <c r="BL403" t="inlineStr">
        <is>
          <t>attested - rater record</t>
        </is>
      </c>
      <c r="BM403" t="n">
        <v>2</v>
      </c>
      <c r="BN403" t="inlineStr">
        <is>
          <t>not publisher-identified</t>
        </is>
      </c>
      <c r="BO403" t="inlineStr">
        <is>
          <t>not publisher-identified</t>
        </is>
      </c>
      <c r="BP403" t="inlineStr">
        <is>
          <t>one of several</t>
        </is>
      </c>
      <c r="BQ403" t="inlineStr">
        <is>
          <t>yes</t>
        </is>
      </c>
    </row>
    <row r="404">
      <c r="A404" s="1" t="inlineStr">
        <is>
          <t>Intel</t>
        </is>
      </c>
      <c r="B404" s="142">
        <f>IF(A404="","",_xlfn.XLOOKUP(A404, Company_List!$A:$A, Company_List!$B:$B, ""))</f>
        <v/>
      </c>
      <c r="C404" s="143" t="n">
        <v>2025</v>
      </c>
      <c r="D404" s="143" t="inlineStr">
        <is>
          <t>Q3</t>
        </is>
      </c>
      <c r="E404" s="98" t="inlineStr">
        <is>
          <t>Transcript</t>
        </is>
      </c>
      <c r="F404" s="98" t="inlineStr">
        <is>
          <t>Outlook/Guidance</t>
        </is>
      </c>
      <c r="G404" s="143" t="inlineStr">
        <is>
          <t>David</t>
        </is>
      </c>
      <c r="H404" s="106" t="inlineStr">
        <is>
          <t>Human</t>
        </is>
      </c>
      <c r="I404" s="145" t="n">
        <v>-0.3</v>
      </c>
      <c r="J404" s="145">
        <f>IF(OR(I404="",Settings!$B$6=""),"",IF(I404&gt;Settings!$B$6,"BUY",IF(I404&lt;-Settings!$B$6,"SELL","HOLD")))</f>
        <v/>
      </c>
      <c r="K404" s="145" t="n">
        <v>24</v>
      </c>
      <c r="L404" s="123" t="n">
        <v>45953</v>
      </c>
      <c r="M404" s="140" t="n">
        <v>45953</v>
      </c>
      <c r="N404" s="147" t="n">
        <v>38.16</v>
      </c>
      <c r="O404" s="140" t="n">
        <v>45954</v>
      </c>
      <c r="P404" s="145" t="n">
        <v>40.02</v>
      </c>
      <c r="Q404" s="151">
        <f>IF(OR(N404="",P404=""),"",ROUND((P404-N404)/N404,4))</f>
        <v/>
      </c>
      <c r="R404" s="118">
        <f>IF(OR(N404="",P404=""),"",IF(Q404&gt;Settings!$B$3/100,"UP",IF(Q404&lt;-Settings!$B$3/100,"DOWN","FLAT")))</f>
        <v/>
      </c>
      <c r="S404" s="118">
        <f>IF(OR(N404="",P404="",J404=""),"",IF(OR(AND(J404="BUY",R404="UP"),AND(J404="SELL",R404="DOWN"),AND(J404="HOLD",R404="FLAT")),"YES","NO"))</f>
        <v/>
      </c>
      <c r="T404" s="119">
        <f>IF(J404="","",IF(J404="BUY",1,IF(J404="SELL",-1,0)))</f>
        <v/>
      </c>
      <c r="U404" s="150">
        <f>IFERROR(IF(OR(J404="",N404="",P404=""),"",IF(T404=0,0,T404*Q404-Settings!$B$4/10000-IF(T404&lt;0,Settings!$B$5/10000,0))),"")</f>
        <v/>
      </c>
      <c r="W404" s="21">
        <f>IF($K404="","",$K404*60)</f>
        <v/>
      </c>
      <c r="X404" s="91">
        <f>IF($A404="","",$A404&amp;"|"&amp;$C404&amp;"|"&amp;$D404)</f>
        <v/>
      </c>
      <c r="Y404" s="91">
        <f>IFERROR(IF($X404="","",INDEX(LLM_Data_Entry!$H$3:$H$548,MATCH($X404,INDEX(LLM_Data_Entry!$A$3:$A$548&amp;"|"&amp;LLM_Data_Entry!$C$3:$C$548&amp;"|"&amp;LLM_Data_Entry!$D$3:$D$548,0),0))),"")</f>
        <v/>
      </c>
      <c r="Z404" s="91">
        <f>IFERROR(IF($X404="","",INDEX(LLM_Data_Entry!$R$3:$R$548,MATCH($X404,INDEX(LLM_Data_Entry!$A$3:$A$548&amp;"|"&amp;LLM_Data_Entry!$C$3:$C$548&amp;"|"&amp;LLM_Data_Entry!$D$3:$D$548,0),0))),"")</f>
        <v/>
      </c>
      <c r="AB404" t="inlineStr">
        <is>
          <t>price signal, re-derived — only this window shows an abnormal move</t>
        </is>
      </c>
      <c r="AC404" t="inlineStr">
        <is>
          <t>INTC</t>
        </is>
      </c>
      <c r="AD404" t="inlineStr">
        <is>
          <t>2025-10-23</t>
        </is>
      </c>
      <c r="AE404" t="n">
        <v>38.16</v>
      </c>
      <c r="AF404" t="inlineStr">
        <is>
          <t>2025-10-24</t>
        </is>
      </c>
      <c r="AG404" t="n">
        <v>40.02</v>
      </c>
      <c r="AH404" t="n">
        <v>0.04874213836478005</v>
      </c>
      <c r="AI404" t="inlineStr">
        <is>
          <t>UP</t>
        </is>
      </c>
      <c r="AJ404" t="inlineStr">
        <is>
          <t>NO</t>
        </is>
      </c>
      <c r="AK404" t="n">
        <v>-0.049742</v>
      </c>
      <c r="AL404">
        <f>IF($A404="","",IFERROR(INDEX(Company_List!$G$3:$G$207,MATCH($A404,Company_List!$A$3:$A$207,0)),"unassigned"))</f>
        <v/>
      </c>
      <c r="AM404" t="inlineStr">
        <is>
          <t>Phase 2/Intel/2025-Q3/INTC-2025-Q3-earnings-call-transcript-fool-com.html</t>
        </is>
      </c>
      <c r="AN404" t="inlineStr">
        <is>
          <t>https://www.fool.com/earnings/call-transcripts/2025/10/24/intel-intc-q3-2025-earnings-call-transcript/</t>
        </is>
      </c>
      <c r="AO404" t="inlineStr">
        <is>
          <t>manifest</t>
        </is>
      </c>
      <c r="AP404">
        <f>IF($A404="","",IF(COUNTIFS(LLM_Data_Entry!$A$3:$A$548,$A404)&gt;0,"YES","NO"))</f>
        <v/>
      </c>
      <c r="AQ404">
        <f>IF($A404="","",IF(COUNTIFS($A$3:$A404,$A404,$C$3:$C404,$C404,$D$3:$D404,$D404)=1,"YES","NO"))</f>
        <v/>
      </c>
      <c r="AR404">
        <f>IF($A404="","",IF(AND($C404&amp;"-"&amp;$D404&gt;=Settings!$B$19,$C404&amp;"-"&amp;$D404&lt;=Settings!$B$20),"IN","OUT"))</f>
        <v/>
      </c>
      <c r="AS404">
        <f>IF($A404="","",IF($F404="Financial Results","financials",IF($F404="Outlook/Guidance","guidance",IF($F404="Transcript Q&amp;A","qanda",IF($F404="","unrecorded",IF($E404="All","full",IF($E404="","unrecorded",LOWER($E404)&amp;" only")))))))</f>
        <v/>
      </c>
      <c r="AT404">
        <f>IF(AND(OR($J404="BUY",$J404="SELL"),ISNUMBER($U404)),$U404,"")</f>
        <v/>
      </c>
      <c r="AU404">
        <f>IF(AND(OR($J404="BUY",$J404="SELL"),ISNUMBER($AK404)),$AK404,"")</f>
        <v/>
      </c>
      <c r="AV404">
        <f>IF(ISNUMBER($AT404),ABS(IF(ISNUMBER($I404),$I404,0)-Settings!$B$24),"")</f>
        <v/>
      </c>
      <c r="AW404">
        <f>IF(ISNUMBER($AV404),$AV404*$AT404,"")</f>
        <v/>
      </c>
      <c r="AX404">
        <f>IF(ISNUMBER($AU404),ABS(IF(ISNUMBER($I404),$I404,0)-Settings!$B$24),"")</f>
        <v/>
      </c>
      <c r="AY404">
        <f>IF(ISNUMBER($AX404),$AX404*$AU404,"")</f>
        <v/>
      </c>
      <c r="AZ404">
        <f>IF($A404="","",IFERROR(INDEX(Company_List!$H$3:$H$207,MATCH($A404,Company_List!$A$3:$A$207,0)),"unassigned"))</f>
        <v/>
      </c>
      <c r="BA404" t="n">
        <v>1</v>
      </c>
      <c r="BB404" t="n">
        <v>2</v>
      </c>
      <c r="BC404">
        <f>IF($A404="","",IF(COUNTIFS($A$3:$A404,$A404,$C$3:$C404,$C404,$D$3:$D404,$D404,$G$3:$G404,$G404)=1,1,0))</f>
        <v/>
      </c>
      <c r="BD404" t="n">
        <v>24</v>
      </c>
      <c r="BE404" t="n">
        <v>33</v>
      </c>
      <c r="BF404" t="n">
        <v>-0.3</v>
      </c>
      <c r="BG404" t="inlineStr">
        <is>
          <t>no</t>
        </is>
      </c>
      <c r="BH404" t="inlineStr">
        <is>
          <t>no</t>
        </is>
      </c>
      <c r="BI404" t="inlineStr">
        <is>
          <t>This name lives on the foundry losses and the cash burn, not</t>
        </is>
      </c>
      <c r="BJ404" t="inlineStr">
        <is>
          <t>61 intel q32025 guidance.pdf</t>
        </is>
      </c>
      <c r="BK404">
        <f>IF(OR($H404&lt;&gt;"Human",$S404="",$J404="",$Y404="",$Z404=""),"",IF(EXACT(UPPER($J404),UPPER($Y404)),1,0))</f>
        <v/>
      </c>
      <c r="BL404" t="inlineStr">
        <is>
          <t>attested - rater record</t>
        </is>
      </c>
      <c r="BM404" t="n">
        <v>1</v>
      </c>
      <c r="BN404" t="inlineStr">
        <is>
          <t>The Motley Fool</t>
        </is>
      </c>
      <c r="BO404" t="inlineStr">
        <is>
          <t>free to read, copyright asserted</t>
        </is>
      </c>
      <c r="BP404" t="inlineStr">
        <is>
          <t>no</t>
        </is>
      </c>
      <c r="BQ404" t="inlineStr">
        <is>
          <t>yes</t>
        </is>
      </c>
    </row>
    <row r="405">
      <c r="A405" s="1" t="inlineStr">
        <is>
          <t>Intel</t>
        </is>
      </c>
      <c r="B405" s="142">
        <f>IF(A405="","",_xlfn.XLOOKUP(A405, Company_List!$A:$A, Company_List!$B:$B, ""))</f>
        <v/>
      </c>
      <c r="C405" s="143" t="n">
        <v>2025</v>
      </c>
      <c r="D405" s="143" t="inlineStr">
        <is>
          <t>Q3</t>
        </is>
      </c>
      <c r="E405" s="98" t="inlineStr">
        <is>
          <t>All</t>
        </is>
      </c>
      <c r="F405" s="98" t="inlineStr">
        <is>
          <t>All</t>
        </is>
      </c>
      <c r="G405" s="143" t="inlineStr">
        <is>
          <t>David</t>
        </is>
      </c>
      <c r="H405" s="106" t="inlineStr">
        <is>
          <t>Human</t>
        </is>
      </c>
      <c r="I405" s="145" t="n">
        <v>0.15</v>
      </c>
      <c r="J405" s="145">
        <f>IF(OR(I405="",Settings!$B$6=""),"",IF(I405&gt;Settings!$B$6,"BUY",IF(I405&lt;-Settings!$B$6,"SELL","HOLD")))</f>
        <v/>
      </c>
      <c r="K405" s="145" t="n">
        <v>33</v>
      </c>
      <c r="L405" s="123" t="n">
        <v>45953</v>
      </c>
      <c r="M405" s="140" t="n">
        <v>45953</v>
      </c>
      <c r="N405" s="147" t="n">
        <v>38.16</v>
      </c>
      <c r="O405" s="140" t="n">
        <v>45954</v>
      </c>
      <c r="P405" s="145" t="n">
        <v>40.02</v>
      </c>
      <c r="Q405" s="151">
        <f>IF(OR(N405="",P405=""),"",ROUND((P405-N405)/N405,4))</f>
        <v/>
      </c>
      <c r="R405" s="118">
        <f>IF(OR(N405="",P405=""),"",IF(Q405&gt;Settings!$B$3/100,"UP",IF(Q405&lt;-Settings!$B$3/100,"DOWN","FLAT")))</f>
        <v/>
      </c>
      <c r="S405" s="118">
        <f>IF(OR(N405="",P405="",J405=""),"",IF(OR(AND(J405="BUY",R405="UP"),AND(J405="SELL",R405="DOWN"),AND(J405="HOLD",R405="FLAT")),"YES","NO"))</f>
        <v/>
      </c>
      <c r="T405" s="119">
        <f>IF(J405="","",IF(J405="BUY",1,IF(J405="SELL",-1,0)))</f>
        <v/>
      </c>
      <c r="U405" s="150">
        <f>IFERROR(IF(OR(J405="",N405="",P405=""),"",IF(T405=0,0,T405*Q405-Settings!$B$4/10000-IF(T405&lt;0,Settings!$B$5/10000,0))),"")</f>
        <v/>
      </c>
      <c r="W405" s="21">
        <f>IF($K405="","",$K405*60)</f>
        <v/>
      </c>
      <c r="X405" s="91">
        <f>IF($A405="","",$A405&amp;"|"&amp;$C405&amp;"|"&amp;$D405)</f>
        <v/>
      </c>
      <c r="Y405" s="91">
        <f>IFERROR(IF($X405="","",INDEX(LLM_Data_Entry!$H$3:$H$548,MATCH($X405,INDEX(LLM_Data_Entry!$A$3:$A$548&amp;"|"&amp;LLM_Data_Entry!$C$3:$C$548&amp;"|"&amp;LLM_Data_Entry!$D$3:$D$548,0),0))),"")</f>
        <v/>
      </c>
      <c r="Z405" s="91">
        <f>IFERROR(IF($X405="","",INDEX(LLM_Data_Entry!$R$3:$R$548,MATCH($X405,INDEX(LLM_Data_Entry!$A$3:$A$548&amp;"|"&amp;LLM_Data_Entry!$C$3:$C$548&amp;"|"&amp;LLM_Data_Entry!$D$3:$D$548,0),0))),"")</f>
        <v/>
      </c>
      <c r="AB405" t="inlineStr">
        <is>
          <t>price signal, re-derived — only this window shows an abnormal move</t>
        </is>
      </c>
      <c r="AC405" t="inlineStr">
        <is>
          <t>INTC</t>
        </is>
      </c>
      <c r="AD405" t="inlineStr">
        <is>
          <t>2025-10-23</t>
        </is>
      </c>
      <c r="AE405" t="n">
        <v>38.16</v>
      </c>
      <c r="AF405" t="inlineStr">
        <is>
          <t>2025-10-24</t>
        </is>
      </c>
      <c r="AG405" t="n">
        <v>40.02</v>
      </c>
      <c r="AH405" t="n">
        <v>0.04874213836478005</v>
      </c>
      <c r="AI405" t="inlineStr">
        <is>
          <t>UP</t>
        </is>
      </c>
      <c r="AJ405" t="inlineStr">
        <is>
          <t>NO</t>
        </is>
      </c>
      <c r="AK405" t="n">
        <v>0</v>
      </c>
      <c r="AL405">
        <f>IF($A405="","",IFERROR(INDEX(Company_List!$G$3:$G$207,MATCH($A405,Company_List!$A$3:$A$207,0)),"unassigned"))</f>
        <v/>
      </c>
      <c r="AM405" t="inlineStr">
        <is>
          <t>Phase 2/Intel/2025-Q3/INTC-2025-Q3-press-release-SEC-EX-99-1.htm; Phase 2/Intel/2025-Q3/INTC-2025-Q3-earnings-call-transcript-fool-com.html</t>
        </is>
      </c>
      <c r="AN405" t="inlineStr">
        <is>
          <t>https://www.fool.com/earnings/call-transcripts/2025/10/24/intel-intc-q3-2025-earnings-call-transcript/; https://www.sec.gov/Archives/edgar/data/50863/000005086325000169/q325earningsrelease.htm</t>
        </is>
      </c>
      <c r="AO405" t="inlineStr">
        <is>
          <t>manifest (whole bundle)</t>
        </is>
      </c>
      <c r="AP405">
        <f>IF($A405="","",IF(COUNTIFS(LLM_Data_Entry!$A$3:$A$548,$A405)&gt;0,"YES","NO"))</f>
        <v/>
      </c>
      <c r="AQ405">
        <f>IF($A405="","",IF(COUNTIFS($A$3:$A405,$A405,$C$3:$C405,$C405,$D$3:$D405,$D405)=1,"YES","NO"))</f>
        <v/>
      </c>
      <c r="AR405">
        <f>IF($A405="","",IF(AND($C405&amp;"-"&amp;$D405&gt;=Settings!$B$19,$C405&amp;"-"&amp;$D405&lt;=Settings!$B$20),"IN","OUT"))</f>
        <v/>
      </c>
      <c r="AS405">
        <f>IF($A405="","",IF($F405="Financial Results","financials",IF($F405="Outlook/Guidance","guidance",IF($F405="Transcript Q&amp;A","qanda",IF($F405="","unrecorded",IF($E405="All","full",IF($E405="","unrecorded",LOWER($E405)&amp;" only")))))))</f>
        <v/>
      </c>
      <c r="AT405">
        <f>IF(AND(OR($J405="BUY",$J405="SELL"),ISNUMBER($U405)),$U405,"")</f>
        <v/>
      </c>
      <c r="AU405">
        <f>IF(AND(OR($J405="BUY",$J405="SELL"),ISNUMBER($AK405)),$AK405,"")</f>
        <v/>
      </c>
      <c r="AV405">
        <f>IF(ISNUMBER($AT405),ABS(IF(ISNUMBER($I405),$I405,0)-Settings!$B$24),"")</f>
        <v/>
      </c>
      <c r="AW405">
        <f>IF(ISNUMBER($AV405),$AV405*$AT405,"")</f>
        <v/>
      </c>
      <c r="AX405">
        <f>IF(ISNUMBER($AU405),ABS(IF(ISNUMBER($I405),$I405,0)-Settings!$B$24),"")</f>
        <v/>
      </c>
      <c r="AY405">
        <f>IF(ISNUMBER($AX405),$AX405*$AU405,"")</f>
        <v/>
      </c>
      <c r="AZ405">
        <f>IF($A405="","",IFERROR(INDEX(Company_List!$H$3:$H$207,MATCH($A405,Company_List!$A$3:$A$207,0)),"unassigned"))</f>
        <v/>
      </c>
      <c r="BA405" t="n">
        <v>2</v>
      </c>
      <c r="BB405" t="n">
        <v>2</v>
      </c>
      <c r="BC405">
        <f>IF($A405="","",IF(COUNTIFS($A$3:$A405,$A405,$C$3:$C405,$C405,$D$3:$D405,$D405,$G$3:$G405,$G405)=1,1,0))</f>
        <v/>
      </c>
      <c r="BD405" t="n">
        <v>24</v>
      </c>
      <c r="BE405" t="n">
        <v>33</v>
      </c>
      <c r="BF405" t="n">
        <v>-0.3</v>
      </c>
      <c r="BG405" t="inlineStr">
        <is>
          <t>no</t>
        </is>
      </c>
      <c r="BH405" t="inlineStr">
        <is>
          <t>no</t>
        </is>
      </c>
      <c r="BI405" t="inlineStr">
        <is>
          <t>This name lives on the foundry losses and the cash burn, not</t>
        </is>
      </c>
      <c r="BJ405" t="inlineStr">
        <is>
          <t>61 intel q32025 guidance.pdf</t>
        </is>
      </c>
      <c r="BK405">
        <f>IF(OR($H405&lt;&gt;"Human",$S405="",$J405="",$Y405="",$Z405=""),"",IF(EXACT(UPPER($J405),UPPER($Y405)),1,0))</f>
        <v/>
      </c>
      <c r="BL405" t="inlineStr">
        <is>
          <t>attested - rater record</t>
        </is>
      </c>
      <c r="BM405" t="n">
        <v>2</v>
      </c>
      <c r="BN405" t="inlineStr">
        <is>
          <t>The Motley Fool</t>
        </is>
      </c>
      <c r="BO405" t="inlineStr">
        <is>
          <t>free to read, copyright asserted</t>
        </is>
      </c>
      <c r="BP405" t="inlineStr">
        <is>
          <t>no</t>
        </is>
      </c>
      <c r="BQ405" t="inlineStr">
        <is>
          <t>yes</t>
        </is>
      </c>
    </row>
    <row r="406">
      <c r="A406" s="1" t="inlineStr">
        <is>
          <t>Intel</t>
        </is>
      </c>
      <c r="B406" s="142">
        <f>IF(A406="","",_xlfn.XLOOKUP(A406, Company_List!$A:$A, Company_List!$B:$B, ""))</f>
        <v/>
      </c>
      <c r="C406" s="143" t="n">
        <v>2025</v>
      </c>
      <c r="D406" s="143" t="inlineStr">
        <is>
          <t>Q4</t>
        </is>
      </c>
      <c r="E406" s="98" t="inlineStr">
        <is>
          <t>Transcript</t>
        </is>
      </c>
      <c r="F406" s="98" t="inlineStr">
        <is>
          <t>Transcript Q&amp;A</t>
        </is>
      </c>
      <c r="G406" s="143" t="inlineStr">
        <is>
          <t>David</t>
        </is>
      </c>
      <c r="H406" s="106" t="inlineStr">
        <is>
          <t>Human</t>
        </is>
      </c>
      <c r="I406" s="145" t="n">
        <v>0.2</v>
      </c>
      <c r="J406" s="145">
        <f>IF(OR(I406="",Settings!$B$6=""),"",IF(I406&gt;Settings!$B$6,"BUY",IF(I406&lt;-Settings!$B$6,"SELL","HOLD")))</f>
        <v/>
      </c>
      <c r="K406" s="145" t="n">
        <v>22</v>
      </c>
      <c r="L406" s="123" t="n">
        <v>46044</v>
      </c>
      <c r="M406" s="140" t="n">
        <v>46044</v>
      </c>
      <c r="N406" s="147" t="n">
        <v>54.32</v>
      </c>
      <c r="O406" s="140" t="n">
        <v>46045</v>
      </c>
      <c r="P406" s="145" t="n">
        <v>46.86</v>
      </c>
      <c r="Q406" s="151">
        <f>IF(OR(N406="",P406=""),"",ROUND((P406-N406)/N406,4))</f>
        <v/>
      </c>
      <c r="R406" s="118">
        <f>IF(OR(N406="",P406=""),"",IF(Q406&gt;Settings!$B$3/100,"UP",IF(Q406&lt;-Settings!$B$3/100,"DOWN","FLAT")))</f>
        <v/>
      </c>
      <c r="S406" s="118">
        <f>IF(OR(N406="",P406="",J406=""),"",IF(OR(AND(J406="BUY",R406="UP"),AND(J406="SELL",R406="DOWN"),AND(J406="HOLD",R406="FLAT")),"YES","NO"))</f>
        <v/>
      </c>
      <c r="T406" s="119">
        <f>IF(J406="","",IF(J406="BUY",1,IF(J406="SELL",-1,0)))</f>
        <v/>
      </c>
      <c r="U406" s="150">
        <f>IFERROR(IF(OR(J406="",N406="",P406=""),"",IF(T406=0,0,T406*Q406-Settings!$B$4/10000-IF(T406&lt;0,Settings!$B$5/10000,0))),"")</f>
        <v/>
      </c>
      <c r="W406" s="21">
        <f>IF($K406="","",$K406*60)</f>
        <v/>
      </c>
      <c r="X406" s="91">
        <f>IF($A406="","",$A406&amp;"|"&amp;$C406&amp;"|"&amp;$D406)</f>
        <v/>
      </c>
      <c r="Y406" s="91">
        <f>IFERROR(IF($X406="","",INDEX(LLM_Data_Entry!$H$3:$H$548,MATCH($X406,INDEX(LLM_Data_Entry!$A$3:$A$548&amp;"|"&amp;LLM_Data_Entry!$C$3:$C$548&amp;"|"&amp;LLM_Data_Entry!$D$3:$D$548,0),0))),"")</f>
        <v/>
      </c>
      <c r="Z406" s="91">
        <f>IFERROR(IF($X406="","",INDEX(LLM_Data_Entry!$R$3:$R$548,MATCH($X406,INDEX(LLM_Data_Entry!$A$3:$A$548&amp;"|"&amp;LLM_Data_Entry!$C$3:$C$548&amp;"|"&amp;LLM_Data_Entry!$D$3:$D$548,0),0))),"")</f>
        <v/>
      </c>
      <c r="AB406" t="inlineStr">
        <is>
          <t>price signal, re-derived — only this window shows an abnormal move</t>
        </is>
      </c>
      <c r="AC406" t="inlineStr">
        <is>
          <t>INTC</t>
        </is>
      </c>
      <c r="AD406" t="inlineStr">
        <is>
          <t>2026-01-22</t>
        </is>
      </c>
      <c r="AE406" t="n">
        <v>54.32</v>
      </c>
      <c r="AF406" t="inlineStr">
        <is>
          <t>2026-01-23</t>
        </is>
      </c>
      <c r="AG406" t="n">
        <v>46.86</v>
      </c>
      <c r="AH406" t="n">
        <v>-0.1373342967599412</v>
      </c>
      <c r="AI406" t="inlineStr">
        <is>
          <t>DOWN</t>
        </is>
      </c>
      <c r="AJ406" t="inlineStr">
        <is>
          <t>NO</t>
        </is>
      </c>
      <c r="AK406" t="n">
        <v>0</v>
      </c>
      <c r="AL406">
        <f>IF($A406="","",IFERROR(INDEX(Company_List!$G$3:$G$207,MATCH($A406,Company_List!$A$3:$A$207,0)),"unassigned"))</f>
        <v/>
      </c>
      <c r="AM406" t="inlineStr">
        <is>
          <t>Phase 2/Intel/2025-Q4/INTC-2025-Q4-earnings-call-transcript-fool-com.html</t>
        </is>
      </c>
      <c r="AN406" t="inlineStr">
        <is>
          <t>https://www.fool.com/earnings/call-transcripts/2026/01/23/intel-intc-q4-2025-earnings-call-transcript/</t>
        </is>
      </c>
      <c r="AO406" t="inlineStr">
        <is>
          <t>manifest</t>
        </is>
      </c>
      <c r="AP406">
        <f>IF($A406="","",IF(COUNTIFS(LLM_Data_Entry!$A$3:$A$548,$A406)&gt;0,"YES","NO"))</f>
        <v/>
      </c>
      <c r="AQ406">
        <f>IF($A406="","",IF(COUNTIFS($A$3:$A406,$A406,$C$3:$C406,$C406,$D$3:$D406,$D406)=1,"YES","NO"))</f>
        <v/>
      </c>
      <c r="AR406">
        <f>IF($A406="","",IF(AND($C406&amp;"-"&amp;$D406&gt;=Settings!$B$19,$C406&amp;"-"&amp;$D406&lt;=Settings!$B$20),"IN","OUT"))</f>
        <v/>
      </c>
      <c r="AS406">
        <f>IF($A406="","",IF($F406="Financial Results","financials",IF($F406="Outlook/Guidance","guidance",IF($F406="Transcript Q&amp;A","qanda",IF($F406="","unrecorded",IF($E406="All","full",IF($E406="","unrecorded",LOWER($E406)&amp;" only")))))))</f>
        <v/>
      </c>
      <c r="AT406">
        <f>IF(AND(OR($J406="BUY",$J406="SELL"),ISNUMBER($U406)),$U406,"")</f>
        <v/>
      </c>
      <c r="AU406">
        <f>IF(AND(OR($J406="BUY",$J406="SELL"),ISNUMBER($AK406)),$AK406,"")</f>
        <v/>
      </c>
      <c r="AV406">
        <f>IF(ISNUMBER($AT406),ABS(IF(ISNUMBER($I406),$I406,0)-Settings!$B$24),"")</f>
        <v/>
      </c>
      <c r="AW406">
        <f>IF(ISNUMBER($AV406),$AV406*$AT406,"")</f>
        <v/>
      </c>
      <c r="AX406">
        <f>IF(ISNUMBER($AU406),ABS(IF(ISNUMBER($I406),$I406,0)-Settings!$B$24),"")</f>
        <v/>
      </c>
      <c r="AY406">
        <f>IF(ISNUMBER($AX406),$AX406*$AU406,"")</f>
        <v/>
      </c>
      <c r="AZ406">
        <f>IF($A406="","",IFERROR(INDEX(Company_List!$H$3:$H$207,MATCH($A406,Company_List!$A$3:$A$207,0)),"unassigned"))</f>
        <v/>
      </c>
      <c r="BA406" t="n">
        <v>1</v>
      </c>
      <c r="BB406" t="n">
        <v>2</v>
      </c>
      <c r="BC406">
        <f>IF($A406="","",IF(COUNTIFS($A$3:$A406,$A406,$C$3:$C406,$C406,$D$3:$D406,$D406,$G$3:$G406,$G406)=1,1,0))</f>
        <v/>
      </c>
      <c r="BD406" t="n">
        <v>22</v>
      </c>
      <c r="BE406" t="n">
        <v>29</v>
      </c>
      <c r="BF406" t="n">
        <v>0.2</v>
      </c>
      <c r="BG406" t="inlineStr">
        <is>
          <t>no</t>
        </is>
      </c>
      <c r="BH406" t="inlineStr">
        <is>
          <t>no</t>
        </is>
      </c>
      <c r="BI406" t="inlineStr">
        <is>
          <t>This name lives on the foundry losses and the cash burn, not</t>
        </is>
      </c>
      <c r="BJ406" t="inlineStr">
        <is>
          <t>62 intel q42025 qanda.pdf</t>
        </is>
      </c>
      <c r="BK406">
        <f>IF(OR($H406&lt;&gt;"Human",$S406="",$J406="",$Y406="",$Z406=""),"",IF(EXACT(UPPER($J406),UPPER($Y406)),1,0))</f>
        <v/>
      </c>
      <c r="BL406" t="inlineStr">
        <is>
          <t>attested - rater record</t>
        </is>
      </c>
      <c r="BM406" t="n">
        <v>1</v>
      </c>
      <c r="BN406" t="inlineStr">
        <is>
          <t>The Motley Fool</t>
        </is>
      </c>
      <c r="BO406" t="inlineStr">
        <is>
          <t>free to read, copyright asserted</t>
        </is>
      </c>
      <c r="BP406" t="inlineStr">
        <is>
          <t>no</t>
        </is>
      </c>
      <c r="BQ406" t="inlineStr">
        <is>
          <t>yes</t>
        </is>
      </c>
    </row>
    <row r="407">
      <c r="A407" s="1" t="inlineStr">
        <is>
          <t>Intel</t>
        </is>
      </c>
      <c r="B407" s="142">
        <f>IF(A407="","",_xlfn.XLOOKUP(A407, Company_List!$A:$A, Company_List!$B:$B, ""))</f>
        <v/>
      </c>
      <c r="C407" s="143" t="n">
        <v>2025</v>
      </c>
      <c r="D407" s="143" t="inlineStr">
        <is>
          <t>Q4</t>
        </is>
      </c>
      <c r="E407" s="98" t="inlineStr">
        <is>
          <t>All</t>
        </is>
      </c>
      <c r="F407" s="98" t="inlineStr">
        <is>
          <t>All</t>
        </is>
      </c>
      <c r="G407" s="143" t="inlineStr">
        <is>
          <t>David</t>
        </is>
      </c>
      <c r="H407" s="106" t="inlineStr">
        <is>
          <t>Human</t>
        </is>
      </c>
      <c r="I407" s="145" t="n">
        <v>-0.1</v>
      </c>
      <c r="J407" s="145">
        <f>IF(OR(I407="",Settings!$B$6=""),"",IF(I407&gt;Settings!$B$6,"BUY",IF(I407&lt;-Settings!$B$6,"SELL","HOLD")))</f>
        <v/>
      </c>
      <c r="K407" s="145" t="n">
        <v>29</v>
      </c>
      <c r="L407" s="123" t="n">
        <v>46044</v>
      </c>
      <c r="M407" s="140" t="n">
        <v>46044</v>
      </c>
      <c r="N407" s="147" t="n">
        <v>54.32</v>
      </c>
      <c r="O407" s="140" t="n">
        <v>46045</v>
      </c>
      <c r="P407" s="145" t="n">
        <v>46.86</v>
      </c>
      <c r="Q407" s="151">
        <f>IF(OR(N407="",P407=""),"",ROUND((P407-N407)/N407,4))</f>
        <v/>
      </c>
      <c r="R407" s="118">
        <f>IF(OR(N407="",P407=""),"",IF(Q407&gt;Settings!$B$3/100,"UP",IF(Q407&lt;-Settings!$B$3/100,"DOWN","FLAT")))</f>
        <v/>
      </c>
      <c r="S407" s="118">
        <f>IF(OR(N407="",P407="",J407=""),"",IF(OR(AND(J407="BUY",R407="UP"),AND(J407="SELL",R407="DOWN"),AND(J407="HOLD",R407="FLAT")),"YES","NO"))</f>
        <v/>
      </c>
      <c r="T407" s="119">
        <f>IF(J407="","",IF(J407="BUY",1,IF(J407="SELL",-1,0)))</f>
        <v/>
      </c>
      <c r="U407" s="150">
        <f>IFERROR(IF(OR(J407="",N407="",P407=""),"",IF(T407=0,0,T407*Q407-Settings!$B$4/10000-IF(T407&lt;0,Settings!$B$5/10000,0))),"")</f>
        <v/>
      </c>
      <c r="W407" s="21">
        <f>IF($K407="","",$K407*60)</f>
        <v/>
      </c>
      <c r="X407" s="91">
        <f>IF($A407="","",$A407&amp;"|"&amp;$C407&amp;"|"&amp;$D407)</f>
        <v/>
      </c>
      <c r="Y407" s="91">
        <f>IFERROR(IF($X407="","",INDEX(LLM_Data_Entry!$H$3:$H$548,MATCH($X407,INDEX(LLM_Data_Entry!$A$3:$A$548&amp;"|"&amp;LLM_Data_Entry!$C$3:$C$548&amp;"|"&amp;LLM_Data_Entry!$D$3:$D$548,0),0))),"")</f>
        <v/>
      </c>
      <c r="Z407" s="91">
        <f>IFERROR(IF($X407="","",INDEX(LLM_Data_Entry!$R$3:$R$548,MATCH($X407,INDEX(LLM_Data_Entry!$A$3:$A$548&amp;"|"&amp;LLM_Data_Entry!$C$3:$C$548&amp;"|"&amp;LLM_Data_Entry!$D$3:$D$548,0),0))),"")</f>
        <v/>
      </c>
      <c r="AB407" t="inlineStr">
        <is>
          <t>price signal, re-derived — only this window shows an abnormal move</t>
        </is>
      </c>
      <c r="AC407" t="inlineStr">
        <is>
          <t>INTC</t>
        </is>
      </c>
      <c r="AD407" t="inlineStr">
        <is>
          <t>2026-01-22</t>
        </is>
      </c>
      <c r="AE407" t="n">
        <v>54.32</v>
      </c>
      <c r="AF407" t="inlineStr">
        <is>
          <t>2026-01-23</t>
        </is>
      </c>
      <c r="AG407" t="n">
        <v>46.86</v>
      </c>
      <c r="AH407" t="n">
        <v>-0.1373342967599412</v>
      </c>
      <c r="AI407" t="inlineStr">
        <is>
          <t>DOWN</t>
        </is>
      </c>
      <c r="AJ407" t="inlineStr">
        <is>
          <t>NO</t>
        </is>
      </c>
      <c r="AK407" t="n">
        <v>0</v>
      </c>
      <c r="AL407">
        <f>IF($A407="","",IFERROR(INDEX(Company_List!$G$3:$G$207,MATCH($A407,Company_List!$A$3:$A$207,0)),"unassigned"))</f>
        <v/>
      </c>
      <c r="AM407" t="inlineStr">
        <is>
          <t>Phase 2/Intel/2025-Q4/INTC-2025-Q4-press-release-SEC-EX-99-1.htm; Phase 2/Intel/2025-Q4/INTC-2025-Q4-earnings-call-transcript-fool-com.html</t>
        </is>
      </c>
      <c r="AN407" t="inlineStr">
        <is>
          <t>https://www.fool.com/earnings/call-transcripts/2026/01/23/intel-intc-q4-2025-earnings-call-transcript/; https://www.sec.gov/Archives/edgar/data/50863/000005086326000009/q425earningsrelease.htm</t>
        </is>
      </c>
      <c r="AO407" t="inlineStr">
        <is>
          <t>manifest (whole bundle)</t>
        </is>
      </c>
      <c r="AP407">
        <f>IF($A407="","",IF(COUNTIFS(LLM_Data_Entry!$A$3:$A$548,$A407)&gt;0,"YES","NO"))</f>
        <v/>
      </c>
      <c r="AQ407">
        <f>IF($A407="","",IF(COUNTIFS($A$3:$A407,$A407,$C$3:$C407,$C407,$D$3:$D407,$D407)=1,"YES","NO"))</f>
        <v/>
      </c>
      <c r="AR407">
        <f>IF($A407="","",IF(AND($C407&amp;"-"&amp;$D407&gt;=Settings!$B$19,$C407&amp;"-"&amp;$D407&lt;=Settings!$B$20),"IN","OUT"))</f>
        <v/>
      </c>
      <c r="AS407">
        <f>IF($A407="","",IF($F407="Financial Results","financials",IF($F407="Outlook/Guidance","guidance",IF($F407="Transcript Q&amp;A","qanda",IF($F407="","unrecorded",IF($E407="All","full",IF($E407="","unrecorded",LOWER($E407)&amp;" only")))))))</f>
        <v/>
      </c>
      <c r="AT407">
        <f>IF(AND(OR($J407="BUY",$J407="SELL"),ISNUMBER($U407)),$U407,"")</f>
        <v/>
      </c>
      <c r="AU407">
        <f>IF(AND(OR($J407="BUY",$J407="SELL"),ISNUMBER($AK407)),$AK407,"")</f>
        <v/>
      </c>
      <c r="AV407">
        <f>IF(ISNUMBER($AT407),ABS(IF(ISNUMBER($I407),$I407,0)-Settings!$B$24),"")</f>
        <v/>
      </c>
      <c r="AW407">
        <f>IF(ISNUMBER($AV407),$AV407*$AT407,"")</f>
        <v/>
      </c>
      <c r="AX407">
        <f>IF(ISNUMBER($AU407),ABS(IF(ISNUMBER($I407),$I407,0)-Settings!$B$24),"")</f>
        <v/>
      </c>
      <c r="AY407">
        <f>IF(ISNUMBER($AX407),$AX407*$AU407,"")</f>
        <v/>
      </c>
      <c r="AZ407">
        <f>IF($A407="","",IFERROR(INDEX(Company_List!$H$3:$H$207,MATCH($A407,Company_List!$A$3:$A$207,0)),"unassigned"))</f>
        <v/>
      </c>
      <c r="BA407" t="n">
        <v>2</v>
      </c>
      <c r="BB407" t="n">
        <v>2</v>
      </c>
      <c r="BC407">
        <f>IF($A407="","",IF(COUNTIFS($A$3:$A407,$A407,$C$3:$C407,$C407,$D$3:$D407,$D407,$G$3:$G407,$G407)=1,1,0))</f>
        <v/>
      </c>
      <c r="BD407" t="n">
        <v>22</v>
      </c>
      <c r="BE407" t="n">
        <v>29</v>
      </c>
      <c r="BF407" t="n">
        <v>0.2</v>
      </c>
      <c r="BG407" t="inlineStr">
        <is>
          <t>no</t>
        </is>
      </c>
      <c r="BH407" t="inlineStr">
        <is>
          <t>no</t>
        </is>
      </c>
      <c r="BI407" t="inlineStr">
        <is>
          <t>This name lives on the foundry losses and the cash burn, not</t>
        </is>
      </c>
      <c r="BJ407" t="inlineStr">
        <is>
          <t>62 intel q42025 qanda.pdf</t>
        </is>
      </c>
      <c r="BK407">
        <f>IF(OR($H407&lt;&gt;"Human",$S407="",$J407="",$Y407="",$Z407=""),"",IF(EXACT(UPPER($J407),UPPER($Y407)),1,0))</f>
        <v/>
      </c>
      <c r="BL407" t="inlineStr">
        <is>
          <t>attested - rater record</t>
        </is>
      </c>
      <c r="BM407" t="n">
        <v>2</v>
      </c>
      <c r="BN407" t="inlineStr">
        <is>
          <t>The Motley Fool</t>
        </is>
      </c>
      <c r="BO407" t="inlineStr">
        <is>
          <t>free to read, copyright asserted</t>
        </is>
      </c>
      <c r="BP407" t="inlineStr">
        <is>
          <t>no</t>
        </is>
      </c>
      <c r="BQ407" t="inlineStr">
        <is>
          <t>yes</t>
        </is>
      </c>
    </row>
    <row r="408">
      <c r="A408" s="1" t="inlineStr">
        <is>
          <t>Intel</t>
        </is>
      </c>
      <c r="B408" s="142">
        <f>IF(A408="","",_xlfn.XLOOKUP(A408, Company_List!$A:$A, Company_List!$B:$B, ""))</f>
        <v/>
      </c>
      <c r="C408" s="143" t="n">
        <v>2026</v>
      </c>
      <c r="D408" s="143" t="inlineStr">
        <is>
          <t>Q1</t>
        </is>
      </c>
      <c r="E408" s="98" t="inlineStr">
        <is>
          <t>All</t>
        </is>
      </c>
      <c r="F408" s="98" t="inlineStr">
        <is>
          <t>All</t>
        </is>
      </c>
      <c r="G408" s="143" t="inlineStr">
        <is>
          <t>David</t>
        </is>
      </c>
      <c r="H408" s="106" t="inlineStr">
        <is>
          <t>Human</t>
        </is>
      </c>
      <c r="I408" s="145" t="n">
        <v>0.35</v>
      </c>
      <c r="J408" s="145">
        <f>IF(OR(I408="",Settings!$B$6=""),"",IF(I408&gt;Settings!$B$6,"BUY",IF(I408&lt;-Settings!$B$6,"SELL","HOLD")))</f>
        <v/>
      </c>
      <c r="K408" s="145" t="n">
        <v>38</v>
      </c>
      <c r="L408" s="123" t="n">
        <v>46135</v>
      </c>
      <c r="M408" s="140" t="n">
        <v>46135</v>
      </c>
      <c r="N408" s="147" t="n">
        <v>66.78</v>
      </c>
      <c r="O408" s="140" t="n">
        <v>46136</v>
      </c>
      <c r="P408" s="145" t="n">
        <v>82.2</v>
      </c>
      <c r="Q408" s="151">
        <f>IF(OR(N408="",P408=""),"",ROUND((P408-N408)/N408,4))</f>
        <v/>
      </c>
      <c r="R408" s="118">
        <f>IF(OR(N408="",P408=""),"",IF(Q408&gt;Settings!$B$3/100,"UP",IF(Q408&lt;-Settings!$B$3/100,"DOWN","FLAT")))</f>
        <v/>
      </c>
      <c r="S408" s="118">
        <f>IF(OR(N408="",P408="",J408=""),"",IF(OR(AND(J408="BUY",R408="UP"),AND(J408="SELL",R408="DOWN"),AND(J408="HOLD",R408="FLAT")),"YES","NO"))</f>
        <v/>
      </c>
      <c r="T408" s="119">
        <f>IF(J408="","",IF(J408="BUY",1,IF(J408="SELL",-1,0)))</f>
        <v/>
      </c>
      <c r="U408" s="150">
        <f>IFERROR(IF(OR(J408="",N408="",P408=""),"",IF(T408=0,0,T408*Q408-Settings!$B$4/10000-IF(T408&lt;0,Settings!$B$5/10000,0))),"")</f>
        <v/>
      </c>
      <c r="W408" s="21">
        <f>IF($K408="","",$K408*60)</f>
        <v/>
      </c>
      <c r="X408" s="91">
        <f>IF($A408="","",$A408&amp;"|"&amp;$C408&amp;"|"&amp;$D408)</f>
        <v/>
      </c>
      <c r="Y408" s="91">
        <f>IFERROR(IF($X408="","",INDEX(LLM_Data_Entry!$H$3:$H$548,MATCH($X408,INDEX(LLM_Data_Entry!$A$3:$A$548&amp;"|"&amp;LLM_Data_Entry!$C$3:$C$548&amp;"|"&amp;LLM_Data_Entry!$D$3:$D$548,0),0))),"")</f>
        <v/>
      </c>
      <c r="Z408" s="91">
        <f>IFERROR(IF($X408="","",INDEX(LLM_Data_Entry!$R$3:$R$548,MATCH($X408,INDEX(LLM_Data_Entry!$A$3:$A$548&amp;"|"&amp;LLM_Data_Entry!$C$3:$C$548&amp;"|"&amp;LLM_Data_Entry!$D$3:$D$548,0),0))),"")</f>
        <v/>
      </c>
      <c r="AB408" t="inlineStr">
        <is>
          <t>price signal, re-derived — both moved; this one dominates</t>
        </is>
      </c>
      <c r="AC408" t="inlineStr">
        <is>
          <t>INTC</t>
        </is>
      </c>
      <c r="AD408" t="inlineStr">
        <is>
          <t>2026-04-23</t>
        </is>
      </c>
      <c r="AE408" t="n">
        <v>66.78</v>
      </c>
      <c r="AF408" t="inlineStr">
        <is>
          <t>2026-04-24</t>
        </is>
      </c>
      <c r="AG408" t="n">
        <v>82.2</v>
      </c>
      <c r="AH408" t="n">
        <v>0.2309074308311983</v>
      </c>
      <c r="AI408" t="inlineStr">
        <is>
          <t>UP</t>
        </is>
      </c>
      <c r="AJ408" t="inlineStr">
        <is>
          <t>YES</t>
        </is>
      </c>
      <c r="AK408" t="n">
        <v>0.229907</v>
      </c>
      <c r="AL408">
        <f>IF($A408="","",IFERROR(INDEX(Company_List!$G$3:$G$207,MATCH($A408,Company_List!$A$3:$A$207,0)),"unassigned"))</f>
        <v/>
      </c>
      <c r="AM408" t="inlineStr">
        <is>
          <t>Phase 2/Intel/2026-Q1/INTC-2026-Q1-press-release-SEC-EX-99-1.htm</t>
        </is>
      </c>
      <c r="AN408" t="inlineStr">
        <is>
          <t>https://www.sec.gov/Archives/edgar/data/50863/000005086326000077/q126earningsrelease.htm</t>
        </is>
      </c>
      <c r="AO408" t="inlineStr">
        <is>
          <t>manifest</t>
        </is>
      </c>
      <c r="AP408">
        <f>IF($A408="","",IF(COUNTIFS(LLM_Data_Entry!$A$3:$A$548,$A408)&gt;0,"YES","NO"))</f>
        <v/>
      </c>
      <c r="AQ408">
        <f>IF($A408="","",IF(COUNTIFS($A$3:$A408,$A408,$C$3:$C408,$C408,$D$3:$D408,$D408)=1,"YES","NO"))</f>
        <v/>
      </c>
      <c r="AR408">
        <f>IF($A408="","",IF(AND($C408&amp;"-"&amp;$D408&gt;=Settings!$B$19,$C408&amp;"-"&amp;$D408&lt;=Settings!$B$20),"IN","OUT"))</f>
        <v/>
      </c>
      <c r="AS408">
        <f>IF($A408="","",IF($F408="Financial Results","financials",IF($F408="Outlook/Guidance","guidance",IF($F408="Transcript Q&amp;A","qanda",IF($F408="","unrecorded",IF($E408="All","full",IF($E408="","unrecorded",LOWER($E408)&amp;" only")))))))</f>
        <v/>
      </c>
      <c r="AT408">
        <f>IF(AND(OR($J408="BUY",$J408="SELL"),ISNUMBER($U408)),$U408,"")</f>
        <v/>
      </c>
      <c r="AU408">
        <f>IF(AND(OR($J408="BUY",$J408="SELL"),ISNUMBER($AK408)),$AK408,"")</f>
        <v/>
      </c>
      <c r="AV408">
        <f>IF(ISNUMBER($AT408),ABS(IF(ISNUMBER($I408),$I408,0)-Settings!$B$24),"")</f>
        <v/>
      </c>
      <c r="AW408">
        <f>IF(ISNUMBER($AV408),$AV408*$AT408,"")</f>
        <v/>
      </c>
      <c r="AX408">
        <f>IF(ISNUMBER($AU408),ABS(IF(ISNUMBER($I408),$I408,0)-Settings!$B$24),"")</f>
        <v/>
      </c>
      <c r="AY408">
        <f>IF(ISNUMBER($AX408),$AX408*$AU408,"")</f>
        <v/>
      </c>
      <c r="AZ408">
        <f>IF($A408="","",IFERROR(INDEX(Company_List!$H$3:$H$207,MATCH($A408,Company_List!$A$3:$A$207,0)),"unassigned"))</f>
        <v/>
      </c>
      <c r="BA408" t="n">
        <v>1</v>
      </c>
      <c r="BB408" t="n">
        <v>1</v>
      </c>
      <c r="BC408">
        <f>IF($A408="","",IF(COUNTIFS($A$3:$A408,$A408,$C$3:$C408,$C408,$D$3:$D408,$D408,$G$3:$G408,$G408)=1,1,0))</f>
        <v/>
      </c>
      <c r="BD408" t="n">
        <v>38</v>
      </c>
      <c r="BG408" t="inlineStr">
        <is>
          <t>no</t>
        </is>
      </c>
      <c r="BH408" t="inlineStr">
        <is>
          <t>no</t>
        </is>
      </c>
      <c r="BI408" t="inlineStr">
        <is>
          <t>This name lives on the foundry losses and the cash burn, not</t>
        </is>
      </c>
      <c r="BJ408" t="inlineStr">
        <is>
          <t>63 intel q12026 full.pdf</t>
        </is>
      </c>
      <c r="BK408">
        <f>IF(OR($H408&lt;&gt;"Human",$S408="",$J408="",$Y408="",$Z408=""),"",IF(EXACT(UPPER($J408),UPPER($Y408)),1,0))</f>
        <v/>
      </c>
      <c r="BL408" t="inlineStr">
        <is>
          <t>attested - rater record</t>
        </is>
      </c>
      <c r="BM408" t="n">
        <v>1</v>
      </c>
      <c r="BN408" t="inlineStr">
        <is>
          <t>not publisher-identified</t>
        </is>
      </c>
      <c r="BO408" t="inlineStr">
        <is>
          <t>not publisher-identified</t>
        </is>
      </c>
      <c r="BP408" t="inlineStr">
        <is>
          <t>no</t>
        </is>
      </c>
      <c r="BQ408" t="inlineStr">
        <is>
          <t>yes</t>
        </is>
      </c>
    </row>
    <row r="409">
      <c r="A409" s="1" t="inlineStr">
        <is>
          <t>Mastercard</t>
        </is>
      </c>
      <c r="B409" s="142">
        <f>IF(A409="","",_xlfn.XLOOKUP(A409, Company_List!$A:$A, Company_List!$B:$B, ""))</f>
        <v/>
      </c>
      <c r="C409" s="143" t="n">
        <v>2025</v>
      </c>
      <c r="D409" s="143" t="inlineStr">
        <is>
          <t>Q2</t>
        </is>
      </c>
      <c r="E409" s="98" t="inlineStr">
        <is>
          <t>Financial Statement</t>
        </is>
      </c>
      <c r="F409" s="98" t="inlineStr">
        <is>
          <t>Financial Results</t>
        </is>
      </c>
      <c r="G409" s="143" t="inlineStr">
        <is>
          <t>David</t>
        </is>
      </c>
      <c r="H409" s="106" t="inlineStr">
        <is>
          <t>Human</t>
        </is>
      </c>
      <c r="I409" s="145" t="n">
        <v>0.4</v>
      </c>
      <c r="J409" s="145">
        <f>IF(OR(I409="",Settings!$B$6=""),"",IF(I409&gt;Settings!$B$6,"BUY",IF(I409&lt;-Settings!$B$6,"SELL","HOLD")))</f>
        <v/>
      </c>
      <c r="K409" s="145" t="n">
        <v>23</v>
      </c>
      <c r="L409" s="123" t="n">
        <v>45869</v>
      </c>
      <c r="M409" s="140" t="n">
        <v>45868</v>
      </c>
      <c r="N409" s="147" t="n">
        <v>559.11</v>
      </c>
      <c r="O409" s="140" t="n">
        <v>45869</v>
      </c>
      <c r="P409" s="145" t="n">
        <v>568.5700000000001</v>
      </c>
      <c r="Q409" s="151">
        <f>IF(OR(N409="",P409=""),"",ROUND((P409-N409)/N409,4))</f>
        <v/>
      </c>
      <c r="R409" s="118">
        <f>IF(OR(N409="",P409=""),"",IF(Q409&gt;Settings!$B$3/100,"UP",IF(Q409&lt;-Settings!$B$3/100,"DOWN","FLAT")))</f>
        <v/>
      </c>
      <c r="S409" s="118">
        <f>IF(OR(N409="",P409="",J409=""),"",IF(OR(AND(J409="BUY",R409="UP"),AND(J409="SELL",R409="DOWN"),AND(J409="HOLD",R409="FLAT")),"YES","NO"))</f>
        <v/>
      </c>
      <c r="T409" s="119">
        <f>IF(J409="","",IF(J409="BUY",1,IF(J409="SELL",-1,0)))</f>
        <v/>
      </c>
      <c r="U409" s="150">
        <f>IFERROR(IF(OR(J409="",N409="",P409=""),"",IF(T409=0,0,T409*Q409-Settings!$B$4/10000-IF(T409&lt;0,Settings!$B$5/10000,0))),"")</f>
        <v/>
      </c>
      <c r="W409" s="21">
        <f>IF($K409="","",$K409*60)</f>
        <v/>
      </c>
      <c r="X409" s="91">
        <f>IF($A409="","",$A409&amp;"|"&amp;$C409&amp;"|"&amp;$D409)</f>
        <v/>
      </c>
      <c r="Y409" s="91">
        <f>IFERROR(IF($X409="","",INDEX(LLM_Data_Entry!$H$3:$H$548,MATCH($X409,INDEX(LLM_Data_Entry!$A$3:$A$548&amp;"|"&amp;LLM_Data_Entry!$C$3:$C$548&amp;"|"&amp;LLM_Data_Entry!$D$3:$D$548,0),0))),"")</f>
        <v/>
      </c>
      <c r="Z409" s="91">
        <f>IFERROR(IF($X409="","",INDEX(LLM_Data_Entry!$R$3:$R$548,MATCH($X409,INDEX(LLM_Data_Entry!$A$3:$A$548&amp;"|"&amp;LLM_Data_Entry!$C$3:$C$548&amp;"|"&amp;LLM_Data_Entry!$D$3:$D$548,0),0))),"")</f>
        <v/>
      </c>
      <c r="AB409" t="inlineStr">
        <is>
          <t>price signal, re-derived — only this window shows an abnormal move</t>
        </is>
      </c>
      <c r="AC409" t="inlineStr">
        <is>
          <t>MA</t>
        </is>
      </c>
      <c r="AD409" t="inlineStr">
        <is>
          <t>2025-07-30</t>
        </is>
      </c>
      <c r="AE409" t="n">
        <v>555.6475</v>
      </c>
      <c r="AF409" t="inlineStr">
        <is>
          <t>2025-07-31</t>
        </is>
      </c>
      <c r="AG409" t="n">
        <v>565.0488</v>
      </c>
      <c r="AH409" t="n">
        <v>0.01691965144081545</v>
      </c>
      <c r="AI409" t="inlineStr">
        <is>
          <t>FLAT</t>
        </is>
      </c>
      <c r="AJ409" t="inlineStr">
        <is>
          <t>NO</t>
        </is>
      </c>
      <c r="AK409" t="n">
        <v>0.01592</v>
      </c>
      <c r="AL409">
        <f>IF($A409="","",IFERROR(INDEX(Company_List!$G$3:$G$207,MATCH($A409,Company_List!$A$3:$A$207,0)),"unassigned"))</f>
        <v/>
      </c>
      <c r="AM409" t="inlineStr">
        <is>
          <t>Phase 2/Mastercard/2025-Q2/MA-2025-Q2-quarterly-financial-statements-SEC-10-Q.htm</t>
        </is>
      </c>
      <c r="AN409" t="inlineStr">
        <is>
          <t>https://www.sec.gov/Archives/edgar/data/1141391/ (10-Q, Q2 2025)</t>
        </is>
      </c>
      <c r="AO409" t="inlineStr">
        <is>
          <t>manifest</t>
        </is>
      </c>
      <c r="AP409">
        <f>IF($A409="","",IF(COUNTIFS(LLM_Data_Entry!$A$3:$A$548,$A409)&gt;0,"YES","NO"))</f>
        <v/>
      </c>
      <c r="AQ409">
        <f>IF($A409="","",IF(COUNTIFS($A$3:$A409,$A409,$C$3:$C409,$C409,$D$3:$D409,$D409)=1,"YES","NO"))</f>
        <v/>
      </c>
      <c r="AR409">
        <f>IF($A409="","",IF(AND($C409&amp;"-"&amp;$D409&gt;=Settings!$B$19,$C409&amp;"-"&amp;$D409&lt;=Settings!$B$20),"IN","OUT"))</f>
        <v/>
      </c>
      <c r="AS409">
        <f>IF($A409="","",IF($F409="Financial Results","financials",IF($F409="Outlook/Guidance","guidance",IF($F409="Transcript Q&amp;A","qanda",IF($F409="","unrecorded",IF($E409="All","full",IF($E409="","unrecorded",LOWER($E409)&amp;" only")))))))</f>
        <v/>
      </c>
      <c r="AT409">
        <f>IF(AND(OR($J409="BUY",$J409="SELL"),ISNUMBER($U409)),$U409,"")</f>
        <v/>
      </c>
      <c r="AU409">
        <f>IF(AND(OR($J409="BUY",$J409="SELL"),ISNUMBER($AK409)),$AK409,"")</f>
        <v/>
      </c>
      <c r="AV409">
        <f>IF(ISNUMBER($AT409),ABS(IF(ISNUMBER($I409),$I409,0)-Settings!$B$24),"")</f>
        <v/>
      </c>
      <c r="AW409">
        <f>IF(ISNUMBER($AV409),$AV409*$AT409,"")</f>
        <v/>
      </c>
      <c r="AX409">
        <f>IF(ISNUMBER($AU409),ABS(IF(ISNUMBER($I409),$I409,0)-Settings!$B$24),"")</f>
        <v/>
      </c>
      <c r="AY409">
        <f>IF(ISNUMBER($AX409),$AX409*$AU409,"")</f>
        <v/>
      </c>
      <c r="AZ409">
        <f>IF($A409="","",IFERROR(INDEX(Company_List!$H$3:$H$207,MATCH($A409,Company_List!$A$3:$A$207,0)),"unassigned"))</f>
        <v/>
      </c>
      <c r="BA409" t="n">
        <v>1</v>
      </c>
      <c r="BB409" t="n">
        <v>2</v>
      </c>
      <c r="BC409">
        <f>IF($A409="","",IF(COUNTIFS($A$3:$A409,$A409,$C$3:$C409,$C409,$D$3:$D409,$D409,$G$3:$G409,$G409)=1,1,0))</f>
        <v/>
      </c>
      <c r="BD409" t="n">
        <v>23</v>
      </c>
      <c r="BE409" t="n">
        <v>28</v>
      </c>
      <c r="BF409" t="n">
        <v>0.4</v>
      </c>
      <c r="BG409" t="inlineStr">
        <is>
          <t>no</t>
        </is>
      </c>
      <c r="BH409" t="inlineStr">
        <is>
          <t>no</t>
        </is>
      </c>
      <c r="BI409" t="inlineStr">
        <is>
          <t>Volume growth is never the surprise here; the surprise is al</t>
        </is>
      </c>
      <c r="BJ409" t="inlineStr">
        <is>
          <t>64 mastercard q22025 financials.pdf</t>
        </is>
      </c>
      <c r="BK409">
        <f>IF(OR($H409&lt;&gt;"Human",$S409="",$J409="",$Y409="",$Z409=""),"",IF(EXACT(UPPER($J409),UPPER($Y409)),1,0))</f>
        <v/>
      </c>
      <c r="BL409" t="inlineStr">
        <is>
          <t>attested - rater record</t>
        </is>
      </c>
      <c r="BM409" t="n">
        <v>1</v>
      </c>
      <c r="BN409" t="inlineStr">
        <is>
          <t>not publisher-identified</t>
        </is>
      </c>
      <c r="BO409" t="inlineStr">
        <is>
          <t>not publisher-identified</t>
        </is>
      </c>
      <c r="BP409" t="inlineStr">
        <is>
          <t>sole source</t>
        </is>
      </c>
      <c r="BQ409" t="inlineStr">
        <is>
          <t>yes</t>
        </is>
      </c>
    </row>
    <row r="410">
      <c r="A410" s="1" t="inlineStr">
        <is>
          <t>Mastercard</t>
        </is>
      </c>
      <c r="B410" s="142">
        <f>IF(A410="","",_xlfn.XLOOKUP(A410, Company_List!$A:$A, Company_List!$B:$B, ""))</f>
        <v/>
      </c>
      <c r="C410" s="143" t="n">
        <v>2025</v>
      </c>
      <c r="D410" s="143" t="inlineStr">
        <is>
          <t>Q2</t>
        </is>
      </c>
      <c r="E410" s="98" t="inlineStr">
        <is>
          <t>All</t>
        </is>
      </c>
      <c r="F410" s="98" t="inlineStr">
        <is>
          <t>All</t>
        </is>
      </c>
      <c r="G410" s="143" t="inlineStr">
        <is>
          <t>David</t>
        </is>
      </c>
      <c r="H410" s="106" t="inlineStr">
        <is>
          <t>Human</t>
        </is>
      </c>
      <c r="I410" s="145" t="n">
        <v>0.35</v>
      </c>
      <c r="J410" s="145">
        <f>IF(OR(I410="",Settings!$B$6=""),"",IF(I410&gt;Settings!$B$6,"BUY",IF(I410&lt;-Settings!$B$6,"SELL","HOLD")))</f>
        <v/>
      </c>
      <c r="K410" s="145" t="n">
        <v>28</v>
      </c>
      <c r="L410" s="123" t="n">
        <v>45869</v>
      </c>
      <c r="M410" s="140" t="n">
        <v>45868</v>
      </c>
      <c r="N410" s="147" t="n">
        <v>559.11</v>
      </c>
      <c r="O410" s="140" t="n">
        <v>45869</v>
      </c>
      <c r="P410" s="145" t="n">
        <v>568.5700000000001</v>
      </c>
      <c r="Q410" s="151">
        <f>IF(OR(N410="",P410=""),"",ROUND((P410-N410)/N410,4))</f>
        <v/>
      </c>
      <c r="R410" s="118">
        <f>IF(OR(N410="",P410=""),"",IF(Q410&gt;Settings!$B$3/100,"UP",IF(Q410&lt;-Settings!$B$3/100,"DOWN","FLAT")))</f>
        <v/>
      </c>
      <c r="S410" s="118">
        <f>IF(OR(N410="",P410="",J410=""),"",IF(OR(AND(J410="BUY",R410="UP"),AND(J410="SELL",R410="DOWN"),AND(J410="HOLD",R410="FLAT")),"YES","NO"))</f>
        <v/>
      </c>
      <c r="T410" s="119">
        <f>IF(J410="","",IF(J410="BUY",1,IF(J410="SELL",-1,0)))</f>
        <v/>
      </c>
      <c r="U410" s="150">
        <f>IFERROR(IF(OR(J410="",N410="",P410=""),"",IF(T410=0,0,T410*Q410-Settings!$B$4/10000-IF(T410&lt;0,Settings!$B$5/10000,0))),"")</f>
        <v/>
      </c>
      <c r="W410" s="21">
        <f>IF($K410="","",$K410*60)</f>
        <v/>
      </c>
      <c r="X410" s="91">
        <f>IF($A410="","",$A410&amp;"|"&amp;$C410&amp;"|"&amp;$D410)</f>
        <v/>
      </c>
      <c r="Y410" s="91">
        <f>IFERROR(IF($X410="","",INDEX(LLM_Data_Entry!$H$3:$H$548,MATCH($X410,INDEX(LLM_Data_Entry!$A$3:$A$548&amp;"|"&amp;LLM_Data_Entry!$C$3:$C$548&amp;"|"&amp;LLM_Data_Entry!$D$3:$D$548,0),0))),"")</f>
        <v/>
      </c>
      <c r="Z410" s="91">
        <f>IFERROR(IF($X410="","",INDEX(LLM_Data_Entry!$R$3:$R$548,MATCH($X410,INDEX(LLM_Data_Entry!$A$3:$A$548&amp;"|"&amp;LLM_Data_Entry!$C$3:$C$548&amp;"|"&amp;LLM_Data_Entry!$D$3:$D$548,0),0))),"")</f>
        <v/>
      </c>
      <c r="AB410" t="inlineStr">
        <is>
          <t>price signal, re-derived — only this window shows an abnormal move</t>
        </is>
      </c>
      <c r="AC410" t="inlineStr">
        <is>
          <t>MA</t>
        </is>
      </c>
      <c r="AD410" t="inlineStr">
        <is>
          <t>2025-07-30</t>
        </is>
      </c>
      <c r="AE410" t="n">
        <v>555.6475</v>
      </c>
      <c r="AF410" t="inlineStr">
        <is>
          <t>2025-07-31</t>
        </is>
      </c>
      <c r="AG410" t="n">
        <v>565.0488</v>
      </c>
      <c r="AH410" t="n">
        <v>0.01691965144081545</v>
      </c>
      <c r="AI410" t="inlineStr">
        <is>
          <t>FLAT</t>
        </is>
      </c>
      <c r="AJ410" t="inlineStr">
        <is>
          <t>NO</t>
        </is>
      </c>
      <c r="AK410" t="n">
        <v>0.01592</v>
      </c>
      <c r="AL410">
        <f>IF($A410="","",IFERROR(INDEX(Company_List!$G$3:$G$207,MATCH($A410,Company_List!$A$3:$A$207,0)),"unassigned"))</f>
        <v/>
      </c>
      <c r="AM410" t="inlineStr">
        <is>
          <t>Phase 2/Mastercard/2025-Q2/MA-2025-Q2-press-release-SEC-EX-99-1.htm; Phase 2/Mastercard/2025-Q2/MA-2025-Q2-quarterly-financial-statements-SEC-10-Q.htm</t>
        </is>
      </c>
      <c r="AN410" t="inlineStr">
        <is>
          <t>https://www.sec.gov/Archives/edgar/data/1141391/ (10-Q, Q2 2025); https://www.sec.gov/Archives/edgar/data/1141391/000114139125000170/ma06302025-exx991xearnings.htm</t>
        </is>
      </c>
      <c r="AO410" t="inlineStr">
        <is>
          <t>manifest (whole bundle)</t>
        </is>
      </c>
      <c r="AP410">
        <f>IF($A410="","",IF(COUNTIFS(LLM_Data_Entry!$A$3:$A$548,$A410)&gt;0,"YES","NO"))</f>
        <v/>
      </c>
      <c r="AQ410">
        <f>IF($A410="","",IF(COUNTIFS($A$3:$A410,$A410,$C$3:$C410,$C410,$D$3:$D410,$D410)=1,"YES","NO"))</f>
        <v/>
      </c>
      <c r="AR410">
        <f>IF($A410="","",IF(AND($C410&amp;"-"&amp;$D410&gt;=Settings!$B$19,$C410&amp;"-"&amp;$D410&lt;=Settings!$B$20),"IN","OUT"))</f>
        <v/>
      </c>
      <c r="AS410">
        <f>IF($A410="","",IF($F410="Financial Results","financials",IF($F410="Outlook/Guidance","guidance",IF($F410="Transcript Q&amp;A","qanda",IF($F410="","unrecorded",IF($E410="All","full",IF($E410="","unrecorded",LOWER($E410)&amp;" only")))))))</f>
        <v/>
      </c>
      <c r="AT410">
        <f>IF(AND(OR($J410="BUY",$J410="SELL"),ISNUMBER($U410)),$U410,"")</f>
        <v/>
      </c>
      <c r="AU410">
        <f>IF(AND(OR($J410="BUY",$J410="SELL"),ISNUMBER($AK410)),$AK410,"")</f>
        <v/>
      </c>
      <c r="AV410">
        <f>IF(ISNUMBER($AT410),ABS(IF(ISNUMBER($I410),$I410,0)-Settings!$B$24),"")</f>
        <v/>
      </c>
      <c r="AW410">
        <f>IF(ISNUMBER($AV410),$AV410*$AT410,"")</f>
        <v/>
      </c>
      <c r="AX410">
        <f>IF(ISNUMBER($AU410),ABS(IF(ISNUMBER($I410),$I410,0)-Settings!$B$24),"")</f>
        <v/>
      </c>
      <c r="AY410">
        <f>IF(ISNUMBER($AX410),$AX410*$AU410,"")</f>
        <v/>
      </c>
      <c r="AZ410">
        <f>IF($A410="","",IFERROR(INDEX(Company_List!$H$3:$H$207,MATCH($A410,Company_List!$A$3:$A$207,0)),"unassigned"))</f>
        <v/>
      </c>
      <c r="BA410" t="n">
        <v>2</v>
      </c>
      <c r="BB410" t="n">
        <v>2</v>
      </c>
      <c r="BC410">
        <f>IF($A410="","",IF(COUNTIFS($A$3:$A410,$A410,$C$3:$C410,$C410,$D$3:$D410,$D410,$G$3:$G410,$G410)=1,1,0))</f>
        <v/>
      </c>
      <c r="BD410" t="n">
        <v>23</v>
      </c>
      <c r="BE410" t="n">
        <v>28</v>
      </c>
      <c r="BF410" t="n">
        <v>0.4</v>
      </c>
      <c r="BG410" t="inlineStr">
        <is>
          <t>no</t>
        </is>
      </c>
      <c r="BH410" t="inlineStr">
        <is>
          <t>no</t>
        </is>
      </c>
      <c r="BI410" t="inlineStr">
        <is>
          <t>Volume growth is never the surprise here; the surprise is al</t>
        </is>
      </c>
      <c r="BJ410" t="inlineStr">
        <is>
          <t>64 mastercard q22025 financials.pdf</t>
        </is>
      </c>
      <c r="BK410">
        <f>IF(OR($H410&lt;&gt;"Human",$S410="",$J410="",$Y410="",$Z410=""),"",IF(EXACT(UPPER($J410),UPPER($Y410)),1,0))</f>
        <v/>
      </c>
      <c r="BL410" t="inlineStr">
        <is>
          <t>attested - rater record</t>
        </is>
      </c>
      <c r="BM410" t="n">
        <v>2</v>
      </c>
      <c r="BN410" t="inlineStr">
        <is>
          <t>not publisher-identified</t>
        </is>
      </c>
      <c r="BO410" t="inlineStr">
        <is>
          <t>not publisher-identified</t>
        </is>
      </c>
      <c r="BP410" t="inlineStr">
        <is>
          <t>one of several</t>
        </is>
      </c>
      <c r="BQ410" t="inlineStr">
        <is>
          <t>yes</t>
        </is>
      </c>
    </row>
    <row r="411">
      <c r="A411" s="1" t="inlineStr">
        <is>
          <t>Mastercard</t>
        </is>
      </c>
      <c r="B411" s="142">
        <f>IF(A411="","",_xlfn.XLOOKUP(A411, Company_List!$A:$A, Company_List!$B:$B, ""))</f>
        <v/>
      </c>
      <c r="C411" s="143" t="n">
        <v>2025</v>
      </c>
      <c r="D411" s="143" t="inlineStr">
        <is>
          <t>Q3</t>
        </is>
      </c>
      <c r="E411" s="98" t="inlineStr">
        <is>
          <t>Transcript</t>
        </is>
      </c>
      <c r="F411" s="98" t="inlineStr">
        <is>
          <t>Outlook/Guidance</t>
        </is>
      </c>
      <c r="G411" s="143" t="inlineStr">
        <is>
          <t>David</t>
        </is>
      </c>
      <c r="H411" s="106" t="inlineStr">
        <is>
          <t>Human</t>
        </is>
      </c>
      <c r="I411" s="145" t="n">
        <v>0.1</v>
      </c>
      <c r="J411" s="145">
        <f>IF(OR(I411="",Settings!$B$6=""),"",IF(I411&gt;Settings!$B$6,"BUY",IF(I411&lt;-Settings!$B$6,"SELL","HOLD")))</f>
        <v/>
      </c>
      <c r="K411" s="145" t="n">
        <v>21</v>
      </c>
      <c r="L411" s="123" t="n">
        <v>45960</v>
      </c>
      <c r="M411" s="140" t="n">
        <v>45959</v>
      </c>
      <c r="N411" s="147" t="n">
        <v>554.58</v>
      </c>
      <c r="O411" s="140" t="n">
        <v>45960</v>
      </c>
      <c r="P411" s="145" t="n">
        <v>551.5599999999999</v>
      </c>
      <c r="Q411" s="151">
        <f>IF(OR(N411="",P411=""),"",ROUND((P411-N411)/N411,4))</f>
        <v/>
      </c>
      <c r="R411" s="118">
        <f>IF(OR(N411="",P411=""),"",IF(Q411&gt;Settings!$B$3/100,"UP",IF(Q411&lt;-Settings!$B$3/100,"DOWN","FLAT")))</f>
        <v/>
      </c>
      <c r="S411" s="118">
        <f>IF(OR(N411="",P411="",J411=""),"",IF(OR(AND(J411="BUY",R411="UP"),AND(J411="SELL",R411="DOWN"),AND(J411="HOLD",R411="FLAT")),"YES","NO"))</f>
        <v/>
      </c>
      <c r="T411" s="119">
        <f>IF(J411="","",IF(J411="BUY",1,IF(J411="SELL",-1,0)))</f>
        <v/>
      </c>
      <c r="U411" s="150">
        <f>IFERROR(IF(OR(J411="",N411="",P411=""),"",IF(T411=0,0,T411*Q411-Settings!$B$4/10000-IF(T411&lt;0,Settings!$B$5/10000,0))),"")</f>
        <v/>
      </c>
      <c r="W411" s="21">
        <f>IF($K411="","",$K411*60)</f>
        <v/>
      </c>
      <c r="X411" s="91">
        <f>IF($A411="","",$A411&amp;"|"&amp;$C411&amp;"|"&amp;$D411)</f>
        <v/>
      </c>
      <c r="Y411" s="91">
        <f>IFERROR(IF($X411="","",INDEX(LLM_Data_Entry!$H$3:$H$548,MATCH($X411,INDEX(LLM_Data_Entry!$A$3:$A$548&amp;"|"&amp;LLM_Data_Entry!$C$3:$C$548&amp;"|"&amp;LLM_Data_Entry!$D$3:$D$548,0),0))),"")</f>
        <v/>
      </c>
      <c r="Z411" s="91">
        <f>IFERROR(IF($X411="","",INDEX(LLM_Data_Entry!$R$3:$R$548,MATCH($X411,INDEX(LLM_Data_Entry!$A$3:$A$548&amp;"|"&amp;LLM_Data_Entry!$C$3:$C$548&amp;"|"&amp;LLM_Data_Entry!$D$3:$D$548,0),0))),"")</f>
        <v/>
      </c>
      <c r="AB411" t="inlineStr">
        <is>
          <t>price signal, re-derived — only this window shows an abnormal move</t>
        </is>
      </c>
      <c r="AC411" t="inlineStr">
        <is>
          <t>MA</t>
        </is>
      </c>
      <c r="AD411" t="inlineStr">
        <is>
          <t>2025-10-30</t>
        </is>
      </c>
      <c r="AE411" t="n">
        <v>550.9775</v>
      </c>
      <c r="AF411" t="inlineStr">
        <is>
          <t>2025-10-31</t>
        </is>
      </c>
      <c r="AG411" t="n">
        <v>546.2109</v>
      </c>
      <c r="AH411" t="n">
        <v>-0.008651072844763198</v>
      </c>
      <c r="AI411" t="inlineStr">
        <is>
          <t>FLAT</t>
        </is>
      </c>
      <c r="AJ411" t="inlineStr">
        <is>
          <t>YES</t>
        </is>
      </c>
      <c r="AK411" t="n">
        <v>0</v>
      </c>
      <c r="AL411">
        <f>IF($A411="","",IFERROR(INDEX(Company_List!$G$3:$G$207,MATCH($A411,Company_List!$A$3:$A$207,0)),"unassigned"))</f>
        <v/>
      </c>
      <c r="AM411" t="inlineStr">
        <is>
          <t>Phase 2/Mastercard/2025-Q3/MA-2025-Q3-earnings-call-transcript-fool-com.html</t>
        </is>
      </c>
      <c r="AN411" t="inlineStr">
        <is>
          <t>https://www.fool.com/earnings/call-transcripts/2025/10/30/mastercard-q3-2025-earnings-call-transcript/</t>
        </is>
      </c>
      <c r="AO411" t="inlineStr">
        <is>
          <t>manifest</t>
        </is>
      </c>
      <c r="AP411">
        <f>IF($A411="","",IF(COUNTIFS(LLM_Data_Entry!$A$3:$A$548,$A411)&gt;0,"YES","NO"))</f>
        <v/>
      </c>
      <c r="AQ411">
        <f>IF($A411="","",IF(COUNTIFS($A$3:$A411,$A411,$C$3:$C411,$C411,$D$3:$D411,$D411)=1,"YES","NO"))</f>
        <v/>
      </c>
      <c r="AR411">
        <f>IF($A411="","",IF(AND($C411&amp;"-"&amp;$D411&gt;=Settings!$B$19,$C411&amp;"-"&amp;$D411&lt;=Settings!$B$20),"IN","OUT"))</f>
        <v/>
      </c>
      <c r="AS411">
        <f>IF($A411="","",IF($F411="Financial Results","financials",IF($F411="Outlook/Guidance","guidance",IF($F411="Transcript Q&amp;A","qanda",IF($F411="","unrecorded",IF($E411="All","full",IF($E411="","unrecorded",LOWER($E411)&amp;" only")))))))</f>
        <v/>
      </c>
      <c r="AT411">
        <f>IF(AND(OR($J411="BUY",$J411="SELL"),ISNUMBER($U411)),$U411,"")</f>
        <v/>
      </c>
      <c r="AU411">
        <f>IF(AND(OR($J411="BUY",$J411="SELL"),ISNUMBER($AK411)),$AK411,"")</f>
        <v/>
      </c>
      <c r="AV411">
        <f>IF(ISNUMBER($AT411),ABS(IF(ISNUMBER($I411),$I411,0)-Settings!$B$24),"")</f>
        <v/>
      </c>
      <c r="AW411">
        <f>IF(ISNUMBER($AV411),$AV411*$AT411,"")</f>
        <v/>
      </c>
      <c r="AX411">
        <f>IF(ISNUMBER($AU411),ABS(IF(ISNUMBER($I411),$I411,0)-Settings!$B$24),"")</f>
        <v/>
      </c>
      <c r="AY411">
        <f>IF(ISNUMBER($AX411),$AX411*$AU411,"")</f>
        <v/>
      </c>
      <c r="AZ411">
        <f>IF($A411="","",IFERROR(INDEX(Company_List!$H$3:$H$207,MATCH($A411,Company_List!$A$3:$A$207,0)),"unassigned"))</f>
        <v/>
      </c>
      <c r="BA411" t="n">
        <v>1</v>
      </c>
      <c r="BB411" t="n">
        <v>2</v>
      </c>
      <c r="BC411">
        <f>IF($A411="","",IF(COUNTIFS($A$3:$A411,$A411,$C$3:$C411,$C411,$D$3:$D411,$D411,$G$3:$G411,$G411)=1,1,0))</f>
        <v/>
      </c>
      <c r="BD411" t="n">
        <v>21</v>
      </c>
      <c r="BE411" t="n">
        <v>30</v>
      </c>
      <c r="BF411" t="n">
        <v>0.1</v>
      </c>
      <c r="BG411" t="inlineStr">
        <is>
          <t>no</t>
        </is>
      </c>
      <c r="BH411" t="inlineStr">
        <is>
          <t>no</t>
        </is>
      </c>
      <c r="BI411" t="inlineStr">
        <is>
          <t>Volume growth is never the surprise here; the surprise is al</t>
        </is>
      </c>
      <c r="BJ411" t="inlineStr">
        <is>
          <t>65 mastercard q32025 guidance.pdf</t>
        </is>
      </c>
      <c r="BK411">
        <f>IF(OR($H411&lt;&gt;"Human",$S411="",$J411="",$Y411="",$Z411=""),"",IF(EXACT(UPPER($J411),UPPER($Y411)),1,0))</f>
        <v/>
      </c>
      <c r="BL411" t="inlineStr">
        <is>
          <t>attested - rater record</t>
        </is>
      </c>
      <c r="BM411" t="n">
        <v>1</v>
      </c>
      <c r="BN411" t="inlineStr">
        <is>
          <t>The Motley Fool</t>
        </is>
      </c>
      <c r="BO411" t="inlineStr">
        <is>
          <t>free to read, copyright asserted</t>
        </is>
      </c>
      <c r="BP411" t="inlineStr">
        <is>
          <t>no</t>
        </is>
      </c>
      <c r="BQ411" t="inlineStr">
        <is>
          <t>yes</t>
        </is>
      </c>
    </row>
    <row r="412">
      <c r="A412" s="1" t="inlineStr">
        <is>
          <t>Mastercard</t>
        </is>
      </c>
      <c r="B412" s="142">
        <f>IF(A412="","",_xlfn.XLOOKUP(A412, Company_List!$A:$A, Company_List!$B:$B, ""))</f>
        <v/>
      </c>
      <c r="C412" s="143" t="n">
        <v>2025</v>
      </c>
      <c r="D412" s="143" t="inlineStr">
        <is>
          <t>Q3</t>
        </is>
      </c>
      <c r="E412" s="98" t="inlineStr">
        <is>
          <t>All</t>
        </is>
      </c>
      <c r="F412" s="98" t="inlineStr">
        <is>
          <t>All</t>
        </is>
      </c>
      <c r="G412" s="143" t="inlineStr">
        <is>
          <t>David</t>
        </is>
      </c>
      <c r="H412" s="106" t="inlineStr">
        <is>
          <t>Human</t>
        </is>
      </c>
      <c r="I412" s="145" t="n">
        <v>0.25</v>
      </c>
      <c r="J412" s="145">
        <f>IF(OR(I412="",Settings!$B$6=""),"",IF(I412&gt;Settings!$B$6,"BUY",IF(I412&lt;-Settings!$B$6,"SELL","HOLD")))</f>
        <v/>
      </c>
      <c r="K412" s="145" t="n">
        <v>30</v>
      </c>
      <c r="L412" s="123" t="n">
        <v>45960</v>
      </c>
      <c r="M412" s="140" t="n">
        <v>45959</v>
      </c>
      <c r="N412" s="147" t="n">
        <v>554.58</v>
      </c>
      <c r="O412" s="140" t="n">
        <v>45960</v>
      </c>
      <c r="P412" s="145" t="n">
        <v>551.5599999999999</v>
      </c>
      <c r="Q412" s="151">
        <f>IF(OR(N412="",P412=""),"",ROUND((P412-N412)/N412,4))</f>
        <v/>
      </c>
      <c r="R412" s="118">
        <f>IF(OR(N412="",P412=""),"",IF(Q412&gt;Settings!$B$3/100,"UP",IF(Q412&lt;-Settings!$B$3/100,"DOWN","FLAT")))</f>
        <v/>
      </c>
      <c r="S412" s="118">
        <f>IF(OR(N412="",P412="",J412=""),"",IF(OR(AND(J412="BUY",R412="UP"),AND(J412="SELL",R412="DOWN"),AND(J412="HOLD",R412="FLAT")),"YES","NO"))</f>
        <v/>
      </c>
      <c r="T412" s="119">
        <f>IF(J412="","",IF(J412="BUY",1,IF(J412="SELL",-1,0)))</f>
        <v/>
      </c>
      <c r="U412" s="150">
        <f>IFERROR(IF(OR(J412="",N412="",P412=""),"",IF(T412=0,0,T412*Q412-Settings!$B$4/10000-IF(T412&lt;0,Settings!$B$5/10000,0))),"")</f>
        <v/>
      </c>
      <c r="W412" s="21">
        <f>IF($K412="","",$K412*60)</f>
        <v/>
      </c>
      <c r="X412" s="91">
        <f>IF($A412="","",$A412&amp;"|"&amp;$C412&amp;"|"&amp;$D412)</f>
        <v/>
      </c>
      <c r="Y412" s="91">
        <f>IFERROR(IF($X412="","",INDEX(LLM_Data_Entry!$H$3:$H$548,MATCH($X412,INDEX(LLM_Data_Entry!$A$3:$A$548&amp;"|"&amp;LLM_Data_Entry!$C$3:$C$548&amp;"|"&amp;LLM_Data_Entry!$D$3:$D$548,0),0))),"")</f>
        <v/>
      </c>
      <c r="Z412" s="91">
        <f>IFERROR(IF($X412="","",INDEX(LLM_Data_Entry!$R$3:$R$548,MATCH($X412,INDEX(LLM_Data_Entry!$A$3:$A$548&amp;"|"&amp;LLM_Data_Entry!$C$3:$C$548&amp;"|"&amp;LLM_Data_Entry!$D$3:$D$548,0),0))),"")</f>
        <v/>
      </c>
      <c r="AB412" t="inlineStr">
        <is>
          <t>price signal, re-derived — only this window shows an abnormal move</t>
        </is>
      </c>
      <c r="AC412" t="inlineStr">
        <is>
          <t>MA</t>
        </is>
      </c>
      <c r="AD412" t="inlineStr">
        <is>
          <t>2025-10-30</t>
        </is>
      </c>
      <c r="AE412" t="n">
        <v>550.9775</v>
      </c>
      <c r="AF412" t="inlineStr">
        <is>
          <t>2025-10-31</t>
        </is>
      </c>
      <c r="AG412" t="n">
        <v>546.2109</v>
      </c>
      <c r="AH412" t="n">
        <v>-0.008651072844763198</v>
      </c>
      <c r="AI412" t="inlineStr">
        <is>
          <t>FLAT</t>
        </is>
      </c>
      <c r="AJ412" t="inlineStr">
        <is>
          <t>NO</t>
        </is>
      </c>
      <c r="AK412" t="n">
        <v>-0.009651</v>
      </c>
      <c r="AL412">
        <f>IF($A412="","",IFERROR(INDEX(Company_List!$G$3:$G$207,MATCH($A412,Company_List!$A$3:$A$207,0)),"unassigned"))</f>
        <v/>
      </c>
      <c r="AM412" t="inlineStr">
        <is>
          <t>Phase 2/Mastercard/2025-Q3/MA-2025-Q3-press-release-SEC-EX-99-1.htm; Phase 2/Mastercard/2025-Q3/MA-2025-Q3-earnings-call-transcript-fool-com.html</t>
        </is>
      </c>
      <c r="AN412" t="inlineStr">
        <is>
          <t>https://www.fool.com/earnings/call-transcripts/2025/10/30/mastercard-q3-2025-earnings-call-transcript/; https://www.sec.gov/Archives/edgar/data/1141391/000114139125000191/ma09302025-exx991xearnings.htm</t>
        </is>
      </c>
      <c r="AO412" t="inlineStr">
        <is>
          <t>manifest (whole bundle)</t>
        </is>
      </c>
      <c r="AP412">
        <f>IF($A412="","",IF(COUNTIFS(LLM_Data_Entry!$A$3:$A$548,$A412)&gt;0,"YES","NO"))</f>
        <v/>
      </c>
      <c r="AQ412">
        <f>IF($A412="","",IF(COUNTIFS($A$3:$A412,$A412,$C$3:$C412,$C412,$D$3:$D412,$D412)=1,"YES","NO"))</f>
        <v/>
      </c>
      <c r="AR412">
        <f>IF($A412="","",IF(AND($C412&amp;"-"&amp;$D412&gt;=Settings!$B$19,$C412&amp;"-"&amp;$D412&lt;=Settings!$B$20),"IN","OUT"))</f>
        <v/>
      </c>
      <c r="AS412">
        <f>IF($A412="","",IF($F412="Financial Results","financials",IF($F412="Outlook/Guidance","guidance",IF($F412="Transcript Q&amp;A","qanda",IF($F412="","unrecorded",IF($E412="All","full",IF($E412="","unrecorded",LOWER($E412)&amp;" only")))))))</f>
        <v/>
      </c>
      <c r="AT412">
        <f>IF(AND(OR($J412="BUY",$J412="SELL"),ISNUMBER($U412)),$U412,"")</f>
        <v/>
      </c>
      <c r="AU412">
        <f>IF(AND(OR($J412="BUY",$J412="SELL"),ISNUMBER($AK412)),$AK412,"")</f>
        <v/>
      </c>
      <c r="AV412">
        <f>IF(ISNUMBER($AT412),ABS(IF(ISNUMBER($I412),$I412,0)-Settings!$B$24),"")</f>
        <v/>
      </c>
      <c r="AW412">
        <f>IF(ISNUMBER($AV412),$AV412*$AT412,"")</f>
        <v/>
      </c>
      <c r="AX412">
        <f>IF(ISNUMBER($AU412),ABS(IF(ISNUMBER($I412),$I412,0)-Settings!$B$24),"")</f>
        <v/>
      </c>
      <c r="AY412">
        <f>IF(ISNUMBER($AX412),$AX412*$AU412,"")</f>
        <v/>
      </c>
      <c r="AZ412">
        <f>IF($A412="","",IFERROR(INDEX(Company_List!$H$3:$H$207,MATCH($A412,Company_List!$A$3:$A$207,0)),"unassigned"))</f>
        <v/>
      </c>
      <c r="BA412" t="n">
        <v>2</v>
      </c>
      <c r="BB412" t="n">
        <v>2</v>
      </c>
      <c r="BC412">
        <f>IF($A412="","",IF(COUNTIFS($A$3:$A412,$A412,$C$3:$C412,$C412,$D$3:$D412,$D412,$G$3:$G412,$G412)=1,1,0))</f>
        <v/>
      </c>
      <c r="BD412" t="n">
        <v>21</v>
      </c>
      <c r="BE412" t="n">
        <v>30</v>
      </c>
      <c r="BF412" t="n">
        <v>0.1</v>
      </c>
      <c r="BG412" t="inlineStr">
        <is>
          <t>no</t>
        </is>
      </c>
      <c r="BH412" t="inlineStr">
        <is>
          <t>no</t>
        </is>
      </c>
      <c r="BI412" t="inlineStr">
        <is>
          <t>Volume growth is never the surprise here; the surprise is al</t>
        </is>
      </c>
      <c r="BJ412" t="inlineStr">
        <is>
          <t>65 mastercard q32025 guidance.pdf</t>
        </is>
      </c>
      <c r="BK412">
        <f>IF(OR($H412&lt;&gt;"Human",$S412="",$J412="",$Y412="",$Z412=""),"",IF(EXACT(UPPER($J412),UPPER($Y412)),1,0))</f>
        <v/>
      </c>
      <c r="BL412" t="inlineStr">
        <is>
          <t>attested - rater record</t>
        </is>
      </c>
      <c r="BM412" t="n">
        <v>2</v>
      </c>
      <c r="BN412" t="inlineStr">
        <is>
          <t>The Motley Fool</t>
        </is>
      </c>
      <c r="BO412" t="inlineStr">
        <is>
          <t>free to read, copyright asserted</t>
        </is>
      </c>
      <c r="BP412" t="inlineStr">
        <is>
          <t>no</t>
        </is>
      </c>
      <c r="BQ412" t="inlineStr">
        <is>
          <t>yes</t>
        </is>
      </c>
    </row>
    <row r="413">
      <c r="A413" s="1" t="inlineStr">
        <is>
          <t>Mastercard</t>
        </is>
      </c>
      <c r="B413" s="142">
        <f>IF(A413="","",_xlfn.XLOOKUP(A413, Company_List!$A:$A, Company_List!$B:$B, ""))</f>
        <v/>
      </c>
      <c r="C413" s="143" t="n">
        <v>2025</v>
      </c>
      <c r="D413" s="143" t="inlineStr">
        <is>
          <t>Q4</t>
        </is>
      </c>
      <c r="E413" s="98" t="inlineStr">
        <is>
          <t>Transcript</t>
        </is>
      </c>
      <c r="F413" s="98" t="inlineStr">
        <is>
          <t>Transcript Q&amp;A</t>
        </is>
      </c>
      <c r="G413" s="143" t="inlineStr">
        <is>
          <t>David</t>
        </is>
      </c>
      <c r="H413" s="106" t="inlineStr">
        <is>
          <t>Human</t>
        </is>
      </c>
      <c r="I413" s="145" t="n">
        <v>0.15</v>
      </c>
      <c r="J413" s="145">
        <f>IF(OR(I413="",Settings!$B$6=""),"",IF(I413&gt;Settings!$B$6,"BUY",IF(I413&lt;-Settings!$B$6,"SELL","HOLD")))</f>
        <v/>
      </c>
      <c r="K413" s="145" t="n">
        <v>25</v>
      </c>
      <c r="L413" s="123" t="n">
        <v>46051</v>
      </c>
      <c r="M413" s="140" t="n">
        <v>46050</v>
      </c>
      <c r="N413" s="147" t="n">
        <v>521.37</v>
      </c>
      <c r="O413" s="140" t="n">
        <v>46051</v>
      </c>
      <c r="P413" s="145" t="n">
        <v>531.79</v>
      </c>
      <c r="Q413" s="151">
        <f>IF(OR(N413="",P413=""),"",ROUND((P413-N413)/N413,4))</f>
        <v/>
      </c>
      <c r="R413" s="118">
        <f>IF(OR(N413="",P413=""),"",IF(Q413&gt;Settings!$B$3/100,"UP",IF(Q413&lt;-Settings!$B$3/100,"DOWN","FLAT")))</f>
        <v/>
      </c>
      <c r="S413" s="118">
        <f>IF(OR(N413="",P413="",J413=""),"",IF(OR(AND(J413="BUY",R413="UP"),AND(J413="SELL",R413="DOWN"),AND(J413="HOLD",R413="FLAT")),"YES","NO"))</f>
        <v/>
      </c>
      <c r="T413" s="119">
        <f>IF(J413="","",IF(J413="BUY",1,IF(J413="SELL",-1,0)))</f>
        <v/>
      </c>
      <c r="U413" s="150">
        <f>IFERROR(IF(OR(J413="",N413="",P413=""),"",IF(T413=0,0,T413*Q413-Settings!$B$4/10000-IF(T413&lt;0,Settings!$B$5/10000,0))),"")</f>
        <v/>
      </c>
      <c r="W413" s="21">
        <f>IF($K413="","",$K413*60)</f>
        <v/>
      </c>
      <c r="X413" s="91">
        <f>IF($A413="","",$A413&amp;"|"&amp;$C413&amp;"|"&amp;$D413)</f>
        <v/>
      </c>
      <c r="Y413" s="91">
        <f>IFERROR(IF($X413="","",INDEX(LLM_Data_Entry!$H$3:$H$548,MATCH($X413,INDEX(LLM_Data_Entry!$A$3:$A$548&amp;"|"&amp;LLM_Data_Entry!$C$3:$C$548&amp;"|"&amp;LLM_Data_Entry!$D$3:$D$548,0),0))),"")</f>
        <v/>
      </c>
      <c r="Z413" s="91">
        <f>IFERROR(IF($X413="","",INDEX(LLM_Data_Entry!$R$3:$R$548,MATCH($X413,INDEX(LLM_Data_Entry!$A$3:$A$548&amp;"|"&amp;LLM_Data_Entry!$C$3:$C$548&amp;"|"&amp;LLM_Data_Entry!$D$3:$D$548,0),0))),"")</f>
        <v/>
      </c>
      <c r="AB413" t="inlineStr">
        <is>
          <t>price signal, re-derived — only this window shows an abnormal move</t>
        </is>
      </c>
      <c r="AC413" t="inlineStr">
        <is>
          <t>MA</t>
        </is>
      </c>
      <c r="AD413" t="inlineStr">
        <is>
          <t>2026-01-28</t>
        </is>
      </c>
      <c r="AE413" t="n">
        <v>519.6046</v>
      </c>
      <c r="AF413" t="inlineStr">
        <is>
          <t>2026-01-29</t>
        </is>
      </c>
      <c r="AG413" t="n">
        <v>529.9892</v>
      </c>
      <c r="AH413" t="n">
        <v>0.01998571864012226</v>
      </c>
      <c r="AI413" t="inlineStr">
        <is>
          <t>FLAT</t>
        </is>
      </c>
      <c r="AJ413" t="inlineStr">
        <is>
          <t>YES</t>
        </is>
      </c>
      <c r="AK413" t="n">
        <v>0</v>
      </c>
      <c r="AL413">
        <f>IF($A413="","",IFERROR(INDEX(Company_List!$G$3:$G$207,MATCH($A413,Company_List!$A$3:$A$207,0)),"unassigned"))</f>
        <v/>
      </c>
      <c r="AM413" t="inlineStr">
        <is>
          <t>Phase 2/Mastercard/2025-Q4/MA-2025-Q4-earnings-call-transcript-fool-com.html</t>
        </is>
      </c>
      <c r="AN413" t="inlineStr">
        <is>
          <t>https://www.fool.com/earnings/call-transcripts/2026/01/29/mastercard-ma-q4-2025-earnings-call-transcript/</t>
        </is>
      </c>
      <c r="AO413" t="inlineStr">
        <is>
          <t>manifest</t>
        </is>
      </c>
      <c r="AP413">
        <f>IF($A413="","",IF(COUNTIFS(LLM_Data_Entry!$A$3:$A$548,$A413)&gt;0,"YES","NO"))</f>
        <v/>
      </c>
      <c r="AQ413">
        <f>IF($A413="","",IF(COUNTIFS($A$3:$A413,$A413,$C$3:$C413,$C413,$D$3:$D413,$D413)=1,"YES","NO"))</f>
        <v/>
      </c>
      <c r="AR413">
        <f>IF($A413="","",IF(AND($C413&amp;"-"&amp;$D413&gt;=Settings!$B$19,$C413&amp;"-"&amp;$D413&lt;=Settings!$B$20),"IN","OUT"))</f>
        <v/>
      </c>
      <c r="AS413">
        <f>IF($A413="","",IF($F413="Financial Results","financials",IF($F413="Outlook/Guidance","guidance",IF($F413="Transcript Q&amp;A","qanda",IF($F413="","unrecorded",IF($E413="All","full",IF($E413="","unrecorded",LOWER($E413)&amp;" only")))))))</f>
        <v/>
      </c>
      <c r="AT413">
        <f>IF(AND(OR($J413="BUY",$J413="SELL"),ISNUMBER($U413)),$U413,"")</f>
        <v/>
      </c>
      <c r="AU413">
        <f>IF(AND(OR($J413="BUY",$J413="SELL"),ISNUMBER($AK413)),$AK413,"")</f>
        <v/>
      </c>
      <c r="AV413">
        <f>IF(ISNUMBER($AT413),ABS(IF(ISNUMBER($I413),$I413,0)-Settings!$B$24),"")</f>
        <v/>
      </c>
      <c r="AW413">
        <f>IF(ISNUMBER($AV413),$AV413*$AT413,"")</f>
        <v/>
      </c>
      <c r="AX413">
        <f>IF(ISNUMBER($AU413),ABS(IF(ISNUMBER($I413),$I413,0)-Settings!$B$24),"")</f>
        <v/>
      </c>
      <c r="AY413">
        <f>IF(ISNUMBER($AX413),$AX413*$AU413,"")</f>
        <v/>
      </c>
      <c r="AZ413">
        <f>IF($A413="","",IFERROR(INDEX(Company_List!$H$3:$H$207,MATCH($A413,Company_List!$A$3:$A$207,0)),"unassigned"))</f>
        <v/>
      </c>
      <c r="BA413" t="n">
        <v>1</v>
      </c>
      <c r="BB413" t="n">
        <v>2</v>
      </c>
      <c r="BC413">
        <f>IF($A413="","",IF(COUNTIFS($A$3:$A413,$A413,$C$3:$C413,$C413,$D$3:$D413,$D413,$G$3:$G413,$G413)=1,1,0))</f>
        <v/>
      </c>
      <c r="BD413" t="n">
        <v>25</v>
      </c>
      <c r="BE413" t="n">
        <v>27</v>
      </c>
      <c r="BF413" t="n">
        <v>0.15</v>
      </c>
      <c r="BG413" t="inlineStr">
        <is>
          <t>no</t>
        </is>
      </c>
      <c r="BH413" t="inlineStr">
        <is>
          <t>no</t>
        </is>
      </c>
      <c r="BI413" t="inlineStr">
        <is>
          <t>Volume growth is never the surprise here; the surprise is al</t>
        </is>
      </c>
      <c r="BJ413" t="inlineStr">
        <is>
          <t>66 mastercard q42025 qanda.pdf</t>
        </is>
      </c>
      <c r="BK413">
        <f>IF(OR($H413&lt;&gt;"Human",$S413="",$J413="",$Y413="",$Z413=""),"",IF(EXACT(UPPER($J413),UPPER($Y413)),1,0))</f>
        <v/>
      </c>
      <c r="BL413" t="inlineStr">
        <is>
          <t>attested - rater record</t>
        </is>
      </c>
      <c r="BM413" t="n">
        <v>1</v>
      </c>
      <c r="BN413" t="inlineStr">
        <is>
          <t>The Motley Fool</t>
        </is>
      </c>
      <c r="BO413" t="inlineStr">
        <is>
          <t>free to read, copyright asserted</t>
        </is>
      </c>
      <c r="BP413" t="inlineStr">
        <is>
          <t>no</t>
        </is>
      </c>
      <c r="BQ413" t="inlineStr">
        <is>
          <t>yes</t>
        </is>
      </c>
    </row>
    <row r="414">
      <c r="A414" s="1" t="inlineStr">
        <is>
          <t>Mastercard</t>
        </is>
      </c>
      <c r="B414" s="142">
        <f>IF(A414="","",_xlfn.XLOOKUP(A414, Company_List!$A:$A, Company_List!$B:$B, ""))</f>
        <v/>
      </c>
      <c r="C414" s="143" t="n">
        <v>2025</v>
      </c>
      <c r="D414" s="143" t="inlineStr">
        <is>
          <t>Q4</t>
        </is>
      </c>
      <c r="E414" s="98" t="inlineStr">
        <is>
          <t>All</t>
        </is>
      </c>
      <c r="F414" s="98" t="inlineStr">
        <is>
          <t>All</t>
        </is>
      </c>
      <c r="G414" s="143" t="inlineStr">
        <is>
          <t>David</t>
        </is>
      </c>
      <c r="H414" s="106" t="inlineStr">
        <is>
          <t>Human</t>
        </is>
      </c>
      <c r="I414" s="145" t="n">
        <v>0.2</v>
      </c>
      <c r="J414" s="145">
        <f>IF(OR(I414="",Settings!$B$6=""),"",IF(I414&gt;Settings!$B$6,"BUY",IF(I414&lt;-Settings!$B$6,"SELL","HOLD")))</f>
        <v/>
      </c>
      <c r="K414" s="145" t="n">
        <v>27</v>
      </c>
      <c r="L414" s="123" t="n">
        <v>46051</v>
      </c>
      <c r="M414" s="140" t="n">
        <v>46050</v>
      </c>
      <c r="N414" s="147" t="n">
        <v>521.37</v>
      </c>
      <c r="O414" s="140" t="n">
        <v>46051</v>
      </c>
      <c r="P414" s="145" t="n">
        <v>531.79</v>
      </c>
      <c r="Q414" s="151">
        <f>IF(OR(N414="",P414=""),"",ROUND((P414-N414)/N414,4))</f>
        <v/>
      </c>
      <c r="R414" s="118">
        <f>IF(OR(N414="",P414=""),"",IF(Q414&gt;Settings!$B$3/100,"UP",IF(Q414&lt;-Settings!$B$3/100,"DOWN","FLAT")))</f>
        <v/>
      </c>
      <c r="S414" s="118">
        <f>IF(OR(N414="",P414="",J414=""),"",IF(OR(AND(J414="BUY",R414="UP"),AND(J414="SELL",R414="DOWN"),AND(J414="HOLD",R414="FLAT")),"YES","NO"))</f>
        <v/>
      </c>
      <c r="T414" s="119">
        <f>IF(J414="","",IF(J414="BUY",1,IF(J414="SELL",-1,0)))</f>
        <v/>
      </c>
      <c r="U414" s="150">
        <f>IFERROR(IF(OR(J414="",N414="",P414=""),"",IF(T414=0,0,T414*Q414-Settings!$B$4/10000-IF(T414&lt;0,Settings!$B$5/10000,0))),"")</f>
        <v/>
      </c>
      <c r="W414" s="21">
        <f>IF($K414="","",$K414*60)</f>
        <v/>
      </c>
      <c r="X414" s="91">
        <f>IF($A414="","",$A414&amp;"|"&amp;$C414&amp;"|"&amp;$D414)</f>
        <v/>
      </c>
      <c r="Y414" s="91">
        <f>IFERROR(IF($X414="","",INDEX(LLM_Data_Entry!$H$3:$H$548,MATCH($X414,INDEX(LLM_Data_Entry!$A$3:$A$548&amp;"|"&amp;LLM_Data_Entry!$C$3:$C$548&amp;"|"&amp;LLM_Data_Entry!$D$3:$D$548,0),0))),"")</f>
        <v/>
      </c>
      <c r="Z414" s="91">
        <f>IFERROR(IF($X414="","",INDEX(LLM_Data_Entry!$R$3:$R$548,MATCH($X414,INDEX(LLM_Data_Entry!$A$3:$A$548&amp;"|"&amp;LLM_Data_Entry!$C$3:$C$548&amp;"|"&amp;LLM_Data_Entry!$D$3:$D$548,0),0))),"")</f>
        <v/>
      </c>
      <c r="AB414" t="inlineStr">
        <is>
          <t>price signal, re-derived — only this window shows an abnormal move</t>
        </is>
      </c>
      <c r="AC414" t="inlineStr">
        <is>
          <t>MA</t>
        </is>
      </c>
      <c r="AD414" t="inlineStr">
        <is>
          <t>2026-01-28</t>
        </is>
      </c>
      <c r="AE414" t="n">
        <v>519.6046</v>
      </c>
      <c r="AF414" t="inlineStr">
        <is>
          <t>2026-01-29</t>
        </is>
      </c>
      <c r="AG414" t="n">
        <v>529.9892</v>
      </c>
      <c r="AH414" t="n">
        <v>0.01998571864012226</v>
      </c>
      <c r="AI414" t="inlineStr">
        <is>
          <t>FLAT</t>
        </is>
      </c>
      <c r="AJ414" t="inlineStr">
        <is>
          <t>YES</t>
        </is>
      </c>
      <c r="AK414" t="n">
        <v>0</v>
      </c>
      <c r="AL414">
        <f>IF($A414="","",IFERROR(INDEX(Company_List!$G$3:$G$207,MATCH($A414,Company_List!$A$3:$A$207,0)),"unassigned"))</f>
        <v/>
      </c>
      <c r="AM414" t="inlineStr">
        <is>
          <t>Phase 2/Mastercard/2025-Q4/MA-2025-Q4-press-release-SEC-EX-99-1.htm; Phase 2/Mastercard/2025-Q4/MA-2025-Q4-earnings-call-transcript-fool-com.html</t>
        </is>
      </c>
      <c r="AN414" t="inlineStr">
        <is>
          <t>https://www.fool.com/earnings/call-transcripts/2026/01/29/mastercard-ma-q4-2025-earnings-call-transcript/; https://www.sec.gov/Archives/edgar/data/1141391/000114139126000003/ma12312025-exx991xearnings.htm</t>
        </is>
      </c>
      <c r="AO414" t="inlineStr">
        <is>
          <t>manifest (whole bundle)</t>
        </is>
      </c>
      <c r="AP414">
        <f>IF($A414="","",IF(COUNTIFS(LLM_Data_Entry!$A$3:$A$548,$A414)&gt;0,"YES","NO"))</f>
        <v/>
      </c>
      <c r="AQ414">
        <f>IF($A414="","",IF(COUNTIFS($A$3:$A414,$A414,$C$3:$C414,$C414,$D$3:$D414,$D414)=1,"YES","NO"))</f>
        <v/>
      </c>
      <c r="AR414">
        <f>IF($A414="","",IF(AND($C414&amp;"-"&amp;$D414&gt;=Settings!$B$19,$C414&amp;"-"&amp;$D414&lt;=Settings!$B$20),"IN","OUT"))</f>
        <v/>
      </c>
      <c r="AS414">
        <f>IF($A414="","",IF($F414="Financial Results","financials",IF($F414="Outlook/Guidance","guidance",IF($F414="Transcript Q&amp;A","qanda",IF($F414="","unrecorded",IF($E414="All","full",IF($E414="","unrecorded",LOWER($E414)&amp;" only")))))))</f>
        <v/>
      </c>
      <c r="AT414">
        <f>IF(AND(OR($J414="BUY",$J414="SELL"),ISNUMBER($U414)),$U414,"")</f>
        <v/>
      </c>
      <c r="AU414">
        <f>IF(AND(OR($J414="BUY",$J414="SELL"),ISNUMBER($AK414)),$AK414,"")</f>
        <v/>
      </c>
      <c r="AV414">
        <f>IF(ISNUMBER($AT414),ABS(IF(ISNUMBER($I414),$I414,0)-Settings!$B$24),"")</f>
        <v/>
      </c>
      <c r="AW414">
        <f>IF(ISNUMBER($AV414),$AV414*$AT414,"")</f>
        <v/>
      </c>
      <c r="AX414">
        <f>IF(ISNUMBER($AU414),ABS(IF(ISNUMBER($I414),$I414,0)-Settings!$B$24),"")</f>
        <v/>
      </c>
      <c r="AY414">
        <f>IF(ISNUMBER($AX414),$AX414*$AU414,"")</f>
        <v/>
      </c>
      <c r="AZ414">
        <f>IF($A414="","",IFERROR(INDEX(Company_List!$H$3:$H$207,MATCH($A414,Company_List!$A$3:$A$207,0)),"unassigned"))</f>
        <v/>
      </c>
      <c r="BA414" t="n">
        <v>2</v>
      </c>
      <c r="BB414" t="n">
        <v>2</v>
      </c>
      <c r="BC414">
        <f>IF($A414="","",IF(COUNTIFS($A$3:$A414,$A414,$C$3:$C414,$C414,$D$3:$D414,$D414,$G$3:$G414,$G414)=1,1,0))</f>
        <v/>
      </c>
      <c r="BD414" t="n">
        <v>25</v>
      </c>
      <c r="BE414" t="n">
        <v>27</v>
      </c>
      <c r="BF414" t="n">
        <v>0.15</v>
      </c>
      <c r="BG414" t="inlineStr">
        <is>
          <t>no</t>
        </is>
      </c>
      <c r="BH414" t="inlineStr">
        <is>
          <t>no</t>
        </is>
      </c>
      <c r="BI414" t="inlineStr">
        <is>
          <t>Volume growth is never the surprise here; the surprise is al</t>
        </is>
      </c>
      <c r="BJ414" t="inlineStr">
        <is>
          <t>66 mastercard q42025 qanda.pdf</t>
        </is>
      </c>
      <c r="BK414">
        <f>IF(OR($H414&lt;&gt;"Human",$S414="",$J414="",$Y414="",$Z414=""),"",IF(EXACT(UPPER($J414),UPPER($Y414)),1,0))</f>
        <v/>
      </c>
      <c r="BL414" t="inlineStr">
        <is>
          <t>attested - rater record</t>
        </is>
      </c>
      <c r="BM414" t="n">
        <v>2</v>
      </c>
      <c r="BN414" t="inlineStr">
        <is>
          <t>The Motley Fool</t>
        </is>
      </c>
      <c r="BO414" t="inlineStr">
        <is>
          <t>free to read, copyright asserted</t>
        </is>
      </c>
      <c r="BP414" t="inlineStr">
        <is>
          <t>no</t>
        </is>
      </c>
      <c r="BQ414" t="inlineStr">
        <is>
          <t>yes</t>
        </is>
      </c>
    </row>
    <row r="415">
      <c r="A415" s="1" t="inlineStr">
        <is>
          <t>Mastercard</t>
        </is>
      </c>
      <c r="B415" s="142">
        <f>IF(A415="","",_xlfn.XLOOKUP(A415, Company_List!$A:$A, Company_List!$B:$B, ""))</f>
        <v/>
      </c>
      <c r="C415" s="143" t="n">
        <v>2026</v>
      </c>
      <c r="D415" s="143" t="inlineStr">
        <is>
          <t>Q1</t>
        </is>
      </c>
      <c r="E415" s="98" t="inlineStr">
        <is>
          <t>All</t>
        </is>
      </c>
      <c r="F415" s="98" t="inlineStr">
        <is>
          <t>All</t>
        </is>
      </c>
      <c r="G415" s="143" t="inlineStr">
        <is>
          <t>David</t>
        </is>
      </c>
      <c r="H415" s="106" t="inlineStr">
        <is>
          <t>Human</t>
        </is>
      </c>
      <c r="I415" s="145" t="n">
        <v>0.15</v>
      </c>
      <c r="J415" s="145">
        <f>IF(OR(I415="",Settings!$B$6=""),"",IF(I415&gt;Settings!$B$6,"BUY",IF(I415&lt;-Settings!$B$6,"SELL","HOLD")))</f>
        <v/>
      </c>
      <c r="K415" s="145" t="n">
        <v>34</v>
      </c>
      <c r="L415" s="123" t="n">
        <v>46142</v>
      </c>
      <c r="M415" s="140" t="n">
        <v>46141</v>
      </c>
      <c r="N415" s="147" t="n">
        <v>525.23</v>
      </c>
      <c r="O415" s="140" t="n">
        <v>46142</v>
      </c>
      <c r="P415" s="145" t="n">
        <v>504.5</v>
      </c>
      <c r="Q415" s="151">
        <f>IF(OR(N415="",P415=""),"",ROUND((P415-N415)/N415,4))</f>
        <v/>
      </c>
      <c r="R415" s="118">
        <f>IF(OR(N415="",P415=""),"",IF(Q415&gt;Settings!$B$3/100,"UP",IF(Q415&lt;-Settings!$B$3/100,"DOWN","FLAT")))</f>
        <v/>
      </c>
      <c r="S415" s="118">
        <f>IF(OR(N415="",P415="",J415=""),"",IF(OR(AND(J415="BUY",R415="UP"),AND(J415="SELL",R415="DOWN"),AND(J415="HOLD",R415="FLAT")),"YES","NO"))</f>
        <v/>
      </c>
      <c r="T415" s="119">
        <f>IF(J415="","",IF(J415="BUY",1,IF(J415="SELL",-1,0)))</f>
        <v/>
      </c>
      <c r="U415" s="150">
        <f>IFERROR(IF(OR(J415="",N415="",P415=""),"",IF(T415=0,0,T415*Q415-Settings!$B$4/10000-IF(T415&lt;0,Settings!$B$5/10000,0))),"")</f>
        <v/>
      </c>
      <c r="W415" s="21">
        <f>IF($K415="","",$K415*60)</f>
        <v/>
      </c>
      <c r="X415" s="91">
        <f>IF($A415="","",$A415&amp;"|"&amp;$C415&amp;"|"&amp;$D415)</f>
        <v/>
      </c>
      <c r="Y415" s="91">
        <f>IFERROR(IF($X415="","",INDEX(LLM_Data_Entry!$H$3:$H$548,MATCH($X415,INDEX(LLM_Data_Entry!$A$3:$A$548&amp;"|"&amp;LLM_Data_Entry!$C$3:$C$548&amp;"|"&amp;LLM_Data_Entry!$D$3:$D$548,0),0))),"")</f>
        <v/>
      </c>
      <c r="Z415" s="91">
        <f>IFERROR(IF($X415="","",INDEX(LLM_Data_Entry!$R$3:$R$548,MATCH($X415,INDEX(LLM_Data_Entry!$A$3:$A$548&amp;"|"&amp;LLM_Data_Entry!$C$3:$C$548&amp;"|"&amp;LLM_Data_Entry!$D$3:$D$548,0),0))),"")</f>
        <v/>
      </c>
      <c r="AB415" t="inlineStr">
        <is>
          <t>price signal, re-derived — only this window shows an abnormal move</t>
        </is>
      </c>
      <c r="AC415" t="inlineStr">
        <is>
          <t>MA</t>
        </is>
      </c>
      <c r="AD415" t="inlineStr">
        <is>
          <t>2026-04-29</t>
        </is>
      </c>
      <c r="AE415" t="n">
        <v>524.351</v>
      </c>
      <c r="AF415" t="inlineStr">
        <is>
          <t>2026-04-30</t>
        </is>
      </c>
      <c r="AG415" t="n">
        <v>503.6557</v>
      </c>
      <c r="AH415" t="n">
        <v>-0.03946841069869604</v>
      </c>
      <c r="AI415" t="inlineStr">
        <is>
          <t>DOWN</t>
        </is>
      </c>
      <c r="AJ415" t="inlineStr">
        <is>
          <t>NO</t>
        </is>
      </c>
      <c r="AK415" t="n">
        <v>0</v>
      </c>
      <c r="AL415">
        <f>IF($A415="","",IFERROR(INDEX(Company_List!$G$3:$G$207,MATCH($A415,Company_List!$A$3:$A$207,0)),"unassigned"))</f>
        <v/>
      </c>
      <c r="AM415" t="inlineStr">
        <is>
          <t>Phase 2/Mastercard/2026-Q1/MA-2026-Q1-press-release-SEC-EX-99-1.htm</t>
        </is>
      </c>
      <c r="AN415" t="inlineStr">
        <is>
          <t>https://www.sec.gov/Archives/edgar/data/1141391/000114139126000029/ma03312026-exx991xearnings.htm</t>
        </is>
      </c>
      <c r="AO415" t="inlineStr">
        <is>
          <t>manifest</t>
        </is>
      </c>
      <c r="AP415">
        <f>IF($A415="","",IF(COUNTIFS(LLM_Data_Entry!$A$3:$A$548,$A415)&gt;0,"YES","NO"))</f>
        <v/>
      </c>
      <c r="AQ415">
        <f>IF($A415="","",IF(COUNTIFS($A$3:$A415,$A415,$C$3:$C415,$C415,$D$3:$D415,$D415)=1,"YES","NO"))</f>
        <v/>
      </c>
      <c r="AR415">
        <f>IF($A415="","",IF(AND($C415&amp;"-"&amp;$D415&gt;=Settings!$B$19,$C415&amp;"-"&amp;$D415&lt;=Settings!$B$20),"IN","OUT"))</f>
        <v/>
      </c>
      <c r="AS415">
        <f>IF($A415="","",IF($F415="Financial Results","financials",IF($F415="Outlook/Guidance","guidance",IF($F415="Transcript Q&amp;A","qanda",IF($F415="","unrecorded",IF($E415="All","full",IF($E415="","unrecorded",LOWER($E415)&amp;" only")))))))</f>
        <v/>
      </c>
      <c r="AT415">
        <f>IF(AND(OR($J415="BUY",$J415="SELL"),ISNUMBER($U415)),$U415,"")</f>
        <v/>
      </c>
      <c r="AU415">
        <f>IF(AND(OR($J415="BUY",$J415="SELL"),ISNUMBER($AK415)),$AK415,"")</f>
        <v/>
      </c>
      <c r="AV415">
        <f>IF(ISNUMBER($AT415),ABS(IF(ISNUMBER($I415),$I415,0)-Settings!$B$24),"")</f>
        <v/>
      </c>
      <c r="AW415">
        <f>IF(ISNUMBER($AV415),$AV415*$AT415,"")</f>
        <v/>
      </c>
      <c r="AX415">
        <f>IF(ISNUMBER($AU415),ABS(IF(ISNUMBER($I415),$I415,0)-Settings!$B$24),"")</f>
        <v/>
      </c>
      <c r="AY415">
        <f>IF(ISNUMBER($AX415),$AX415*$AU415,"")</f>
        <v/>
      </c>
      <c r="AZ415">
        <f>IF($A415="","",IFERROR(INDEX(Company_List!$H$3:$H$207,MATCH($A415,Company_List!$A$3:$A$207,0)),"unassigned"))</f>
        <v/>
      </c>
      <c r="BA415" t="n">
        <v>1</v>
      </c>
      <c r="BB415" t="n">
        <v>1</v>
      </c>
      <c r="BC415">
        <f>IF($A415="","",IF(COUNTIFS($A$3:$A415,$A415,$C$3:$C415,$C415,$D$3:$D415,$D415,$G$3:$G415,$G415)=1,1,0))</f>
        <v/>
      </c>
      <c r="BD415" t="n">
        <v>34</v>
      </c>
      <c r="BG415" t="inlineStr">
        <is>
          <t>no</t>
        </is>
      </c>
      <c r="BH415" t="inlineStr">
        <is>
          <t>no</t>
        </is>
      </c>
      <c r="BI415" t="inlineStr">
        <is>
          <t>Volume growth is never the surprise here; the surprise is al</t>
        </is>
      </c>
      <c r="BJ415" t="inlineStr">
        <is>
          <t>67 mastercard q12026 full.pdf</t>
        </is>
      </c>
      <c r="BK415">
        <f>IF(OR($H415&lt;&gt;"Human",$S415="",$J415="",$Y415="",$Z415=""),"",IF(EXACT(UPPER($J415),UPPER($Y415)),1,0))</f>
        <v/>
      </c>
      <c r="BL415" t="inlineStr">
        <is>
          <t>attested - rater record</t>
        </is>
      </c>
      <c r="BM415" t="n">
        <v>1</v>
      </c>
      <c r="BN415" t="inlineStr">
        <is>
          <t>not publisher-identified</t>
        </is>
      </c>
      <c r="BO415" t="inlineStr">
        <is>
          <t>not publisher-identified</t>
        </is>
      </c>
      <c r="BP415" t="inlineStr">
        <is>
          <t>no</t>
        </is>
      </c>
      <c r="BQ415" t="inlineStr">
        <is>
          <t>yes</t>
        </is>
      </c>
    </row>
    <row r="416">
      <c r="A416" s="1" t="inlineStr">
        <is>
          <t>Shell</t>
        </is>
      </c>
      <c r="B416" s="142">
        <f>IF(A416="","",_xlfn.XLOOKUP(A416, Company_List!$A:$A, Company_List!$B:$B, ""))</f>
        <v/>
      </c>
      <c r="C416" s="143" t="n">
        <v>2025</v>
      </c>
      <c r="D416" s="143" t="inlineStr">
        <is>
          <t>Q2</t>
        </is>
      </c>
      <c r="E416" s="98" t="inlineStr">
        <is>
          <t>Financial Statement</t>
        </is>
      </c>
      <c r="F416" s="98" t="inlineStr">
        <is>
          <t>Financial Results</t>
        </is>
      </c>
      <c r="G416" s="143" t="inlineStr">
        <is>
          <t>David</t>
        </is>
      </c>
      <c r="H416" s="106" t="inlineStr">
        <is>
          <t>Human</t>
        </is>
      </c>
      <c r="I416" s="145" t="n">
        <v>0.3</v>
      </c>
      <c r="J416" s="145">
        <f>IF(OR(I416="",Settings!$B$6=""),"",IF(I416&gt;Settings!$B$6,"BUY",IF(I416&lt;-Settings!$B$6,"SELL","HOLD")))</f>
        <v/>
      </c>
      <c r="K416" s="145" t="n">
        <v>24</v>
      </c>
      <c r="L416" s="123" t="n">
        <v>45869</v>
      </c>
      <c r="M416" s="140" t="n">
        <v>45868</v>
      </c>
      <c r="N416" s="147" t="n">
        <v>71.72</v>
      </c>
      <c r="O416" s="140" t="n">
        <v>45869</v>
      </c>
      <c r="P416" s="145" t="n">
        <v>71.56</v>
      </c>
      <c r="Q416" s="151">
        <f>IF(OR(N416="",P416=""),"",ROUND((P416-N416)/N416,4))</f>
        <v/>
      </c>
      <c r="R416" s="118">
        <f>IF(OR(N416="",P416=""),"",IF(Q416&gt;Settings!$B$3/100,"UP",IF(Q416&lt;-Settings!$B$3/100,"DOWN","FLAT")))</f>
        <v/>
      </c>
      <c r="S416" s="118">
        <f>IF(OR(N416="",P416="",J416=""),"",IF(OR(AND(J416="BUY",R416="UP"),AND(J416="SELL",R416="DOWN"),AND(J416="HOLD",R416="FLAT")),"YES","NO"))</f>
        <v/>
      </c>
      <c r="T416" s="119">
        <f>IF(J416="","",IF(J416="BUY",1,IF(J416="SELL",-1,0)))</f>
        <v/>
      </c>
      <c r="U416" s="150">
        <f>IFERROR(IF(OR(J416="",N416="",P416=""),"",IF(T416=0,0,T416*Q416-Settings!$B$4/10000-IF(T416&lt;0,Settings!$B$5/10000,0))),"")</f>
        <v/>
      </c>
      <c r="W416" s="21">
        <f>IF($K416="","",$K416*60)</f>
        <v/>
      </c>
      <c r="X416" s="91">
        <f>IF($A416="","",$A416&amp;"|"&amp;$C416&amp;"|"&amp;$D416)</f>
        <v/>
      </c>
      <c r="Y416" s="91">
        <f>IFERROR(IF($X416="","",INDEX(LLM_Data_Entry!$H$3:$H$548,MATCH($X416,INDEX(LLM_Data_Entry!$A$3:$A$548&amp;"|"&amp;LLM_Data_Entry!$C$3:$C$548&amp;"|"&amp;LLM_Data_Entry!$D$3:$D$548,0),0))),"")</f>
        <v/>
      </c>
      <c r="Z416" s="91">
        <f>IFERROR(IF($X416="","",INDEX(LLM_Data_Entry!$R$3:$R$548,MATCH($X416,INDEX(LLM_Data_Entry!$A$3:$A$548&amp;"|"&amp;LLM_Data_Entry!$C$3:$C$548&amp;"|"&amp;LLM_Data_Entry!$D$3:$D$548,0),0))),"")</f>
        <v/>
      </c>
      <c r="AB416" t="inlineStr">
        <is>
          <t>release time published by the issuer (section C)</t>
        </is>
      </c>
      <c r="AC416" t="inlineStr">
        <is>
          <t>SHEL.L</t>
        </is>
      </c>
      <c r="AD416" t="inlineStr">
        <is>
          <t>2025-07-30</t>
        </is>
      </c>
      <c r="AE416" t="n">
        <v>2677.9905</v>
      </c>
      <c r="AF416" t="inlineStr">
        <is>
          <t>2025-07-31</t>
        </is>
      </c>
      <c r="AG416" t="n">
        <v>2719.4749</v>
      </c>
      <c r="AH416" t="n">
        <v>0.01549089057567488</v>
      </c>
      <c r="AI416" t="inlineStr">
        <is>
          <t>FLAT</t>
        </is>
      </c>
      <c r="AJ416" t="inlineStr">
        <is>
          <t>NO</t>
        </is>
      </c>
      <c r="AK416" t="n">
        <v>0.014491</v>
      </c>
      <c r="AL416">
        <f>IF($A416="","",IFERROR(INDEX(Company_List!$G$3:$G$207,MATCH($A416,Company_List!$A$3:$A$207,0)),"unassigned"))</f>
        <v/>
      </c>
      <c r="AM416" t="inlineStr">
        <is>
          <t>Phase 2/SHELL/2025-Q2/SHEL-2025-Q2-quarterly-financial-statements-shell-com.pdf</t>
        </is>
      </c>
      <c r="AN416" t="inlineStr">
        <is>
          <t>https://www.shell.com/ (Q2 2025 quarterly results announcement)</t>
        </is>
      </c>
      <c r="AO416" t="inlineStr">
        <is>
          <t>manifest</t>
        </is>
      </c>
      <c r="AP416">
        <f>IF($A416="","",IF(COUNTIFS(LLM_Data_Entry!$A$3:$A$548,$A416)&gt;0,"YES","NO"))</f>
        <v/>
      </c>
      <c r="AQ416">
        <f>IF($A416="","",IF(COUNTIFS($A$3:$A416,$A416,$C$3:$C416,$C416,$D$3:$D416,$D416)=1,"YES","NO"))</f>
        <v/>
      </c>
      <c r="AR416">
        <f>IF($A416="","",IF(AND($C416&amp;"-"&amp;$D416&gt;=Settings!$B$19,$C416&amp;"-"&amp;$D416&lt;=Settings!$B$20),"IN","OUT"))</f>
        <v/>
      </c>
      <c r="AS416">
        <f>IF($A416="","",IF($F416="Financial Results","financials",IF($F416="Outlook/Guidance","guidance",IF($F416="Transcript Q&amp;A","qanda",IF($F416="","unrecorded",IF($E416="All","full",IF($E416="","unrecorded",LOWER($E416)&amp;" only")))))))</f>
        <v/>
      </c>
      <c r="AT416">
        <f>IF(AND(OR($J416="BUY",$J416="SELL"),ISNUMBER($U416)),$U416,"")</f>
        <v/>
      </c>
      <c r="AU416">
        <f>IF(AND(OR($J416="BUY",$J416="SELL"),ISNUMBER($AK416)),$AK416,"")</f>
        <v/>
      </c>
      <c r="AV416">
        <f>IF(ISNUMBER($AT416),ABS(IF(ISNUMBER($I416),$I416,0)-Settings!$B$24),"")</f>
        <v/>
      </c>
      <c r="AW416">
        <f>IF(ISNUMBER($AV416),$AV416*$AT416,"")</f>
        <v/>
      </c>
      <c r="AX416">
        <f>IF(ISNUMBER($AU416),ABS(IF(ISNUMBER($I416),$I416,0)-Settings!$B$24),"")</f>
        <v/>
      </c>
      <c r="AY416">
        <f>IF(ISNUMBER($AX416),$AX416*$AU416,"")</f>
        <v/>
      </c>
      <c r="AZ416">
        <f>IF($A416="","",IFERROR(INDEX(Company_List!$H$3:$H$207,MATCH($A416,Company_List!$A$3:$A$207,0)),"unassigned"))</f>
        <v/>
      </c>
      <c r="BA416" t="n">
        <v>1</v>
      </c>
      <c r="BB416" t="n">
        <v>2</v>
      </c>
      <c r="BC416">
        <f>IF($A416="","",IF(COUNTIFS($A$3:$A416,$A416,$C$3:$C416,$C416,$D$3:$D416,$D416,$G$3:$G416,$G416)=1,1,0))</f>
        <v/>
      </c>
      <c r="BD416" t="n">
        <v>24</v>
      </c>
      <c r="BE416" t="n">
        <v>28</v>
      </c>
      <c r="BF416" t="n">
        <v>0.3</v>
      </c>
      <c r="BG416" t="inlineStr">
        <is>
          <t>no</t>
        </is>
      </c>
      <c r="BH416" t="inlineStr">
        <is>
          <t>no</t>
        </is>
      </c>
      <c r="BI416" t="inlineStr">
        <is>
          <t>Trading and the buyback pace move this more than the upstrea</t>
        </is>
      </c>
      <c r="BJ416" t="inlineStr">
        <is>
          <t>68 shell q22025 financials.pdf</t>
        </is>
      </c>
      <c r="BK416">
        <f>IF(OR($H416&lt;&gt;"Human",$S416="",$J416="",$Y416="",$Z416=""),"",IF(EXACT(UPPER($J416),UPPER($Y416)),1,0))</f>
        <v/>
      </c>
      <c r="BL416" t="inlineStr">
        <is>
          <t>attested - rater record</t>
        </is>
      </c>
      <c r="BM416" t="n">
        <v>1</v>
      </c>
      <c r="BN416" t="inlineStr">
        <is>
          <t>not publisher-identified</t>
        </is>
      </c>
      <c r="BO416" t="inlineStr">
        <is>
          <t>not publisher-identified</t>
        </is>
      </c>
      <c r="BP416" t="inlineStr">
        <is>
          <t>no</t>
        </is>
      </c>
      <c r="BQ416" t="inlineStr">
        <is>
          <t>yes</t>
        </is>
      </c>
    </row>
    <row r="417">
      <c r="A417" s="1" t="inlineStr">
        <is>
          <t>Shell</t>
        </is>
      </c>
      <c r="B417" s="142">
        <f>IF(A417="","",_xlfn.XLOOKUP(A417, Company_List!$A:$A, Company_List!$B:$B, ""))</f>
        <v/>
      </c>
      <c r="C417" s="143" t="n">
        <v>2025</v>
      </c>
      <c r="D417" s="143" t="inlineStr">
        <is>
          <t>Q2</t>
        </is>
      </c>
      <c r="E417" s="98" t="inlineStr">
        <is>
          <t>All</t>
        </is>
      </c>
      <c r="F417" s="98" t="inlineStr">
        <is>
          <t>All</t>
        </is>
      </c>
      <c r="G417" s="143" t="inlineStr">
        <is>
          <t>David</t>
        </is>
      </c>
      <c r="H417" s="106" t="inlineStr">
        <is>
          <t>Human</t>
        </is>
      </c>
      <c r="I417" s="145" t="n">
        <v>0.15</v>
      </c>
      <c r="J417" s="145">
        <f>IF(OR(I417="",Settings!$B$6=""),"",IF(I417&gt;Settings!$B$6,"BUY",IF(I417&lt;-Settings!$B$6,"SELL","HOLD")))</f>
        <v/>
      </c>
      <c r="K417" s="145" t="n">
        <v>28</v>
      </c>
      <c r="L417" s="123" t="n">
        <v>45869</v>
      </c>
      <c r="M417" s="140" t="n">
        <v>45868</v>
      </c>
      <c r="N417" s="147" t="n">
        <v>71.72</v>
      </c>
      <c r="O417" s="140" t="n">
        <v>45869</v>
      </c>
      <c r="P417" s="145" t="n">
        <v>71.56</v>
      </c>
      <c r="Q417" s="151">
        <f>IF(OR(N417="",P417=""),"",ROUND((P417-N417)/N417,4))</f>
        <v/>
      </c>
      <c r="R417" s="118">
        <f>IF(OR(N417="",P417=""),"",IF(Q417&gt;Settings!$B$3/100,"UP",IF(Q417&lt;-Settings!$B$3/100,"DOWN","FLAT")))</f>
        <v/>
      </c>
      <c r="S417" s="118">
        <f>IF(OR(N417="",P417="",J417=""),"",IF(OR(AND(J417="BUY",R417="UP"),AND(J417="SELL",R417="DOWN"),AND(J417="HOLD",R417="FLAT")),"YES","NO"))</f>
        <v/>
      </c>
      <c r="T417" s="119">
        <f>IF(J417="","",IF(J417="BUY",1,IF(J417="SELL",-1,0)))</f>
        <v/>
      </c>
      <c r="U417" s="150">
        <f>IFERROR(IF(OR(J417="",N417="",P417=""),"",IF(T417=0,0,T417*Q417-Settings!$B$4/10000-IF(T417&lt;0,Settings!$B$5/10000,0))),"")</f>
        <v/>
      </c>
      <c r="W417" s="21">
        <f>IF($K417="","",$K417*60)</f>
        <v/>
      </c>
      <c r="X417" s="91">
        <f>IF($A417="","",$A417&amp;"|"&amp;$C417&amp;"|"&amp;$D417)</f>
        <v/>
      </c>
      <c r="Y417" s="91">
        <f>IFERROR(IF($X417="","",INDEX(LLM_Data_Entry!$H$3:$H$548,MATCH($X417,INDEX(LLM_Data_Entry!$A$3:$A$548&amp;"|"&amp;LLM_Data_Entry!$C$3:$C$548&amp;"|"&amp;LLM_Data_Entry!$D$3:$D$548,0),0))),"")</f>
        <v/>
      </c>
      <c r="Z417" s="91">
        <f>IFERROR(IF($X417="","",INDEX(LLM_Data_Entry!$R$3:$R$548,MATCH($X417,INDEX(LLM_Data_Entry!$A$3:$A$548&amp;"|"&amp;LLM_Data_Entry!$C$3:$C$548&amp;"|"&amp;LLM_Data_Entry!$D$3:$D$548,0),0))),"")</f>
        <v/>
      </c>
      <c r="AB417" t="inlineStr">
        <is>
          <t>release time published by the issuer (section C)</t>
        </is>
      </c>
      <c r="AC417" t="inlineStr">
        <is>
          <t>SHEL.L</t>
        </is>
      </c>
      <c r="AD417" t="inlineStr">
        <is>
          <t>2025-07-30</t>
        </is>
      </c>
      <c r="AE417" t="n">
        <v>2677.9905</v>
      </c>
      <c r="AF417" t="inlineStr">
        <is>
          <t>2025-07-31</t>
        </is>
      </c>
      <c r="AG417" t="n">
        <v>2719.4749</v>
      </c>
      <c r="AH417" t="n">
        <v>0.01549089057567488</v>
      </c>
      <c r="AI417" t="inlineStr">
        <is>
          <t>FLAT</t>
        </is>
      </c>
      <c r="AJ417" t="inlineStr">
        <is>
          <t>YES</t>
        </is>
      </c>
      <c r="AK417" t="n">
        <v>0</v>
      </c>
      <c r="AL417">
        <f>IF($A417="","",IFERROR(INDEX(Company_List!$G$3:$G$207,MATCH($A417,Company_List!$A$3:$A$207,0)),"unassigned"))</f>
        <v/>
      </c>
      <c r="AM417" t="inlineStr">
        <is>
          <t>Phase 2/SHELL/2025-Q2/SHEL-2025-Q2-press-release-SEC-EX-99-1.htm; Phase 2/SHELL/2025-Q2/SHEL-2025-Q2-quarterly-financial-statements-shell-com.pdf</t>
        </is>
      </c>
      <c r="AN417" t="inlineStr">
        <is>
          <t>https://www.sec.gov/Archives/edgar/data/1306965/000130696525000031/q22025exhibit991.htm; https://www.shell.com/ (Q2 2025 quarterly results announcement)</t>
        </is>
      </c>
      <c r="AO417" t="inlineStr">
        <is>
          <t>manifest (whole bundle)</t>
        </is>
      </c>
      <c r="AP417">
        <f>IF($A417="","",IF(COUNTIFS(LLM_Data_Entry!$A$3:$A$548,$A417)&gt;0,"YES","NO"))</f>
        <v/>
      </c>
      <c r="AQ417">
        <f>IF($A417="","",IF(COUNTIFS($A$3:$A417,$A417,$C$3:$C417,$C417,$D$3:$D417,$D417)=1,"YES","NO"))</f>
        <v/>
      </c>
      <c r="AR417">
        <f>IF($A417="","",IF(AND($C417&amp;"-"&amp;$D417&gt;=Settings!$B$19,$C417&amp;"-"&amp;$D417&lt;=Settings!$B$20),"IN","OUT"))</f>
        <v/>
      </c>
      <c r="AS417">
        <f>IF($A417="","",IF($F417="Financial Results","financials",IF($F417="Outlook/Guidance","guidance",IF($F417="Transcript Q&amp;A","qanda",IF($F417="","unrecorded",IF($E417="All","full",IF($E417="","unrecorded",LOWER($E417)&amp;" only")))))))</f>
        <v/>
      </c>
      <c r="AT417">
        <f>IF(AND(OR($J417="BUY",$J417="SELL"),ISNUMBER($U417)),$U417,"")</f>
        <v/>
      </c>
      <c r="AU417">
        <f>IF(AND(OR($J417="BUY",$J417="SELL"),ISNUMBER($AK417)),$AK417,"")</f>
        <v/>
      </c>
      <c r="AV417">
        <f>IF(ISNUMBER($AT417),ABS(IF(ISNUMBER($I417),$I417,0)-Settings!$B$24),"")</f>
        <v/>
      </c>
      <c r="AW417">
        <f>IF(ISNUMBER($AV417),$AV417*$AT417,"")</f>
        <v/>
      </c>
      <c r="AX417">
        <f>IF(ISNUMBER($AU417),ABS(IF(ISNUMBER($I417),$I417,0)-Settings!$B$24),"")</f>
        <v/>
      </c>
      <c r="AY417">
        <f>IF(ISNUMBER($AX417),$AX417*$AU417,"")</f>
        <v/>
      </c>
      <c r="AZ417">
        <f>IF($A417="","",IFERROR(INDEX(Company_List!$H$3:$H$207,MATCH($A417,Company_List!$A$3:$A$207,0)),"unassigned"))</f>
        <v/>
      </c>
      <c r="BA417" t="n">
        <v>2</v>
      </c>
      <c r="BB417" t="n">
        <v>2</v>
      </c>
      <c r="BC417">
        <f>IF($A417="","",IF(COUNTIFS($A$3:$A417,$A417,$C$3:$C417,$C417,$D$3:$D417,$D417,$G$3:$G417,$G417)=1,1,0))</f>
        <v/>
      </c>
      <c r="BD417" t="n">
        <v>24</v>
      </c>
      <c r="BE417" t="n">
        <v>28</v>
      </c>
      <c r="BF417" t="n">
        <v>0.3</v>
      </c>
      <c r="BG417" t="inlineStr">
        <is>
          <t>no</t>
        </is>
      </c>
      <c r="BH417" t="inlineStr">
        <is>
          <t>no</t>
        </is>
      </c>
      <c r="BI417" t="inlineStr">
        <is>
          <t>Trading and the buyback pace move this more than the upstrea</t>
        </is>
      </c>
      <c r="BJ417" t="inlineStr">
        <is>
          <t>68 shell q22025 financials.pdf</t>
        </is>
      </c>
      <c r="BK417">
        <f>IF(OR($H417&lt;&gt;"Human",$S417="",$J417="",$Y417="",$Z417=""),"",IF(EXACT(UPPER($J417),UPPER($Y417)),1,0))</f>
        <v/>
      </c>
      <c r="BL417" t="inlineStr">
        <is>
          <t>attested - rater record</t>
        </is>
      </c>
      <c r="BM417" t="n">
        <v>2</v>
      </c>
      <c r="BN417" t="inlineStr">
        <is>
          <t>not publisher-identified</t>
        </is>
      </c>
      <c r="BO417" t="inlineStr">
        <is>
          <t>not publisher-identified</t>
        </is>
      </c>
      <c r="BP417" t="inlineStr">
        <is>
          <t>no</t>
        </is>
      </c>
      <c r="BQ417" t="inlineStr">
        <is>
          <t>yes</t>
        </is>
      </c>
    </row>
    <row r="418">
      <c r="A418" s="1" t="inlineStr">
        <is>
          <t>Shell</t>
        </is>
      </c>
      <c r="B418" s="142">
        <f>IF(A418="","",_xlfn.XLOOKUP(A418, Company_List!$A:$A, Company_List!$B:$B, ""))</f>
        <v/>
      </c>
      <c r="C418" s="143" t="n">
        <v>2025</v>
      </c>
      <c r="D418" s="143" t="inlineStr">
        <is>
          <t>Q3</t>
        </is>
      </c>
      <c r="E418" s="98" t="inlineStr">
        <is>
          <t>Transcript</t>
        </is>
      </c>
      <c r="F418" s="98" t="inlineStr">
        <is>
          <t>Outlook/Guidance</t>
        </is>
      </c>
      <c r="G418" s="143" t="inlineStr">
        <is>
          <t>David</t>
        </is>
      </c>
      <c r="H418" s="106" t="inlineStr">
        <is>
          <t>Human</t>
        </is>
      </c>
      <c r="I418" s="145" t="n">
        <v>0.05</v>
      </c>
      <c r="J418" s="145">
        <f>IF(OR(I418="",Settings!$B$6=""),"",IF(I418&gt;Settings!$B$6,"BUY",IF(I418&lt;-Settings!$B$6,"SELL","HOLD")))</f>
        <v/>
      </c>
      <c r="K418" s="145" t="n">
        <v>21</v>
      </c>
      <c r="L418" s="123" t="n">
        <v>45960</v>
      </c>
      <c r="M418" s="140" t="n">
        <v>45959</v>
      </c>
      <c r="N418" s="147" t="n">
        <v>75.55</v>
      </c>
      <c r="O418" s="140" t="n">
        <v>45960</v>
      </c>
      <c r="P418" s="145" t="n">
        <v>75.59</v>
      </c>
      <c r="Q418" s="151">
        <f>IF(OR(N418="",P418=""),"",ROUND((P418-N418)/N418,4))</f>
        <v/>
      </c>
      <c r="R418" s="118">
        <f>IF(OR(N418="",P418=""),"",IF(Q418&gt;Settings!$B$3/100,"UP",IF(Q418&lt;-Settings!$B$3/100,"DOWN","FLAT")))</f>
        <v/>
      </c>
      <c r="S418" s="118">
        <f>IF(OR(N418="",P418="",J418=""),"",IF(OR(AND(J418="BUY",R418="UP"),AND(J418="SELL",R418="DOWN"),AND(J418="HOLD",R418="FLAT")),"YES","NO"))</f>
        <v/>
      </c>
      <c r="T418" s="119">
        <f>IF(J418="","",IF(J418="BUY",1,IF(J418="SELL",-1,0)))</f>
        <v/>
      </c>
      <c r="U418" s="150">
        <f>IFERROR(IF(OR(J418="",N418="",P418=""),"",IF(T418=0,0,T418*Q418-Settings!$B$4/10000-IF(T418&lt;0,Settings!$B$5/10000,0))),"")</f>
        <v/>
      </c>
      <c r="W418" s="21">
        <f>IF($K418="","",$K418*60)</f>
        <v/>
      </c>
      <c r="X418" s="91">
        <f>IF($A418="","",$A418&amp;"|"&amp;$C418&amp;"|"&amp;$D418)</f>
        <v/>
      </c>
      <c r="Y418" s="91">
        <f>IFERROR(IF($X418="","",INDEX(LLM_Data_Entry!$H$3:$H$548,MATCH($X418,INDEX(LLM_Data_Entry!$A$3:$A$548&amp;"|"&amp;LLM_Data_Entry!$C$3:$C$548&amp;"|"&amp;LLM_Data_Entry!$D$3:$D$548,0),0))),"")</f>
        <v/>
      </c>
      <c r="Z418" s="91">
        <f>IFERROR(IF($X418="","",INDEX(LLM_Data_Entry!$R$3:$R$548,MATCH($X418,INDEX(LLM_Data_Entry!$A$3:$A$548&amp;"|"&amp;LLM_Data_Entry!$C$3:$C$548&amp;"|"&amp;LLM_Data_Entry!$D$3:$D$548,0),0))),"")</f>
        <v/>
      </c>
      <c r="AB418" t="inlineStr">
        <is>
          <t>release time published by the issuer (section C)</t>
        </is>
      </c>
      <c r="AC418" t="inlineStr">
        <is>
          <t>SHEL.L</t>
        </is>
      </c>
      <c r="AD418" t="inlineStr">
        <is>
          <t>2025-10-29</t>
        </is>
      </c>
      <c r="AE418" t="n">
        <v>2874.7031</v>
      </c>
      <c r="AF418" t="inlineStr">
        <is>
          <t>2025-10-30</t>
        </is>
      </c>
      <c r="AG418" t="n">
        <v>2902.1956</v>
      </c>
      <c r="AH418" t="n">
        <v>0.009563598104023029</v>
      </c>
      <c r="AI418" t="inlineStr">
        <is>
          <t>FLAT</t>
        </is>
      </c>
      <c r="AJ418" t="inlineStr">
        <is>
          <t>YES</t>
        </is>
      </c>
      <c r="AK418" t="n">
        <v>0</v>
      </c>
      <c r="AL418">
        <f>IF($A418="","",IFERROR(INDEX(Company_List!$G$3:$G$207,MATCH($A418,Company_List!$A$3:$A$207,0)),"unassigned"))</f>
        <v/>
      </c>
      <c r="AM418" t="inlineStr">
        <is>
          <t>Phase 2/SHELL/2025-Q3/SHEL-2025-Q3-earnings-call-transcript-shell-com.pdf</t>
        </is>
      </c>
      <c r="AN418" t="inlineStr">
        <is>
          <t>https://www.shell.com/.../q3-2025-speech-transcript.pdf</t>
        </is>
      </c>
      <c r="AO418" t="inlineStr">
        <is>
          <t>manifest</t>
        </is>
      </c>
      <c r="AP418">
        <f>IF($A418="","",IF(COUNTIFS(LLM_Data_Entry!$A$3:$A$548,$A418)&gt;0,"YES","NO"))</f>
        <v/>
      </c>
      <c r="AQ418">
        <f>IF($A418="","",IF(COUNTIFS($A$3:$A418,$A418,$C$3:$C418,$C418,$D$3:$D418,$D418)=1,"YES","NO"))</f>
        <v/>
      </c>
      <c r="AR418">
        <f>IF($A418="","",IF(AND($C418&amp;"-"&amp;$D418&gt;=Settings!$B$19,$C418&amp;"-"&amp;$D418&lt;=Settings!$B$20),"IN","OUT"))</f>
        <v/>
      </c>
      <c r="AS418">
        <f>IF($A418="","",IF($F418="Financial Results","financials",IF($F418="Outlook/Guidance","guidance",IF($F418="Transcript Q&amp;A","qanda",IF($F418="","unrecorded",IF($E418="All","full",IF($E418="","unrecorded",LOWER($E418)&amp;" only")))))))</f>
        <v/>
      </c>
      <c r="AT418">
        <f>IF(AND(OR($J418="BUY",$J418="SELL"),ISNUMBER($U418)),$U418,"")</f>
        <v/>
      </c>
      <c r="AU418">
        <f>IF(AND(OR($J418="BUY",$J418="SELL"),ISNUMBER($AK418)),$AK418,"")</f>
        <v/>
      </c>
      <c r="AV418">
        <f>IF(ISNUMBER($AT418),ABS(IF(ISNUMBER($I418),$I418,0)-Settings!$B$24),"")</f>
        <v/>
      </c>
      <c r="AW418">
        <f>IF(ISNUMBER($AV418),$AV418*$AT418,"")</f>
        <v/>
      </c>
      <c r="AX418">
        <f>IF(ISNUMBER($AU418),ABS(IF(ISNUMBER($I418),$I418,0)-Settings!$B$24),"")</f>
        <v/>
      </c>
      <c r="AY418">
        <f>IF(ISNUMBER($AX418),$AX418*$AU418,"")</f>
        <v/>
      </c>
      <c r="AZ418">
        <f>IF($A418="","",IFERROR(INDEX(Company_List!$H$3:$H$207,MATCH($A418,Company_List!$A$3:$A$207,0)),"unassigned"))</f>
        <v/>
      </c>
      <c r="BA418" t="n">
        <v>1</v>
      </c>
      <c r="BB418" t="n">
        <v>2</v>
      </c>
      <c r="BC418">
        <f>IF($A418="","",IF(COUNTIFS($A$3:$A418,$A418,$C$3:$C418,$C418,$D$3:$D418,$D418,$G$3:$G418,$G418)=1,1,0))</f>
        <v/>
      </c>
      <c r="BD418" t="n">
        <v>21</v>
      </c>
      <c r="BE418" t="n">
        <v>26</v>
      </c>
      <c r="BF418" t="n">
        <v>0.05</v>
      </c>
      <c r="BG418" t="inlineStr">
        <is>
          <t>no</t>
        </is>
      </c>
      <c r="BH418" t="inlineStr">
        <is>
          <t>no</t>
        </is>
      </c>
      <c r="BI418" t="inlineStr">
        <is>
          <t>Trading and the buyback pace move this more than the upstrea</t>
        </is>
      </c>
      <c r="BJ418" t="inlineStr">
        <is>
          <t>69 shell q32025 guidance.pdf</t>
        </is>
      </c>
      <c r="BK418">
        <f>IF(OR($H418&lt;&gt;"Human",$S418="",$J418="",$Y418="",$Z418=""),"",IF(EXACT(UPPER($J418),UPPER($Y418)),1,0))</f>
        <v/>
      </c>
      <c r="BL418" t="inlineStr">
        <is>
          <t>attested - rater record</t>
        </is>
      </c>
      <c r="BM418" t="n">
        <v>1</v>
      </c>
      <c r="BN418" t="inlineStr">
        <is>
          <t>not publisher-identified</t>
        </is>
      </c>
      <c r="BO418" t="inlineStr">
        <is>
          <t>not publisher-identified</t>
        </is>
      </c>
      <c r="BP418" t="inlineStr">
        <is>
          <t>no</t>
        </is>
      </c>
      <c r="BQ418" t="inlineStr">
        <is>
          <t>yes</t>
        </is>
      </c>
    </row>
    <row r="419">
      <c r="A419" s="1" t="inlineStr">
        <is>
          <t>Shell</t>
        </is>
      </c>
      <c r="B419" s="142">
        <f>IF(A419="","",_xlfn.XLOOKUP(A419, Company_List!$A:$A, Company_List!$B:$B, ""))</f>
        <v/>
      </c>
      <c r="C419" s="143" t="n">
        <v>2025</v>
      </c>
      <c r="D419" s="143" t="inlineStr">
        <is>
          <t>Q3</t>
        </is>
      </c>
      <c r="E419" s="98" t="inlineStr">
        <is>
          <t>All</t>
        </is>
      </c>
      <c r="F419" s="98" t="inlineStr">
        <is>
          <t>All</t>
        </is>
      </c>
      <c r="G419" s="143" t="inlineStr">
        <is>
          <t>David</t>
        </is>
      </c>
      <c r="H419" s="106" t="inlineStr">
        <is>
          <t>Human</t>
        </is>
      </c>
      <c r="I419" s="145" t="n">
        <v>0</v>
      </c>
      <c r="J419" s="145">
        <f>IF(OR(I419="",Settings!$B$6=""),"",IF(I419&gt;Settings!$B$6,"BUY",IF(I419&lt;-Settings!$B$6,"SELL","HOLD")))</f>
        <v/>
      </c>
      <c r="K419" s="145" t="n">
        <v>26</v>
      </c>
      <c r="L419" s="123" t="n">
        <v>45960</v>
      </c>
      <c r="M419" s="140" t="n">
        <v>45959</v>
      </c>
      <c r="N419" s="147" t="n">
        <v>75.55</v>
      </c>
      <c r="O419" s="140" t="n">
        <v>45960</v>
      </c>
      <c r="P419" s="145" t="n">
        <v>75.59</v>
      </c>
      <c r="Q419" s="151">
        <f>IF(OR(N419="",P419=""),"",ROUND((P419-N419)/N419,4))</f>
        <v/>
      </c>
      <c r="R419" s="118">
        <f>IF(OR(N419="",P419=""),"",IF(Q419&gt;Settings!$B$3/100,"UP",IF(Q419&lt;-Settings!$B$3/100,"DOWN","FLAT")))</f>
        <v/>
      </c>
      <c r="S419" s="118">
        <f>IF(OR(N419="",P419="",J419=""),"",IF(OR(AND(J419="BUY",R419="UP"),AND(J419="SELL",R419="DOWN"),AND(J419="HOLD",R419="FLAT")),"YES","NO"))</f>
        <v/>
      </c>
      <c r="T419" s="119">
        <f>IF(J419="","",IF(J419="BUY",1,IF(J419="SELL",-1,0)))</f>
        <v/>
      </c>
      <c r="U419" s="150">
        <f>IFERROR(IF(OR(J419="",N419="",P419=""),"",IF(T419=0,0,T419*Q419-Settings!$B$4/10000-IF(T419&lt;0,Settings!$B$5/10000,0))),"")</f>
        <v/>
      </c>
      <c r="W419" s="21">
        <f>IF($K419="","",$K419*60)</f>
        <v/>
      </c>
      <c r="X419" s="91">
        <f>IF($A419="","",$A419&amp;"|"&amp;$C419&amp;"|"&amp;$D419)</f>
        <v/>
      </c>
      <c r="Y419" s="91">
        <f>IFERROR(IF($X419="","",INDEX(LLM_Data_Entry!$H$3:$H$548,MATCH($X419,INDEX(LLM_Data_Entry!$A$3:$A$548&amp;"|"&amp;LLM_Data_Entry!$C$3:$C$548&amp;"|"&amp;LLM_Data_Entry!$D$3:$D$548,0),0))),"")</f>
        <v/>
      </c>
      <c r="Z419" s="91">
        <f>IFERROR(IF($X419="","",INDEX(LLM_Data_Entry!$R$3:$R$548,MATCH($X419,INDEX(LLM_Data_Entry!$A$3:$A$548&amp;"|"&amp;LLM_Data_Entry!$C$3:$C$548&amp;"|"&amp;LLM_Data_Entry!$D$3:$D$548,0),0))),"")</f>
        <v/>
      </c>
      <c r="AB419" t="inlineStr">
        <is>
          <t>release time published by the issuer (section C)</t>
        </is>
      </c>
      <c r="AC419" t="inlineStr">
        <is>
          <t>SHEL.L</t>
        </is>
      </c>
      <c r="AD419" t="inlineStr">
        <is>
          <t>2025-10-29</t>
        </is>
      </c>
      <c r="AE419" t="n">
        <v>2874.7031</v>
      </c>
      <c r="AF419" t="inlineStr">
        <is>
          <t>2025-10-30</t>
        </is>
      </c>
      <c r="AG419" t="n">
        <v>2902.1956</v>
      </c>
      <c r="AH419" t="n">
        <v>0.009563598104023029</v>
      </c>
      <c r="AI419" t="inlineStr">
        <is>
          <t>FLAT</t>
        </is>
      </c>
      <c r="AJ419" t="inlineStr">
        <is>
          <t>YES</t>
        </is>
      </c>
      <c r="AK419" t="n">
        <v>0</v>
      </c>
      <c r="AL419">
        <f>IF($A419="","",IFERROR(INDEX(Company_List!$G$3:$G$207,MATCH($A419,Company_List!$A$3:$A$207,0)),"unassigned"))</f>
        <v/>
      </c>
      <c r="AM419" t="inlineStr">
        <is>
          <t>Phase 2/SHELL/2025-Q3/SHEL-2025-Q3-press-release-SEC-EX-99-1.htm; Phase 2/SHELL/2025-Q3/SHEL-2025-Q3-earnings-call-transcript-shell-com.pdf</t>
        </is>
      </c>
      <c r="AN419" t="inlineStr">
        <is>
          <t>https://www.sec.gov/Archives/edgar/data/1306965/000162828025047312/q32025exhibit991.htm; https://www.shell.com/.../q3-2025-speech-transcript.pdf</t>
        </is>
      </c>
      <c r="AO419" t="inlineStr">
        <is>
          <t>manifest (whole bundle)</t>
        </is>
      </c>
      <c r="AP419">
        <f>IF($A419="","",IF(COUNTIFS(LLM_Data_Entry!$A$3:$A$548,$A419)&gt;0,"YES","NO"))</f>
        <v/>
      </c>
      <c r="AQ419">
        <f>IF($A419="","",IF(COUNTIFS($A$3:$A419,$A419,$C$3:$C419,$C419,$D$3:$D419,$D419)=1,"YES","NO"))</f>
        <v/>
      </c>
      <c r="AR419">
        <f>IF($A419="","",IF(AND($C419&amp;"-"&amp;$D419&gt;=Settings!$B$19,$C419&amp;"-"&amp;$D419&lt;=Settings!$B$20),"IN","OUT"))</f>
        <v/>
      </c>
      <c r="AS419">
        <f>IF($A419="","",IF($F419="Financial Results","financials",IF($F419="Outlook/Guidance","guidance",IF($F419="Transcript Q&amp;A","qanda",IF($F419="","unrecorded",IF($E419="All","full",IF($E419="","unrecorded",LOWER($E419)&amp;" only")))))))</f>
        <v/>
      </c>
      <c r="AT419">
        <f>IF(AND(OR($J419="BUY",$J419="SELL"),ISNUMBER($U419)),$U419,"")</f>
        <v/>
      </c>
      <c r="AU419">
        <f>IF(AND(OR($J419="BUY",$J419="SELL"),ISNUMBER($AK419)),$AK419,"")</f>
        <v/>
      </c>
      <c r="AV419">
        <f>IF(ISNUMBER($AT419),ABS(IF(ISNUMBER($I419),$I419,0)-Settings!$B$24),"")</f>
        <v/>
      </c>
      <c r="AW419">
        <f>IF(ISNUMBER($AV419),$AV419*$AT419,"")</f>
        <v/>
      </c>
      <c r="AX419">
        <f>IF(ISNUMBER($AU419),ABS(IF(ISNUMBER($I419),$I419,0)-Settings!$B$24),"")</f>
        <v/>
      </c>
      <c r="AY419">
        <f>IF(ISNUMBER($AX419),$AX419*$AU419,"")</f>
        <v/>
      </c>
      <c r="AZ419">
        <f>IF($A419="","",IFERROR(INDEX(Company_List!$H$3:$H$207,MATCH($A419,Company_List!$A$3:$A$207,0)),"unassigned"))</f>
        <v/>
      </c>
      <c r="BA419" t="n">
        <v>2</v>
      </c>
      <c r="BB419" t="n">
        <v>2</v>
      </c>
      <c r="BC419">
        <f>IF($A419="","",IF(COUNTIFS($A$3:$A419,$A419,$C$3:$C419,$C419,$D$3:$D419,$D419,$G$3:$G419,$G419)=1,1,0))</f>
        <v/>
      </c>
      <c r="BD419" t="n">
        <v>21</v>
      </c>
      <c r="BE419" t="n">
        <v>26</v>
      </c>
      <c r="BF419" t="n">
        <v>0.05</v>
      </c>
      <c r="BG419" t="inlineStr">
        <is>
          <t>no</t>
        </is>
      </c>
      <c r="BH419" t="inlineStr">
        <is>
          <t>no</t>
        </is>
      </c>
      <c r="BI419" t="inlineStr">
        <is>
          <t>Trading and the buyback pace move this more than the upstrea</t>
        </is>
      </c>
      <c r="BJ419" t="inlineStr">
        <is>
          <t>69 shell q32025 guidance.pdf</t>
        </is>
      </c>
      <c r="BK419">
        <f>IF(OR($H419&lt;&gt;"Human",$S419="",$J419="",$Y419="",$Z419=""),"",IF(EXACT(UPPER($J419),UPPER($Y419)),1,0))</f>
        <v/>
      </c>
      <c r="BL419" t="inlineStr">
        <is>
          <t>attested - rater record</t>
        </is>
      </c>
      <c r="BM419" t="n">
        <v>2</v>
      </c>
      <c r="BN419" t="inlineStr">
        <is>
          <t>not publisher-identified</t>
        </is>
      </c>
      <c r="BO419" t="inlineStr">
        <is>
          <t>not publisher-identified</t>
        </is>
      </c>
      <c r="BP419" t="inlineStr">
        <is>
          <t>no</t>
        </is>
      </c>
      <c r="BQ419" t="inlineStr">
        <is>
          <t>yes</t>
        </is>
      </c>
    </row>
    <row r="420">
      <c r="A420" s="1" t="inlineStr">
        <is>
          <t>Shell</t>
        </is>
      </c>
      <c r="B420" s="142">
        <f>IF(A420="","",_xlfn.XLOOKUP(A420, Company_List!$A:$A, Company_List!$B:$B, ""))</f>
        <v/>
      </c>
      <c r="C420" s="143" t="n">
        <v>2025</v>
      </c>
      <c r="D420" s="143" t="inlineStr">
        <is>
          <t>Q4</t>
        </is>
      </c>
      <c r="E420" s="98" t="inlineStr">
        <is>
          <t>Transcript</t>
        </is>
      </c>
      <c r="F420" s="98" t="inlineStr">
        <is>
          <t>Transcript Q&amp;A</t>
        </is>
      </c>
      <c r="G420" s="143" t="inlineStr">
        <is>
          <t>David</t>
        </is>
      </c>
      <c r="H420" s="106" t="inlineStr">
        <is>
          <t>Human</t>
        </is>
      </c>
      <c r="I420" s="145" t="n">
        <v>-0.1</v>
      </c>
      <c r="J420" s="145">
        <f>IF(OR(I420="",Settings!$B$6=""),"",IF(I420&gt;Settings!$B$6,"BUY",IF(I420&lt;-Settings!$B$6,"SELL","HOLD")))</f>
        <v/>
      </c>
      <c r="K420" s="145" t="n">
        <v>25</v>
      </c>
      <c r="L420" s="123" t="n">
        <v>46058</v>
      </c>
      <c r="M420" s="140" t="n">
        <v>46057</v>
      </c>
      <c r="N420" s="147" t="n">
        <v>78.79000000000001</v>
      </c>
      <c r="O420" s="140" t="n">
        <v>46058</v>
      </c>
      <c r="P420" s="145" t="n">
        <v>76.29000000000001</v>
      </c>
      <c r="Q420" s="151">
        <f>IF(OR(N420="",P420=""),"",ROUND((P420-N420)/N420,4))</f>
        <v/>
      </c>
      <c r="R420" s="118">
        <f>IF(OR(N420="",P420=""),"",IF(Q420&gt;Settings!$B$3/100,"UP",IF(Q420&lt;-Settings!$B$3/100,"DOWN","FLAT")))</f>
        <v/>
      </c>
      <c r="S420" s="118">
        <f>IF(OR(N420="",P420="",J420=""),"",IF(OR(AND(J420="BUY",R420="UP"),AND(J420="SELL",R420="DOWN"),AND(J420="HOLD",R420="FLAT")),"YES","NO"))</f>
        <v/>
      </c>
      <c r="T420" s="119">
        <f>IF(J420="","",IF(J420="BUY",1,IF(J420="SELL",-1,0)))</f>
        <v/>
      </c>
      <c r="U420" s="150">
        <f>IFERROR(IF(OR(J420="",N420="",P420=""),"",IF(T420=0,0,T420*Q420-Settings!$B$4/10000-IF(T420&lt;0,Settings!$B$5/10000,0))),"")</f>
        <v/>
      </c>
      <c r="W420" s="21">
        <f>IF($K420="","",$K420*60)</f>
        <v/>
      </c>
      <c r="X420" s="91">
        <f>IF($A420="","",$A420&amp;"|"&amp;$C420&amp;"|"&amp;$D420)</f>
        <v/>
      </c>
      <c r="Y420" s="91">
        <f>IFERROR(IF($X420="","",INDEX(LLM_Data_Entry!$H$3:$H$548,MATCH($X420,INDEX(LLM_Data_Entry!$A$3:$A$548&amp;"|"&amp;LLM_Data_Entry!$C$3:$C$548&amp;"|"&amp;LLM_Data_Entry!$D$3:$D$548,0),0))),"")</f>
        <v/>
      </c>
      <c r="Z420" s="91">
        <f>IFERROR(IF($X420="","",INDEX(LLM_Data_Entry!$R$3:$R$548,MATCH($X420,INDEX(LLM_Data_Entry!$A$3:$A$548&amp;"|"&amp;LLM_Data_Entry!$C$3:$C$548&amp;"|"&amp;LLM_Data_Entry!$D$3:$D$548,0),0))),"")</f>
        <v/>
      </c>
      <c r="AB420" t="inlineStr">
        <is>
          <t>price signal, re-derived — only this window shows an abnormal move</t>
        </is>
      </c>
      <c r="AC420" t="inlineStr">
        <is>
          <t>SHEL.L</t>
        </is>
      </c>
      <c r="AD420" t="inlineStr">
        <is>
          <t>2026-02-04</t>
        </is>
      </c>
      <c r="AE420" t="n">
        <v>2866.4702</v>
      </c>
      <c r="AF420" t="inlineStr">
        <is>
          <t>2026-02-05</t>
        </is>
      </c>
      <c r="AG420" t="n">
        <v>2837.4754</v>
      </c>
      <c r="AH420" t="n">
        <v>-0.01011517251804156</v>
      </c>
      <c r="AI420" t="inlineStr">
        <is>
          <t>FLAT</t>
        </is>
      </c>
      <c r="AJ420" t="inlineStr">
        <is>
          <t>YES</t>
        </is>
      </c>
      <c r="AK420" t="n">
        <v>0</v>
      </c>
      <c r="AL420">
        <f>IF($A420="","",IFERROR(INDEX(Company_List!$G$3:$G$207,MATCH($A420,Company_List!$A$3:$A$207,0)),"unassigned"))</f>
        <v/>
      </c>
      <c r="AM420" t="inlineStr">
        <is>
          <t>Phase 2/SHELL/2025-Q4/SHEL-2025-Q4-earnings-call-transcript-shell-com.pdf</t>
        </is>
      </c>
      <c r="AN420" t="inlineStr">
        <is>
          <t>https://www.shell.com/.../q4-2025-speech-transcript.pdf</t>
        </is>
      </c>
      <c r="AO420" t="inlineStr">
        <is>
          <t>manifest</t>
        </is>
      </c>
      <c r="AP420">
        <f>IF($A420="","",IF(COUNTIFS(LLM_Data_Entry!$A$3:$A$548,$A420)&gt;0,"YES","NO"))</f>
        <v/>
      </c>
      <c r="AQ420">
        <f>IF($A420="","",IF(COUNTIFS($A$3:$A420,$A420,$C$3:$C420,$C420,$D$3:$D420,$D420)=1,"YES","NO"))</f>
        <v/>
      </c>
      <c r="AR420">
        <f>IF($A420="","",IF(AND($C420&amp;"-"&amp;$D420&gt;=Settings!$B$19,$C420&amp;"-"&amp;$D420&lt;=Settings!$B$20),"IN","OUT"))</f>
        <v/>
      </c>
      <c r="AS420">
        <f>IF($A420="","",IF($F420="Financial Results","financials",IF($F420="Outlook/Guidance","guidance",IF($F420="Transcript Q&amp;A","qanda",IF($F420="","unrecorded",IF($E420="All","full",IF($E420="","unrecorded",LOWER($E420)&amp;" only")))))))</f>
        <v/>
      </c>
      <c r="AT420">
        <f>IF(AND(OR($J420="BUY",$J420="SELL"),ISNUMBER($U420)),$U420,"")</f>
        <v/>
      </c>
      <c r="AU420">
        <f>IF(AND(OR($J420="BUY",$J420="SELL"),ISNUMBER($AK420)),$AK420,"")</f>
        <v/>
      </c>
      <c r="AV420">
        <f>IF(ISNUMBER($AT420),ABS(IF(ISNUMBER($I420),$I420,0)-Settings!$B$24),"")</f>
        <v/>
      </c>
      <c r="AW420">
        <f>IF(ISNUMBER($AV420),$AV420*$AT420,"")</f>
        <v/>
      </c>
      <c r="AX420">
        <f>IF(ISNUMBER($AU420),ABS(IF(ISNUMBER($I420),$I420,0)-Settings!$B$24),"")</f>
        <v/>
      </c>
      <c r="AY420">
        <f>IF(ISNUMBER($AX420),$AX420*$AU420,"")</f>
        <v/>
      </c>
      <c r="AZ420">
        <f>IF($A420="","",IFERROR(INDEX(Company_List!$H$3:$H$207,MATCH($A420,Company_List!$A$3:$A$207,0)),"unassigned"))</f>
        <v/>
      </c>
      <c r="BA420" t="n">
        <v>1</v>
      </c>
      <c r="BB420" t="n">
        <v>2</v>
      </c>
      <c r="BC420">
        <f>IF($A420="","",IF(COUNTIFS($A$3:$A420,$A420,$C$3:$C420,$C420,$D$3:$D420,$D420,$G$3:$G420,$G420)=1,1,0))</f>
        <v/>
      </c>
      <c r="BD420" t="n">
        <v>25</v>
      </c>
      <c r="BE420" t="n">
        <v>30</v>
      </c>
      <c r="BF420" t="n">
        <v>-0.1</v>
      </c>
      <c r="BG420" t="inlineStr">
        <is>
          <t>no</t>
        </is>
      </c>
      <c r="BH420" t="inlineStr">
        <is>
          <t>no</t>
        </is>
      </c>
      <c r="BI420" t="inlineStr">
        <is>
          <t>Trading and the buyback pace move this more than the upstrea</t>
        </is>
      </c>
      <c r="BJ420" t="inlineStr">
        <is>
          <t>70 shell q42025 qanda.pdf</t>
        </is>
      </c>
      <c r="BK420">
        <f>IF(OR($H420&lt;&gt;"Human",$S420="",$J420="",$Y420="",$Z420=""),"",IF(EXACT(UPPER($J420),UPPER($Y420)),1,0))</f>
        <v/>
      </c>
      <c r="BL420" t="inlineStr">
        <is>
          <t>attested - rater record</t>
        </is>
      </c>
      <c r="BM420" t="n">
        <v>1</v>
      </c>
      <c r="BN420" t="inlineStr">
        <is>
          <t>not publisher-identified</t>
        </is>
      </c>
      <c r="BO420" t="inlineStr">
        <is>
          <t>not publisher-identified</t>
        </is>
      </c>
      <c r="BP420" t="inlineStr">
        <is>
          <t>no</t>
        </is>
      </c>
      <c r="BQ420" t="inlineStr">
        <is>
          <t>yes</t>
        </is>
      </c>
    </row>
    <row r="421">
      <c r="A421" s="1" t="inlineStr">
        <is>
          <t>Shell</t>
        </is>
      </c>
      <c r="B421" s="142">
        <f>IF(A421="","",_xlfn.XLOOKUP(A421, Company_List!$A:$A, Company_List!$B:$B, ""))</f>
        <v/>
      </c>
      <c r="C421" s="143" t="n">
        <v>2025</v>
      </c>
      <c r="D421" s="143" t="inlineStr">
        <is>
          <t>Q4</t>
        </is>
      </c>
      <c r="E421" s="98" t="inlineStr">
        <is>
          <t>All</t>
        </is>
      </c>
      <c r="F421" s="98" t="inlineStr">
        <is>
          <t>All</t>
        </is>
      </c>
      <c r="G421" s="143" t="inlineStr">
        <is>
          <t>David</t>
        </is>
      </c>
      <c r="H421" s="106" t="inlineStr">
        <is>
          <t>Human</t>
        </is>
      </c>
      <c r="I421" s="145" t="n">
        <v>-0.25</v>
      </c>
      <c r="J421" s="145">
        <f>IF(OR(I421="",Settings!$B$6=""),"",IF(I421&gt;Settings!$B$6,"BUY",IF(I421&lt;-Settings!$B$6,"SELL","HOLD")))</f>
        <v/>
      </c>
      <c r="K421" s="145" t="n">
        <v>30</v>
      </c>
      <c r="L421" s="123" t="n">
        <v>46058</v>
      </c>
      <c r="M421" s="140" t="n">
        <v>46057</v>
      </c>
      <c r="N421" s="147" t="n">
        <v>78.79000000000001</v>
      </c>
      <c r="O421" s="140" t="n">
        <v>46058</v>
      </c>
      <c r="P421" s="145" t="n">
        <v>76.29000000000001</v>
      </c>
      <c r="Q421" s="151">
        <f>IF(OR(N421="",P421=""),"",ROUND((P421-N421)/N421,4))</f>
        <v/>
      </c>
      <c r="R421" s="118">
        <f>IF(OR(N421="",P421=""),"",IF(Q421&gt;Settings!$B$3/100,"UP",IF(Q421&lt;-Settings!$B$3/100,"DOWN","FLAT")))</f>
        <v/>
      </c>
      <c r="S421" s="118">
        <f>IF(OR(N421="",P421="",J421=""),"",IF(OR(AND(J421="BUY",R421="UP"),AND(J421="SELL",R421="DOWN"),AND(J421="HOLD",R421="FLAT")),"YES","NO"))</f>
        <v/>
      </c>
      <c r="T421" s="119">
        <f>IF(J421="","",IF(J421="BUY",1,IF(J421="SELL",-1,0)))</f>
        <v/>
      </c>
      <c r="U421" s="150">
        <f>IFERROR(IF(OR(J421="",N421="",P421=""),"",IF(T421=0,0,T421*Q421-Settings!$B$4/10000-IF(T421&lt;0,Settings!$B$5/10000,0))),"")</f>
        <v/>
      </c>
      <c r="W421" s="21">
        <f>IF($K421="","",$K421*60)</f>
        <v/>
      </c>
      <c r="X421" s="91">
        <f>IF($A421="","",$A421&amp;"|"&amp;$C421&amp;"|"&amp;$D421)</f>
        <v/>
      </c>
      <c r="Y421" s="91">
        <f>IFERROR(IF($X421="","",INDEX(LLM_Data_Entry!$H$3:$H$548,MATCH($X421,INDEX(LLM_Data_Entry!$A$3:$A$548&amp;"|"&amp;LLM_Data_Entry!$C$3:$C$548&amp;"|"&amp;LLM_Data_Entry!$D$3:$D$548,0),0))),"")</f>
        <v/>
      </c>
      <c r="Z421" s="91">
        <f>IFERROR(IF($X421="","",INDEX(LLM_Data_Entry!$R$3:$R$548,MATCH($X421,INDEX(LLM_Data_Entry!$A$3:$A$548&amp;"|"&amp;LLM_Data_Entry!$C$3:$C$548&amp;"|"&amp;LLM_Data_Entry!$D$3:$D$548,0),0))),"")</f>
        <v/>
      </c>
      <c r="AB421" t="inlineStr">
        <is>
          <t>price signal, re-derived — only this window shows an abnormal move</t>
        </is>
      </c>
      <c r="AC421" t="inlineStr">
        <is>
          <t>SHEL.L</t>
        </is>
      </c>
      <c r="AD421" t="inlineStr">
        <is>
          <t>2026-02-04</t>
        </is>
      </c>
      <c r="AE421" t="n">
        <v>2866.4702</v>
      </c>
      <c r="AF421" t="inlineStr">
        <is>
          <t>2026-02-05</t>
        </is>
      </c>
      <c r="AG421" t="n">
        <v>2837.4754</v>
      </c>
      <c r="AH421" t="n">
        <v>-0.01011517251804156</v>
      </c>
      <c r="AI421" t="inlineStr">
        <is>
          <t>FLAT</t>
        </is>
      </c>
      <c r="AJ421" t="inlineStr">
        <is>
          <t>NO</t>
        </is>
      </c>
      <c r="AK421" t="n">
        <v>0.009115</v>
      </c>
      <c r="AL421">
        <f>IF($A421="","",IFERROR(INDEX(Company_List!$G$3:$G$207,MATCH($A421,Company_List!$A$3:$A$207,0)),"unassigned"))</f>
        <v/>
      </c>
      <c r="AM421" t="inlineStr">
        <is>
          <t>Phase 2/SHELL/2025-Q4/SHEL-2025-Q4-press-release-SEC-EX-99-1.htm; Phase 2/SHELL/2025-Q4/SHEL-2025-Q4-earnings-call-transcript-shell-com.pdf</t>
        </is>
      </c>
      <c r="AN421" t="inlineStr">
        <is>
          <t>https://www.sec.gov/Archives/edgar/data/1306965/000162828026005600/q42025exhibit991.htm; https://www.shell.com/.../q4-2025-speech-transcript.pdf</t>
        </is>
      </c>
      <c r="AO421" t="inlineStr">
        <is>
          <t>manifest (whole bundle)</t>
        </is>
      </c>
      <c r="AP421">
        <f>IF($A421="","",IF(COUNTIFS(LLM_Data_Entry!$A$3:$A$548,$A421)&gt;0,"YES","NO"))</f>
        <v/>
      </c>
      <c r="AQ421">
        <f>IF($A421="","",IF(COUNTIFS($A$3:$A421,$A421,$C$3:$C421,$C421,$D$3:$D421,$D421)=1,"YES","NO"))</f>
        <v/>
      </c>
      <c r="AR421">
        <f>IF($A421="","",IF(AND($C421&amp;"-"&amp;$D421&gt;=Settings!$B$19,$C421&amp;"-"&amp;$D421&lt;=Settings!$B$20),"IN","OUT"))</f>
        <v/>
      </c>
      <c r="AS421">
        <f>IF($A421="","",IF($F421="Financial Results","financials",IF($F421="Outlook/Guidance","guidance",IF($F421="Transcript Q&amp;A","qanda",IF($F421="","unrecorded",IF($E421="All","full",IF($E421="","unrecorded",LOWER($E421)&amp;" only")))))))</f>
        <v/>
      </c>
      <c r="AT421">
        <f>IF(AND(OR($J421="BUY",$J421="SELL"),ISNUMBER($U421)),$U421,"")</f>
        <v/>
      </c>
      <c r="AU421">
        <f>IF(AND(OR($J421="BUY",$J421="SELL"),ISNUMBER($AK421)),$AK421,"")</f>
        <v/>
      </c>
      <c r="AV421">
        <f>IF(ISNUMBER($AT421),ABS(IF(ISNUMBER($I421),$I421,0)-Settings!$B$24),"")</f>
        <v/>
      </c>
      <c r="AW421">
        <f>IF(ISNUMBER($AV421),$AV421*$AT421,"")</f>
        <v/>
      </c>
      <c r="AX421">
        <f>IF(ISNUMBER($AU421),ABS(IF(ISNUMBER($I421),$I421,0)-Settings!$B$24),"")</f>
        <v/>
      </c>
      <c r="AY421">
        <f>IF(ISNUMBER($AX421),$AX421*$AU421,"")</f>
        <v/>
      </c>
      <c r="AZ421">
        <f>IF($A421="","",IFERROR(INDEX(Company_List!$H$3:$H$207,MATCH($A421,Company_List!$A$3:$A$207,0)),"unassigned"))</f>
        <v/>
      </c>
      <c r="BA421" t="n">
        <v>2</v>
      </c>
      <c r="BB421" t="n">
        <v>2</v>
      </c>
      <c r="BC421">
        <f>IF($A421="","",IF(COUNTIFS($A$3:$A421,$A421,$C$3:$C421,$C421,$D$3:$D421,$D421,$G$3:$G421,$G421)=1,1,0))</f>
        <v/>
      </c>
      <c r="BD421" t="n">
        <v>25</v>
      </c>
      <c r="BE421" t="n">
        <v>30</v>
      </c>
      <c r="BF421" t="n">
        <v>-0.1</v>
      </c>
      <c r="BG421" t="inlineStr">
        <is>
          <t>no</t>
        </is>
      </c>
      <c r="BH421" t="inlineStr">
        <is>
          <t>no</t>
        </is>
      </c>
      <c r="BI421" t="inlineStr">
        <is>
          <t>Trading and the buyback pace move this more than the upstrea</t>
        </is>
      </c>
      <c r="BJ421" t="inlineStr">
        <is>
          <t>70 shell q42025 qanda.pdf</t>
        </is>
      </c>
      <c r="BK421">
        <f>IF(OR($H421&lt;&gt;"Human",$S421="",$J421="",$Y421="",$Z421=""),"",IF(EXACT(UPPER($J421),UPPER($Y421)),1,0))</f>
        <v/>
      </c>
      <c r="BL421" t="inlineStr">
        <is>
          <t>attested - rater record</t>
        </is>
      </c>
      <c r="BM421" t="n">
        <v>2</v>
      </c>
      <c r="BN421" t="inlineStr">
        <is>
          <t>not publisher-identified</t>
        </is>
      </c>
      <c r="BO421" t="inlineStr">
        <is>
          <t>not publisher-identified</t>
        </is>
      </c>
      <c r="BP421" t="inlineStr">
        <is>
          <t>no</t>
        </is>
      </c>
      <c r="BQ421" t="inlineStr">
        <is>
          <t>yes</t>
        </is>
      </c>
    </row>
    <row r="422">
      <c r="A422" s="1" t="inlineStr">
        <is>
          <t>Shell</t>
        </is>
      </c>
      <c r="B422" s="142">
        <f>IF(A422="","",_xlfn.XLOOKUP(A422, Company_List!$A:$A, Company_List!$B:$B, ""))</f>
        <v/>
      </c>
      <c r="C422" s="143" t="n">
        <v>2026</v>
      </c>
      <c r="D422" s="143" t="inlineStr">
        <is>
          <t>Q1</t>
        </is>
      </c>
      <c r="E422" s="98" t="inlineStr">
        <is>
          <t>All</t>
        </is>
      </c>
      <c r="F422" s="98" t="inlineStr">
        <is>
          <t>All</t>
        </is>
      </c>
      <c r="G422" s="143" t="inlineStr">
        <is>
          <t>David</t>
        </is>
      </c>
      <c r="H422" s="106" t="inlineStr">
        <is>
          <t>Human</t>
        </is>
      </c>
      <c r="I422" s="145" t="n">
        <v>-0.05</v>
      </c>
      <c r="J422" s="145">
        <f>IF(OR(I422="",Settings!$B$6=""),"",IF(I422&gt;Settings!$B$6,"BUY",IF(I422&lt;-Settings!$B$6,"SELL","HOLD")))</f>
        <v/>
      </c>
      <c r="K422" s="145" t="n">
        <v>31</v>
      </c>
      <c r="L422" s="123" t="n">
        <v>46149</v>
      </c>
      <c r="M422" s="140" t="n">
        <v>46148</v>
      </c>
      <c r="N422" s="147" t="n">
        <v>87.2</v>
      </c>
      <c r="O422" s="140" t="n">
        <v>46149</v>
      </c>
      <c r="P422" s="145" t="n">
        <v>85.70999999999999</v>
      </c>
      <c r="Q422" s="151">
        <f>IF(OR(N422="",P422=""),"",ROUND((P422-N422)/N422,4))</f>
        <v/>
      </c>
      <c r="R422" s="118">
        <f>IF(OR(N422="",P422=""),"",IF(Q422&gt;Settings!$B$3/100,"UP",IF(Q422&lt;-Settings!$B$3/100,"DOWN","FLAT")))</f>
        <v/>
      </c>
      <c r="S422" s="118">
        <f>IF(OR(N422="",P422="",J422=""),"",IF(OR(AND(J422="BUY",R422="UP"),AND(J422="SELL",R422="DOWN"),AND(J422="HOLD",R422="FLAT")),"YES","NO"))</f>
        <v/>
      </c>
      <c r="T422" s="119">
        <f>IF(J422="","",IF(J422="BUY",1,IF(J422="SELL",-1,0)))</f>
        <v/>
      </c>
      <c r="U422" s="150">
        <f>IFERROR(IF(OR(J422="",N422="",P422=""),"",IF(T422=0,0,T422*Q422-Settings!$B$4/10000-IF(T422&lt;0,Settings!$B$5/10000,0))),"")</f>
        <v/>
      </c>
      <c r="W422" s="21">
        <f>IF($K422="","",$K422*60)</f>
        <v/>
      </c>
      <c r="X422" s="91">
        <f>IF($A422="","",$A422&amp;"|"&amp;$C422&amp;"|"&amp;$D422)</f>
        <v/>
      </c>
      <c r="Y422" s="91">
        <f>IFERROR(IF($X422="","",INDEX(LLM_Data_Entry!$H$3:$H$548,MATCH($X422,INDEX(LLM_Data_Entry!$A$3:$A$548&amp;"|"&amp;LLM_Data_Entry!$C$3:$C$548&amp;"|"&amp;LLM_Data_Entry!$D$3:$D$548,0),0))),"")</f>
        <v/>
      </c>
      <c r="Z422" s="91">
        <f>IFERROR(IF($X422="","",INDEX(LLM_Data_Entry!$R$3:$R$548,MATCH($X422,INDEX(LLM_Data_Entry!$A$3:$A$548&amp;"|"&amp;LLM_Data_Entry!$C$3:$C$548&amp;"|"&amp;LLM_Data_Entry!$D$3:$D$548,0),0))),"")</f>
        <v/>
      </c>
      <c r="AB422" t="inlineStr">
        <is>
          <t>price signal, re-derived — only this window shows an abnormal move</t>
        </is>
      </c>
      <c r="AC422" t="inlineStr">
        <is>
          <t>SHEL.L</t>
        </is>
      </c>
      <c r="AD422" t="inlineStr">
        <is>
          <t>2026-05-06</t>
        </is>
      </c>
      <c r="AE422" t="n">
        <v>3211.2119</v>
      </c>
      <c r="AF422" t="inlineStr">
        <is>
          <t>2026-05-07</t>
        </is>
      </c>
      <c r="AG422" t="n">
        <v>3178.7147</v>
      </c>
      <c r="AH422" t="n">
        <v>-0.01011991038818126</v>
      </c>
      <c r="AI422" t="inlineStr">
        <is>
          <t>FLAT</t>
        </is>
      </c>
      <c r="AJ422" t="inlineStr">
        <is>
          <t>YES</t>
        </is>
      </c>
      <c r="AK422" t="n">
        <v>0</v>
      </c>
      <c r="AL422">
        <f>IF($A422="","",IFERROR(INDEX(Company_List!$G$3:$G$207,MATCH($A422,Company_List!$A$3:$A$207,0)),"unassigned"))</f>
        <v/>
      </c>
      <c r="AM422" t="inlineStr">
        <is>
          <t>Phase 2/SHELL/2026-Q1/SHEL-2026-Q1-press-release-SEC-EX-99-1.htm</t>
        </is>
      </c>
      <c r="AN422" t="inlineStr">
        <is>
          <t>https://www.sec.gov/Archives/edgar/data/1306965/000162828026031628/q12026exhibit991.htm</t>
        </is>
      </c>
      <c r="AO422" t="inlineStr">
        <is>
          <t>manifest</t>
        </is>
      </c>
      <c r="AP422">
        <f>IF($A422="","",IF(COUNTIFS(LLM_Data_Entry!$A$3:$A$548,$A422)&gt;0,"YES","NO"))</f>
        <v/>
      </c>
      <c r="AQ422">
        <f>IF($A422="","",IF(COUNTIFS($A$3:$A422,$A422,$C$3:$C422,$C422,$D$3:$D422,$D422)=1,"YES","NO"))</f>
        <v/>
      </c>
      <c r="AR422">
        <f>IF($A422="","",IF(AND($C422&amp;"-"&amp;$D422&gt;=Settings!$B$19,$C422&amp;"-"&amp;$D422&lt;=Settings!$B$20),"IN","OUT"))</f>
        <v/>
      </c>
      <c r="AS422">
        <f>IF($A422="","",IF($F422="Financial Results","financials",IF($F422="Outlook/Guidance","guidance",IF($F422="Transcript Q&amp;A","qanda",IF($F422="","unrecorded",IF($E422="All","full",IF($E422="","unrecorded",LOWER($E422)&amp;" only")))))))</f>
        <v/>
      </c>
      <c r="AT422">
        <f>IF(AND(OR($J422="BUY",$J422="SELL"),ISNUMBER($U422)),$U422,"")</f>
        <v/>
      </c>
      <c r="AU422">
        <f>IF(AND(OR($J422="BUY",$J422="SELL"),ISNUMBER($AK422)),$AK422,"")</f>
        <v/>
      </c>
      <c r="AV422">
        <f>IF(ISNUMBER($AT422),ABS(IF(ISNUMBER($I422),$I422,0)-Settings!$B$24),"")</f>
        <v/>
      </c>
      <c r="AW422">
        <f>IF(ISNUMBER($AV422),$AV422*$AT422,"")</f>
        <v/>
      </c>
      <c r="AX422">
        <f>IF(ISNUMBER($AU422),ABS(IF(ISNUMBER($I422),$I422,0)-Settings!$B$24),"")</f>
        <v/>
      </c>
      <c r="AY422">
        <f>IF(ISNUMBER($AX422),$AX422*$AU422,"")</f>
        <v/>
      </c>
      <c r="AZ422">
        <f>IF($A422="","",IFERROR(INDEX(Company_List!$H$3:$H$207,MATCH($A422,Company_List!$A$3:$A$207,0)),"unassigned"))</f>
        <v/>
      </c>
      <c r="BA422" t="n">
        <v>1</v>
      </c>
      <c r="BB422" t="n">
        <v>1</v>
      </c>
      <c r="BC422">
        <f>IF($A422="","",IF(COUNTIFS($A$3:$A422,$A422,$C$3:$C422,$C422,$D$3:$D422,$D422,$G$3:$G422,$G422)=1,1,0))</f>
        <v/>
      </c>
      <c r="BD422" t="n">
        <v>31</v>
      </c>
      <c r="BG422" t="inlineStr">
        <is>
          <t>no</t>
        </is>
      </c>
      <c r="BH422" t="inlineStr">
        <is>
          <t>no</t>
        </is>
      </c>
      <c r="BI422" t="inlineStr">
        <is>
          <t>Trading and the buyback pace move this more than the upstrea</t>
        </is>
      </c>
      <c r="BJ422" t="inlineStr">
        <is>
          <t>71 shell q12026 full.pdf</t>
        </is>
      </c>
      <c r="BK422">
        <f>IF(OR($H422&lt;&gt;"Human",$S422="",$J422="",$Y422="",$Z422=""),"",IF(EXACT(UPPER($J422),UPPER($Y422)),1,0))</f>
        <v/>
      </c>
      <c r="BL422" t="inlineStr">
        <is>
          <t>attested - rater record</t>
        </is>
      </c>
      <c r="BM422" t="n">
        <v>1</v>
      </c>
      <c r="BN422" t="inlineStr">
        <is>
          <t>not publisher-identified</t>
        </is>
      </c>
      <c r="BO422" t="inlineStr">
        <is>
          <t>not publisher-identified</t>
        </is>
      </c>
      <c r="BP422" t="inlineStr">
        <is>
          <t>no</t>
        </is>
      </c>
      <c r="BQ422" t="inlineStr">
        <is>
          <t>yes</t>
        </is>
      </c>
    </row>
    <row r="423">
      <c r="B423" s="142">
        <f>IF(A423="","",_xlfn.XLOOKUP(A423, Company_List!$A:$A, Company_List!$B:$B, ""))</f>
        <v/>
      </c>
      <c r="J423" s="145">
        <f>IF(OR(I423="",Settings!$B$6=""),"",IF(I423&gt;Settings!$B$6,"BUY",IF(I423&lt;-Settings!$B$6,"SELL","HOLD")))</f>
        <v/>
      </c>
      <c r="Q423" s="151">
        <f>IF(OR(N423="",P423=""),"",ROUND((P423-N423)/N423,4))</f>
        <v/>
      </c>
      <c r="R423" s="118">
        <f>IF(OR(N423="",P423=""),"",IF(Q423&gt;Settings!$B$3/100,"UP",IF(Q423&lt;-Settings!$B$3/100,"DOWN","FLAT")))</f>
        <v/>
      </c>
      <c r="S423" s="118">
        <f>IF(OR(N423="",P423="",J423=""),"",IF(OR(AND(J423="BUY",R423="UP"),AND(J423="SELL",R423="DOWN"),AND(J423="HOLD",R423="FLAT")),"YES","NO"))</f>
        <v/>
      </c>
      <c r="T423" s="119">
        <f>IF(J423="","",IF(J423="BUY",1,IF(J423="SELL",-1,0)))</f>
        <v/>
      </c>
      <c r="U423" s="150">
        <f>IFERROR(IF(OR(J423="",N423="",P423=""),"",IF(T423=0,0,T423*Q423-Settings!$B$4/10000-IF(T423&lt;0,Settings!$B$5/10000,0))),"")</f>
        <v/>
      </c>
      <c r="W423" s="21">
        <f>IF($K423="","",$K423*60)</f>
        <v/>
      </c>
      <c r="X423" s="91">
        <f>IF($A423="","",$A423&amp;"|"&amp;$C423&amp;"|"&amp;$D423)</f>
        <v/>
      </c>
      <c r="Y423" s="91">
        <f>IFERROR(IF($X423="","",INDEX(LLM_Data_Entry!$H$3:$H$548,MATCH($X423,INDEX(LLM_Data_Entry!$A$3:$A$548&amp;"|"&amp;LLM_Data_Entry!$C$3:$C$548&amp;"|"&amp;LLM_Data_Entry!$D$3:$D$548,0),0))),"")</f>
        <v/>
      </c>
      <c r="Z423" s="91">
        <f>IFERROR(IF($X423="","",INDEX(LLM_Data_Entry!$R$3:$R$548,MATCH($X423,INDEX(LLM_Data_Entry!$A$3:$A$548&amp;"|"&amp;LLM_Data_Entry!$C$3:$C$548&amp;"|"&amp;LLM_Data_Entry!$D$3:$D$548,0),0))),"")</f>
        <v/>
      </c>
      <c r="AL423">
        <f>IF($A423="","",IFERROR(INDEX(Company_List!$G$3:$G$207,MATCH($A423,Company_List!$A$3:$A$207,0)),"unassigned"))</f>
        <v/>
      </c>
      <c r="AP423">
        <f>IF($A423="","",IF(COUNTIFS(LLM_Data_Entry!$A$3:$A$548,$A423)&gt;0,"YES","NO"))</f>
        <v/>
      </c>
      <c r="AQ423">
        <f>IF($A423="","",IF(COUNTIFS($A$3:$A423,$A423,$C$3:$C423,$C423,$D$3:$D423,$D423)=1,"YES","NO"))</f>
        <v/>
      </c>
      <c r="AR423">
        <f>IF($A423="","",IF(AND($C423&amp;"-"&amp;$D423&gt;=Settings!$B$19,$C423&amp;"-"&amp;$D423&lt;=Settings!$B$20),"IN","OUT"))</f>
        <v/>
      </c>
      <c r="AS423">
        <f>IF($A423="","",IF($F423="Financial Results","financials",IF($F423="Outlook/Guidance","guidance",IF($F423="Transcript Q&amp;A","qanda",IF($F423="","unrecorded",IF($E423="All","full",IF($E423="","unrecorded",LOWER($E423)&amp;" only")))))))</f>
        <v/>
      </c>
      <c r="AT423">
        <f>IF(AND(OR($J423="BUY",$J423="SELL"),ISNUMBER($U423)),$U423,"")</f>
        <v/>
      </c>
      <c r="AU423">
        <f>IF(AND(OR($J423="BUY",$J423="SELL"),ISNUMBER($AK423)),$AK423,"")</f>
        <v/>
      </c>
      <c r="AV423">
        <f>IF(ISNUMBER($AT423),ABS(IF(ISNUMBER($I423),$I423,0)-Settings!$B$24),"")</f>
        <v/>
      </c>
      <c r="AW423">
        <f>IF(ISNUMBER($AV423),$AV423*$AT423,"")</f>
        <v/>
      </c>
      <c r="AX423">
        <f>IF(ISNUMBER($AU423),ABS(IF(ISNUMBER($I423),$I423,0)-Settings!$B$24),"")</f>
        <v/>
      </c>
      <c r="AY423">
        <f>IF(ISNUMBER($AX423),$AX423*$AU423,"")</f>
        <v/>
      </c>
      <c r="AZ423">
        <f>IF($A423="","",IFERROR(INDEX(Company_List!$H$3:$H$207,MATCH($A423,Company_List!$A$3:$A$207,0)),"unassigned"))</f>
        <v/>
      </c>
      <c r="BC423">
        <f>IF($A423="","",IF(COUNTIFS($A$3:$A423,$A423,$C$3:$C423,$C423,$D$3:$D423,$D423,$G$3:$G423,$G423)=1,1,0))</f>
        <v/>
      </c>
      <c r="BK423">
        <f>IF(OR($H423&lt;&gt;"Human",$S423="",$J423="",$Y423="",$Z423=""),"",IF(EXACT(UPPER($J423),UPPER($Y423)),1,0))</f>
        <v/>
      </c>
    </row>
    <row r="424">
      <c r="B424" s="142">
        <f>IF(A424="","",_xlfn.XLOOKUP(A424, Company_List!$A:$A, Company_List!$B:$B, ""))</f>
        <v/>
      </c>
      <c r="J424" s="145">
        <f>IF(OR(I424="",Settings!$B$6=""),"",IF(I424&gt;Settings!$B$6,"BUY",IF(I424&lt;-Settings!$B$6,"SELL","HOLD")))</f>
        <v/>
      </c>
      <c r="Q424" s="151">
        <f>IF(OR(N424="",P424=""),"",ROUND((P424-N424)/N424,4))</f>
        <v/>
      </c>
      <c r="R424" s="118">
        <f>IF(OR(N424="",P424=""),"",IF(Q424&gt;Settings!$B$3/100,"UP",IF(Q424&lt;-Settings!$B$3/100,"DOWN","FLAT")))</f>
        <v/>
      </c>
      <c r="S424" s="118">
        <f>IF(OR(N424="",P424="",J424=""),"",IF(OR(AND(J424="BUY",R424="UP"),AND(J424="SELL",R424="DOWN"),AND(J424="HOLD",R424="FLAT")),"YES","NO"))</f>
        <v/>
      </c>
      <c r="T424" s="119">
        <f>IF(J424="","",IF(J424="BUY",1,IF(J424="SELL",-1,0)))</f>
        <v/>
      </c>
      <c r="U424" s="150">
        <f>IFERROR(IF(OR(J424="",N424="",P424=""),"",IF(T424=0,0,T424*Q424-Settings!$B$4/10000-IF(T424&lt;0,Settings!$B$5/10000,0))),"")</f>
        <v/>
      </c>
      <c r="W424" s="21">
        <f>IF($K424="","",$K424*60)</f>
        <v/>
      </c>
      <c r="X424" s="91">
        <f>IF($A424="","",$A424&amp;"|"&amp;$C424&amp;"|"&amp;$D424)</f>
        <v/>
      </c>
      <c r="Y424" s="91">
        <f>IFERROR(IF($X424="","",INDEX(LLM_Data_Entry!$H$3:$H$548,MATCH($X424,INDEX(LLM_Data_Entry!$A$3:$A$548&amp;"|"&amp;LLM_Data_Entry!$C$3:$C$548&amp;"|"&amp;LLM_Data_Entry!$D$3:$D$548,0),0))),"")</f>
        <v/>
      </c>
      <c r="Z424" s="91">
        <f>IFERROR(IF($X424="","",INDEX(LLM_Data_Entry!$R$3:$R$548,MATCH($X424,INDEX(LLM_Data_Entry!$A$3:$A$548&amp;"|"&amp;LLM_Data_Entry!$C$3:$C$548&amp;"|"&amp;LLM_Data_Entry!$D$3:$D$548,0),0))),"")</f>
        <v/>
      </c>
      <c r="AL424">
        <f>IF($A424="","",IFERROR(INDEX(Company_List!$G$3:$G$207,MATCH($A424,Company_List!$A$3:$A$207,0)),"unassigned"))</f>
        <v/>
      </c>
      <c r="AP424">
        <f>IF($A424="","",IF(COUNTIFS(LLM_Data_Entry!$A$3:$A$548,$A424)&gt;0,"YES","NO"))</f>
        <v/>
      </c>
      <c r="AQ424">
        <f>IF($A424="","",IF(COUNTIFS($A$3:$A424,$A424,$C$3:$C424,$C424,$D$3:$D424,$D424)=1,"YES","NO"))</f>
        <v/>
      </c>
      <c r="AR424">
        <f>IF($A424="","",IF(AND($C424&amp;"-"&amp;$D424&gt;=Settings!$B$19,$C424&amp;"-"&amp;$D424&lt;=Settings!$B$20),"IN","OUT"))</f>
        <v/>
      </c>
      <c r="AS424">
        <f>IF($A424="","",IF($F424="Financial Results","financials",IF($F424="Outlook/Guidance","guidance",IF($F424="Transcript Q&amp;A","qanda",IF($F424="","unrecorded",IF($E424="All","full",IF($E424="","unrecorded",LOWER($E424)&amp;" only")))))))</f>
        <v/>
      </c>
      <c r="AT424">
        <f>IF(AND(OR($J424="BUY",$J424="SELL"),ISNUMBER($U424)),$U424,"")</f>
        <v/>
      </c>
      <c r="AU424">
        <f>IF(AND(OR($J424="BUY",$J424="SELL"),ISNUMBER($AK424)),$AK424,"")</f>
        <v/>
      </c>
      <c r="AV424">
        <f>IF(ISNUMBER($AT424),ABS(IF(ISNUMBER($I424),$I424,0)-Settings!$B$24),"")</f>
        <v/>
      </c>
      <c r="AW424">
        <f>IF(ISNUMBER($AV424),$AV424*$AT424,"")</f>
        <v/>
      </c>
      <c r="AX424">
        <f>IF(ISNUMBER($AU424),ABS(IF(ISNUMBER($I424),$I424,0)-Settings!$B$24),"")</f>
        <v/>
      </c>
      <c r="AY424">
        <f>IF(ISNUMBER($AX424),$AX424*$AU424,"")</f>
        <v/>
      </c>
      <c r="AZ424">
        <f>IF($A424="","",IFERROR(INDEX(Company_List!$H$3:$H$207,MATCH($A424,Company_List!$A$3:$A$207,0)),"unassigned"))</f>
        <v/>
      </c>
      <c r="BC424">
        <f>IF($A424="","",IF(COUNTIFS($A$3:$A424,$A424,$C$3:$C424,$C424,$D$3:$D424,$D424,$G$3:$G424,$G424)=1,1,0))</f>
        <v/>
      </c>
      <c r="BK424">
        <f>IF(OR($H424&lt;&gt;"Human",$S424="",$J424="",$Y424="",$Z424=""),"",IF(EXACT(UPPER($J424),UPPER($Y424)),1,0))</f>
        <v/>
      </c>
    </row>
    <row r="425">
      <c r="B425" s="142">
        <f>IF(A425="","",_xlfn.XLOOKUP(A425, Company_List!$A:$A, Company_List!$B:$B, ""))</f>
        <v/>
      </c>
      <c r="J425" s="145">
        <f>IF(OR(I425="",Settings!$B$6=""),"",IF(I425&gt;Settings!$B$6,"BUY",IF(I425&lt;-Settings!$B$6,"SELL","HOLD")))</f>
        <v/>
      </c>
      <c r="Q425" s="151">
        <f>IF(OR(N425="",P425=""),"",ROUND((P425-N425)/N425,4))</f>
        <v/>
      </c>
      <c r="R425" s="118">
        <f>IF(OR(N425="",P425=""),"",IF(Q425&gt;Settings!$B$3/100,"UP",IF(Q425&lt;-Settings!$B$3/100,"DOWN","FLAT")))</f>
        <v/>
      </c>
      <c r="S425" s="118">
        <f>IF(OR(N425="",P425="",J425=""),"",IF(OR(AND(J425="BUY",R425="UP"),AND(J425="SELL",R425="DOWN"),AND(J425="HOLD",R425="FLAT")),"YES","NO"))</f>
        <v/>
      </c>
      <c r="T425" s="119">
        <f>IF(J425="","",IF(J425="BUY",1,IF(J425="SELL",-1,0)))</f>
        <v/>
      </c>
      <c r="U425" s="150">
        <f>IFERROR(IF(OR(J425="",N425="",P425=""),"",IF(T425=0,0,T425*Q425-Settings!$B$4/10000-IF(T425&lt;0,Settings!$B$5/10000,0))),"")</f>
        <v/>
      </c>
      <c r="W425" s="21">
        <f>IF($K425="","",$K425*60)</f>
        <v/>
      </c>
      <c r="X425" s="91">
        <f>IF($A425="","",$A425&amp;"|"&amp;$C425&amp;"|"&amp;$D425)</f>
        <v/>
      </c>
      <c r="Y425" s="91">
        <f>IFERROR(IF($X425="","",INDEX(LLM_Data_Entry!$H$3:$H$548,MATCH($X425,INDEX(LLM_Data_Entry!$A$3:$A$548&amp;"|"&amp;LLM_Data_Entry!$C$3:$C$548&amp;"|"&amp;LLM_Data_Entry!$D$3:$D$548,0),0))),"")</f>
        <v/>
      </c>
      <c r="Z425" s="91">
        <f>IFERROR(IF($X425="","",INDEX(LLM_Data_Entry!$R$3:$R$548,MATCH($X425,INDEX(LLM_Data_Entry!$A$3:$A$548&amp;"|"&amp;LLM_Data_Entry!$C$3:$C$548&amp;"|"&amp;LLM_Data_Entry!$D$3:$D$548,0),0))),"")</f>
        <v/>
      </c>
      <c r="AL425">
        <f>IF($A425="","",IFERROR(INDEX(Company_List!$G$3:$G$207,MATCH($A425,Company_List!$A$3:$A$207,0)),"unassigned"))</f>
        <v/>
      </c>
      <c r="AP425">
        <f>IF($A425="","",IF(COUNTIFS(LLM_Data_Entry!$A$3:$A$548,$A425)&gt;0,"YES","NO"))</f>
        <v/>
      </c>
      <c r="AQ425">
        <f>IF($A425="","",IF(COUNTIFS($A$3:$A425,$A425,$C$3:$C425,$C425,$D$3:$D425,$D425)=1,"YES","NO"))</f>
        <v/>
      </c>
      <c r="AR425">
        <f>IF($A425="","",IF(AND($C425&amp;"-"&amp;$D425&gt;=Settings!$B$19,$C425&amp;"-"&amp;$D425&lt;=Settings!$B$20),"IN","OUT"))</f>
        <v/>
      </c>
      <c r="AS425">
        <f>IF($A425="","",IF($F425="Financial Results","financials",IF($F425="Outlook/Guidance","guidance",IF($F425="Transcript Q&amp;A","qanda",IF($F425="","unrecorded",IF($E425="All","full",IF($E425="","unrecorded",LOWER($E425)&amp;" only")))))))</f>
        <v/>
      </c>
      <c r="AT425">
        <f>IF(AND(OR($J425="BUY",$J425="SELL"),ISNUMBER($U425)),$U425,"")</f>
        <v/>
      </c>
      <c r="AU425">
        <f>IF(AND(OR($J425="BUY",$J425="SELL"),ISNUMBER($AK425)),$AK425,"")</f>
        <v/>
      </c>
      <c r="AV425">
        <f>IF(ISNUMBER($AT425),ABS(IF(ISNUMBER($I425),$I425,0)-Settings!$B$24),"")</f>
        <v/>
      </c>
      <c r="AW425">
        <f>IF(ISNUMBER($AV425),$AV425*$AT425,"")</f>
        <v/>
      </c>
      <c r="AX425">
        <f>IF(ISNUMBER($AU425),ABS(IF(ISNUMBER($I425),$I425,0)-Settings!$B$24),"")</f>
        <v/>
      </c>
      <c r="AY425">
        <f>IF(ISNUMBER($AX425),$AX425*$AU425,"")</f>
        <v/>
      </c>
      <c r="AZ425">
        <f>IF($A425="","",IFERROR(INDEX(Company_List!$H$3:$H$207,MATCH($A425,Company_List!$A$3:$A$207,0)),"unassigned"))</f>
        <v/>
      </c>
      <c r="BC425">
        <f>IF($A425="","",IF(COUNTIFS($A$3:$A425,$A425,$C$3:$C425,$C425,$D$3:$D425,$D425,$G$3:$G425,$G425)=1,1,0))</f>
        <v/>
      </c>
      <c r="BK425">
        <f>IF(OR($H425&lt;&gt;"Human",$S425="",$J425="",$Y425="",$Z425=""),"",IF(EXACT(UPPER($J425),UPPER($Y425)),1,0))</f>
        <v/>
      </c>
    </row>
    <row r="426">
      <c r="B426" s="142">
        <f>IF(A426="","",_xlfn.XLOOKUP(A426, Company_List!$A:$A, Company_List!$B:$B, ""))</f>
        <v/>
      </c>
      <c r="J426" s="145">
        <f>IF(OR(I426="",Settings!$B$6=""),"",IF(I426&gt;Settings!$B$6,"BUY",IF(I426&lt;-Settings!$B$6,"SELL","HOLD")))</f>
        <v/>
      </c>
      <c r="Q426" s="151">
        <f>IF(OR(N426="",P426=""),"",ROUND((P426-N426)/N426,4))</f>
        <v/>
      </c>
      <c r="R426" s="118">
        <f>IF(OR(N426="",P426=""),"",IF(Q426&gt;Settings!$B$3/100,"UP",IF(Q426&lt;-Settings!$B$3/100,"DOWN","FLAT")))</f>
        <v/>
      </c>
      <c r="S426" s="118">
        <f>IF(OR(N426="",P426="",J426=""),"",IF(OR(AND(J426="BUY",R426="UP"),AND(J426="SELL",R426="DOWN"),AND(J426="HOLD",R426="FLAT")),"YES","NO"))</f>
        <v/>
      </c>
      <c r="T426" s="119">
        <f>IF(J426="","",IF(J426="BUY",1,IF(J426="SELL",-1,0)))</f>
        <v/>
      </c>
      <c r="U426" s="150">
        <f>IFERROR(IF(OR(J426="",N426="",P426=""),"",IF(T426=0,0,T426*Q426-Settings!$B$4/10000-IF(T426&lt;0,Settings!$B$5/10000,0))),"")</f>
        <v/>
      </c>
      <c r="W426" s="21">
        <f>IF($K426="","",$K426*60)</f>
        <v/>
      </c>
      <c r="X426" s="91">
        <f>IF($A426="","",$A426&amp;"|"&amp;$C426&amp;"|"&amp;$D426)</f>
        <v/>
      </c>
      <c r="Y426" s="91">
        <f>IFERROR(IF($X426="","",INDEX(LLM_Data_Entry!$H$3:$H$548,MATCH($X426,INDEX(LLM_Data_Entry!$A$3:$A$548&amp;"|"&amp;LLM_Data_Entry!$C$3:$C$548&amp;"|"&amp;LLM_Data_Entry!$D$3:$D$548,0),0))),"")</f>
        <v/>
      </c>
      <c r="Z426" s="91">
        <f>IFERROR(IF($X426="","",INDEX(LLM_Data_Entry!$R$3:$R$548,MATCH($X426,INDEX(LLM_Data_Entry!$A$3:$A$548&amp;"|"&amp;LLM_Data_Entry!$C$3:$C$548&amp;"|"&amp;LLM_Data_Entry!$D$3:$D$548,0),0))),"")</f>
        <v/>
      </c>
      <c r="AL426">
        <f>IF($A426="","",IFERROR(INDEX(Company_List!$G$3:$G$207,MATCH($A426,Company_List!$A$3:$A$207,0)),"unassigned"))</f>
        <v/>
      </c>
      <c r="AP426">
        <f>IF($A426="","",IF(COUNTIFS(LLM_Data_Entry!$A$3:$A$548,$A426)&gt;0,"YES","NO"))</f>
        <v/>
      </c>
      <c r="AQ426">
        <f>IF($A426="","",IF(COUNTIFS($A$3:$A426,$A426,$C$3:$C426,$C426,$D$3:$D426,$D426)=1,"YES","NO"))</f>
        <v/>
      </c>
      <c r="AR426">
        <f>IF($A426="","",IF(AND($C426&amp;"-"&amp;$D426&gt;=Settings!$B$19,$C426&amp;"-"&amp;$D426&lt;=Settings!$B$20),"IN","OUT"))</f>
        <v/>
      </c>
      <c r="AS426">
        <f>IF($A426="","",IF($F426="Financial Results","financials",IF($F426="Outlook/Guidance","guidance",IF($F426="Transcript Q&amp;A","qanda",IF($F426="","unrecorded",IF($E426="All","full",IF($E426="","unrecorded",LOWER($E426)&amp;" only")))))))</f>
        <v/>
      </c>
      <c r="AT426">
        <f>IF(AND(OR($J426="BUY",$J426="SELL"),ISNUMBER($U426)),$U426,"")</f>
        <v/>
      </c>
      <c r="AU426">
        <f>IF(AND(OR($J426="BUY",$J426="SELL"),ISNUMBER($AK426)),$AK426,"")</f>
        <v/>
      </c>
      <c r="AV426">
        <f>IF(ISNUMBER($AT426),ABS(IF(ISNUMBER($I426),$I426,0)-Settings!$B$24),"")</f>
        <v/>
      </c>
      <c r="AW426">
        <f>IF(ISNUMBER($AV426),$AV426*$AT426,"")</f>
        <v/>
      </c>
      <c r="AX426">
        <f>IF(ISNUMBER($AU426),ABS(IF(ISNUMBER($I426),$I426,0)-Settings!$B$24),"")</f>
        <v/>
      </c>
      <c r="AY426">
        <f>IF(ISNUMBER($AX426),$AX426*$AU426,"")</f>
        <v/>
      </c>
      <c r="AZ426">
        <f>IF($A426="","",IFERROR(INDEX(Company_List!$H$3:$H$207,MATCH($A426,Company_List!$A$3:$A$207,0)),"unassigned"))</f>
        <v/>
      </c>
      <c r="BC426">
        <f>IF($A426="","",IF(COUNTIFS($A$3:$A426,$A426,$C$3:$C426,$C426,$D$3:$D426,$D426,$G$3:$G426,$G426)=1,1,0))</f>
        <v/>
      </c>
      <c r="BK426">
        <f>IF(OR($H426&lt;&gt;"Human",$S426="",$J426="",$Y426="",$Z426=""),"",IF(EXACT(UPPER($J426),UPPER($Y426)),1,0))</f>
        <v/>
      </c>
    </row>
    <row r="427">
      <c r="B427" s="142">
        <f>IF(A427="","",_xlfn.XLOOKUP(A427, Company_List!$A:$A, Company_List!$B:$B, ""))</f>
        <v/>
      </c>
      <c r="J427" s="145">
        <f>IF(OR(I427="",Settings!$B$6=""),"",IF(I427&gt;Settings!$B$6,"BUY",IF(I427&lt;-Settings!$B$6,"SELL","HOLD")))</f>
        <v/>
      </c>
      <c r="Q427" s="151">
        <f>IF(OR(N427="",P427=""),"",ROUND((P427-N427)/N427,4))</f>
        <v/>
      </c>
      <c r="R427" s="118">
        <f>IF(OR(N427="",P427=""),"",IF(Q427&gt;Settings!$B$3/100,"UP",IF(Q427&lt;-Settings!$B$3/100,"DOWN","FLAT")))</f>
        <v/>
      </c>
      <c r="S427" s="118">
        <f>IF(OR(N427="",P427="",J427=""),"",IF(OR(AND(J427="BUY",R427="UP"),AND(J427="SELL",R427="DOWN"),AND(J427="HOLD",R427="FLAT")),"YES","NO"))</f>
        <v/>
      </c>
      <c r="T427" s="119">
        <f>IF(J427="","",IF(J427="BUY",1,IF(J427="SELL",-1,0)))</f>
        <v/>
      </c>
      <c r="U427" s="150">
        <f>IFERROR(IF(OR(J427="",N427="",P427=""),"",IF(T427=0,0,T427*Q427-Settings!$B$4/10000-IF(T427&lt;0,Settings!$B$5/10000,0))),"")</f>
        <v/>
      </c>
      <c r="W427" s="21">
        <f>IF($K427="","",$K427*60)</f>
        <v/>
      </c>
      <c r="X427" s="91">
        <f>IF($A427="","",$A427&amp;"|"&amp;$C427&amp;"|"&amp;$D427)</f>
        <v/>
      </c>
      <c r="Y427" s="91">
        <f>IFERROR(IF($X427="","",INDEX(LLM_Data_Entry!$H$3:$H$548,MATCH($X427,INDEX(LLM_Data_Entry!$A$3:$A$548&amp;"|"&amp;LLM_Data_Entry!$C$3:$C$548&amp;"|"&amp;LLM_Data_Entry!$D$3:$D$548,0),0))),"")</f>
        <v/>
      </c>
      <c r="Z427" s="91">
        <f>IFERROR(IF($X427="","",INDEX(LLM_Data_Entry!$R$3:$R$548,MATCH($X427,INDEX(LLM_Data_Entry!$A$3:$A$548&amp;"|"&amp;LLM_Data_Entry!$C$3:$C$548&amp;"|"&amp;LLM_Data_Entry!$D$3:$D$548,0),0))),"")</f>
        <v/>
      </c>
      <c r="AL427">
        <f>IF($A427="","",IFERROR(INDEX(Company_List!$G$3:$G$207,MATCH($A427,Company_List!$A$3:$A$207,0)),"unassigned"))</f>
        <v/>
      </c>
      <c r="AP427">
        <f>IF($A427="","",IF(COUNTIFS(LLM_Data_Entry!$A$3:$A$548,$A427)&gt;0,"YES","NO"))</f>
        <v/>
      </c>
      <c r="AQ427">
        <f>IF($A427="","",IF(COUNTIFS($A$3:$A427,$A427,$C$3:$C427,$C427,$D$3:$D427,$D427)=1,"YES","NO"))</f>
        <v/>
      </c>
      <c r="AR427">
        <f>IF($A427="","",IF(AND($C427&amp;"-"&amp;$D427&gt;=Settings!$B$19,$C427&amp;"-"&amp;$D427&lt;=Settings!$B$20),"IN","OUT"))</f>
        <v/>
      </c>
      <c r="AS427">
        <f>IF($A427="","",IF($F427="Financial Results","financials",IF($F427="Outlook/Guidance","guidance",IF($F427="Transcript Q&amp;A","qanda",IF($F427="","unrecorded",IF($E427="All","full",IF($E427="","unrecorded",LOWER($E427)&amp;" only")))))))</f>
        <v/>
      </c>
      <c r="AT427">
        <f>IF(AND(OR($J427="BUY",$J427="SELL"),ISNUMBER($U427)),$U427,"")</f>
        <v/>
      </c>
      <c r="AU427">
        <f>IF(AND(OR($J427="BUY",$J427="SELL"),ISNUMBER($AK427)),$AK427,"")</f>
        <v/>
      </c>
      <c r="AV427">
        <f>IF(ISNUMBER($AT427),ABS(IF(ISNUMBER($I427),$I427,0)-Settings!$B$24),"")</f>
        <v/>
      </c>
      <c r="AW427">
        <f>IF(ISNUMBER($AV427),$AV427*$AT427,"")</f>
        <v/>
      </c>
      <c r="AX427">
        <f>IF(ISNUMBER($AU427),ABS(IF(ISNUMBER($I427),$I427,0)-Settings!$B$24),"")</f>
        <v/>
      </c>
      <c r="AY427">
        <f>IF(ISNUMBER($AX427),$AX427*$AU427,"")</f>
        <v/>
      </c>
      <c r="AZ427">
        <f>IF($A427="","",IFERROR(INDEX(Company_List!$H$3:$H$207,MATCH($A427,Company_List!$A$3:$A$207,0)),"unassigned"))</f>
        <v/>
      </c>
      <c r="BC427">
        <f>IF($A427="","",IF(COUNTIFS($A$3:$A427,$A427,$C$3:$C427,$C427,$D$3:$D427,$D427,$G$3:$G427,$G427)=1,1,0))</f>
        <v/>
      </c>
      <c r="BK427">
        <f>IF(OR($H427&lt;&gt;"Human",$S427="",$J427="",$Y427="",$Z427=""),"",IF(EXACT(UPPER($J427),UPPER($Y427)),1,0))</f>
        <v/>
      </c>
    </row>
    <row r="428">
      <c r="B428" s="142">
        <f>IF(A428="","",_xlfn.XLOOKUP(A428, Company_List!$A:$A, Company_List!$B:$B, ""))</f>
        <v/>
      </c>
      <c r="J428" s="145">
        <f>IF(OR(I428="",Settings!$B$6=""),"",IF(I428&gt;Settings!$B$6,"BUY",IF(I428&lt;-Settings!$B$6,"SELL","HOLD")))</f>
        <v/>
      </c>
      <c r="Q428" s="151">
        <f>IF(OR(N428="",P428=""),"",ROUND((P428-N428)/N428,4))</f>
        <v/>
      </c>
      <c r="R428" s="118">
        <f>IF(OR(N428="",P428=""),"",IF(Q428&gt;Settings!$B$3/100,"UP",IF(Q428&lt;-Settings!$B$3/100,"DOWN","FLAT")))</f>
        <v/>
      </c>
      <c r="S428" s="118">
        <f>IF(OR(N428="",P428="",J428=""),"",IF(OR(AND(J428="BUY",R428="UP"),AND(J428="SELL",R428="DOWN"),AND(J428="HOLD",R428="FLAT")),"YES","NO"))</f>
        <v/>
      </c>
      <c r="T428" s="119">
        <f>IF(J428="","",IF(J428="BUY",1,IF(J428="SELL",-1,0)))</f>
        <v/>
      </c>
      <c r="U428" s="150">
        <f>IFERROR(IF(OR(J428="",N428="",P428=""),"",IF(T428=0,0,T428*Q428-Settings!$B$4/10000-IF(T428&lt;0,Settings!$B$5/10000,0))),"")</f>
        <v/>
      </c>
      <c r="W428" s="21">
        <f>IF($K428="","",$K428*60)</f>
        <v/>
      </c>
      <c r="X428" s="91">
        <f>IF($A428="","",$A428&amp;"|"&amp;$C428&amp;"|"&amp;$D428)</f>
        <v/>
      </c>
      <c r="Y428" s="91">
        <f>IFERROR(IF($X428="","",INDEX(LLM_Data_Entry!$H$3:$H$548,MATCH($X428,INDEX(LLM_Data_Entry!$A$3:$A$548&amp;"|"&amp;LLM_Data_Entry!$C$3:$C$548&amp;"|"&amp;LLM_Data_Entry!$D$3:$D$548,0),0))),"")</f>
        <v/>
      </c>
      <c r="Z428" s="91">
        <f>IFERROR(IF($X428="","",INDEX(LLM_Data_Entry!$R$3:$R$548,MATCH($X428,INDEX(LLM_Data_Entry!$A$3:$A$548&amp;"|"&amp;LLM_Data_Entry!$C$3:$C$548&amp;"|"&amp;LLM_Data_Entry!$D$3:$D$548,0),0))),"")</f>
        <v/>
      </c>
      <c r="AL428">
        <f>IF($A428="","",IFERROR(INDEX(Company_List!$G$3:$G$207,MATCH($A428,Company_List!$A$3:$A$207,0)),"unassigned"))</f>
        <v/>
      </c>
      <c r="AP428">
        <f>IF($A428="","",IF(COUNTIFS(LLM_Data_Entry!$A$3:$A$548,$A428)&gt;0,"YES","NO"))</f>
        <v/>
      </c>
      <c r="AQ428">
        <f>IF($A428="","",IF(COUNTIFS($A$3:$A428,$A428,$C$3:$C428,$C428,$D$3:$D428,$D428)=1,"YES","NO"))</f>
        <v/>
      </c>
      <c r="AR428">
        <f>IF($A428="","",IF(AND($C428&amp;"-"&amp;$D428&gt;=Settings!$B$19,$C428&amp;"-"&amp;$D428&lt;=Settings!$B$20),"IN","OUT"))</f>
        <v/>
      </c>
      <c r="AS428">
        <f>IF($A428="","",IF($F428="Financial Results","financials",IF($F428="Outlook/Guidance","guidance",IF($F428="Transcript Q&amp;A","qanda",IF($F428="","unrecorded",IF($E428="All","full",IF($E428="","unrecorded",LOWER($E428)&amp;" only")))))))</f>
        <v/>
      </c>
      <c r="AT428">
        <f>IF(AND(OR($J428="BUY",$J428="SELL"),ISNUMBER($U428)),$U428,"")</f>
        <v/>
      </c>
      <c r="AU428">
        <f>IF(AND(OR($J428="BUY",$J428="SELL"),ISNUMBER($AK428)),$AK428,"")</f>
        <v/>
      </c>
      <c r="AV428">
        <f>IF(ISNUMBER($AT428),ABS(IF(ISNUMBER($I428),$I428,0)-Settings!$B$24),"")</f>
        <v/>
      </c>
      <c r="AW428">
        <f>IF(ISNUMBER($AV428),$AV428*$AT428,"")</f>
        <v/>
      </c>
      <c r="AX428">
        <f>IF(ISNUMBER($AU428),ABS(IF(ISNUMBER($I428),$I428,0)-Settings!$B$24),"")</f>
        <v/>
      </c>
      <c r="AY428">
        <f>IF(ISNUMBER($AX428),$AX428*$AU428,"")</f>
        <v/>
      </c>
      <c r="AZ428">
        <f>IF($A428="","",IFERROR(INDEX(Company_List!$H$3:$H$207,MATCH($A428,Company_List!$A$3:$A$207,0)),"unassigned"))</f>
        <v/>
      </c>
      <c r="BC428">
        <f>IF($A428="","",IF(COUNTIFS($A$3:$A428,$A428,$C$3:$C428,$C428,$D$3:$D428,$D428,$G$3:$G428,$G428)=1,1,0))</f>
        <v/>
      </c>
      <c r="BK428">
        <f>IF(OR($H428&lt;&gt;"Human",$S428="",$J428="",$Y428="",$Z428=""),"",IF(EXACT(UPPER($J428),UPPER($Y428)),1,0))</f>
        <v/>
      </c>
    </row>
    <row r="429">
      <c r="B429" s="142">
        <f>IF(A429="","",_xlfn.XLOOKUP(A429, Company_List!$A:$A, Company_List!$B:$B, ""))</f>
        <v/>
      </c>
      <c r="J429" s="145">
        <f>IF(OR(I429="",Settings!$B$6=""),"",IF(I429&gt;Settings!$B$6,"BUY",IF(I429&lt;-Settings!$B$6,"SELL","HOLD")))</f>
        <v/>
      </c>
      <c r="Q429" s="151">
        <f>IF(OR(N429="",P429=""),"",ROUND((P429-N429)/N429,4))</f>
        <v/>
      </c>
      <c r="R429" s="118">
        <f>IF(OR(N429="",P429=""),"",IF(Q429&gt;Settings!$B$3/100,"UP",IF(Q429&lt;-Settings!$B$3/100,"DOWN","FLAT")))</f>
        <v/>
      </c>
      <c r="S429" s="118">
        <f>IF(OR(N429="",P429="",J429=""),"",IF(OR(AND(J429="BUY",R429="UP"),AND(J429="SELL",R429="DOWN"),AND(J429="HOLD",R429="FLAT")),"YES","NO"))</f>
        <v/>
      </c>
      <c r="T429" s="119">
        <f>IF(J429="","",IF(J429="BUY",1,IF(J429="SELL",-1,0)))</f>
        <v/>
      </c>
      <c r="U429" s="150">
        <f>IFERROR(IF(OR(J429="",N429="",P429=""),"",IF(T429=0,0,T429*Q429-Settings!$B$4/10000-IF(T429&lt;0,Settings!$B$5/10000,0))),"")</f>
        <v/>
      </c>
      <c r="W429" s="21">
        <f>IF($K429="","",$K429*60)</f>
        <v/>
      </c>
      <c r="X429" s="91">
        <f>IF($A429="","",$A429&amp;"|"&amp;$C429&amp;"|"&amp;$D429)</f>
        <v/>
      </c>
      <c r="Y429" s="91">
        <f>IFERROR(IF($X429="","",INDEX(LLM_Data_Entry!$H$3:$H$548,MATCH($X429,INDEX(LLM_Data_Entry!$A$3:$A$548&amp;"|"&amp;LLM_Data_Entry!$C$3:$C$548&amp;"|"&amp;LLM_Data_Entry!$D$3:$D$548,0),0))),"")</f>
        <v/>
      </c>
      <c r="Z429" s="91">
        <f>IFERROR(IF($X429="","",INDEX(LLM_Data_Entry!$R$3:$R$548,MATCH($X429,INDEX(LLM_Data_Entry!$A$3:$A$548&amp;"|"&amp;LLM_Data_Entry!$C$3:$C$548&amp;"|"&amp;LLM_Data_Entry!$D$3:$D$548,0),0))),"")</f>
        <v/>
      </c>
      <c r="AL429">
        <f>IF($A429="","",IFERROR(INDEX(Company_List!$G$3:$G$207,MATCH($A429,Company_List!$A$3:$A$207,0)),"unassigned"))</f>
        <v/>
      </c>
      <c r="AP429">
        <f>IF($A429="","",IF(COUNTIFS(LLM_Data_Entry!$A$3:$A$548,$A429)&gt;0,"YES","NO"))</f>
        <v/>
      </c>
      <c r="AQ429">
        <f>IF($A429="","",IF(COUNTIFS($A$3:$A429,$A429,$C$3:$C429,$C429,$D$3:$D429,$D429)=1,"YES","NO"))</f>
        <v/>
      </c>
      <c r="AR429">
        <f>IF($A429="","",IF(AND($C429&amp;"-"&amp;$D429&gt;=Settings!$B$19,$C429&amp;"-"&amp;$D429&lt;=Settings!$B$20),"IN","OUT"))</f>
        <v/>
      </c>
      <c r="AS429">
        <f>IF($A429="","",IF($F429="Financial Results","financials",IF($F429="Outlook/Guidance","guidance",IF($F429="Transcript Q&amp;A","qanda",IF($F429="","unrecorded",IF($E429="All","full",IF($E429="","unrecorded",LOWER($E429)&amp;" only")))))))</f>
        <v/>
      </c>
      <c r="AT429">
        <f>IF(AND(OR($J429="BUY",$J429="SELL"),ISNUMBER($U429)),$U429,"")</f>
        <v/>
      </c>
      <c r="AU429">
        <f>IF(AND(OR($J429="BUY",$J429="SELL"),ISNUMBER($AK429)),$AK429,"")</f>
        <v/>
      </c>
      <c r="AV429">
        <f>IF(ISNUMBER($AT429),ABS(IF(ISNUMBER($I429),$I429,0)-Settings!$B$24),"")</f>
        <v/>
      </c>
      <c r="AW429">
        <f>IF(ISNUMBER($AV429),$AV429*$AT429,"")</f>
        <v/>
      </c>
      <c r="AX429">
        <f>IF(ISNUMBER($AU429),ABS(IF(ISNUMBER($I429),$I429,0)-Settings!$B$24),"")</f>
        <v/>
      </c>
      <c r="AY429">
        <f>IF(ISNUMBER($AX429),$AX429*$AU429,"")</f>
        <v/>
      </c>
      <c r="AZ429">
        <f>IF($A429="","",IFERROR(INDEX(Company_List!$H$3:$H$207,MATCH($A429,Company_List!$A$3:$A$207,0)),"unassigned"))</f>
        <v/>
      </c>
      <c r="BC429">
        <f>IF($A429="","",IF(COUNTIFS($A$3:$A429,$A429,$C$3:$C429,$C429,$D$3:$D429,$D429,$G$3:$G429,$G429)=1,1,0))</f>
        <v/>
      </c>
      <c r="BK429">
        <f>IF(OR($H429&lt;&gt;"Human",$S429="",$J429="",$Y429="",$Z429=""),"",IF(EXACT(UPPER($J429),UPPER($Y429)),1,0))</f>
        <v/>
      </c>
    </row>
    <row r="430">
      <c r="B430" s="142">
        <f>IF(A430="","",_xlfn.XLOOKUP(A430, Company_List!$A:$A, Company_List!$B:$B, ""))</f>
        <v/>
      </c>
      <c r="J430" s="145">
        <f>IF(OR(I430="",Settings!$B$6=""),"",IF(I430&gt;Settings!$B$6,"BUY",IF(I430&lt;-Settings!$B$6,"SELL","HOLD")))</f>
        <v/>
      </c>
      <c r="Q430" s="151">
        <f>IF(OR(N430="",P430=""),"",ROUND((P430-N430)/N430,4))</f>
        <v/>
      </c>
      <c r="R430" s="118">
        <f>IF(OR(N430="",P430=""),"",IF(Q430&gt;Settings!$B$3/100,"UP",IF(Q430&lt;-Settings!$B$3/100,"DOWN","FLAT")))</f>
        <v/>
      </c>
      <c r="S430" s="118">
        <f>IF(OR(N430="",P430="",J430=""),"",IF(OR(AND(J430="BUY",R430="UP"),AND(J430="SELL",R430="DOWN"),AND(J430="HOLD",R430="FLAT")),"YES","NO"))</f>
        <v/>
      </c>
      <c r="T430" s="119">
        <f>IF(J430="","",IF(J430="BUY",1,IF(J430="SELL",-1,0)))</f>
        <v/>
      </c>
      <c r="U430" s="150">
        <f>IFERROR(IF(OR(J430="",N430="",P430=""),"",IF(T430=0,0,T430*Q430-Settings!$B$4/10000-IF(T430&lt;0,Settings!$B$5/10000,0))),"")</f>
        <v/>
      </c>
      <c r="W430" s="21">
        <f>IF($K430="","",$K430*60)</f>
        <v/>
      </c>
      <c r="X430" s="91">
        <f>IF($A430="","",$A430&amp;"|"&amp;$C430&amp;"|"&amp;$D430)</f>
        <v/>
      </c>
      <c r="Y430" s="91">
        <f>IFERROR(IF($X430="","",INDEX(LLM_Data_Entry!$H$3:$H$548,MATCH($X430,INDEX(LLM_Data_Entry!$A$3:$A$548&amp;"|"&amp;LLM_Data_Entry!$C$3:$C$548&amp;"|"&amp;LLM_Data_Entry!$D$3:$D$548,0),0))),"")</f>
        <v/>
      </c>
      <c r="Z430" s="91">
        <f>IFERROR(IF($X430="","",INDEX(LLM_Data_Entry!$R$3:$R$548,MATCH($X430,INDEX(LLM_Data_Entry!$A$3:$A$548&amp;"|"&amp;LLM_Data_Entry!$C$3:$C$548&amp;"|"&amp;LLM_Data_Entry!$D$3:$D$548,0),0))),"")</f>
        <v/>
      </c>
      <c r="AL430">
        <f>IF($A430="","",IFERROR(INDEX(Company_List!$G$3:$G$207,MATCH($A430,Company_List!$A$3:$A$207,0)),"unassigned"))</f>
        <v/>
      </c>
      <c r="AP430">
        <f>IF($A430="","",IF(COUNTIFS(LLM_Data_Entry!$A$3:$A$548,$A430)&gt;0,"YES","NO"))</f>
        <v/>
      </c>
      <c r="AQ430">
        <f>IF($A430="","",IF(COUNTIFS($A$3:$A430,$A430,$C$3:$C430,$C430,$D$3:$D430,$D430)=1,"YES","NO"))</f>
        <v/>
      </c>
      <c r="AR430">
        <f>IF($A430="","",IF(AND($C430&amp;"-"&amp;$D430&gt;=Settings!$B$19,$C430&amp;"-"&amp;$D430&lt;=Settings!$B$20),"IN","OUT"))</f>
        <v/>
      </c>
      <c r="AS430">
        <f>IF($A430="","",IF($F430="Financial Results","financials",IF($F430="Outlook/Guidance","guidance",IF($F430="Transcript Q&amp;A","qanda",IF($F430="","unrecorded",IF($E430="All","full",IF($E430="","unrecorded",LOWER($E430)&amp;" only")))))))</f>
        <v/>
      </c>
      <c r="AT430">
        <f>IF(AND(OR($J430="BUY",$J430="SELL"),ISNUMBER($U430)),$U430,"")</f>
        <v/>
      </c>
      <c r="AU430">
        <f>IF(AND(OR($J430="BUY",$J430="SELL"),ISNUMBER($AK430)),$AK430,"")</f>
        <v/>
      </c>
      <c r="AV430">
        <f>IF(ISNUMBER($AT430),ABS(IF(ISNUMBER($I430),$I430,0)-Settings!$B$24),"")</f>
        <v/>
      </c>
      <c r="AW430">
        <f>IF(ISNUMBER($AV430),$AV430*$AT430,"")</f>
        <v/>
      </c>
      <c r="AX430">
        <f>IF(ISNUMBER($AU430),ABS(IF(ISNUMBER($I430),$I430,0)-Settings!$B$24),"")</f>
        <v/>
      </c>
      <c r="AY430">
        <f>IF(ISNUMBER($AX430),$AX430*$AU430,"")</f>
        <v/>
      </c>
      <c r="AZ430">
        <f>IF($A430="","",IFERROR(INDEX(Company_List!$H$3:$H$207,MATCH($A430,Company_List!$A$3:$A$207,0)),"unassigned"))</f>
        <v/>
      </c>
      <c r="BC430">
        <f>IF($A430="","",IF(COUNTIFS($A$3:$A430,$A430,$C$3:$C430,$C430,$D$3:$D430,$D430,$G$3:$G430,$G430)=1,1,0))</f>
        <v/>
      </c>
      <c r="BK430">
        <f>IF(OR($H430&lt;&gt;"Human",$S430="",$J430="",$Y430="",$Z430=""),"",IF(EXACT(UPPER($J430),UPPER($Y430)),1,0))</f>
        <v/>
      </c>
    </row>
    <row r="431">
      <c r="B431" s="142">
        <f>IF(A431="","",_xlfn.XLOOKUP(A431, Company_List!$A:$A, Company_List!$B:$B, ""))</f>
        <v/>
      </c>
      <c r="J431" s="145">
        <f>IF(OR(I431="",Settings!$B$6=""),"",IF(I431&gt;Settings!$B$6,"BUY",IF(I431&lt;-Settings!$B$6,"SELL","HOLD")))</f>
        <v/>
      </c>
      <c r="Q431" s="151">
        <f>IF(OR(N431="",P431=""),"",ROUND((P431-N431)/N431,4))</f>
        <v/>
      </c>
      <c r="R431" s="118">
        <f>IF(OR(N431="",P431=""),"",IF(Q431&gt;Settings!$B$3/100,"UP",IF(Q431&lt;-Settings!$B$3/100,"DOWN","FLAT")))</f>
        <v/>
      </c>
      <c r="S431" s="118">
        <f>IF(OR(N431="",P431="",J431=""),"",IF(OR(AND(J431="BUY",R431="UP"),AND(J431="SELL",R431="DOWN"),AND(J431="HOLD",R431="FLAT")),"YES","NO"))</f>
        <v/>
      </c>
      <c r="T431" s="119">
        <f>IF(J431="","",IF(J431="BUY",1,IF(J431="SELL",-1,0)))</f>
        <v/>
      </c>
      <c r="U431" s="150">
        <f>IFERROR(IF(OR(J431="",N431="",P431=""),"",IF(T431=0,0,T431*Q431-Settings!$B$4/10000-IF(T431&lt;0,Settings!$B$5/10000,0))),"")</f>
        <v/>
      </c>
      <c r="W431" s="21">
        <f>IF($K431="","",$K431*60)</f>
        <v/>
      </c>
      <c r="X431" s="91">
        <f>IF($A431="","",$A431&amp;"|"&amp;$C431&amp;"|"&amp;$D431)</f>
        <v/>
      </c>
      <c r="Y431" s="91">
        <f>IFERROR(IF($X431="","",INDEX(LLM_Data_Entry!$H$3:$H$548,MATCH($X431,INDEX(LLM_Data_Entry!$A$3:$A$548&amp;"|"&amp;LLM_Data_Entry!$C$3:$C$548&amp;"|"&amp;LLM_Data_Entry!$D$3:$D$548,0),0))),"")</f>
        <v/>
      </c>
      <c r="Z431" s="91">
        <f>IFERROR(IF($X431="","",INDEX(LLM_Data_Entry!$R$3:$R$548,MATCH($X431,INDEX(LLM_Data_Entry!$A$3:$A$548&amp;"|"&amp;LLM_Data_Entry!$C$3:$C$548&amp;"|"&amp;LLM_Data_Entry!$D$3:$D$548,0),0))),"")</f>
        <v/>
      </c>
      <c r="AL431">
        <f>IF($A431="","",IFERROR(INDEX(Company_List!$G$3:$G$207,MATCH($A431,Company_List!$A$3:$A$207,0)),"unassigned"))</f>
        <v/>
      </c>
      <c r="AP431">
        <f>IF($A431="","",IF(COUNTIFS(LLM_Data_Entry!$A$3:$A$548,$A431)&gt;0,"YES","NO"))</f>
        <v/>
      </c>
      <c r="AQ431">
        <f>IF($A431="","",IF(COUNTIFS($A$3:$A431,$A431,$C$3:$C431,$C431,$D$3:$D431,$D431)=1,"YES","NO"))</f>
        <v/>
      </c>
      <c r="AR431">
        <f>IF($A431="","",IF(AND($C431&amp;"-"&amp;$D431&gt;=Settings!$B$19,$C431&amp;"-"&amp;$D431&lt;=Settings!$B$20),"IN","OUT"))</f>
        <v/>
      </c>
      <c r="AS431">
        <f>IF($A431="","",IF($F431="Financial Results","financials",IF($F431="Outlook/Guidance","guidance",IF($F431="Transcript Q&amp;A","qanda",IF($F431="","unrecorded",IF($E431="All","full",IF($E431="","unrecorded",LOWER($E431)&amp;" only")))))))</f>
        <v/>
      </c>
      <c r="AT431">
        <f>IF(AND(OR($J431="BUY",$J431="SELL"),ISNUMBER($U431)),$U431,"")</f>
        <v/>
      </c>
      <c r="AU431">
        <f>IF(AND(OR($J431="BUY",$J431="SELL"),ISNUMBER($AK431)),$AK431,"")</f>
        <v/>
      </c>
      <c r="AV431">
        <f>IF(ISNUMBER($AT431),ABS(IF(ISNUMBER($I431),$I431,0)-Settings!$B$24),"")</f>
        <v/>
      </c>
      <c r="AW431">
        <f>IF(ISNUMBER($AV431),$AV431*$AT431,"")</f>
        <v/>
      </c>
      <c r="AX431">
        <f>IF(ISNUMBER($AU431),ABS(IF(ISNUMBER($I431),$I431,0)-Settings!$B$24),"")</f>
        <v/>
      </c>
      <c r="AY431">
        <f>IF(ISNUMBER($AX431),$AX431*$AU431,"")</f>
        <v/>
      </c>
      <c r="AZ431">
        <f>IF($A431="","",IFERROR(INDEX(Company_List!$H$3:$H$207,MATCH($A431,Company_List!$A$3:$A$207,0)),"unassigned"))</f>
        <v/>
      </c>
      <c r="BC431">
        <f>IF($A431="","",IF(COUNTIFS($A$3:$A431,$A431,$C$3:$C431,$C431,$D$3:$D431,$D431,$G$3:$G431,$G431)=1,1,0))</f>
        <v/>
      </c>
      <c r="BK431">
        <f>IF(OR($H431&lt;&gt;"Human",$S431="",$J431="",$Y431="",$Z431=""),"",IF(EXACT(UPPER($J431),UPPER($Y431)),1,0))</f>
        <v/>
      </c>
    </row>
    <row r="432">
      <c r="B432" s="142">
        <f>IF(A432="","",_xlfn.XLOOKUP(A432, Company_List!$A:$A, Company_List!$B:$B, ""))</f>
        <v/>
      </c>
      <c r="J432" s="145">
        <f>IF(OR(I432="",Settings!$B$6=""),"",IF(I432&gt;Settings!$B$6,"BUY",IF(I432&lt;-Settings!$B$6,"SELL","HOLD")))</f>
        <v/>
      </c>
      <c r="Q432" s="151">
        <f>IF(OR(N432="",P432=""),"",ROUND((P432-N432)/N432,4))</f>
        <v/>
      </c>
      <c r="R432" s="118">
        <f>IF(OR(N432="",P432=""),"",IF(Q432&gt;Settings!$B$3/100,"UP",IF(Q432&lt;-Settings!$B$3/100,"DOWN","FLAT")))</f>
        <v/>
      </c>
      <c r="S432" s="118">
        <f>IF(OR(N432="",P432="",J432=""),"",IF(OR(AND(J432="BUY",R432="UP"),AND(J432="SELL",R432="DOWN"),AND(J432="HOLD",R432="FLAT")),"YES","NO"))</f>
        <v/>
      </c>
      <c r="T432" s="119">
        <f>IF(J432="","",IF(J432="BUY",1,IF(J432="SELL",-1,0)))</f>
        <v/>
      </c>
      <c r="U432" s="150">
        <f>IFERROR(IF(OR(J432="",N432="",P432=""),"",IF(T432=0,0,T432*Q432-Settings!$B$4/10000-IF(T432&lt;0,Settings!$B$5/10000,0))),"")</f>
        <v/>
      </c>
      <c r="W432" s="21">
        <f>IF($K432="","",$K432*60)</f>
        <v/>
      </c>
      <c r="X432" s="91">
        <f>IF($A432="","",$A432&amp;"|"&amp;$C432&amp;"|"&amp;$D432)</f>
        <v/>
      </c>
      <c r="Y432" s="91">
        <f>IFERROR(IF($X432="","",INDEX(LLM_Data_Entry!$H$3:$H$548,MATCH($X432,INDEX(LLM_Data_Entry!$A$3:$A$548&amp;"|"&amp;LLM_Data_Entry!$C$3:$C$548&amp;"|"&amp;LLM_Data_Entry!$D$3:$D$548,0),0))),"")</f>
        <v/>
      </c>
      <c r="Z432" s="91">
        <f>IFERROR(IF($X432="","",INDEX(LLM_Data_Entry!$R$3:$R$548,MATCH($X432,INDEX(LLM_Data_Entry!$A$3:$A$548&amp;"|"&amp;LLM_Data_Entry!$C$3:$C$548&amp;"|"&amp;LLM_Data_Entry!$D$3:$D$548,0),0))),"")</f>
        <v/>
      </c>
      <c r="AL432">
        <f>IF($A432="","",IFERROR(INDEX(Company_List!$G$3:$G$207,MATCH($A432,Company_List!$A$3:$A$207,0)),"unassigned"))</f>
        <v/>
      </c>
      <c r="AP432">
        <f>IF($A432="","",IF(COUNTIFS(LLM_Data_Entry!$A$3:$A$548,$A432)&gt;0,"YES","NO"))</f>
        <v/>
      </c>
      <c r="AQ432">
        <f>IF($A432="","",IF(COUNTIFS($A$3:$A432,$A432,$C$3:$C432,$C432,$D$3:$D432,$D432)=1,"YES","NO"))</f>
        <v/>
      </c>
      <c r="AR432">
        <f>IF($A432="","",IF(AND($C432&amp;"-"&amp;$D432&gt;=Settings!$B$19,$C432&amp;"-"&amp;$D432&lt;=Settings!$B$20),"IN","OUT"))</f>
        <v/>
      </c>
      <c r="AS432">
        <f>IF($A432="","",IF($F432="Financial Results","financials",IF($F432="Outlook/Guidance","guidance",IF($F432="Transcript Q&amp;A","qanda",IF($F432="","unrecorded",IF($E432="All","full",IF($E432="","unrecorded",LOWER($E432)&amp;" only")))))))</f>
        <v/>
      </c>
      <c r="AT432">
        <f>IF(AND(OR($J432="BUY",$J432="SELL"),ISNUMBER($U432)),$U432,"")</f>
        <v/>
      </c>
      <c r="AU432">
        <f>IF(AND(OR($J432="BUY",$J432="SELL"),ISNUMBER($AK432)),$AK432,"")</f>
        <v/>
      </c>
      <c r="AV432">
        <f>IF(ISNUMBER($AT432),ABS(IF(ISNUMBER($I432),$I432,0)-Settings!$B$24),"")</f>
        <v/>
      </c>
      <c r="AW432">
        <f>IF(ISNUMBER($AV432),$AV432*$AT432,"")</f>
        <v/>
      </c>
      <c r="AX432">
        <f>IF(ISNUMBER($AU432),ABS(IF(ISNUMBER($I432),$I432,0)-Settings!$B$24),"")</f>
        <v/>
      </c>
      <c r="AY432">
        <f>IF(ISNUMBER($AX432),$AX432*$AU432,"")</f>
        <v/>
      </c>
      <c r="AZ432">
        <f>IF($A432="","",IFERROR(INDEX(Company_List!$H$3:$H$207,MATCH($A432,Company_List!$A$3:$A$207,0)),"unassigned"))</f>
        <v/>
      </c>
      <c r="BC432">
        <f>IF($A432="","",IF(COUNTIFS($A$3:$A432,$A432,$C$3:$C432,$C432,$D$3:$D432,$D432,$G$3:$G432,$G432)=1,1,0))</f>
        <v/>
      </c>
      <c r="BK432">
        <f>IF(OR($H432&lt;&gt;"Human",$S432="",$J432="",$Y432="",$Z432=""),"",IF(EXACT(UPPER($J432),UPPER($Y432)),1,0))</f>
        <v/>
      </c>
    </row>
    <row r="433">
      <c r="B433" s="142">
        <f>IF(A433="","",_xlfn.XLOOKUP(A433, Company_List!$A:$A, Company_List!$B:$B, ""))</f>
        <v/>
      </c>
      <c r="J433" s="145">
        <f>IF(OR(I433="",Settings!$B$6=""),"",IF(I433&gt;Settings!$B$6,"BUY",IF(I433&lt;-Settings!$B$6,"SELL","HOLD")))</f>
        <v/>
      </c>
      <c r="Q433" s="151">
        <f>IF(OR(N433="",P433=""),"",ROUND((P433-N433)/N433,4))</f>
        <v/>
      </c>
      <c r="R433" s="118">
        <f>IF(OR(N433="",P433=""),"",IF(Q433&gt;Settings!$B$3/100,"UP",IF(Q433&lt;-Settings!$B$3/100,"DOWN","FLAT")))</f>
        <v/>
      </c>
      <c r="S433" s="118">
        <f>IF(OR(N433="",P433="",J433=""),"",IF(OR(AND(J433="BUY",R433="UP"),AND(J433="SELL",R433="DOWN"),AND(J433="HOLD",R433="FLAT")),"YES","NO"))</f>
        <v/>
      </c>
      <c r="T433" s="119">
        <f>IF(J433="","",IF(J433="BUY",1,IF(J433="SELL",-1,0)))</f>
        <v/>
      </c>
      <c r="U433" s="150">
        <f>IFERROR(IF(OR(J433="",N433="",P433=""),"",IF(T433=0,0,T433*Q433-Settings!$B$4/10000-IF(T433&lt;0,Settings!$B$5/10000,0))),"")</f>
        <v/>
      </c>
      <c r="W433" s="21">
        <f>IF($K433="","",$K433*60)</f>
        <v/>
      </c>
      <c r="X433" s="91">
        <f>IF($A433="","",$A433&amp;"|"&amp;$C433&amp;"|"&amp;$D433)</f>
        <v/>
      </c>
      <c r="Y433" s="91">
        <f>IFERROR(IF($X433="","",INDEX(LLM_Data_Entry!$H$3:$H$548,MATCH($X433,INDEX(LLM_Data_Entry!$A$3:$A$548&amp;"|"&amp;LLM_Data_Entry!$C$3:$C$548&amp;"|"&amp;LLM_Data_Entry!$D$3:$D$548,0),0))),"")</f>
        <v/>
      </c>
      <c r="Z433" s="91">
        <f>IFERROR(IF($X433="","",INDEX(LLM_Data_Entry!$R$3:$R$548,MATCH($X433,INDEX(LLM_Data_Entry!$A$3:$A$548&amp;"|"&amp;LLM_Data_Entry!$C$3:$C$548&amp;"|"&amp;LLM_Data_Entry!$D$3:$D$548,0),0))),"")</f>
        <v/>
      </c>
      <c r="AL433">
        <f>IF($A433="","",IFERROR(INDEX(Company_List!$G$3:$G$207,MATCH($A433,Company_List!$A$3:$A$207,0)),"unassigned"))</f>
        <v/>
      </c>
      <c r="AP433">
        <f>IF($A433="","",IF(COUNTIFS(LLM_Data_Entry!$A$3:$A$548,$A433)&gt;0,"YES","NO"))</f>
        <v/>
      </c>
      <c r="AQ433">
        <f>IF($A433="","",IF(COUNTIFS($A$3:$A433,$A433,$C$3:$C433,$C433,$D$3:$D433,$D433)=1,"YES","NO"))</f>
        <v/>
      </c>
      <c r="AR433">
        <f>IF($A433="","",IF(AND($C433&amp;"-"&amp;$D433&gt;=Settings!$B$19,$C433&amp;"-"&amp;$D433&lt;=Settings!$B$20),"IN","OUT"))</f>
        <v/>
      </c>
      <c r="AS433">
        <f>IF($A433="","",IF($F433="Financial Results","financials",IF($F433="Outlook/Guidance","guidance",IF($F433="Transcript Q&amp;A","qanda",IF($F433="","unrecorded",IF($E433="All","full",IF($E433="","unrecorded",LOWER($E433)&amp;" only")))))))</f>
        <v/>
      </c>
      <c r="AT433">
        <f>IF(AND(OR($J433="BUY",$J433="SELL"),ISNUMBER($U433)),$U433,"")</f>
        <v/>
      </c>
      <c r="AU433">
        <f>IF(AND(OR($J433="BUY",$J433="SELL"),ISNUMBER($AK433)),$AK433,"")</f>
        <v/>
      </c>
      <c r="AV433">
        <f>IF(ISNUMBER($AT433),ABS(IF(ISNUMBER($I433),$I433,0)-Settings!$B$24),"")</f>
        <v/>
      </c>
      <c r="AW433">
        <f>IF(ISNUMBER($AV433),$AV433*$AT433,"")</f>
        <v/>
      </c>
      <c r="AX433">
        <f>IF(ISNUMBER($AU433),ABS(IF(ISNUMBER($I433),$I433,0)-Settings!$B$24),"")</f>
        <v/>
      </c>
      <c r="AY433">
        <f>IF(ISNUMBER($AX433),$AX433*$AU433,"")</f>
        <v/>
      </c>
      <c r="AZ433">
        <f>IF($A433="","",IFERROR(INDEX(Company_List!$H$3:$H$207,MATCH($A433,Company_List!$A$3:$A$207,0)),"unassigned"))</f>
        <v/>
      </c>
      <c r="BC433">
        <f>IF($A433="","",IF(COUNTIFS($A$3:$A433,$A433,$C$3:$C433,$C433,$D$3:$D433,$D433,$G$3:$G433,$G433)=1,1,0))</f>
        <v/>
      </c>
      <c r="BK433">
        <f>IF(OR($H433&lt;&gt;"Human",$S433="",$J433="",$Y433="",$Z433=""),"",IF(EXACT(UPPER($J433),UPPER($Y433)),1,0))</f>
        <v/>
      </c>
    </row>
    <row r="434">
      <c r="B434" s="142">
        <f>IF(A434="","",_xlfn.XLOOKUP(A434, Company_List!$A:$A, Company_List!$B:$B, ""))</f>
        <v/>
      </c>
      <c r="J434" s="145">
        <f>IF(OR(I434="",Settings!$B$6=""),"",IF(I434&gt;Settings!$B$6,"BUY",IF(I434&lt;-Settings!$B$6,"SELL","HOLD")))</f>
        <v/>
      </c>
      <c r="Q434" s="151">
        <f>IF(OR(N434="",P434=""),"",ROUND((P434-N434)/N434,4))</f>
        <v/>
      </c>
      <c r="R434" s="118">
        <f>IF(OR(N434="",P434=""),"",IF(Q434&gt;Settings!$B$3/100,"UP",IF(Q434&lt;-Settings!$B$3/100,"DOWN","FLAT")))</f>
        <v/>
      </c>
      <c r="S434" s="118">
        <f>IF(OR(N434="",P434="",J434=""),"",IF(OR(AND(J434="BUY",R434="UP"),AND(J434="SELL",R434="DOWN"),AND(J434="HOLD",R434="FLAT")),"YES","NO"))</f>
        <v/>
      </c>
      <c r="T434" s="119">
        <f>IF(J434="","",IF(J434="BUY",1,IF(J434="SELL",-1,0)))</f>
        <v/>
      </c>
      <c r="U434" s="150">
        <f>IFERROR(IF(OR(J434="",N434="",P434=""),"",IF(T434=0,0,T434*Q434-Settings!$B$4/10000-IF(T434&lt;0,Settings!$B$5/10000,0))),"")</f>
        <v/>
      </c>
      <c r="W434" s="21">
        <f>IF($K434="","",$K434*60)</f>
        <v/>
      </c>
      <c r="X434" s="91">
        <f>IF($A434="","",$A434&amp;"|"&amp;$C434&amp;"|"&amp;$D434)</f>
        <v/>
      </c>
      <c r="Y434" s="91">
        <f>IFERROR(IF($X434="","",INDEX(LLM_Data_Entry!$H$3:$H$548,MATCH($X434,INDEX(LLM_Data_Entry!$A$3:$A$548&amp;"|"&amp;LLM_Data_Entry!$C$3:$C$548&amp;"|"&amp;LLM_Data_Entry!$D$3:$D$548,0),0))),"")</f>
        <v/>
      </c>
      <c r="Z434" s="91">
        <f>IFERROR(IF($X434="","",INDEX(LLM_Data_Entry!$R$3:$R$548,MATCH($X434,INDEX(LLM_Data_Entry!$A$3:$A$548&amp;"|"&amp;LLM_Data_Entry!$C$3:$C$548&amp;"|"&amp;LLM_Data_Entry!$D$3:$D$548,0),0))),"")</f>
        <v/>
      </c>
      <c r="AL434">
        <f>IF($A434="","",IFERROR(INDEX(Company_List!$G$3:$G$207,MATCH($A434,Company_List!$A$3:$A$207,0)),"unassigned"))</f>
        <v/>
      </c>
      <c r="AP434">
        <f>IF($A434="","",IF(COUNTIFS(LLM_Data_Entry!$A$3:$A$548,$A434)&gt;0,"YES","NO"))</f>
        <v/>
      </c>
      <c r="AQ434">
        <f>IF($A434="","",IF(COUNTIFS($A$3:$A434,$A434,$C$3:$C434,$C434,$D$3:$D434,$D434)=1,"YES","NO"))</f>
        <v/>
      </c>
      <c r="AR434">
        <f>IF($A434="","",IF(AND($C434&amp;"-"&amp;$D434&gt;=Settings!$B$19,$C434&amp;"-"&amp;$D434&lt;=Settings!$B$20),"IN","OUT"))</f>
        <v/>
      </c>
      <c r="AS434">
        <f>IF($A434="","",IF($F434="Financial Results","financials",IF($F434="Outlook/Guidance","guidance",IF($F434="Transcript Q&amp;A","qanda",IF($F434="","unrecorded",IF($E434="All","full",IF($E434="","unrecorded",LOWER($E434)&amp;" only")))))))</f>
        <v/>
      </c>
      <c r="AT434">
        <f>IF(AND(OR($J434="BUY",$J434="SELL"),ISNUMBER($U434)),$U434,"")</f>
        <v/>
      </c>
      <c r="AU434">
        <f>IF(AND(OR($J434="BUY",$J434="SELL"),ISNUMBER($AK434)),$AK434,"")</f>
        <v/>
      </c>
      <c r="AV434">
        <f>IF(ISNUMBER($AT434),ABS(IF(ISNUMBER($I434),$I434,0)-Settings!$B$24),"")</f>
        <v/>
      </c>
      <c r="AW434">
        <f>IF(ISNUMBER($AV434),$AV434*$AT434,"")</f>
        <v/>
      </c>
      <c r="AX434">
        <f>IF(ISNUMBER($AU434),ABS(IF(ISNUMBER($I434),$I434,0)-Settings!$B$24),"")</f>
        <v/>
      </c>
      <c r="AY434">
        <f>IF(ISNUMBER($AX434),$AX434*$AU434,"")</f>
        <v/>
      </c>
      <c r="AZ434">
        <f>IF($A434="","",IFERROR(INDEX(Company_List!$H$3:$H$207,MATCH($A434,Company_List!$A$3:$A$207,0)),"unassigned"))</f>
        <v/>
      </c>
      <c r="BC434">
        <f>IF($A434="","",IF(COUNTIFS($A$3:$A434,$A434,$C$3:$C434,$C434,$D$3:$D434,$D434,$G$3:$G434,$G434)=1,1,0))</f>
        <v/>
      </c>
      <c r="BK434">
        <f>IF(OR($H434&lt;&gt;"Human",$S434="",$J434="",$Y434="",$Z434=""),"",IF(EXACT(UPPER($J434),UPPER($Y434)),1,0))</f>
        <v/>
      </c>
    </row>
    <row r="435">
      <c r="B435" s="142">
        <f>IF(A435="","",_xlfn.XLOOKUP(A435, Company_List!$A:$A, Company_List!$B:$B, ""))</f>
        <v/>
      </c>
      <c r="J435" s="145">
        <f>IF(OR(I435="",Settings!$B$6=""),"",IF(I435&gt;Settings!$B$6,"BUY",IF(I435&lt;-Settings!$B$6,"SELL","HOLD")))</f>
        <v/>
      </c>
      <c r="Q435" s="151">
        <f>IF(OR(N435="",P435=""),"",ROUND((P435-N435)/N435,4))</f>
        <v/>
      </c>
      <c r="R435" s="118">
        <f>IF(OR(N435="",P435=""),"",IF(Q435&gt;Settings!$B$3/100,"UP",IF(Q435&lt;-Settings!$B$3/100,"DOWN","FLAT")))</f>
        <v/>
      </c>
      <c r="S435" s="118">
        <f>IF(OR(N435="",P435="",J435=""),"",IF(OR(AND(J435="BUY",R435="UP"),AND(J435="SELL",R435="DOWN"),AND(J435="HOLD",R435="FLAT")),"YES","NO"))</f>
        <v/>
      </c>
      <c r="T435" s="119">
        <f>IF(J435="","",IF(J435="BUY",1,IF(J435="SELL",-1,0)))</f>
        <v/>
      </c>
      <c r="U435" s="150">
        <f>IFERROR(IF(OR(J435="",N435="",P435=""),"",IF(T435=0,0,T435*Q435-Settings!$B$4/10000-IF(T435&lt;0,Settings!$B$5/10000,0))),"")</f>
        <v/>
      </c>
      <c r="W435" s="21">
        <f>IF($K435="","",$K435*60)</f>
        <v/>
      </c>
      <c r="X435" s="91">
        <f>IF($A435="","",$A435&amp;"|"&amp;$C435&amp;"|"&amp;$D435)</f>
        <v/>
      </c>
      <c r="Y435" s="91">
        <f>IFERROR(IF($X435="","",INDEX(LLM_Data_Entry!$H$3:$H$548,MATCH($X435,INDEX(LLM_Data_Entry!$A$3:$A$548&amp;"|"&amp;LLM_Data_Entry!$C$3:$C$548&amp;"|"&amp;LLM_Data_Entry!$D$3:$D$548,0),0))),"")</f>
        <v/>
      </c>
      <c r="Z435" s="91">
        <f>IFERROR(IF($X435="","",INDEX(LLM_Data_Entry!$R$3:$R$548,MATCH($X435,INDEX(LLM_Data_Entry!$A$3:$A$548&amp;"|"&amp;LLM_Data_Entry!$C$3:$C$548&amp;"|"&amp;LLM_Data_Entry!$D$3:$D$548,0),0))),"")</f>
        <v/>
      </c>
      <c r="AL435">
        <f>IF($A435="","",IFERROR(INDEX(Company_List!$G$3:$G$207,MATCH($A435,Company_List!$A$3:$A$207,0)),"unassigned"))</f>
        <v/>
      </c>
      <c r="AP435">
        <f>IF($A435="","",IF(COUNTIFS(LLM_Data_Entry!$A$3:$A$548,$A435)&gt;0,"YES","NO"))</f>
        <v/>
      </c>
      <c r="AQ435">
        <f>IF($A435="","",IF(COUNTIFS($A$3:$A435,$A435,$C$3:$C435,$C435,$D$3:$D435,$D435)=1,"YES","NO"))</f>
        <v/>
      </c>
      <c r="AR435">
        <f>IF($A435="","",IF(AND($C435&amp;"-"&amp;$D435&gt;=Settings!$B$19,$C435&amp;"-"&amp;$D435&lt;=Settings!$B$20),"IN","OUT"))</f>
        <v/>
      </c>
      <c r="AS435">
        <f>IF($A435="","",IF($F435="Financial Results","financials",IF($F435="Outlook/Guidance","guidance",IF($F435="Transcript Q&amp;A","qanda",IF($F435="","unrecorded",IF($E435="All","full",IF($E435="","unrecorded",LOWER($E435)&amp;" only")))))))</f>
        <v/>
      </c>
      <c r="AT435">
        <f>IF(AND(OR($J435="BUY",$J435="SELL"),ISNUMBER($U435)),$U435,"")</f>
        <v/>
      </c>
      <c r="AU435">
        <f>IF(AND(OR($J435="BUY",$J435="SELL"),ISNUMBER($AK435)),$AK435,"")</f>
        <v/>
      </c>
      <c r="AV435">
        <f>IF(ISNUMBER($AT435),ABS(IF(ISNUMBER($I435),$I435,0)-Settings!$B$24),"")</f>
        <v/>
      </c>
      <c r="AW435">
        <f>IF(ISNUMBER($AV435),$AV435*$AT435,"")</f>
        <v/>
      </c>
      <c r="AX435">
        <f>IF(ISNUMBER($AU435),ABS(IF(ISNUMBER($I435),$I435,0)-Settings!$B$24),"")</f>
        <v/>
      </c>
      <c r="AY435">
        <f>IF(ISNUMBER($AX435),$AX435*$AU435,"")</f>
        <v/>
      </c>
      <c r="AZ435">
        <f>IF($A435="","",IFERROR(INDEX(Company_List!$H$3:$H$207,MATCH($A435,Company_List!$A$3:$A$207,0)),"unassigned"))</f>
        <v/>
      </c>
      <c r="BC435">
        <f>IF($A435="","",IF(COUNTIFS($A$3:$A435,$A435,$C$3:$C435,$C435,$D$3:$D435,$D435,$G$3:$G435,$G435)=1,1,0))</f>
        <v/>
      </c>
      <c r="BK435">
        <f>IF(OR($H435&lt;&gt;"Human",$S435="",$J435="",$Y435="",$Z435=""),"",IF(EXACT(UPPER($J435),UPPER($Y435)),1,0))</f>
        <v/>
      </c>
    </row>
    <row r="436">
      <c r="B436" s="142">
        <f>IF(A436="","",_xlfn.XLOOKUP(A436, Company_List!$A:$A, Company_List!$B:$B, ""))</f>
        <v/>
      </c>
      <c r="J436" s="145">
        <f>IF(OR(I436="",Settings!$B$6=""),"",IF(I436&gt;Settings!$B$6,"BUY",IF(I436&lt;-Settings!$B$6,"SELL","HOLD")))</f>
        <v/>
      </c>
      <c r="Q436" s="151">
        <f>IF(OR(N436="",P436=""),"",ROUND((P436-N436)/N436,4))</f>
        <v/>
      </c>
      <c r="R436" s="118">
        <f>IF(OR(N436="",P436=""),"",IF(Q436&gt;Settings!$B$3/100,"UP",IF(Q436&lt;-Settings!$B$3/100,"DOWN","FLAT")))</f>
        <v/>
      </c>
      <c r="S436" s="118">
        <f>IF(OR(N436="",P436="",J436=""),"",IF(OR(AND(J436="BUY",R436="UP"),AND(J436="SELL",R436="DOWN"),AND(J436="HOLD",R436="FLAT")),"YES","NO"))</f>
        <v/>
      </c>
      <c r="T436" s="119">
        <f>IF(J436="","",IF(J436="BUY",1,IF(J436="SELL",-1,0)))</f>
        <v/>
      </c>
      <c r="U436" s="150">
        <f>IFERROR(IF(OR(J436="",N436="",P436=""),"",IF(T436=0,0,T436*Q436-Settings!$B$4/10000-IF(T436&lt;0,Settings!$B$5/10000,0))),"")</f>
        <v/>
      </c>
      <c r="W436" s="21">
        <f>IF($K436="","",$K436*60)</f>
        <v/>
      </c>
      <c r="X436" s="91">
        <f>IF($A436="","",$A436&amp;"|"&amp;$C436&amp;"|"&amp;$D436)</f>
        <v/>
      </c>
      <c r="Y436" s="91">
        <f>IFERROR(IF($X436="","",INDEX(LLM_Data_Entry!$H$3:$H$548,MATCH($X436,INDEX(LLM_Data_Entry!$A$3:$A$548&amp;"|"&amp;LLM_Data_Entry!$C$3:$C$548&amp;"|"&amp;LLM_Data_Entry!$D$3:$D$548,0),0))),"")</f>
        <v/>
      </c>
      <c r="Z436" s="91">
        <f>IFERROR(IF($X436="","",INDEX(LLM_Data_Entry!$R$3:$R$548,MATCH($X436,INDEX(LLM_Data_Entry!$A$3:$A$548&amp;"|"&amp;LLM_Data_Entry!$C$3:$C$548&amp;"|"&amp;LLM_Data_Entry!$D$3:$D$548,0),0))),"")</f>
        <v/>
      </c>
      <c r="AL436">
        <f>IF($A436="","",IFERROR(INDEX(Company_List!$G$3:$G$207,MATCH($A436,Company_List!$A$3:$A$207,0)),"unassigned"))</f>
        <v/>
      </c>
      <c r="AP436">
        <f>IF($A436="","",IF(COUNTIFS(LLM_Data_Entry!$A$3:$A$548,$A436)&gt;0,"YES","NO"))</f>
        <v/>
      </c>
      <c r="AQ436">
        <f>IF($A436="","",IF(COUNTIFS($A$3:$A436,$A436,$C$3:$C436,$C436,$D$3:$D436,$D436)=1,"YES","NO"))</f>
        <v/>
      </c>
      <c r="AR436">
        <f>IF($A436="","",IF(AND($C436&amp;"-"&amp;$D436&gt;=Settings!$B$19,$C436&amp;"-"&amp;$D436&lt;=Settings!$B$20),"IN","OUT"))</f>
        <v/>
      </c>
      <c r="AS436">
        <f>IF($A436="","",IF($F436="Financial Results","financials",IF($F436="Outlook/Guidance","guidance",IF($F436="Transcript Q&amp;A","qanda",IF($F436="","unrecorded",IF($E436="All","full",IF($E436="","unrecorded",LOWER($E436)&amp;" only")))))))</f>
        <v/>
      </c>
      <c r="AT436">
        <f>IF(AND(OR($J436="BUY",$J436="SELL"),ISNUMBER($U436)),$U436,"")</f>
        <v/>
      </c>
      <c r="AU436">
        <f>IF(AND(OR($J436="BUY",$J436="SELL"),ISNUMBER($AK436)),$AK436,"")</f>
        <v/>
      </c>
      <c r="AV436">
        <f>IF(ISNUMBER($AT436),ABS(IF(ISNUMBER($I436),$I436,0)-Settings!$B$24),"")</f>
        <v/>
      </c>
      <c r="AW436">
        <f>IF(ISNUMBER($AV436),$AV436*$AT436,"")</f>
        <v/>
      </c>
      <c r="AX436">
        <f>IF(ISNUMBER($AU436),ABS(IF(ISNUMBER($I436),$I436,0)-Settings!$B$24),"")</f>
        <v/>
      </c>
      <c r="AY436">
        <f>IF(ISNUMBER($AX436),$AX436*$AU436,"")</f>
        <v/>
      </c>
      <c r="AZ436">
        <f>IF($A436="","",IFERROR(INDEX(Company_List!$H$3:$H$207,MATCH($A436,Company_List!$A$3:$A$207,0)),"unassigned"))</f>
        <v/>
      </c>
      <c r="BC436">
        <f>IF($A436="","",IF(COUNTIFS($A$3:$A436,$A436,$C$3:$C436,$C436,$D$3:$D436,$D436,$G$3:$G436,$G436)=1,1,0))</f>
        <v/>
      </c>
      <c r="BK436">
        <f>IF(OR($H436&lt;&gt;"Human",$S436="",$J436="",$Y436="",$Z436=""),"",IF(EXACT(UPPER($J436),UPPER($Y436)),1,0))</f>
        <v/>
      </c>
    </row>
    <row r="437">
      <c r="B437" s="142">
        <f>IF(A437="","",_xlfn.XLOOKUP(A437, Company_List!$A:$A, Company_List!$B:$B, ""))</f>
        <v/>
      </c>
      <c r="J437" s="145">
        <f>IF(OR(I437="",Settings!$B$6=""),"",IF(I437&gt;Settings!$B$6,"BUY",IF(I437&lt;-Settings!$B$6,"SELL","HOLD")))</f>
        <v/>
      </c>
      <c r="Q437" s="151">
        <f>IF(OR(N437="",P437=""),"",ROUND((P437-N437)/N437,4))</f>
        <v/>
      </c>
      <c r="R437" s="118">
        <f>IF(OR(N437="",P437=""),"",IF(Q437&gt;Settings!$B$3/100,"UP",IF(Q437&lt;-Settings!$B$3/100,"DOWN","FLAT")))</f>
        <v/>
      </c>
      <c r="S437" s="118">
        <f>IF(OR(N437="",P437="",J437=""),"",IF(OR(AND(J437="BUY",R437="UP"),AND(J437="SELL",R437="DOWN"),AND(J437="HOLD",R437="FLAT")),"YES","NO"))</f>
        <v/>
      </c>
      <c r="T437" s="119">
        <f>IF(J437="","",IF(J437="BUY",1,IF(J437="SELL",-1,0)))</f>
        <v/>
      </c>
      <c r="U437" s="150">
        <f>IFERROR(IF(OR(J437="",N437="",P437=""),"",IF(T437=0,0,T437*Q437-Settings!$B$4/10000-IF(T437&lt;0,Settings!$B$5/10000,0))),"")</f>
        <v/>
      </c>
      <c r="W437" s="21">
        <f>IF($K437="","",$K437*60)</f>
        <v/>
      </c>
      <c r="X437" s="91">
        <f>IF($A437="","",$A437&amp;"|"&amp;$C437&amp;"|"&amp;$D437)</f>
        <v/>
      </c>
      <c r="Y437" s="91">
        <f>IFERROR(IF($X437="","",INDEX(LLM_Data_Entry!$H$3:$H$548,MATCH($X437,INDEX(LLM_Data_Entry!$A$3:$A$548&amp;"|"&amp;LLM_Data_Entry!$C$3:$C$548&amp;"|"&amp;LLM_Data_Entry!$D$3:$D$548,0),0))),"")</f>
        <v/>
      </c>
      <c r="Z437" s="91">
        <f>IFERROR(IF($X437="","",INDEX(LLM_Data_Entry!$R$3:$R$548,MATCH($X437,INDEX(LLM_Data_Entry!$A$3:$A$548&amp;"|"&amp;LLM_Data_Entry!$C$3:$C$548&amp;"|"&amp;LLM_Data_Entry!$D$3:$D$548,0),0))),"")</f>
        <v/>
      </c>
      <c r="AL437">
        <f>IF($A437="","",IFERROR(INDEX(Company_List!$G$3:$G$207,MATCH($A437,Company_List!$A$3:$A$207,0)),"unassigned"))</f>
        <v/>
      </c>
      <c r="AP437">
        <f>IF($A437="","",IF(COUNTIFS(LLM_Data_Entry!$A$3:$A$548,$A437)&gt;0,"YES","NO"))</f>
        <v/>
      </c>
      <c r="AQ437">
        <f>IF($A437="","",IF(COUNTIFS($A$3:$A437,$A437,$C$3:$C437,$C437,$D$3:$D437,$D437)=1,"YES","NO"))</f>
        <v/>
      </c>
      <c r="AR437">
        <f>IF($A437="","",IF(AND($C437&amp;"-"&amp;$D437&gt;=Settings!$B$19,$C437&amp;"-"&amp;$D437&lt;=Settings!$B$20),"IN","OUT"))</f>
        <v/>
      </c>
      <c r="AS437">
        <f>IF($A437="","",IF($F437="Financial Results","financials",IF($F437="Outlook/Guidance","guidance",IF($F437="Transcript Q&amp;A","qanda",IF($F437="","unrecorded",IF($E437="All","full",IF($E437="","unrecorded",LOWER($E437)&amp;" only")))))))</f>
        <v/>
      </c>
      <c r="AT437">
        <f>IF(AND(OR($J437="BUY",$J437="SELL"),ISNUMBER($U437)),$U437,"")</f>
        <v/>
      </c>
      <c r="AU437">
        <f>IF(AND(OR($J437="BUY",$J437="SELL"),ISNUMBER($AK437)),$AK437,"")</f>
        <v/>
      </c>
      <c r="AV437">
        <f>IF(ISNUMBER($AT437),ABS(IF(ISNUMBER($I437),$I437,0)-Settings!$B$24),"")</f>
        <v/>
      </c>
      <c r="AW437">
        <f>IF(ISNUMBER($AV437),$AV437*$AT437,"")</f>
        <v/>
      </c>
      <c r="AX437">
        <f>IF(ISNUMBER($AU437),ABS(IF(ISNUMBER($I437),$I437,0)-Settings!$B$24),"")</f>
        <v/>
      </c>
      <c r="AY437">
        <f>IF(ISNUMBER($AX437),$AX437*$AU437,"")</f>
        <v/>
      </c>
      <c r="AZ437">
        <f>IF($A437="","",IFERROR(INDEX(Company_List!$H$3:$H$207,MATCH($A437,Company_List!$A$3:$A$207,0)),"unassigned"))</f>
        <v/>
      </c>
      <c r="BC437">
        <f>IF($A437="","",IF(COUNTIFS($A$3:$A437,$A437,$C$3:$C437,$C437,$D$3:$D437,$D437,$G$3:$G437,$G437)=1,1,0))</f>
        <v/>
      </c>
      <c r="BK437">
        <f>IF(OR($H437&lt;&gt;"Human",$S437="",$J437="",$Y437="",$Z437=""),"",IF(EXACT(UPPER($J437),UPPER($Y437)),1,0))</f>
        <v/>
      </c>
    </row>
    <row r="438">
      <c r="B438" s="142">
        <f>IF(A438="","",_xlfn.XLOOKUP(A438, Company_List!$A:$A, Company_List!$B:$B, ""))</f>
        <v/>
      </c>
      <c r="J438" s="145">
        <f>IF(OR(I438="",Settings!$B$6=""),"",IF(I438&gt;Settings!$B$6,"BUY",IF(I438&lt;-Settings!$B$6,"SELL","HOLD")))</f>
        <v/>
      </c>
      <c r="Q438" s="151">
        <f>IF(OR(N438="",P438=""),"",ROUND((P438-N438)/N438,4))</f>
        <v/>
      </c>
      <c r="R438" s="118">
        <f>IF(OR(N438="",P438=""),"",IF(Q438&gt;Settings!$B$3/100,"UP",IF(Q438&lt;-Settings!$B$3/100,"DOWN","FLAT")))</f>
        <v/>
      </c>
      <c r="S438" s="118">
        <f>IF(OR(N438="",P438="",J438=""),"",IF(OR(AND(J438="BUY",R438="UP"),AND(J438="SELL",R438="DOWN"),AND(J438="HOLD",R438="FLAT")),"YES","NO"))</f>
        <v/>
      </c>
      <c r="T438" s="119">
        <f>IF(J438="","",IF(J438="BUY",1,IF(J438="SELL",-1,0)))</f>
        <v/>
      </c>
      <c r="U438" s="150">
        <f>IFERROR(IF(OR(J438="",N438="",P438=""),"",IF(T438=0,0,T438*Q438-Settings!$B$4/10000-IF(T438&lt;0,Settings!$B$5/10000,0))),"")</f>
        <v/>
      </c>
      <c r="W438" s="21">
        <f>IF($K438="","",$K438*60)</f>
        <v/>
      </c>
      <c r="X438" s="91">
        <f>IF($A438="","",$A438&amp;"|"&amp;$C438&amp;"|"&amp;$D438)</f>
        <v/>
      </c>
      <c r="Y438" s="91">
        <f>IFERROR(IF($X438="","",INDEX(LLM_Data_Entry!$H$3:$H$548,MATCH($X438,INDEX(LLM_Data_Entry!$A$3:$A$548&amp;"|"&amp;LLM_Data_Entry!$C$3:$C$548&amp;"|"&amp;LLM_Data_Entry!$D$3:$D$548,0),0))),"")</f>
        <v/>
      </c>
      <c r="Z438" s="91">
        <f>IFERROR(IF($X438="","",INDEX(LLM_Data_Entry!$R$3:$R$548,MATCH($X438,INDEX(LLM_Data_Entry!$A$3:$A$548&amp;"|"&amp;LLM_Data_Entry!$C$3:$C$548&amp;"|"&amp;LLM_Data_Entry!$D$3:$D$548,0),0))),"")</f>
        <v/>
      </c>
      <c r="AL438">
        <f>IF($A438="","",IFERROR(INDEX(Company_List!$G$3:$G$207,MATCH($A438,Company_List!$A$3:$A$207,0)),"unassigned"))</f>
        <v/>
      </c>
      <c r="AP438">
        <f>IF($A438="","",IF(COUNTIFS(LLM_Data_Entry!$A$3:$A$548,$A438)&gt;0,"YES","NO"))</f>
        <v/>
      </c>
      <c r="AQ438">
        <f>IF($A438="","",IF(COUNTIFS($A$3:$A438,$A438,$C$3:$C438,$C438,$D$3:$D438,$D438)=1,"YES","NO"))</f>
        <v/>
      </c>
      <c r="AR438">
        <f>IF($A438="","",IF(AND($C438&amp;"-"&amp;$D438&gt;=Settings!$B$19,$C438&amp;"-"&amp;$D438&lt;=Settings!$B$20),"IN","OUT"))</f>
        <v/>
      </c>
      <c r="AS438">
        <f>IF($A438="","",IF($F438="Financial Results","financials",IF($F438="Outlook/Guidance","guidance",IF($F438="Transcript Q&amp;A","qanda",IF($F438="","unrecorded",IF($E438="All","full",IF($E438="","unrecorded",LOWER($E438)&amp;" only")))))))</f>
        <v/>
      </c>
      <c r="AT438">
        <f>IF(AND(OR($J438="BUY",$J438="SELL"),ISNUMBER($U438)),$U438,"")</f>
        <v/>
      </c>
      <c r="AU438">
        <f>IF(AND(OR($J438="BUY",$J438="SELL"),ISNUMBER($AK438)),$AK438,"")</f>
        <v/>
      </c>
      <c r="AV438">
        <f>IF(ISNUMBER($AT438),ABS(IF(ISNUMBER($I438),$I438,0)-Settings!$B$24),"")</f>
        <v/>
      </c>
      <c r="AW438">
        <f>IF(ISNUMBER($AV438),$AV438*$AT438,"")</f>
        <v/>
      </c>
      <c r="AX438">
        <f>IF(ISNUMBER($AU438),ABS(IF(ISNUMBER($I438),$I438,0)-Settings!$B$24),"")</f>
        <v/>
      </c>
      <c r="AY438">
        <f>IF(ISNUMBER($AX438),$AX438*$AU438,"")</f>
        <v/>
      </c>
      <c r="AZ438">
        <f>IF($A438="","",IFERROR(INDEX(Company_List!$H$3:$H$207,MATCH($A438,Company_List!$A$3:$A$207,0)),"unassigned"))</f>
        <v/>
      </c>
      <c r="BC438">
        <f>IF($A438="","",IF(COUNTIFS($A$3:$A438,$A438,$C$3:$C438,$C438,$D$3:$D438,$D438,$G$3:$G438,$G438)=1,1,0))</f>
        <v/>
      </c>
      <c r="BK438">
        <f>IF(OR($H438&lt;&gt;"Human",$S438="",$J438="",$Y438="",$Z438=""),"",IF(EXACT(UPPER($J438),UPPER($Y438)),1,0))</f>
        <v/>
      </c>
    </row>
    <row r="439">
      <c r="B439" s="142">
        <f>IF(A439="","",_xlfn.XLOOKUP(A439, Company_List!$A:$A, Company_List!$B:$B, ""))</f>
        <v/>
      </c>
      <c r="J439" s="145">
        <f>IF(OR(I439="",Settings!$B$6=""),"",IF(I439&gt;Settings!$B$6,"BUY",IF(I439&lt;-Settings!$B$6,"SELL","HOLD")))</f>
        <v/>
      </c>
      <c r="Q439" s="151">
        <f>IF(OR(N439="",P439=""),"",ROUND((P439-N439)/N439,4))</f>
        <v/>
      </c>
      <c r="R439" s="118">
        <f>IF(OR(N439="",P439=""),"",IF(Q439&gt;Settings!$B$3/100,"UP",IF(Q439&lt;-Settings!$B$3/100,"DOWN","FLAT")))</f>
        <v/>
      </c>
      <c r="S439" s="118">
        <f>IF(OR(N439="",P439="",J439=""),"",IF(OR(AND(J439="BUY",R439="UP"),AND(J439="SELL",R439="DOWN"),AND(J439="HOLD",R439="FLAT")),"YES","NO"))</f>
        <v/>
      </c>
      <c r="T439" s="119">
        <f>IF(J439="","",IF(J439="BUY",1,IF(J439="SELL",-1,0)))</f>
        <v/>
      </c>
      <c r="U439" s="150">
        <f>IFERROR(IF(OR(J439="",N439="",P439=""),"",IF(T439=0,0,T439*Q439-Settings!$B$4/10000-IF(T439&lt;0,Settings!$B$5/10000,0))),"")</f>
        <v/>
      </c>
      <c r="W439" s="21">
        <f>IF($K439="","",$K439*60)</f>
        <v/>
      </c>
      <c r="X439" s="91">
        <f>IF($A439="","",$A439&amp;"|"&amp;$C439&amp;"|"&amp;$D439)</f>
        <v/>
      </c>
      <c r="Y439" s="91">
        <f>IFERROR(IF($X439="","",INDEX(LLM_Data_Entry!$H$3:$H$548,MATCH($X439,INDEX(LLM_Data_Entry!$A$3:$A$548&amp;"|"&amp;LLM_Data_Entry!$C$3:$C$548&amp;"|"&amp;LLM_Data_Entry!$D$3:$D$548,0),0))),"")</f>
        <v/>
      </c>
      <c r="Z439" s="91">
        <f>IFERROR(IF($X439="","",INDEX(LLM_Data_Entry!$R$3:$R$548,MATCH($X439,INDEX(LLM_Data_Entry!$A$3:$A$548&amp;"|"&amp;LLM_Data_Entry!$C$3:$C$548&amp;"|"&amp;LLM_Data_Entry!$D$3:$D$548,0),0))),"")</f>
        <v/>
      </c>
      <c r="AL439">
        <f>IF($A439="","",IFERROR(INDEX(Company_List!$G$3:$G$207,MATCH($A439,Company_List!$A$3:$A$207,0)),"unassigned"))</f>
        <v/>
      </c>
      <c r="AP439">
        <f>IF($A439="","",IF(COUNTIFS(LLM_Data_Entry!$A$3:$A$548,$A439)&gt;0,"YES","NO"))</f>
        <v/>
      </c>
      <c r="AQ439">
        <f>IF($A439="","",IF(COUNTIFS($A$3:$A439,$A439,$C$3:$C439,$C439,$D$3:$D439,$D439)=1,"YES","NO"))</f>
        <v/>
      </c>
      <c r="AR439">
        <f>IF($A439="","",IF(AND($C439&amp;"-"&amp;$D439&gt;=Settings!$B$19,$C439&amp;"-"&amp;$D439&lt;=Settings!$B$20),"IN","OUT"))</f>
        <v/>
      </c>
      <c r="AS439">
        <f>IF($A439="","",IF($F439="Financial Results","financials",IF($F439="Outlook/Guidance","guidance",IF($F439="Transcript Q&amp;A","qanda",IF($F439="","unrecorded",IF($E439="All","full",IF($E439="","unrecorded",LOWER($E439)&amp;" only")))))))</f>
        <v/>
      </c>
      <c r="AT439">
        <f>IF(AND(OR($J439="BUY",$J439="SELL"),ISNUMBER($U439)),$U439,"")</f>
        <v/>
      </c>
      <c r="AU439">
        <f>IF(AND(OR($J439="BUY",$J439="SELL"),ISNUMBER($AK439)),$AK439,"")</f>
        <v/>
      </c>
      <c r="AV439">
        <f>IF(ISNUMBER($AT439),ABS(IF(ISNUMBER($I439),$I439,0)-Settings!$B$24),"")</f>
        <v/>
      </c>
      <c r="AW439">
        <f>IF(ISNUMBER($AV439),$AV439*$AT439,"")</f>
        <v/>
      </c>
      <c r="AX439">
        <f>IF(ISNUMBER($AU439),ABS(IF(ISNUMBER($I439),$I439,0)-Settings!$B$24),"")</f>
        <v/>
      </c>
      <c r="AY439">
        <f>IF(ISNUMBER($AX439),$AX439*$AU439,"")</f>
        <v/>
      </c>
      <c r="AZ439">
        <f>IF($A439="","",IFERROR(INDEX(Company_List!$H$3:$H$207,MATCH($A439,Company_List!$A$3:$A$207,0)),"unassigned"))</f>
        <v/>
      </c>
      <c r="BC439">
        <f>IF($A439="","",IF(COUNTIFS($A$3:$A439,$A439,$C$3:$C439,$C439,$D$3:$D439,$D439,$G$3:$G439,$G439)=1,1,0))</f>
        <v/>
      </c>
      <c r="BK439">
        <f>IF(OR($H439&lt;&gt;"Human",$S439="",$J439="",$Y439="",$Z439=""),"",IF(EXACT(UPPER($J439),UPPER($Y439)),1,0))</f>
        <v/>
      </c>
    </row>
    <row r="440">
      <c r="B440" s="142">
        <f>IF(A440="","",_xlfn.XLOOKUP(A440, Company_List!$A:$A, Company_List!$B:$B, ""))</f>
        <v/>
      </c>
      <c r="J440" s="145">
        <f>IF(OR(I440="",Settings!$B$6=""),"",IF(I440&gt;Settings!$B$6,"BUY",IF(I440&lt;-Settings!$B$6,"SELL","HOLD")))</f>
        <v/>
      </c>
      <c r="Q440" s="151">
        <f>IF(OR(N440="",P440=""),"",ROUND((P440-N440)/N440,4))</f>
        <v/>
      </c>
      <c r="R440" s="118">
        <f>IF(OR(N440="",P440=""),"",IF(Q440&gt;Settings!$B$3/100,"UP",IF(Q440&lt;-Settings!$B$3/100,"DOWN","FLAT")))</f>
        <v/>
      </c>
      <c r="S440" s="118">
        <f>IF(OR(N440="",P440="",J440=""),"",IF(OR(AND(J440="BUY",R440="UP"),AND(J440="SELL",R440="DOWN"),AND(J440="HOLD",R440="FLAT")),"YES","NO"))</f>
        <v/>
      </c>
      <c r="T440" s="119">
        <f>IF(J440="","",IF(J440="BUY",1,IF(J440="SELL",-1,0)))</f>
        <v/>
      </c>
      <c r="U440" s="150">
        <f>IFERROR(IF(OR(J440="",N440="",P440=""),"",IF(T440=0,0,T440*Q440-Settings!$B$4/10000-IF(T440&lt;0,Settings!$B$5/10000,0))),"")</f>
        <v/>
      </c>
      <c r="W440" s="21">
        <f>IF($K440="","",$K440*60)</f>
        <v/>
      </c>
      <c r="X440" s="91">
        <f>IF($A440="","",$A440&amp;"|"&amp;$C440&amp;"|"&amp;$D440)</f>
        <v/>
      </c>
      <c r="Y440" s="91">
        <f>IFERROR(IF($X440="","",INDEX(LLM_Data_Entry!$H$3:$H$548,MATCH($X440,INDEX(LLM_Data_Entry!$A$3:$A$548&amp;"|"&amp;LLM_Data_Entry!$C$3:$C$548&amp;"|"&amp;LLM_Data_Entry!$D$3:$D$548,0),0))),"")</f>
        <v/>
      </c>
      <c r="Z440" s="91">
        <f>IFERROR(IF($X440="","",INDEX(LLM_Data_Entry!$R$3:$R$548,MATCH($X440,INDEX(LLM_Data_Entry!$A$3:$A$548&amp;"|"&amp;LLM_Data_Entry!$C$3:$C$548&amp;"|"&amp;LLM_Data_Entry!$D$3:$D$548,0),0))),"")</f>
        <v/>
      </c>
      <c r="AL440">
        <f>IF($A440="","",IFERROR(INDEX(Company_List!$G$3:$G$207,MATCH($A440,Company_List!$A$3:$A$207,0)),"unassigned"))</f>
        <v/>
      </c>
      <c r="AP440">
        <f>IF($A440="","",IF(COUNTIFS(LLM_Data_Entry!$A$3:$A$548,$A440)&gt;0,"YES","NO"))</f>
        <v/>
      </c>
      <c r="AQ440">
        <f>IF($A440="","",IF(COUNTIFS($A$3:$A440,$A440,$C$3:$C440,$C440,$D$3:$D440,$D440)=1,"YES","NO"))</f>
        <v/>
      </c>
      <c r="AR440">
        <f>IF($A440="","",IF(AND($C440&amp;"-"&amp;$D440&gt;=Settings!$B$19,$C440&amp;"-"&amp;$D440&lt;=Settings!$B$20),"IN","OUT"))</f>
        <v/>
      </c>
      <c r="AS440">
        <f>IF($A440="","",IF($F440="Financial Results","financials",IF($F440="Outlook/Guidance","guidance",IF($F440="Transcript Q&amp;A","qanda",IF($F440="","unrecorded",IF($E440="All","full",IF($E440="","unrecorded",LOWER($E440)&amp;" only")))))))</f>
        <v/>
      </c>
      <c r="AT440">
        <f>IF(AND(OR($J440="BUY",$J440="SELL"),ISNUMBER($U440)),$U440,"")</f>
        <v/>
      </c>
      <c r="AU440">
        <f>IF(AND(OR($J440="BUY",$J440="SELL"),ISNUMBER($AK440)),$AK440,"")</f>
        <v/>
      </c>
      <c r="AV440">
        <f>IF(ISNUMBER($AT440),ABS(IF(ISNUMBER($I440),$I440,0)-Settings!$B$24),"")</f>
        <v/>
      </c>
      <c r="AW440">
        <f>IF(ISNUMBER($AV440),$AV440*$AT440,"")</f>
        <v/>
      </c>
      <c r="AX440">
        <f>IF(ISNUMBER($AU440),ABS(IF(ISNUMBER($I440),$I440,0)-Settings!$B$24),"")</f>
        <v/>
      </c>
      <c r="AY440">
        <f>IF(ISNUMBER($AX440),$AX440*$AU440,"")</f>
        <v/>
      </c>
      <c r="AZ440">
        <f>IF($A440="","",IFERROR(INDEX(Company_List!$H$3:$H$207,MATCH($A440,Company_List!$A$3:$A$207,0)),"unassigned"))</f>
        <v/>
      </c>
      <c r="BC440">
        <f>IF($A440="","",IF(COUNTIFS($A$3:$A440,$A440,$C$3:$C440,$C440,$D$3:$D440,$D440,$G$3:$G440,$G440)=1,1,0))</f>
        <v/>
      </c>
      <c r="BK440">
        <f>IF(OR($H440&lt;&gt;"Human",$S440="",$J440="",$Y440="",$Z440=""),"",IF(EXACT(UPPER($J440),UPPER($Y440)),1,0))</f>
        <v/>
      </c>
    </row>
    <row r="441">
      <c r="B441" s="142">
        <f>IF(A441="","",_xlfn.XLOOKUP(A441, Company_List!$A:$A, Company_List!$B:$B, ""))</f>
        <v/>
      </c>
      <c r="J441" s="145">
        <f>IF(OR(I441="",Settings!$B$6=""),"",IF(I441&gt;Settings!$B$6,"BUY",IF(I441&lt;-Settings!$B$6,"SELL","HOLD")))</f>
        <v/>
      </c>
      <c r="Q441" s="151">
        <f>IF(OR(N441="",P441=""),"",ROUND((P441-N441)/N441,4))</f>
        <v/>
      </c>
      <c r="R441" s="118">
        <f>IF(OR(N441="",P441=""),"",IF(Q441&gt;Settings!$B$3/100,"UP",IF(Q441&lt;-Settings!$B$3/100,"DOWN","FLAT")))</f>
        <v/>
      </c>
      <c r="S441" s="118">
        <f>IF(OR(N441="",P441="",J441=""),"",IF(OR(AND(J441="BUY",R441="UP"),AND(J441="SELL",R441="DOWN"),AND(J441="HOLD",R441="FLAT")),"YES","NO"))</f>
        <v/>
      </c>
      <c r="T441" s="119">
        <f>IF(J441="","",IF(J441="BUY",1,IF(J441="SELL",-1,0)))</f>
        <v/>
      </c>
      <c r="U441" s="150">
        <f>IFERROR(IF(OR(J441="",N441="",P441=""),"",IF(T441=0,0,T441*Q441-Settings!$B$4/10000-IF(T441&lt;0,Settings!$B$5/10000,0))),"")</f>
        <v/>
      </c>
      <c r="W441" s="21">
        <f>IF($K441="","",$K441*60)</f>
        <v/>
      </c>
      <c r="X441" s="91">
        <f>IF($A441="","",$A441&amp;"|"&amp;$C441&amp;"|"&amp;$D441)</f>
        <v/>
      </c>
      <c r="Y441" s="91">
        <f>IFERROR(IF($X441="","",INDEX(LLM_Data_Entry!$H$3:$H$548,MATCH($X441,INDEX(LLM_Data_Entry!$A$3:$A$548&amp;"|"&amp;LLM_Data_Entry!$C$3:$C$548&amp;"|"&amp;LLM_Data_Entry!$D$3:$D$548,0),0))),"")</f>
        <v/>
      </c>
      <c r="Z441" s="91">
        <f>IFERROR(IF($X441="","",INDEX(LLM_Data_Entry!$R$3:$R$548,MATCH($X441,INDEX(LLM_Data_Entry!$A$3:$A$548&amp;"|"&amp;LLM_Data_Entry!$C$3:$C$548&amp;"|"&amp;LLM_Data_Entry!$D$3:$D$548,0),0))),"")</f>
        <v/>
      </c>
      <c r="AL441">
        <f>IF($A441="","",IFERROR(INDEX(Company_List!$G$3:$G$207,MATCH($A441,Company_List!$A$3:$A$207,0)),"unassigned"))</f>
        <v/>
      </c>
      <c r="AP441">
        <f>IF($A441="","",IF(COUNTIFS(LLM_Data_Entry!$A$3:$A$548,$A441)&gt;0,"YES","NO"))</f>
        <v/>
      </c>
      <c r="AQ441">
        <f>IF($A441="","",IF(COUNTIFS($A$3:$A441,$A441,$C$3:$C441,$C441,$D$3:$D441,$D441)=1,"YES","NO"))</f>
        <v/>
      </c>
      <c r="AR441">
        <f>IF($A441="","",IF(AND($C441&amp;"-"&amp;$D441&gt;=Settings!$B$19,$C441&amp;"-"&amp;$D441&lt;=Settings!$B$20),"IN","OUT"))</f>
        <v/>
      </c>
      <c r="AS441">
        <f>IF($A441="","",IF($F441="Financial Results","financials",IF($F441="Outlook/Guidance","guidance",IF($F441="Transcript Q&amp;A","qanda",IF($F441="","unrecorded",IF($E441="All","full",IF($E441="","unrecorded",LOWER($E441)&amp;" only")))))))</f>
        <v/>
      </c>
      <c r="AT441">
        <f>IF(AND(OR($J441="BUY",$J441="SELL"),ISNUMBER($U441)),$U441,"")</f>
        <v/>
      </c>
      <c r="AU441">
        <f>IF(AND(OR($J441="BUY",$J441="SELL"),ISNUMBER($AK441)),$AK441,"")</f>
        <v/>
      </c>
      <c r="AV441">
        <f>IF(ISNUMBER($AT441),ABS(IF(ISNUMBER($I441),$I441,0)-Settings!$B$24),"")</f>
        <v/>
      </c>
      <c r="AW441">
        <f>IF(ISNUMBER($AV441),$AV441*$AT441,"")</f>
        <v/>
      </c>
      <c r="AX441">
        <f>IF(ISNUMBER($AU441),ABS(IF(ISNUMBER($I441),$I441,0)-Settings!$B$24),"")</f>
        <v/>
      </c>
      <c r="AY441">
        <f>IF(ISNUMBER($AX441),$AX441*$AU441,"")</f>
        <v/>
      </c>
      <c r="AZ441">
        <f>IF($A441="","",IFERROR(INDEX(Company_List!$H$3:$H$207,MATCH($A441,Company_List!$A$3:$A$207,0)),"unassigned"))</f>
        <v/>
      </c>
      <c r="BC441">
        <f>IF($A441="","",IF(COUNTIFS($A$3:$A441,$A441,$C$3:$C441,$C441,$D$3:$D441,$D441,$G$3:$G441,$G441)=1,1,0))</f>
        <v/>
      </c>
      <c r="BK441">
        <f>IF(OR($H441&lt;&gt;"Human",$S441="",$J441="",$Y441="",$Z441=""),"",IF(EXACT(UPPER($J441),UPPER($Y441)),1,0))</f>
        <v/>
      </c>
    </row>
    <row r="442">
      <c r="B442" s="142">
        <f>IF(A442="","",_xlfn.XLOOKUP(A442, Company_List!$A:$A, Company_List!$B:$B, ""))</f>
        <v/>
      </c>
      <c r="J442" s="145">
        <f>IF(OR(I442="",Settings!$B$6=""),"",IF(I442&gt;Settings!$B$6,"BUY",IF(I442&lt;-Settings!$B$6,"SELL","HOLD")))</f>
        <v/>
      </c>
      <c r="Q442" s="151">
        <f>IF(OR(N442="",P442=""),"",ROUND((P442-N442)/N442,4))</f>
        <v/>
      </c>
      <c r="R442" s="118">
        <f>IF(OR(N442="",P442=""),"",IF(Q442&gt;Settings!$B$3/100,"UP",IF(Q442&lt;-Settings!$B$3/100,"DOWN","FLAT")))</f>
        <v/>
      </c>
      <c r="S442" s="118">
        <f>IF(OR(N442="",P442="",J442=""),"",IF(OR(AND(J442="BUY",R442="UP"),AND(J442="SELL",R442="DOWN"),AND(J442="HOLD",R442="FLAT")),"YES","NO"))</f>
        <v/>
      </c>
      <c r="T442" s="119">
        <f>IF(J442="","",IF(J442="BUY",1,IF(J442="SELL",-1,0)))</f>
        <v/>
      </c>
      <c r="U442" s="150">
        <f>IFERROR(IF(OR(J442="",N442="",P442=""),"",IF(T442=0,0,T442*Q442-Settings!$B$4/10000-IF(T442&lt;0,Settings!$B$5/10000,0))),"")</f>
        <v/>
      </c>
      <c r="W442" s="21">
        <f>IF($K442="","",$K442*60)</f>
        <v/>
      </c>
      <c r="X442" s="91">
        <f>IF($A442="","",$A442&amp;"|"&amp;$C442&amp;"|"&amp;$D442)</f>
        <v/>
      </c>
      <c r="Y442" s="91">
        <f>IFERROR(IF($X442="","",INDEX(LLM_Data_Entry!$H$3:$H$548,MATCH($X442,INDEX(LLM_Data_Entry!$A$3:$A$548&amp;"|"&amp;LLM_Data_Entry!$C$3:$C$548&amp;"|"&amp;LLM_Data_Entry!$D$3:$D$548,0),0))),"")</f>
        <v/>
      </c>
      <c r="Z442" s="91">
        <f>IFERROR(IF($X442="","",INDEX(LLM_Data_Entry!$R$3:$R$548,MATCH($X442,INDEX(LLM_Data_Entry!$A$3:$A$548&amp;"|"&amp;LLM_Data_Entry!$C$3:$C$548&amp;"|"&amp;LLM_Data_Entry!$D$3:$D$548,0),0))),"")</f>
        <v/>
      </c>
      <c r="AL442">
        <f>IF($A442="","",IFERROR(INDEX(Company_List!$G$3:$G$207,MATCH($A442,Company_List!$A$3:$A$207,0)),"unassigned"))</f>
        <v/>
      </c>
      <c r="AP442">
        <f>IF($A442="","",IF(COUNTIFS(LLM_Data_Entry!$A$3:$A$548,$A442)&gt;0,"YES","NO"))</f>
        <v/>
      </c>
      <c r="AQ442">
        <f>IF($A442="","",IF(COUNTIFS($A$3:$A442,$A442,$C$3:$C442,$C442,$D$3:$D442,$D442)=1,"YES","NO"))</f>
        <v/>
      </c>
      <c r="AR442">
        <f>IF($A442="","",IF(AND($C442&amp;"-"&amp;$D442&gt;=Settings!$B$19,$C442&amp;"-"&amp;$D442&lt;=Settings!$B$20),"IN","OUT"))</f>
        <v/>
      </c>
      <c r="AS442">
        <f>IF($A442="","",IF($F442="Financial Results","financials",IF($F442="Outlook/Guidance","guidance",IF($F442="Transcript Q&amp;A","qanda",IF($F442="","unrecorded",IF($E442="All","full",IF($E442="","unrecorded",LOWER($E442)&amp;" only")))))))</f>
        <v/>
      </c>
      <c r="AT442">
        <f>IF(AND(OR($J442="BUY",$J442="SELL"),ISNUMBER($U442)),$U442,"")</f>
        <v/>
      </c>
      <c r="AU442">
        <f>IF(AND(OR($J442="BUY",$J442="SELL"),ISNUMBER($AK442)),$AK442,"")</f>
        <v/>
      </c>
      <c r="AV442">
        <f>IF(ISNUMBER($AT442),ABS(IF(ISNUMBER($I442),$I442,0)-Settings!$B$24),"")</f>
        <v/>
      </c>
      <c r="AW442">
        <f>IF(ISNUMBER($AV442),$AV442*$AT442,"")</f>
        <v/>
      </c>
      <c r="AX442">
        <f>IF(ISNUMBER($AU442),ABS(IF(ISNUMBER($I442),$I442,0)-Settings!$B$24),"")</f>
        <v/>
      </c>
      <c r="AY442">
        <f>IF(ISNUMBER($AX442),$AX442*$AU442,"")</f>
        <v/>
      </c>
      <c r="AZ442">
        <f>IF($A442="","",IFERROR(INDEX(Company_List!$H$3:$H$207,MATCH($A442,Company_List!$A$3:$A$207,0)),"unassigned"))</f>
        <v/>
      </c>
      <c r="BC442">
        <f>IF($A442="","",IF(COUNTIFS($A$3:$A442,$A442,$C$3:$C442,$C442,$D$3:$D442,$D442,$G$3:$G442,$G442)=1,1,0))</f>
        <v/>
      </c>
      <c r="BK442">
        <f>IF(OR($H442&lt;&gt;"Human",$S442="",$J442="",$Y442="",$Z442=""),"",IF(EXACT(UPPER($J442),UPPER($Y442)),1,0))</f>
        <v/>
      </c>
    </row>
    <row r="443">
      <c r="B443" s="142">
        <f>IF(A443="","",_xlfn.XLOOKUP(A443, Company_List!$A:$A, Company_List!$B:$B, ""))</f>
        <v/>
      </c>
      <c r="J443" s="145">
        <f>IF(OR(I443="",Settings!$B$6=""),"",IF(I443&gt;Settings!$B$6,"BUY",IF(I443&lt;-Settings!$B$6,"SELL","HOLD")))</f>
        <v/>
      </c>
      <c r="Q443" s="151">
        <f>IF(OR(N443="",P443=""),"",ROUND((P443-N443)/N443,4))</f>
        <v/>
      </c>
      <c r="R443" s="118">
        <f>IF(OR(N443="",P443=""),"",IF(Q443&gt;Settings!$B$3/100,"UP",IF(Q443&lt;-Settings!$B$3/100,"DOWN","FLAT")))</f>
        <v/>
      </c>
      <c r="S443" s="118">
        <f>IF(OR(N443="",P443="",J443=""),"",IF(OR(AND(J443="BUY",R443="UP"),AND(J443="SELL",R443="DOWN"),AND(J443="HOLD",R443="FLAT")),"YES","NO"))</f>
        <v/>
      </c>
      <c r="T443" s="119">
        <f>IF(J443="","",IF(J443="BUY",1,IF(J443="SELL",-1,0)))</f>
        <v/>
      </c>
      <c r="U443" s="150">
        <f>IFERROR(IF(OR(J443="",N443="",P443=""),"",IF(T443=0,0,T443*Q443-Settings!$B$4/10000-IF(T443&lt;0,Settings!$B$5/10000,0))),"")</f>
        <v/>
      </c>
      <c r="W443" s="21">
        <f>IF($K443="","",$K443*60)</f>
        <v/>
      </c>
      <c r="X443" s="91">
        <f>IF($A443="","",$A443&amp;"|"&amp;$C443&amp;"|"&amp;$D443)</f>
        <v/>
      </c>
      <c r="Y443" s="91">
        <f>IFERROR(IF($X443="","",INDEX(LLM_Data_Entry!$H$3:$H$548,MATCH($X443,INDEX(LLM_Data_Entry!$A$3:$A$548&amp;"|"&amp;LLM_Data_Entry!$C$3:$C$548&amp;"|"&amp;LLM_Data_Entry!$D$3:$D$548,0),0))),"")</f>
        <v/>
      </c>
      <c r="Z443" s="91">
        <f>IFERROR(IF($X443="","",INDEX(LLM_Data_Entry!$R$3:$R$548,MATCH($X443,INDEX(LLM_Data_Entry!$A$3:$A$548&amp;"|"&amp;LLM_Data_Entry!$C$3:$C$548&amp;"|"&amp;LLM_Data_Entry!$D$3:$D$548,0),0))),"")</f>
        <v/>
      </c>
      <c r="AL443">
        <f>IF($A443="","",IFERROR(INDEX(Company_List!$G$3:$G$207,MATCH($A443,Company_List!$A$3:$A$207,0)),"unassigned"))</f>
        <v/>
      </c>
      <c r="AP443">
        <f>IF($A443="","",IF(COUNTIFS(LLM_Data_Entry!$A$3:$A$548,$A443)&gt;0,"YES","NO"))</f>
        <v/>
      </c>
      <c r="AQ443">
        <f>IF($A443="","",IF(COUNTIFS($A$3:$A443,$A443,$C$3:$C443,$C443,$D$3:$D443,$D443)=1,"YES","NO"))</f>
        <v/>
      </c>
      <c r="AR443">
        <f>IF($A443="","",IF(AND($C443&amp;"-"&amp;$D443&gt;=Settings!$B$19,$C443&amp;"-"&amp;$D443&lt;=Settings!$B$20),"IN","OUT"))</f>
        <v/>
      </c>
      <c r="AS443">
        <f>IF($A443="","",IF($F443="Financial Results","financials",IF($F443="Outlook/Guidance","guidance",IF($F443="Transcript Q&amp;A","qanda",IF($F443="","unrecorded",IF($E443="All","full",IF($E443="","unrecorded",LOWER($E443)&amp;" only")))))))</f>
        <v/>
      </c>
      <c r="AT443">
        <f>IF(AND(OR($J443="BUY",$J443="SELL"),ISNUMBER($U443)),$U443,"")</f>
        <v/>
      </c>
      <c r="AU443">
        <f>IF(AND(OR($J443="BUY",$J443="SELL"),ISNUMBER($AK443)),$AK443,"")</f>
        <v/>
      </c>
      <c r="AV443">
        <f>IF(ISNUMBER($AT443),ABS(IF(ISNUMBER($I443),$I443,0)-Settings!$B$24),"")</f>
        <v/>
      </c>
      <c r="AW443">
        <f>IF(ISNUMBER($AV443),$AV443*$AT443,"")</f>
        <v/>
      </c>
      <c r="AX443">
        <f>IF(ISNUMBER($AU443),ABS(IF(ISNUMBER($I443),$I443,0)-Settings!$B$24),"")</f>
        <v/>
      </c>
      <c r="AY443">
        <f>IF(ISNUMBER($AX443),$AX443*$AU443,"")</f>
        <v/>
      </c>
      <c r="AZ443">
        <f>IF($A443="","",IFERROR(INDEX(Company_List!$H$3:$H$207,MATCH($A443,Company_List!$A$3:$A$207,0)),"unassigned"))</f>
        <v/>
      </c>
      <c r="BC443">
        <f>IF($A443="","",IF(COUNTIFS($A$3:$A443,$A443,$C$3:$C443,$C443,$D$3:$D443,$D443,$G$3:$G443,$G443)=1,1,0))</f>
        <v/>
      </c>
      <c r="BK443">
        <f>IF(OR($H443&lt;&gt;"Human",$S443="",$J443="",$Y443="",$Z443=""),"",IF(EXACT(UPPER($J443),UPPER($Y443)),1,0))</f>
        <v/>
      </c>
    </row>
    <row r="444">
      <c r="B444" s="142">
        <f>IF(A444="","",_xlfn.XLOOKUP(A444, Company_List!$A:$A, Company_List!$B:$B, ""))</f>
        <v/>
      </c>
      <c r="J444" s="145">
        <f>IF(OR(I444="",Settings!$B$6=""),"",IF(I444&gt;Settings!$B$6,"BUY",IF(I444&lt;-Settings!$B$6,"SELL","HOLD")))</f>
        <v/>
      </c>
      <c r="Q444" s="151">
        <f>IF(OR(N444="",P444=""),"",ROUND((P444-N444)/N444,4))</f>
        <v/>
      </c>
      <c r="R444" s="118">
        <f>IF(OR(N444="",P444=""),"",IF(Q444&gt;Settings!$B$3/100,"UP",IF(Q444&lt;-Settings!$B$3/100,"DOWN","FLAT")))</f>
        <v/>
      </c>
      <c r="S444" s="118">
        <f>IF(OR(N444="",P444="",J444=""),"",IF(OR(AND(J444="BUY",R444="UP"),AND(J444="SELL",R444="DOWN"),AND(J444="HOLD",R444="FLAT")),"YES","NO"))</f>
        <v/>
      </c>
      <c r="T444" s="119">
        <f>IF(J444="","",IF(J444="BUY",1,IF(J444="SELL",-1,0)))</f>
        <v/>
      </c>
      <c r="U444" s="150">
        <f>IFERROR(IF(OR(J444="",N444="",P444=""),"",IF(T444=0,0,T444*Q444-Settings!$B$4/10000-IF(T444&lt;0,Settings!$B$5/10000,0))),"")</f>
        <v/>
      </c>
      <c r="W444" s="21">
        <f>IF($K444="","",$K444*60)</f>
        <v/>
      </c>
      <c r="X444" s="91">
        <f>IF($A444="","",$A444&amp;"|"&amp;$C444&amp;"|"&amp;$D444)</f>
        <v/>
      </c>
      <c r="Y444" s="91">
        <f>IFERROR(IF($X444="","",INDEX(LLM_Data_Entry!$H$3:$H$548,MATCH($X444,INDEX(LLM_Data_Entry!$A$3:$A$548&amp;"|"&amp;LLM_Data_Entry!$C$3:$C$548&amp;"|"&amp;LLM_Data_Entry!$D$3:$D$548,0),0))),"")</f>
        <v/>
      </c>
      <c r="Z444" s="91">
        <f>IFERROR(IF($X444="","",INDEX(LLM_Data_Entry!$R$3:$R$548,MATCH($X444,INDEX(LLM_Data_Entry!$A$3:$A$548&amp;"|"&amp;LLM_Data_Entry!$C$3:$C$548&amp;"|"&amp;LLM_Data_Entry!$D$3:$D$548,0),0))),"")</f>
        <v/>
      </c>
      <c r="AL444">
        <f>IF($A444="","",IFERROR(INDEX(Company_List!$G$3:$G$207,MATCH($A444,Company_List!$A$3:$A$207,0)),"unassigned"))</f>
        <v/>
      </c>
      <c r="AP444">
        <f>IF($A444="","",IF(COUNTIFS(LLM_Data_Entry!$A$3:$A$548,$A444)&gt;0,"YES","NO"))</f>
        <v/>
      </c>
      <c r="AQ444">
        <f>IF($A444="","",IF(COUNTIFS($A$3:$A444,$A444,$C$3:$C444,$C444,$D$3:$D444,$D444)=1,"YES","NO"))</f>
        <v/>
      </c>
      <c r="AR444">
        <f>IF($A444="","",IF(AND($C444&amp;"-"&amp;$D444&gt;=Settings!$B$19,$C444&amp;"-"&amp;$D444&lt;=Settings!$B$20),"IN","OUT"))</f>
        <v/>
      </c>
      <c r="AS444">
        <f>IF($A444="","",IF($F444="Financial Results","financials",IF($F444="Outlook/Guidance","guidance",IF($F444="Transcript Q&amp;A","qanda",IF($F444="","unrecorded",IF($E444="All","full",IF($E444="","unrecorded",LOWER($E444)&amp;" only")))))))</f>
        <v/>
      </c>
      <c r="AT444">
        <f>IF(AND(OR($J444="BUY",$J444="SELL"),ISNUMBER($U444)),$U444,"")</f>
        <v/>
      </c>
      <c r="AU444">
        <f>IF(AND(OR($J444="BUY",$J444="SELL"),ISNUMBER($AK444)),$AK444,"")</f>
        <v/>
      </c>
      <c r="AV444">
        <f>IF(ISNUMBER($AT444),ABS(IF(ISNUMBER($I444),$I444,0)-Settings!$B$24),"")</f>
        <v/>
      </c>
      <c r="AW444">
        <f>IF(ISNUMBER($AV444),$AV444*$AT444,"")</f>
        <v/>
      </c>
      <c r="AX444">
        <f>IF(ISNUMBER($AU444),ABS(IF(ISNUMBER($I444),$I444,0)-Settings!$B$24),"")</f>
        <v/>
      </c>
      <c r="AY444">
        <f>IF(ISNUMBER($AX444),$AX444*$AU444,"")</f>
        <v/>
      </c>
      <c r="AZ444">
        <f>IF($A444="","",IFERROR(INDEX(Company_List!$H$3:$H$207,MATCH($A444,Company_List!$A$3:$A$207,0)),"unassigned"))</f>
        <v/>
      </c>
      <c r="BC444">
        <f>IF($A444="","",IF(COUNTIFS($A$3:$A444,$A444,$C$3:$C444,$C444,$D$3:$D444,$D444,$G$3:$G444,$G444)=1,1,0))</f>
        <v/>
      </c>
      <c r="BK444">
        <f>IF(OR($H444&lt;&gt;"Human",$S444="",$J444="",$Y444="",$Z444=""),"",IF(EXACT(UPPER($J444),UPPER($Y444)),1,0))</f>
        <v/>
      </c>
    </row>
    <row r="445">
      <c r="B445" s="142">
        <f>IF(A445="","",_xlfn.XLOOKUP(A445, Company_List!$A:$A, Company_List!$B:$B, ""))</f>
        <v/>
      </c>
      <c r="J445" s="145">
        <f>IF(OR(I445="",Settings!$B$6=""),"",IF(I445&gt;Settings!$B$6,"BUY",IF(I445&lt;-Settings!$B$6,"SELL","HOLD")))</f>
        <v/>
      </c>
      <c r="Q445" s="151">
        <f>IF(OR(N445="",P445=""),"",ROUND((P445-N445)/N445,4))</f>
        <v/>
      </c>
      <c r="R445" s="118">
        <f>IF(OR(N445="",P445=""),"",IF(Q445&gt;Settings!$B$3/100,"UP",IF(Q445&lt;-Settings!$B$3/100,"DOWN","FLAT")))</f>
        <v/>
      </c>
      <c r="S445" s="118">
        <f>IF(OR(N445="",P445="",J445=""),"",IF(OR(AND(J445="BUY",R445="UP"),AND(J445="SELL",R445="DOWN"),AND(J445="HOLD",R445="FLAT")),"YES","NO"))</f>
        <v/>
      </c>
      <c r="T445" s="119">
        <f>IF(J445="","",IF(J445="BUY",1,IF(J445="SELL",-1,0)))</f>
        <v/>
      </c>
      <c r="U445" s="150">
        <f>IFERROR(IF(OR(J445="",N445="",P445=""),"",IF(T445=0,0,T445*Q445-Settings!$B$4/10000-IF(T445&lt;0,Settings!$B$5/10000,0))),"")</f>
        <v/>
      </c>
      <c r="W445" s="21">
        <f>IF($K445="","",$K445*60)</f>
        <v/>
      </c>
      <c r="X445" s="91">
        <f>IF($A445="","",$A445&amp;"|"&amp;$C445&amp;"|"&amp;$D445)</f>
        <v/>
      </c>
      <c r="Y445" s="91">
        <f>IFERROR(IF($X445="","",INDEX(LLM_Data_Entry!$H$3:$H$548,MATCH($X445,INDEX(LLM_Data_Entry!$A$3:$A$548&amp;"|"&amp;LLM_Data_Entry!$C$3:$C$548&amp;"|"&amp;LLM_Data_Entry!$D$3:$D$548,0),0))),"")</f>
        <v/>
      </c>
      <c r="Z445" s="91">
        <f>IFERROR(IF($X445="","",INDEX(LLM_Data_Entry!$R$3:$R$548,MATCH($X445,INDEX(LLM_Data_Entry!$A$3:$A$548&amp;"|"&amp;LLM_Data_Entry!$C$3:$C$548&amp;"|"&amp;LLM_Data_Entry!$D$3:$D$548,0),0))),"")</f>
        <v/>
      </c>
      <c r="AL445">
        <f>IF($A445="","",IFERROR(INDEX(Company_List!$G$3:$G$207,MATCH($A445,Company_List!$A$3:$A$207,0)),"unassigned"))</f>
        <v/>
      </c>
      <c r="AP445">
        <f>IF($A445="","",IF(COUNTIFS(LLM_Data_Entry!$A$3:$A$548,$A445)&gt;0,"YES","NO"))</f>
        <v/>
      </c>
      <c r="AQ445">
        <f>IF($A445="","",IF(COUNTIFS($A$3:$A445,$A445,$C$3:$C445,$C445,$D$3:$D445,$D445)=1,"YES","NO"))</f>
        <v/>
      </c>
      <c r="AR445">
        <f>IF($A445="","",IF(AND($C445&amp;"-"&amp;$D445&gt;=Settings!$B$19,$C445&amp;"-"&amp;$D445&lt;=Settings!$B$20),"IN","OUT"))</f>
        <v/>
      </c>
      <c r="AS445">
        <f>IF($A445="","",IF($F445="Financial Results","financials",IF($F445="Outlook/Guidance","guidance",IF($F445="Transcript Q&amp;A","qanda",IF($F445="","unrecorded",IF($E445="All","full",IF($E445="","unrecorded",LOWER($E445)&amp;" only")))))))</f>
        <v/>
      </c>
      <c r="AT445">
        <f>IF(AND(OR($J445="BUY",$J445="SELL"),ISNUMBER($U445)),$U445,"")</f>
        <v/>
      </c>
      <c r="AU445">
        <f>IF(AND(OR($J445="BUY",$J445="SELL"),ISNUMBER($AK445)),$AK445,"")</f>
        <v/>
      </c>
      <c r="AV445">
        <f>IF(ISNUMBER($AT445),ABS(IF(ISNUMBER($I445),$I445,0)-Settings!$B$24),"")</f>
        <v/>
      </c>
      <c r="AW445">
        <f>IF(ISNUMBER($AV445),$AV445*$AT445,"")</f>
        <v/>
      </c>
      <c r="AX445">
        <f>IF(ISNUMBER($AU445),ABS(IF(ISNUMBER($I445),$I445,0)-Settings!$B$24),"")</f>
        <v/>
      </c>
      <c r="AY445">
        <f>IF(ISNUMBER($AX445),$AX445*$AU445,"")</f>
        <v/>
      </c>
      <c r="AZ445">
        <f>IF($A445="","",IFERROR(INDEX(Company_List!$H$3:$H$207,MATCH($A445,Company_List!$A$3:$A$207,0)),"unassigned"))</f>
        <v/>
      </c>
      <c r="BC445">
        <f>IF($A445="","",IF(COUNTIFS($A$3:$A445,$A445,$C$3:$C445,$C445,$D$3:$D445,$D445,$G$3:$G445,$G445)=1,1,0))</f>
        <v/>
      </c>
      <c r="BK445">
        <f>IF(OR($H445&lt;&gt;"Human",$S445="",$J445="",$Y445="",$Z445=""),"",IF(EXACT(UPPER($J445),UPPER($Y445)),1,0))</f>
        <v/>
      </c>
    </row>
    <row r="446">
      <c r="B446" s="142">
        <f>IF(A446="","",_xlfn.XLOOKUP(A446, Company_List!$A:$A, Company_List!$B:$B, ""))</f>
        <v/>
      </c>
      <c r="J446" s="145">
        <f>IF(OR(I446="",Settings!$B$6=""),"",IF(I446&gt;Settings!$B$6,"BUY",IF(I446&lt;-Settings!$B$6,"SELL","HOLD")))</f>
        <v/>
      </c>
      <c r="Q446" s="151">
        <f>IF(OR(N446="",P446=""),"",ROUND((P446-N446)/N446,4))</f>
        <v/>
      </c>
      <c r="R446" s="118">
        <f>IF(OR(N446="",P446=""),"",IF(Q446&gt;Settings!$B$3/100,"UP",IF(Q446&lt;-Settings!$B$3/100,"DOWN","FLAT")))</f>
        <v/>
      </c>
      <c r="S446" s="118">
        <f>IF(OR(N446="",P446="",J446=""),"",IF(OR(AND(J446="BUY",R446="UP"),AND(J446="SELL",R446="DOWN"),AND(J446="HOLD",R446="FLAT")),"YES","NO"))</f>
        <v/>
      </c>
      <c r="T446" s="119">
        <f>IF(J446="","",IF(J446="BUY",1,IF(J446="SELL",-1,0)))</f>
        <v/>
      </c>
      <c r="U446" s="150">
        <f>IFERROR(IF(OR(J446="",N446="",P446=""),"",IF(T446=0,0,T446*Q446-Settings!$B$4/10000-IF(T446&lt;0,Settings!$B$5/10000,0))),"")</f>
        <v/>
      </c>
      <c r="W446" s="21">
        <f>IF($K446="","",$K446*60)</f>
        <v/>
      </c>
      <c r="X446" s="91">
        <f>IF($A446="","",$A446&amp;"|"&amp;$C446&amp;"|"&amp;$D446)</f>
        <v/>
      </c>
      <c r="Y446" s="91">
        <f>IFERROR(IF($X446="","",INDEX(LLM_Data_Entry!$H$3:$H$548,MATCH($X446,INDEX(LLM_Data_Entry!$A$3:$A$548&amp;"|"&amp;LLM_Data_Entry!$C$3:$C$548&amp;"|"&amp;LLM_Data_Entry!$D$3:$D$548,0),0))),"")</f>
        <v/>
      </c>
      <c r="Z446" s="91">
        <f>IFERROR(IF($X446="","",INDEX(LLM_Data_Entry!$R$3:$R$548,MATCH($X446,INDEX(LLM_Data_Entry!$A$3:$A$548&amp;"|"&amp;LLM_Data_Entry!$C$3:$C$548&amp;"|"&amp;LLM_Data_Entry!$D$3:$D$548,0),0))),"")</f>
        <v/>
      </c>
      <c r="AL446">
        <f>IF($A446="","",IFERROR(INDEX(Company_List!$G$3:$G$207,MATCH($A446,Company_List!$A$3:$A$207,0)),"unassigned"))</f>
        <v/>
      </c>
      <c r="AP446">
        <f>IF($A446="","",IF(COUNTIFS(LLM_Data_Entry!$A$3:$A$548,$A446)&gt;0,"YES","NO"))</f>
        <v/>
      </c>
      <c r="AQ446">
        <f>IF($A446="","",IF(COUNTIFS($A$3:$A446,$A446,$C$3:$C446,$C446,$D$3:$D446,$D446)=1,"YES","NO"))</f>
        <v/>
      </c>
      <c r="AR446">
        <f>IF($A446="","",IF(AND($C446&amp;"-"&amp;$D446&gt;=Settings!$B$19,$C446&amp;"-"&amp;$D446&lt;=Settings!$B$20),"IN","OUT"))</f>
        <v/>
      </c>
      <c r="AS446">
        <f>IF($A446="","",IF($F446="Financial Results","financials",IF($F446="Outlook/Guidance","guidance",IF($F446="Transcript Q&amp;A","qanda",IF($F446="","unrecorded",IF($E446="All","full",IF($E446="","unrecorded",LOWER($E446)&amp;" only")))))))</f>
        <v/>
      </c>
      <c r="AT446">
        <f>IF(AND(OR($J446="BUY",$J446="SELL"),ISNUMBER($U446)),$U446,"")</f>
        <v/>
      </c>
      <c r="AU446">
        <f>IF(AND(OR($J446="BUY",$J446="SELL"),ISNUMBER($AK446)),$AK446,"")</f>
        <v/>
      </c>
      <c r="AV446">
        <f>IF(ISNUMBER($AT446),ABS(IF(ISNUMBER($I446),$I446,0)-Settings!$B$24),"")</f>
        <v/>
      </c>
      <c r="AW446">
        <f>IF(ISNUMBER($AV446),$AV446*$AT446,"")</f>
        <v/>
      </c>
      <c r="AX446">
        <f>IF(ISNUMBER($AU446),ABS(IF(ISNUMBER($I446),$I446,0)-Settings!$B$24),"")</f>
        <v/>
      </c>
      <c r="AY446">
        <f>IF(ISNUMBER($AX446),$AX446*$AU446,"")</f>
        <v/>
      </c>
      <c r="AZ446">
        <f>IF($A446="","",IFERROR(INDEX(Company_List!$H$3:$H$207,MATCH($A446,Company_List!$A$3:$A$207,0)),"unassigned"))</f>
        <v/>
      </c>
      <c r="BC446">
        <f>IF($A446="","",IF(COUNTIFS($A$3:$A446,$A446,$C$3:$C446,$C446,$D$3:$D446,$D446,$G$3:$G446,$G446)=1,1,0))</f>
        <v/>
      </c>
      <c r="BK446">
        <f>IF(OR($H446&lt;&gt;"Human",$S446="",$J446="",$Y446="",$Z446=""),"",IF(EXACT(UPPER($J446),UPPER($Y446)),1,0))</f>
        <v/>
      </c>
    </row>
    <row r="447">
      <c r="B447" s="142">
        <f>IF(A447="","",_xlfn.XLOOKUP(A447, Company_List!$A:$A, Company_List!$B:$B, ""))</f>
        <v/>
      </c>
      <c r="J447" s="145">
        <f>IF(OR(I447="",Settings!$B$6=""),"",IF(I447&gt;Settings!$B$6,"BUY",IF(I447&lt;-Settings!$B$6,"SELL","HOLD")))</f>
        <v/>
      </c>
      <c r="Q447" s="151">
        <f>IF(OR(N447="",P447=""),"",ROUND((P447-N447)/N447,4))</f>
        <v/>
      </c>
      <c r="R447" s="118">
        <f>IF(OR(N447="",P447=""),"",IF(Q447&gt;Settings!$B$3/100,"UP",IF(Q447&lt;-Settings!$B$3/100,"DOWN","FLAT")))</f>
        <v/>
      </c>
      <c r="S447" s="118">
        <f>IF(OR(N447="",P447="",J447=""),"",IF(OR(AND(J447="BUY",R447="UP"),AND(J447="SELL",R447="DOWN"),AND(J447="HOLD",R447="FLAT")),"YES","NO"))</f>
        <v/>
      </c>
      <c r="T447" s="119">
        <f>IF(J447="","",IF(J447="BUY",1,IF(J447="SELL",-1,0)))</f>
        <v/>
      </c>
      <c r="U447" s="150">
        <f>IFERROR(IF(OR(J447="",N447="",P447=""),"",IF(T447=0,0,T447*Q447-Settings!$B$4/10000-IF(T447&lt;0,Settings!$B$5/10000,0))),"")</f>
        <v/>
      </c>
      <c r="W447" s="21">
        <f>IF($K447="","",$K447*60)</f>
        <v/>
      </c>
      <c r="X447" s="91">
        <f>IF($A447="","",$A447&amp;"|"&amp;$C447&amp;"|"&amp;$D447)</f>
        <v/>
      </c>
      <c r="Y447" s="91">
        <f>IFERROR(IF($X447="","",INDEX(LLM_Data_Entry!$H$3:$H$548,MATCH($X447,INDEX(LLM_Data_Entry!$A$3:$A$548&amp;"|"&amp;LLM_Data_Entry!$C$3:$C$548&amp;"|"&amp;LLM_Data_Entry!$D$3:$D$548,0),0))),"")</f>
        <v/>
      </c>
      <c r="Z447" s="91">
        <f>IFERROR(IF($X447="","",INDEX(LLM_Data_Entry!$R$3:$R$548,MATCH($X447,INDEX(LLM_Data_Entry!$A$3:$A$548&amp;"|"&amp;LLM_Data_Entry!$C$3:$C$548&amp;"|"&amp;LLM_Data_Entry!$D$3:$D$548,0),0))),"")</f>
        <v/>
      </c>
      <c r="AL447">
        <f>IF($A447="","",IFERROR(INDEX(Company_List!$G$3:$G$207,MATCH($A447,Company_List!$A$3:$A$207,0)),"unassigned"))</f>
        <v/>
      </c>
      <c r="AP447">
        <f>IF($A447="","",IF(COUNTIFS(LLM_Data_Entry!$A$3:$A$548,$A447)&gt;0,"YES","NO"))</f>
        <v/>
      </c>
      <c r="AQ447">
        <f>IF($A447="","",IF(COUNTIFS($A$3:$A447,$A447,$C$3:$C447,$C447,$D$3:$D447,$D447)=1,"YES","NO"))</f>
        <v/>
      </c>
      <c r="AR447">
        <f>IF($A447="","",IF(AND($C447&amp;"-"&amp;$D447&gt;=Settings!$B$19,$C447&amp;"-"&amp;$D447&lt;=Settings!$B$20),"IN","OUT"))</f>
        <v/>
      </c>
      <c r="AS447">
        <f>IF($A447="","",IF($F447="Financial Results","financials",IF($F447="Outlook/Guidance","guidance",IF($F447="Transcript Q&amp;A","qanda",IF($F447="","unrecorded",IF($E447="All","full",IF($E447="","unrecorded",LOWER($E447)&amp;" only")))))))</f>
        <v/>
      </c>
      <c r="AT447">
        <f>IF(AND(OR($J447="BUY",$J447="SELL"),ISNUMBER($U447)),$U447,"")</f>
        <v/>
      </c>
      <c r="AU447">
        <f>IF(AND(OR($J447="BUY",$J447="SELL"),ISNUMBER($AK447)),$AK447,"")</f>
        <v/>
      </c>
      <c r="AV447">
        <f>IF(ISNUMBER($AT447),ABS(IF(ISNUMBER($I447),$I447,0)-Settings!$B$24),"")</f>
        <v/>
      </c>
      <c r="AW447">
        <f>IF(ISNUMBER($AV447),$AV447*$AT447,"")</f>
        <v/>
      </c>
      <c r="AX447">
        <f>IF(ISNUMBER($AU447),ABS(IF(ISNUMBER($I447),$I447,0)-Settings!$B$24),"")</f>
        <v/>
      </c>
      <c r="AY447">
        <f>IF(ISNUMBER($AX447),$AX447*$AU447,"")</f>
        <v/>
      </c>
      <c r="AZ447">
        <f>IF($A447="","",IFERROR(INDEX(Company_List!$H$3:$H$207,MATCH($A447,Company_List!$A$3:$A$207,0)),"unassigned"))</f>
        <v/>
      </c>
      <c r="BC447">
        <f>IF($A447="","",IF(COUNTIFS($A$3:$A447,$A447,$C$3:$C447,$C447,$D$3:$D447,$D447,$G$3:$G447,$G447)=1,1,0))</f>
        <v/>
      </c>
      <c r="BK447">
        <f>IF(OR($H447&lt;&gt;"Human",$S447="",$J447="",$Y447="",$Z447=""),"",IF(EXACT(UPPER($J447),UPPER($Y447)),1,0))</f>
        <v/>
      </c>
    </row>
    <row r="448">
      <c r="B448" s="142">
        <f>IF(A448="","",_xlfn.XLOOKUP(A448, Company_List!$A:$A, Company_List!$B:$B, ""))</f>
        <v/>
      </c>
      <c r="J448" s="145">
        <f>IF(OR(I448="",Settings!$B$6=""),"",IF(I448&gt;Settings!$B$6,"BUY",IF(I448&lt;-Settings!$B$6,"SELL","HOLD")))</f>
        <v/>
      </c>
      <c r="Q448" s="151">
        <f>IF(OR(N448="",P448=""),"",ROUND((P448-N448)/N448,4))</f>
        <v/>
      </c>
      <c r="R448" s="118">
        <f>IF(OR(N448="",P448=""),"",IF(Q448&gt;Settings!$B$3/100,"UP",IF(Q448&lt;-Settings!$B$3/100,"DOWN","FLAT")))</f>
        <v/>
      </c>
      <c r="S448" s="118">
        <f>IF(OR(N448="",P448="",J448=""),"",IF(OR(AND(J448="BUY",R448="UP"),AND(J448="SELL",R448="DOWN"),AND(J448="HOLD",R448="FLAT")),"YES","NO"))</f>
        <v/>
      </c>
      <c r="T448" s="119">
        <f>IF(J448="","",IF(J448="BUY",1,IF(J448="SELL",-1,0)))</f>
        <v/>
      </c>
      <c r="U448" s="150">
        <f>IFERROR(IF(OR(J448="",N448="",P448=""),"",IF(T448=0,0,T448*Q448-Settings!$B$4/10000-IF(T448&lt;0,Settings!$B$5/10000,0))),"")</f>
        <v/>
      </c>
      <c r="W448" s="21">
        <f>IF($K448="","",$K448*60)</f>
        <v/>
      </c>
      <c r="X448" s="91">
        <f>IF($A448="","",$A448&amp;"|"&amp;$C448&amp;"|"&amp;$D448)</f>
        <v/>
      </c>
      <c r="Y448" s="91">
        <f>IFERROR(IF($X448="","",INDEX(LLM_Data_Entry!$H$3:$H$548,MATCH($X448,INDEX(LLM_Data_Entry!$A$3:$A$548&amp;"|"&amp;LLM_Data_Entry!$C$3:$C$548&amp;"|"&amp;LLM_Data_Entry!$D$3:$D$548,0),0))),"")</f>
        <v/>
      </c>
      <c r="Z448" s="91">
        <f>IFERROR(IF($X448="","",INDEX(LLM_Data_Entry!$R$3:$R$548,MATCH($X448,INDEX(LLM_Data_Entry!$A$3:$A$548&amp;"|"&amp;LLM_Data_Entry!$C$3:$C$548&amp;"|"&amp;LLM_Data_Entry!$D$3:$D$548,0),0))),"")</f>
        <v/>
      </c>
      <c r="AL448">
        <f>IF($A448="","",IFERROR(INDEX(Company_List!$G$3:$G$207,MATCH($A448,Company_List!$A$3:$A$207,0)),"unassigned"))</f>
        <v/>
      </c>
      <c r="AP448">
        <f>IF($A448="","",IF(COUNTIFS(LLM_Data_Entry!$A$3:$A$548,$A448)&gt;0,"YES","NO"))</f>
        <v/>
      </c>
      <c r="AQ448">
        <f>IF($A448="","",IF(COUNTIFS($A$3:$A448,$A448,$C$3:$C448,$C448,$D$3:$D448,$D448)=1,"YES","NO"))</f>
        <v/>
      </c>
      <c r="AR448">
        <f>IF($A448="","",IF(AND($C448&amp;"-"&amp;$D448&gt;=Settings!$B$19,$C448&amp;"-"&amp;$D448&lt;=Settings!$B$20),"IN","OUT"))</f>
        <v/>
      </c>
      <c r="AS448">
        <f>IF($A448="","",IF($F448="Financial Results","financials",IF($F448="Outlook/Guidance","guidance",IF($F448="Transcript Q&amp;A","qanda",IF($F448="","unrecorded",IF($E448="All","full",IF($E448="","unrecorded",LOWER($E448)&amp;" only")))))))</f>
        <v/>
      </c>
      <c r="AT448">
        <f>IF(AND(OR($J448="BUY",$J448="SELL"),ISNUMBER($U448)),$U448,"")</f>
        <v/>
      </c>
      <c r="AU448">
        <f>IF(AND(OR($J448="BUY",$J448="SELL"),ISNUMBER($AK448)),$AK448,"")</f>
        <v/>
      </c>
      <c r="AV448">
        <f>IF(ISNUMBER($AT448),ABS(IF(ISNUMBER($I448),$I448,0)-Settings!$B$24),"")</f>
        <v/>
      </c>
      <c r="AW448">
        <f>IF(ISNUMBER($AV448),$AV448*$AT448,"")</f>
        <v/>
      </c>
      <c r="AX448">
        <f>IF(ISNUMBER($AU448),ABS(IF(ISNUMBER($I448),$I448,0)-Settings!$B$24),"")</f>
        <v/>
      </c>
      <c r="AY448">
        <f>IF(ISNUMBER($AX448),$AX448*$AU448,"")</f>
        <v/>
      </c>
      <c r="AZ448">
        <f>IF($A448="","",IFERROR(INDEX(Company_List!$H$3:$H$207,MATCH($A448,Company_List!$A$3:$A$207,0)),"unassigned"))</f>
        <v/>
      </c>
      <c r="BC448">
        <f>IF($A448="","",IF(COUNTIFS($A$3:$A448,$A448,$C$3:$C448,$C448,$D$3:$D448,$D448,$G$3:$G448,$G448)=1,1,0))</f>
        <v/>
      </c>
      <c r="BK448">
        <f>IF(OR($H448&lt;&gt;"Human",$S448="",$J448="",$Y448="",$Z448=""),"",IF(EXACT(UPPER($J448),UPPER($Y448)),1,0))</f>
        <v/>
      </c>
    </row>
    <row r="449">
      <c r="B449" s="142">
        <f>IF(A449="","",_xlfn.XLOOKUP(A449, Company_List!$A:$A, Company_List!$B:$B, ""))</f>
        <v/>
      </c>
      <c r="J449" s="145">
        <f>IF(OR(I449="",Settings!$B$6=""),"",IF(I449&gt;Settings!$B$6,"BUY",IF(I449&lt;-Settings!$B$6,"SELL","HOLD")))</f>
        <v/>
      </c>
      <c r="Q449" s="151">
        <f>IF(OR(N449="",P449=""),"",ROUND((P449-N449)/N449,4))</f>
        <v/>
      </c>
      <c r="R449" s="118">
        <f>IF(OR(N449="",P449=""),"",IF(Q449&gt;Settings!$B$3/100,"UP",IF(Q449&lt;-Settings!$B$3/100,"DOWN","FLAT")))</f>
        <v/>
      </c>
      <c r="S449" s="118">
        <f>IF(OR(N449="",P449="",J449=""),"",IF(OR(AND(J449="BUY",R449="UP"),AND(J449="SELL",R449="DOWN"),AND(J449="HOLD",R449="FLAT")),"YES","NO"))</f>
        <v/>
      </c>
      <c r="T449" s="119">
        <f>IF(J449="","",IF(J449="BUY",1,IF(J449="SELL",-1,0)))</f>
        <v/>
      </c>
      <c r="U449" s="150">
        <f>IFERROR(IF(OR(J449="",N449="",P449=""),"",IF(T449=0,0,T449*Q449-Settings!$B$4/10000-IF(T449&lt;0,Settings!$B$5/10000,0))),"")</f>
        <v/>
      </c>
      <c r="W449" s="21">
        <f>IF($K449="","",$K449*60)</f>
        <v/>
      </c>
      <c r="X449" s="91">
        <f>IF($A449="","",$A449&amp;"|"&amp;$C449&amp;"|"&amp;$D449)</f>
        <v/>
      </c>
      <c r="Y449" s="91">
        <f>IFERROR(IF($X449="","",INDEX(LLM_Data_Entry!$H$3:$H$548,MATCH($X449,INDEX(LLM_Data_Entry!$A$3:$A$548&amp;"|"&amp;LLM_Data_Entry!$C$3:$C$548&amp;"|"&amp;LLM_Data_Entry!$D$3:$D$548,0),0))),"")</f>
        <v/>
      </c>
      <c r="Z449" s="91">
        <f>IFERROR(IF($X449="","",INDEX(LLM_Data_Entry!$R$3:$R$548,MATCH($X449,INDEX(LLM_Data_Entry!$A$3:$A$548&amp;"|"&amp;LLM_Data_Entry!$C$3:$C$548&amp;"|"&amp;LLM_Data_Entry!$D$3:$D$548,0),0))),"")</f>
        <v/>
      </c>
      <c r="AL449">
        <f>IF($A449="","",IFERROR(INDEX(Company_List!$G$3:$G$207,MATCH($A449,Company_List!$A$3:$A$207,0)),"unassigned"))</f>
        <v/>
      </c>
      <c r="AP449">
        <f>IF($A449="","",IF(COUNTIFS(LLM_Data_Entry!$A$3:$A$548,$A449)&gt;0,"YES","NO"))</f>
        <v/>
      </c>
      <c r="AQ449">
        <f>IF($A449="","",IF(COUNTIFS($A$3:$A449,$A449,$C$3:$C449,$C449,$D$3:$D449,$D449)=1,"YES","NO"))</f>
        <v/>
      </c>
      <c r="AR449">
        <f>IF($A449="","",IF(AND($C449&amp;"-"&amp;$D449&gt;=Settings!$B$19,$C449&amp;"-"&amp;$D449&lt;=Settings!$B$20),"IN","OUT"))</f>
        <v/>
      </c>
      <c r="AS449">
        <f>IF($A449="","",IF($F449="Financial Results","financials",IF($F449="Outlook/Guidance","guidance",IF($F449="Transcript Q&amp;A","qanda",IF($F449="","unrecorded",IF($E449="All","full",IF($E449="","unrecorded",LOWER($E449)&amp;" only")))))))</f>
        <v/>
      </c>
      <c r="AT449">
        <f>IF(AND(OR($J449="BUY",$J449="SELL"),ISNUMBER($U449)),$U449,"")</f>
        <v/>
      </c>
      <c r="AU449">
        <f>IF(AND(OR($J449="BUY",$J449="SELL"),ISNUMBER($AK449)),$AK449,"")</f>
        <v/>
      </c>
      <c r="AV449">
        <f>IF(ISNUMBER($AT449),ABS(IF(ISNUMBER($I449),$I449,0)-Settings!$B$24),"")</f>
        <v/>
      </c>
      <c r="AW449">
        <f>IF(ISNUMBER($AV449),$AV449*$AT449,"")</f>
        <v/>
      </c>
      <c r="AX449">
        <f>IF(ISNUMBER($AU449),ABS(IF(ISNUMBER($I449),$I449,0)-Settings!$B$24),"")</f>
        <v/>
      </c>
      <c r="AY449">
        <f>IF(ISNUMBER($AX449),$AX449*$AU449,"")</f>
        <v/>
      </c>
      <c r="AZ449">
        <f>IF($A449="","",IFERROR(INDEX(Company_List!$H$3:$H$207,MATCH($A449,Company_List!$A$3:$A$207,0)),"unassigned"))</f>
        <v/>
      </c>
      <c r="BC449">
        <f>IF($A449="","",IF(COUNTIFS($A$3:$A449,$A449,$C$3:$C449,$C449,$D$3:$D449,$D449,$G$3:$G449,$G449)=1,1,0))</f>
        <v/>
      </c>
      <c r="BK449">
        <f>IF(OR($H449&lt;&gt;"Human",$S449="",$J449="",$Y449="",$Z449=""),"",IF(EXACT(UPPER($J449),UPPER($Y449)),1,0))</f>
        <v/>
      </c>
    </row>
    <row r="450">
      <c r="B450" s="142">
        <f>IF(A450="","",_xlfn.XLOOKUP(A450, Company_List!$A:$A, Company_List!$B:$B, ""))</f>
        <v/>
      </c>
      <c r="J450" s="145">
        <f>IF(OR(I450="",Settings!$B$6=""),"",IF(I450&gt;Settings!$B$6,"BUY",IF(I450&lt;-Settings!$B$6,"SELL","HOLD")))</f>
        <v/>
      </c>
      <c r="Q450" s="151">
        <f>IF(OR(N450="",P450=""),"",ROUND((P450-N450)/N450,4))</f>
        <v/>
      </c>
      <c r="R450" s="118">
        <f>IF(OR(N450="",P450=""),"",IF(Q450&gt;Settings!$B$3/100,"UP",IF(Q450&lt;-Settings!$B$3/100,"DOWN","FLAT")))</f>
        <v/>
      </c>
      <c r="S450" s="118">
        <f>IF(OR(N450="",P450="",J450=""),"",IF(OR(AND(J450="BUY",R450="UP"),AND(J450="SELL",R450="DOWN"),AND(J450="HOLD",R450="FLAT")),"YES","NO"))</f>
        <v/>
      </c>
      <c r="T450" s="119">
        <f>IF(J450="","",IF(J450="BUY",1,IF(J450="SELL",-1,0)))</f>
        <v/>
      </c>
      <c r="U450" s="150">
        <f>IFERROR(IF(OR(J450="",N450="",P450=""),"",IF(T450=0,0,T450*Q450-Settings!$B$4/10000-IF(T450&lt;0,Settings!$B$5/10000,0))),"")</f>
        <v/>
      </c>
      <c r="W450" s="21">
        <f>IF($K450="","",$K450*60)</f>
        <v/>
      </c>
      <c r="X450" s="91">
        <f>IF($A450="","",$A450&amp;"|"&amp;$C450&amp;"|"&amp;$D450)</f>
        <v/>
      </c>
      <c r="Y450" s="91">
        <f>IFERROR(IF($X450="","",INDEX(LLM_Data_Entry!$H$3:$H$548,MATCH($X450,INDEX(LLM_Data_Entry!$A$3:$A$548&amp;"|"&amp;LLM_Data_Entry!$C$3:$C$548&amp;"|"&amp;LLM_Data_Entry!$D$3:$D$548,0),0))),"")</f>
        <v/>
      </c>
      <c r="Z450" s="91">
        <f>IFERROR(IF($X450="","",INDEX(LLM_Data_Entry!$R$3:$R$548,MATCH($X450,INDEX(LLM_Data_Entry!$A$3:$A$548&amp;"|"&amp;LLM_Data_Entry!$C$3:$C$548&amp;"|"&amp;LLM_Data_Entry!$D$3:$D$548,0),0))),"")</f>
        <v/>
      </c>
      <c r="AL450">
        <f>IF($A450="","",IFERROR(INDEX(Company_List!$G$3:$G$207,MATCH($A450,Company_List!$A$3:$A$207,0)),"unassigned"))</f>
        <v/>
      </c>
      <c r="AP450">
        <f>IF($A450="","",IF(COUNTIFS(LLM_Data_Entry!$A$3:$A$548,$A450)&gt;0,"YES","NO"))</f>
        <v/>
      </c>
      <c r="AQ450">
        <f>IF($A450="","",IF(COUNTIFS($A$3:$A450,$A450,$C$3:$C450,$C450,$D$3:$D450,$D450)=1,"YES","NO"))</f>
        <v/>
      </c>
      <c r="AR450">
        <f>IF($A450="","",IF(AND($C450&amp;"-"&amp;$D450&gt;=Settings!$B$19,$C450&amp;"-"&amp;$D450&lt;=Settings!$B$20),"IN","OUT"))</f>
        <v/>
      </c>
      <c r="AS450">
        <f>IF($A450="","",IF($F450="Financial Results","financials",IF($F450="Outlook/Guidance","guidance",IF($F450="Transcript Q&amp;A","qanda",IF($F450="","unrecorded",IF($E450="All","full",IF($E450="","unrecorded",LOWER($E450)&amp;" only")))))))</f>
        <v/>
      </c>
      <c r="AT450">
        <f>IF(AND(OR($J450="BUY",$J450="SELL"),ISNUMBER($U450)),$U450,"")</f>
        <v/>
      </c>
      <c r="AU450">
        <f>IF(AND(OR($J450="BUY",$J450="SELL"),ISNUMBER($AK450)),$AK450,"")</f>
        <v/>
      </c>
      <c r="AV450">
        <f>IF(ISNUMBER($AT450),ABS(IF(ISNUMBER($I450),$I450,0)-Settings!$B$24),"")</f>
        <v/>
      </c>
      <c r="AW450">
        <f>IF(ISNUMBER($AV450),$AV450*$AT450,"")</f>
        <v/>
      </c>
      <c r="AX450">
        <f>IF(ISNUMBER($AU450),ABS(IF(ISNUMBER($I450),$I450,0)-Settings!$B$24),"")</f>
        <v/>
      </c>
      <c r="AY450">
        <f>IF(ISNUMBER($AX450),$AX450*$AU450,"")</f>
        <v/>
      </c>
      <c r="AZ450">
        <f>IF($A450="","",IFERROR(INDEX(Company_List!$H$3:$H$207,MATCH($A450,Company_List!$A$3:$A$207,0)),"unassigned"))</f>
        <v/>
      </c>
      <c r="BC450">
        <f>IF($A450="","",IF(COUNTIFS($A$3:$A450,$A450,$C$3:$C450,$C450,$D$3:$D450,$D450,$G$3:$G450,$G450)=1,1,0))</f>
        <v/>
      </c>
      <c r="BK450">
        <f>IF(OR($H450&lt;&gt;"Human",$S450="",$J450="",$Y450="",$Z450=""),"",IF(EXACT(UPPER($J450),UPPER($Y450)),1,0))</f>
        <v/>
      </c>
    </row>
    <row r="451">
      <c r="B451" s="142">
        <f>IF(A451="","",_xlfn.XLOOKUP(A451, Company_List!$A:$A, Company_List!$B:$B, ""))</f>
        <v/>
      </c>
      <c r="J451" s="145">
        <f>IF(OR(I451="",Settings!$B$6=""),"",IF(I451&gt;Settings!$B$6,"BUY",IF(I451&lt;-Settings!$B$6,"SELL","HOLD")))</f>
        <v/>
      </c>
      <c r="Q451" s="151">
        <f>IF(OR(N451="",P451=""),"",ROUND((P451-N451)/N451,4))</f>
        <v/>
      </c>
      <c r="R451" s="118">
        <f>IF(OR(N451="",P451=""),"",IF(Q451&gt;Settings!$B$3/100,"UP",IF(Q451&lt;-Settings!$B$3/100,"DOWN","FLAT")))</f>
        <v/>
      </c>
      <c r="S451" s="118">
        <f>IF(OR(N451="",P451="",J451=""),"",IF(OR(AND(J451="BUY",R451="UP"),AND(J451="SELL",R451="DOWN"),AND(J451="HOLD",R451="FLAT")),"YES","NO"))</f>
        <v/>
      </c>
      <c r="T451" s="119">
        <f>IF(J451="","",IF(J451="BUY",1,IF(J451="SELL",-1,0)))</f>
        <v/>
      </c>
      <c r="U451" s="150">
        <f>IFERROR(IF(OR(J451="",N451="",P451=""),"",IF(T451=0,0,T451*Q451-Settings!$B$4/10000-IF(T451&lt;0,Settings!$B$5/10000,0))),"")</f>
        <v/>
      </c>
      <c r="W451" s="21">
        <f>IF($K451="","",$K451*60)</f>
        <v/>
      </c>
      <c r="X451" s="91">
        <f>IF($A451="","",$A451&amp;"|"&amp;$C451&amp;"|"&amp;$D451)</f>
        <v/>
      </c>
      <c r="Y451" s="91">
        <f>IFERROR(IF($X451="","",INDEX(LLM_Data_Entry!$H$3:$H$548,MATCH($X451,INDEX(LLM_Data_Entry!$A$3:$A$548&amp;"|"&amp;LLM_Data_Entry!$C$3:$C$548&amp;"|"&amp;LLM_Data_Entry!$D$3:$D$548,0),0))),"")</f>
        <v/>
      </c>
      <c r="Z451" s="91">
        <f>IFERROR(IF($X451="","",INDEX(LLM_Data_Entry!$R$3:$R$548,MATCH($X451,INDEX(LLM_Data_Entry!$A$3:$A$548&amp;"|"&amp;LLM_Data_Entry!$C$3:$C$548&amp;"|"&amp;LLM_Data_Entry!$D$3:$D$548,0),0))),"")</f>
        <v/>
      </c>
      <c r="AL451">
        <f>IF($A451="","",IFERROR(INDEX(Company_List!$G$3:$G$207,MATCH($A451,Company_List!$A$3:$A$207,0)),"unassigned"))</f>
        <v/>
      </c>
      <c r="AP451">
        <f>IF($A451="","",IF(COUNTIFS(LLM_Data_Entry!$A$3:$A$548,$A451)&gt;0,"YES","NO"))</f>
        <v/>
      </c>
      <c r="AQ451">
        <f>IF($A451="","",IF(COUNTIFS($A$3:$A451,$A451,$C$3:$C451,$C451,$D$3:$D451,$D451)=1,"YES","NO"))</f>
        <v/>
      </c>
      <c r="AR451">
        <f>IF($A451="","",IF(AND($C451&amp;"-"&amp;$D451&gt;=Settings!$B$19,$C451&amp;"-"&amp;$D451&lt;=Settings!$B$20),"IN","OUT"))</f>
        <v/>
      </c>
      <c r="AS451">
        <f>IF($A451="","",IF($F451="Financial Results","financials",IF($F451="Outlook/Guidance","guidance",IF($F451="Transcript Q&amp;A","qanda",IF($F451="","unrecorded",IF($E451="All","full",IF($E451="","unrecorded",LOWER($E451)&amp;" only")))))))</f>
        <v/>
      </c>
      <c r="AT451">
        <f>IF(AND(OR($J451="BUY",$J451="SELL"),ISNUMBER($U451)),$U451,"")</f>
        <v/>
      </c>
      <c r="AU451">
        <f>IF(AND(OR($J451="BUY",$J451="SELL"),ISNUMBER($AK451)),$AK451,"")</f>
        <v/>
      </c>
      <c r="AV451">
        <f>IF(ISNUMBER($AT451),ABS(IF(ISNUMBER($I451),$I451,0)-Settings!$B$24),"")</f>
        <v/>
      </c>
      <c r="AW451">
        <f>IF(ISNUMBER($AV451),$AV451*$AT451,"")</f>
        <v/>
      </c>
      <c r="AX451">
        <f>IF(ISNUMBER($AU451),ABS(IF(ISNUMBER($I451),$I451,0)-Settings!$B$24),"")</f>
        <v/>
      </c>
      <c r="AY451">
        <f>IF(ISNUMBER($AX451),$AX451*$AU451,"")</f>
        <v/>
      </c>
      <c r="AZ451">
        <f>IF($A451="","",IFERROR(INDEX(Company_List!$H$3:$H$207,MATCH($A451,Company_List!$A$3:$A$207,0)),"unassigned"))</f>
        <v/>
      </c>
      <c r="BC451">
        <f>IF($A451="","",IF(COUNTIFS($A$3:$A451,$A451,$C$3:$C451,$C451,$D$3:$D451,$D451,$G$3:$G451,$G451)=1,1,0))</f>
        <v/>
      </c>
      <c r="BK451">
        <f>IF(OR($H451&lt;&gt;"Human",$S451="",$J451="",$Y451="",$Z451=""),"",IF(EXACT(UPPER($J451),UPPER($Y451)),1,0))</f>
        <v/>
      </c>
    </row>
    <row r="452">
      <c r="B452" s="142">
        <f>IF(A452="","",_xlfn.XLOOKUP(A452, Company_List!$A:$A, Company_List!$B:$B, ""))</f>
        <v/>
      </c>
      <c r="J452" s="145">
        <f>IF(OR(I452="",Settings!$B$6=""),"",IF(I452&gt;Settings!$B$6,"BUY",IF(I452&lt;-Settings!$B$6,"SELL","HOLD")))</f>
        <v/>
      </c>
      <c r="Q452" s="151">
        <f>IF(OR(N452="",P452=""),"",ROUND((P452-N452)/N452,4))</f>
        <v/>
      </c>
      <c r="R452" s="118">
        <f>IF(OR(N452="",P452=""),"",IF(Q452&gt;Settings!$B$3/100,"UP",IF(Q452&lt;-Settings!$B$3/100,"DOWN","FLAT")))</f>
        <v/>
      </c>
      <c r="S452" s="118">
        <f>IF(OR(N452="",P452="",J452=""),"",IF(OR(AND(J452="BUY",R452="UP"),AND(J452="SELL",R452="DOWN"),AND(J452="HOLD",R452="FLAT")),"YES","NO"))</f>
        <v/>
      </c>
      <c r="T452" s="119">
        <f>IF(J452="","",IF(J452="BUY",1,IF(J452="SELL",-1,0)))</f>
        <v/>
      </c>
      <c r="U452" s="150">
        <f>IFERROR(IF(OR(J452="",N452="",P452=""),"",IF(T452=0,0,T452*Q452-Settings!$B$4/10000-IF(T452&lt;0,Settings!$B$5/10000,0))),"")</f>
        <v/>
      </c>
      <c r="W452" s="21">
        <f>IF($K452="","",$K452*60)</f>
        <v/>
      </c>
      <c r="X452" s="91">
        <f>IF($A452="","",$A452&amp;"|"&amp;$C452&amp;"|"&amp;$D452)</f>
        <v/>
      </c>
      <c r="Y452" s="91">
        <f>IFERROR(IF($X452="","",INDEX(LLM_Data_Entry!$H$3:$H$548,MATCH($X452,INDEX(LLM_Data_Entry!$A$3:$A$548&amp;"|"&amp;LLM_Data_Entry!$C$3:$C$548&amp;"|"&amp;LLM_Data_Entry!$D$3:$D$548,0),0))),"")</f>
        <v/>
      </c>
      <c r="Z452" s="91">
        <f>IFERROR(IF($X452="","",INDEX(LLM_Data_Entry!$R$3:$R$548,MATCH($X452,INDEX(LLM_Data_Entry!$A$3:$A$548&amp;"|"&amp;LLM_Data_Entry!$C$3:$C$548&amp;"|"&amp;LLM_Data_Entry!$D$3:$D$548,0),0))),"")</f>
        <v/>
      </c>
      <c r="AL452">
        <f>IF($A452="","",IFERROR(INDEX(Company_List!$G$3:$G$207,MATCH($A452,Company_List!$A$3:$A$207,0)),"unassigned"))</f>
        <v/>
      </c>
      <c r="AP452">
        <f>IF($A452="","",IF(COUNTIFS(LLM_Data_Entry!$A$3:$A$548,$A452)&gt;0,"YES","NO"))</f>
        <v/>
      </c>
      <c r="AQ452">
        <f>IF($A452="","",IF(COUNTIFS($A$3:$A452,$A452,$C$3:$C452,$C452,$D$3:$D452,$D452)=1,"YES","NO"))</f>
        <v/>
      </c>
      <c r="AR452">
        <f>IF($A452="","",IF(AND($C452&amp;"-"&amp;$D452&gt;=Settings!$B$19,$C452&amp;"-"&amp;$D452&lt;=Settings!$B$20),"IN","OUT"))</f>
        <v/>
      </c>
      <c r="AS452">
        <f>IF($A452="","",IF($F452="Financial Results","financials",IF($F452="Outlook/Guidance","guidance",IF($F452="Transcript Q&amp;A","qanda",IF($F452="","unrecorded",IF($E452="All","full",IF($E452="","unrecorded",LOWER($E452)&amp;" only")))))))</f>
        <v/>
      </c>
      <c r="AT452">
        <f>IF(AND(OR($J452="BUY",$J452="SELL"),ISNUMBER($U452)),$U452,"")</f>
        <v/>
      </c>
      <c r="AU452">
        <f>IF(AND(OR($J452="BUY",$J452="SELL"),ISNUMBER($AK452)),$AK452,"")</f>
        <v/>
      </c>
      <c r="AV452">
        <f>IF(ISNUMBER($AT452),ABS(IF(ISNUMBER($I452),$I452,0)-Settings!$B$24),"")</f>
        <v/>
      </c>
      <c r="AW452">
        <f>IF(ISNUMBER($AV452),$AV452*$AT452,"")</f>
        <v/>
      </c>
      <c r="AX452">
        <f>IF(ISNUMBER($AU452),ABS(IF(ISNUMBER($I452),$I452,0)-Settings!$B$24),"")</f>
        <v/>
      </c>
      <c r="AY452">
        <f>IF(ISNUMBER($AX452),$AX452*$AU452,"")</f>
        <v/>
      </c>
      <c r="AZ452">
        <f>IF($A452="","",IFERROR(INDEX(Company_List!$H$3:$H$207,MATCH($A452,Company_List!$A$3:$A$207,0)),"unassigned"))</f>
        <v/>
      </c>
      <c r="BC452">
        <f>IF($A452="","",IF(COUNTIFS($A$3:$A452,$A452,$C$3:$C452,$C452,$D$3:$D452,$D452,$G$3:$G452,$G452)=1,1,0))</f>
        <v/>
      </c>
      <c r="BK452">
        <f>IF(OR($H452&lt;&gt;"Human",$S452="",$J452="",$Y452="",$Z452=""),"",IF(EXACT(UPPER($J452),UPPER($Y452)),1,0))</f>
        <v/>
      </c>
    </row>
    <row r="453">
      <c r="B453" s="142">
        <f>IF(A453="","",_xlfn.XLOOKUP(A453, Company_List!$A:$A, Company_List!$B:$B, ""))</f>
        <v/>
      </c>
      <c r="J453" s="145">
        <f>IF(OR(I453="",Settings!$B$6=""),"",IF(I453&gt;Settings!$B$6,"BUY",IF(I453&lt;-Settings!$B$6,"SELL","HOLD")))</f>
        <v/>
      </c>
      <c r="Q453" s="151">
        <f>IF(OR(N453="",P453=""),"",ROUND((P453-N453)/N453,4))</f>
        <v/>
      </c>
      <c r="R453" s="118">
        <f>IF(OR(N453="",P453=""),"",IF(Q453&gt;Settings!$B$3/100,"UP",IF(Q453&lt;-Settings!$B$3/100,"DOWN","FLAT")))</f>
        <v/>
      </c>
      <c r="S453" s="118">
        <f>IF(OR(N453="",P453="",J453=""),"",IF(OR(AND(J453="BUY",R453="UP"),AND(J453="SELL",R453="DOWN"),AND(J453="HOLD",R453="FLAT")),"YES","NO"))</f>
        <v/>
      </c>
      <c r="T453" s="119">
        <f>IF(J453="","",IF(J453="BUY",1,IF(J453="SELL",-1,0)))</f>
        <v/>
      </c>
      <c r="U453" s="150">
        <f>IFERROR(IF(OR(J453="",N453="",P453=""),"",IF(T453=0,0,T453*Q453-Settings!$B$4/10000-IF(T453&lt;0,Settings!$B$5/10000,0))),"")</f>
        <v/>
      </c>
      <c r="W453" s="21">
        <f>IF($K453="","",$K453*60)</f>
        <v/>
      </c>
      <c r="X453" s="91">
        <f>IF($A453="","",$A453&amp;"|"&amp;$C453&amp;"|"&amp;$D453)</f>
        <v/>
      </c>
      <c r="Y453" s="91">
        <f>IFERROR(IF($X453="","",INDEX(LLM_Data_Entry!$H$3:$H$548,MATCH($X453,INDEX(LLM_Data_Entry!$A$3:$A$548&amp;"|"&amp;LLM_Data_Entry!$C$3:$C$548&amp;"|"&amp;LLM_Data_Entry!$D$3:$D$548,0),0))),"")</f>
        <v/>
      </c>
      <c r="Z453" s="91">
        <f>IFERROR(IF($X453="","",INDEX(LLM_Data_Entry!$R$3:$R$548,MATCH($X453,INDEX(LLM_Data_Entry!$A$3:$A$548&amp;"|"&amp;LLM_Data_Entry!$C$3:$C$548&amp;"|"&amp;LLM_Data_Entry!$D$3:$D$548,0),0))),"")</f>
        <v/>
      </c>
      <c r="AL453">
        <f>IF($A453="","",IFERROR(INDEX(Company_List!$G$3:$G$207,MATCH($A453,Company_List!$A$3:$A$207,0)),"unassigned"))</f>
        <v/>
      </c>
      <c r="AP453">
        <f>IF($A453="","",IF(COUNTIFS(LLM_Data_Entry!$A$3:$A$548,$A453)&gt;0,"YES","NO"))</f>
        <v/>
      </c>
      <c r="AQ453">
        <f>IF($A453="","",IF(COUNTIFS($A$3:$A453,$A453,$C$3:$C453,$C453,$D$3:$D453,$D453)=1,"YES","NO"))</f>
        <v/>
      </c>
      <c r="AR453">
        <f>IF($A453="","",IF(AND($C453&amp;"-"&amp;$D453&gt;=Settings!$B$19,$C453&amp;"-"&amp;$D453&lt;=Settings!$B$20),"IN","OUT"))</f>
        <v/>
      </c>
      <c r="AS453">
        <f>IF($A453="","",IF($F453="Financial Results","financials",IF($F453="Outlook/Guidance","guidance",IF($F453="Transcript Q&amp;A","qanda",IF($F453="","unrecorded",IF($E453="All","full",IF($E453="","unrecorded",LOWER($E453)&amp;" only")))))))</f>
        <v/>
      </c>
      <c r="AT453">
        <f>IF(AND(OR($J453="BUY",$J453="SELL"),ISNUMBER($U453)),$U453,"")</f>
        <v/>
      </c>
      <c r="AU453">
        <f>IF(AND(OR($J453="BUY",$J453="SELL"),ISNUMBER($AK453)),$AK453,"")</f>
        <v/>
      </c>
      <c r="AV453">
        <f>IF(ISNUMBER($AT453),ABS(IF(ISNUMBER($I453),$I453,0)-Settings!$B$24),"")</f>
        <v/>
      </c>
      <c r="AW453">
        <f>IF(ISNUMBER($AV453),$AV453*$AT453,"")</f>
        <v/>
      </c>
      <c r="AX453">
        <f>IF(ISNUMBER($AU453),ABS(IF(ISNUMBER($I453),$I453,0)-Settings!$B$24),"")</f>
        <v/>
      </c>
      <c r="AY453">
        <f>IF(ISNUMBER($AX453),$AX453*$AU453,"")</f>
        <v/>
      </c>
      <c r="AZ453">
        <f>IF($A453="","",IFERROR(INDEX(Company_List!$H$3:$H$207,MATCH($A453,Company_List!$A$3:$A$207,0)),"unassigned"))</f>
        <v/>
      </c>
      <c r="BC453">
        <f>IF($A453="","",IF(COUNTIFS($A$3:$A453,$A453,$C$3:$C453,$C453,$D$3:$D453,$D453,$G$3:$G453,$G453)=1,1,0))</f>
        <v/>
      </c>
      <c r="BK453">
        <f>IF(OR($H453&lt;&gt;"Human",$S453="",$J453="",$Y453="",$Z453=""),"",IF(EXACT(UPPER($J453),UPPER($Y453)),1,0))</f>
        <v/>
      </c>
    </row>
    <row r="454">
      <c r="B454" s="142">
        <f>IF(A454="","",_xlfn.XLOOKUP(A454, Company_List!$A:$A, Company_List!$B:$B, ""))</f>
        <v/>
      </c>
      <c r="J454" s="145">
        <f>IF(OR(I454="",Settings!$B$6=""),"",IF(I454&gt;Settings!$B$6,"BUY",IF(I454&lt;-Settings!$B$6,"SELL","HOLD")))</f>
        <v/>
      </c>
      <c r="Q454" s="151">
        <f>IF(OR(N454="",P454=""),"",ROUND((P454-N454)/N454,4))</f>
        <v/>
      </c>
      <c r="R454" s="118">
        <f>IF(OR(N454="",P454=""),"",IF(Q454&gt;Settings!$B$3/100,"UP",IF(Q454&lt;-Settings!$B$3/100,"DOWN","FLAT")))</f>
        <v/>
      </c>
      <c r="S454" s="118">
        <f>IF(OR(N454="",P454="",J454=""),"",IF(OR(AND(J454="BUY",R454="UP"),AND(J454="SELL",R454="DOWN"),AND(J454="HOLD",R454="FLAT")),"YES","NO"))</f>
        <v/>
      </c>
      <c r="T454" s="119">
        <f>IF(J454="","",IF(J454="BUY",1,IF(J454="SELL",-1,0)))</f>
        <v/>
      </c>
      <c r="U454" s="150">
        <f>IFERROR(IF(OR(J454="",N454="",P454=""),"",IF(T454=0,0,T454*Q454-Settings!$B$4/10000-IF(T454&lt;0,Settings!$B$5/10000,0))),"")</f>
        <v/>
      </c>
      <c r="W454" s="21">
        <f>IF($K454="","",$K454*60)</f>
        <v/>
      </c>
      <c r="X454" s="91">
        <f>IF($A454="","",$A454&amp;"|"&amp;$C454&amp;"|"&amp;$D454)</f>
        <v/>
      </c>
      <c r="Y454" s="91">
        <f>IFERROR(IF($X454="","",INDEX(LLM_Data_Entry!$H$3:$H$548,MATCH($X454,INDEX(LLM_Data_Entry!$A$3:$A$548&amp;"|"&amp;LLM_Data_Entry!$C$3:$C$548&amp;"|"&amp;LLM_Data_Entry!$D$3:$D$548,0),0))),"")</f>
        <v/>
      </c>
      <c r="Z454" s="91">
        <f>IFERROR(IF($X454="","",INDEX(LLM_Data_Entry!$R$3:$R$548,MATCH($X454,INDEX(LLM_Data_Entry!$A$3:$A$548&amp;"|"&amp;LLM_Data_Entry!$C$3:$C$548&amp;"|"&amp;LLM_Data_Entry!$D$3:$D$548,0),0))),"")</f>
        <v/>
      </c>
      <c r="AL454">
        <f>IF($A454="","",IFERROR(INDEX(Company_List!$G$3:$G$207,MATCH($A454,Company_List!$A$3:$A$207,0)),"unassigned"))</f>
        <v/>
      </c>
      <c r="AP454">
        <f>IF($A454="","",IF(COUNTIFS(LLM_Data_Entry!$A$3:$A$548,$A454)&gt;0,"YES","NO"))</f>
        <v/>
      </c>
      <c r="AQ454">
        <f>IF($A454="","",IF(COUNTIFS($A$3:$A454,$A454,$C$3:$C454,$C454,$D$3:$D454,$D454)=1,"YES","NO"))</f>
        <v/>
      </c>
      <c r="AR454">
        <f>IF($A454="","",IF(AND($C454&amp;"-"&amp;$D454&gt;=Settings!$B$19,$C454&amp;"-"&amp;$D454&lt;=Settings!$B$20),"IN","OUT"))</f>
        <v/>
      </c>
      <c r="AS454">
        <f>IF($A454="","",IF($F454="Financial Results","financials",IF($F454="Outlook/Guidance","guidance",IF($F454="Transcript Q&amp;A","qanda",IF($F454="","unrecorded",IF($E454="All","full",IF($E454="","unrecorded",LOWER($E454)&amp;" only")))))))</f>
        <v/>
      </c>
      <c r="AT454">
        <f>IF(AND(OR($J454="BUY",$J454="SELL"),ISNUMBER($U454)),$U454,"")</f>
        <v/>
      </c>
      <c r="AU454">
        <f>IF(AND(OR($J454="BUY",$J454="SELL"),ISNUMBER($AK454)),$AK454,"")</f>
        <v/>
      </c>
      <c r="AV454">
        <f>IF(ISNUMBER($AT454),ABS(IF(ISNUMBER($I454),$I454,0)-Settings!$B$24),"")</f>
        <v/>
      </c>
      <c r="AW454">
        <f>IF(ISNUMBER($AV454),$AV454*$AT454,"")</f>
        <v/>
      </c>
      <c r="AX454">
        <f>IF(ISNUMBER($AU454),ABS(IF(ISNUMBER($I454),$I454,0)-Settings!$B$24),"")</f>
        <v/>
      </c>
      <c r="AY454">
        <f>IF(ISNUMBER($AX454),$AX454*$AU454,"")</f>
        <v/>
      </c>
      <c r="AZ454">
        <f>IF($A454="","",IFERROR(INDEX(Company_List!$H$3:$H$207,MATCH($A454,Company_List!$A$3:$A$207,0)),"unassigned"))</f>
        <v/>
      </c>
      <c r="BC454">
        <f>IF($A454="","",IF(COUNTIFS($A$3:$A454,$A454,$C$3:$C454,$C454,$D$3:$D454,$D454,$G$3:$G454,$G454)=1,1,0))</f>
        <v/>
      </c>
      <c r="BK454">
        <f>IF(OR($H454&lt;&gt;"Human",$S454="",$J454="",$Y454="",$Z454=""),"",IF(EXACT(UPPER($J454),UPPER($Y454)),1,0))</f>
        <v/>
      </c>
    </row>
    <row r="455">
      <c r="B455" s="142">
        <f>IF(A455="","",_xlfn.XLOOKUP(A455, Company_List!$A:$A, Company_List!$B:$B, ""))</f>
        <v/>
      </c>
      <c r="J455" s="145">
        <f>IF(OR(I455="",Settings!$B$6=""),"",IF(I455&gt;Settings!$B$6,"BUY",IF(I455&lt;-Settings!$B$6,"SELL","HOLD")))</f>
        <v/>
      </c>
      <c r="Q455" s="151">
        <f>IF(OR(N455="",P455=""),"",ROUND((P455-N455)/N455,4))</f>
        <v/>
      </c>
      <c r="R455" s="118">
        <f>IF(OR(N455="",P455=""),"",IF(Q455&gt;Settings!$B$3/100,"UP",IF(Q455&lt;-Settings!$B$3/100,"DOWN","FLAT")))</f>
        <v/>
      </c>
      <c r="S455" s="118">
        <f>IF(OR(N455="",P455="",J455=""),"",IF(OR(AND(J455="BUY",R455="UP"),AND(J455="SELL",R455="DOWN"),AND(J455="HOLD",R455="FLAT")),"YES","NO"))</f>
        <v/>
      </c>
      <c r="T455" s="119">
        <f>IF(J455="","",IF(J455="BUY",1,IF(J455="SELL",-1,0)))</f>
        <v/>
      </c>
      <c r="U455" s="150">
        <f>IFERROR(IF(OR(J455="",N455="",P455=""),"",IF(T455=0,0,T455*Q455-Settings!$B$4/10000-IF(T455&lt;0,Settings!$B$5/10000,0))),"")</f>
        <v/>
      </c>
      <c r="W455" s="21">
        <f>IF($K455="","",$K455*60)</f>
        <v/>
      </c>
      <c r="X455" s="91">
        <f>IF($A455="","",$A455&amp;"|"&amp;$C455&amp;"|"&amp;$D455)</f>
        <v/>
      </c>
      <c r="Y455" s="91">
        <f>IFERROR(IF($X455="","",INDEX(LLM_Data_Entry!$H$3:$H$548,MATCH($X455,INDEX(LLM_Data_Entry!$A$3:$A$548&amp;"|"&amp;LLM_Data_Entry!$C$3:$C$548&amp;"|"&amp;LLM_Data_Entry!$D$3:$D$548,0),0))),"")</f>
        <v/>
      </c>
      <c r="Z455" s="91">
        <f>IFERROR(IF($X455="","",INDEX(LLM_Data_Entry!$R$3:$R$548,MATCH($X455,INDEX(LLM_Data_Entry!$A$3:$A$548&amp;"|"&amp;LLM_Data_Entry!$C$3:$C$548&amp;"|"&amp;LLM_Data_Entry!$D$3:$D$548,0),0))),"")</f>
        <v/>
      </c>
      <c r="AL455">
        <f>IF($A455="","",IFERROR(INDEX(Company_List!$G$3:$G$207,MATCH($A455,Company_List!$A$3:$A$207,0)),"unassigned"))</f>
        <v/>
      </c>
      <c r="AP455">
        <f>IF($A455="","",IF(COUNTIFS(LLM_Data_Entry!$A$3:$A$548,$A455)&gt;0,"YES","NO"))</f>
        <v/>
      </c>
      <c r="AQ455">
        <f>IF($A455="","",IF(COUNTIFS($A$3:$A455,$A455,$C$3:$C455,$C455,$D$3:$D455,$D455)=1,"YES","NO"))</f>
        <v/>
      </c>
      <c r="AR455">
        <f>IF($A455="","",IF(AND($C455&amp;"-"&amp;$D455&gt;=Settings!$B$19,$C455&amp;"-"&amp;$D455&lt;=Settings!$B$20),"IN","OUT"))</f>
        <v/>
      </c>
      <c r="AS455">
        <f>IF($A455="","",IF($F455="Financial Results","financials",IF($F455="Outlook/Guidance","guidance",IF($F455="Transcript Q&amp;A","qanda",IF($F455="","unrecorded",IF($E455="All","full",IF($E455="","unrecorded",LOWER($E455)&amp;" only")))))))</f>
        <v/>
      </c>
      <c r="AT455">
        <f>IF(AND(OR($J455="BUY",$J455="SELL"),ISNUMBER($U455)),$U455,"")</f>
        <v/>
      </c>
      <c r="AU455">
        <f>IF(AND(OR($J455="BUY",$J455="SELL"),ISNUMBER($AK455)),$AK455,"")</f>
        <v/>
      </c>
      <c r="AV455">
        <f>IF(ISNUMBER($AT455),ABS(IF(ISNUMBER($I455),$I455,0)-Settings!$B$24),"")</f>
        <v/>
      </c>
      <c r="AW455">
        <f>IF(ISNUMBER($AV455),$AV455*$AT455,"")</f>
        <v/>
      </c>
      <c r="AX455">
        <f>IF(ISNUMBER($AU455),ABS(IF(ISNUMBER($I455),$I455,0)-Settings!$B$24),"")</f>
        <v/>
      </c>
      <c r="AY455">
        <f>IF(ISNUMBER($AX455),$AX455*$AU455,"")</f>
        <v/>
      </c>
      <c r="AZ455">
        <f>IF($A455="","",IFERROR(INDEX(Company_List!$H$3:$H$207,MATCH($A455,Company_List!$A$3:$A$207,0)),"unassigned"))</f>
        <v/>
      </c>
      <c r="BC455">
        <f>IF($A455="","",IF(COUNTIFS($A$3:$A455,$A455,$C$3:$C455,$C455,$D$3:$D455,$D455,$G$3:$G455,$G455)=1,1,0))</f>
        <v/>
      </c>
      <c r="BK455">
        <f>IF(OR($H455&lt;&gt;"Human",$S455="",$J455="",$Y455="",$Z455=""),"",IF(EXACT(UPPER($J455),UPPER($Y455)),1,0))</f>
        <v/>
      </c>
    </row>
    <row r="456">
      <c r="B456" s="142">
        <f>IF(A456="","",_xlfn.XLOOKUP(A456, Company_List!$A:$A, Company_List!$B:$B, ""))</f>
        <v/>
      </c>
      <c r="J456" s="145">
        <f>IF(OR(I456="",Settings!$B$6=""),"",IF(I456&gt;Settings!$B$6,"BUY",IF(I456&lt;-Settings!$B$6,"SELL","HOLD")))</f>
        <v/>
      </c>
      <c r="Q456" s="151">
        <f>IF(OR(N456="",P456=""),"",ROUND((P456-N456)/N456,4))</f>
        <v/>
      </c>
      <c r="R456" s="118">
        <f>IF(OR(N456="",P456=""),"",IF(Q456&gt;Settings!$B$3/100,"UP",IF(Q456&lt;-Settings!$B$3/100,"DOWN","FLAT")))</f>
        <v/>
      </c>
      <c r="S456" s="118">
        <f>IF(OR(N456="",P456="",J456=""),"",IF(OR(AND(J456="BUY",R456="UP"),AND(J456="SELL",R456="DOWN"),AND(J456="HOLD",R456="FLAT")),"YES","NO"))</f>
        <v/>
      </c>
      <c r="T456" s="119">
        <f>IF(J456="","",IF(J456="BUY",1,IF(J456="SELL",-1,0)))</f>
        <v/>
      </c>
      <c r="U456" s="150">
        <f>IFERROR(IF(OR(J456="",N456="",P456=""),"",IF(T456=0,0,T456*Q456-Settings!$B$4/10000-IF(T456&lt;0,Settings!$B$5/10000,0))),"")</f>
        <v/>
      </c>
      <c r="W456" s="21">
        <f>IF($K456="","",$K456*60)</f>
        <v/>
      </c>
      <c r="X456" s="91">
        <f>IF($A456="","",$A456&amp;"|"&amp;$C456&amp;"|"&amp;$D456)</f>
        <v/>
      </c>
      <c r="Y456" s="91">
        <f>IFERROR(IF($X456="","",INDEX(LLM_Data_Entry!$H$3:$H$548,MATCH($X456,INDEX(LLM_Data_Entry!$A$3:$A$548&amp;"|"&amp;LLM_Data_Entry!$C$3:$C$548&amp;"|"&amp;LLM_Data_Entry!$D$3:$D$548,0),0))),"")</f>
        <v/>
      </c>
      <c r="Z456" s="91">
        <f>IFERROR(IF($X456="","",INDEX(LLM_Data_Entry!$R$3:$R$548,MATCH($X456,INDEX(LLM_Data_Entry!$A$3:$A$548&amp;"|"&amp;LLM_Data_Entry!$C$3:$C$548&amp;"|"&amp;LLM_Data_Entry!$D$3:$D$548,0),0))),"")</f>
        <v/>
      </c>
      <c r="AL456">
        <f>IF($A456="","",IFERROR(INDEX(Company_List!$G$3:$G$207,MATCH($A456,Company_List!$A$3:$A$207,0)),"unassigned"))</f>
        <v/>
      </c>
      <c r="AP456">
        <f>IF($A456="","",IF(COUNTIFS(LLM_Data_Entry!$A$3:$A$548,$A456)&gt;0,"YES","NO"))</f>
        <v/>
      </c>
      <c r="AQ456">
        <f>IF($A456="","",IF(COUNTIFS($A$3:$A456,$A456,$C$3:$C456,$C456,$D$3:$D456,$D456)=1,"YES","NO"))</f>
        <v/>
      </c>
      <c r="AR456">
        <f>IF($A456="","",IF(AND($C456&amp;"-"&amp;$D456&gt;=Settings!$B$19,$C456&amp;"-"&amp;$D456&lt;=Settings!$B$20),"IN","OUT"))</f>
        <v/>
      </c>
      <c r="AS456">
        <f>IF($A456="","",IF($F456="Financial Results","financials",IF($F456="Outlook/Guidance","guidance",IF($F456="Transcript Q&amp;A","qanda",IF($F456="","unrecorded",IF($E456="All","full",IF($E456="","unrecorded",LOWER($E456)&amp;" only")))))))</f>
        <v/>
      </c>
      <c r="AT456">
        <f>IF(AND(OR($J456="BUY",$J456="SELL"),ISNUMBER($U456)),$U456,"")</f>
        <v/>
      </c>
      <c r="AU456">
        <f>IF(AND(OR($J456="BUY",$J456="SELL"),ISNUMBER($AK456)),$AK456,"")</f>
        <v/>
      </c>
      <c r="AV456">
        <f>IF(ISNUMBER($AT456),ABS(IF(ISNUMBER($I456),$I456,0)-Settings!$B$24),"")</f>
        <v/>
      </c>
      <c r="AW456">
        <f>IF(ISNUMBER($AV456),$AV456*$AT456,"")</f>
        <v/>
      </c>
      <c r="AX456">
        <f>IF(ISNUMBER($AU456),ABS(IF(ISNUMBER($I456),$I456,0)-Settings!$B$24),"")</f>
        <v/>
      </c>
      <c r="AY456">
        <f>IF(ISNUMBER($AX456),$AX456*$AU456,"")</f>
        <v/>
      </c>
      <c r="AZ456">
        <f>IF($A456="","",IFERROR(INDEX(Company_List!$H$3:$H$207,MATCH($A456,Company_List!$A$3:$A$207,0)),"unassigned"))</f>
        <v/>
      </c>
      <c r="BC456">
        <f>IF($A456="","",IF(COUNTIFS($A$3:$A456,$A456,$C$3:$C456,$C456,$D$3:$D456,$D456,$G$3:$G456,$G456)=1,1,0))</f>
        <v/>
      </c>
      <c r="BK456">
        <f>IF(OR($H456&lt;&gt;"Human",$S456="",$J456="",$Y456="",$Z456=""),"",IF(EXACT(UPPER($J456),UPPER($Y456)),1,0))</f>
        <v/>
      </c>
    </row>
    <row r="457">
      <c r="B457" s="142">
        <f>IF(A457="","",_xlfn.XLOOKUP(A457, Company_List!$A:$A, Company_List!$B:$B, ""))</f>
        <v/>
      </c>
      <c r="J457" s="145">
        <f>IF(OR(I457="",Settings!$B$6=""),"",IF(I457&gt;Settings!$B$6,"BUY",IF(I457&lt;-Settings!$B$6,"SELL","HOLD")))</f>
        <v/>
      </c>
      <c r="Q457" s="151">
        <f>IF(OR(N457="",P457=""),"",ROUND((P457-N457)/N457,4))</f>
        <v/>
      </c>
      <c r="R457" s="118">
        <f>IF(OR(N457="",P457=""),"",IF(Q457&gt;Settings!$B$3/100,"UP",IF(Q457&lt;-Settings!$B$3/100,"DOWN","FLAT")))</f>
        <v/>
      </c>
      <c r="S457" s="118">
        <f>IF(OR(N457="",P457="",J457=""),"",IF(OR(AND(J457="BUY",R457="UP"),AND(J457="SELL",R457="DOWN"),AND(J457="HOLD",R457="FLAT")),"YES","NO"))</f>
        <v/>
      </c>
      <c r="T457" s="119">
        <f>IF(J457="","",IF(J457="BUY",1,IF(J457="SELL",-1,0)))</f>
        <v/>
      </c>
      <c r="U457" s="150">
        <f>IFERROR(IF(OR(J457="",N457="",P457=""),"",IF(T457=0,0,T457*Q457-Settings!$B$4/10000-IF(T457&lt;0,Settings!$B$5/10000,0))),"")</f>
        <v/>
      </c>
      <c r="W457" s="21">
        <f>IF($K457="","",$K457*60)</f>
        <v/>
      </c>
      <c r="X457" s="91">
        <f>IF($A457="","",$A457&amp;"|"&amp;$C457&amp;"|"&amp;$D457)</f>
        <v/>
      </c>
      <c r="Y457" s="91">
        <f>IFERROR(IF($X457="","",INDEX(LLM_Data_Entry!$H$3:$H$548,MATCH($X457,INDEX(LLM_Data_Entry!$A$3:$A$548&amp;"|"&amp;LLM_Data_Entry!$C$3:$C$548&amp;"|"&amp;LLM_Data_Entry!$D$3:$D$548,0),0))),"")</f>
        <v/>
      </c>
      <c r="Z457" s="91">
        <f>IFERROR(IF($X457="","",INDEX(LLM_Data_Entry!$R$3:$R$548,MATCH($X457,INDEX(LLM_Data_Entry!$A$3:$A$548&amp;"|"&amp;LLM_Data_Entry!$C$3:$C$548&amp;"|"&amp;LLM_Data_Entry!$D$3:$D$548,0),0))),"")</f>
        <v/>
      </c>
      <c r="AL457">
        <f>IF($A457="","",IFERROR(INDEX(Company_List!$G$3:$G$207,MATCH($A457,Company_List!$A$3:$A$207,0)),"unassigned"))</f>
        <v/>
      </c>
      <c r="AP457">
        <f>IF($A457="","",IF(COUNTIFS(LLM_Data_Entry!$A$3:$A$548,$A457)&gt;0,"YES","NO"))</f>
        <v/>
      </c>
      <c r="AQ457">
        <f>IF($A457="","",IF(COUNTIFS($A$3:$A457,$A457,$C$3:$C457,$C457,$D$3:$D457,$D457)=1,"YES","NO"))</f>
        <v/>
      </c>
      <c r="AR457">
        <f>IF($A457="","",IF(AND($C457&amp;"-"&amp;$D457&gt;=Settings!$B$19,$C457&amp;"-"&amp;$D457&lt;=Settings!$B$20),"IN","OUT"))</f>
        <v/>
      </c>
      <c r="AS457">
        <f>IF($A457="","",IF($F457="Financial Results","financials",IF($F457="Outlook/Guidance","guidance",IF($F457="Transcript Q&amp;A","qanda",IF($F457="","unrecorded",IF($E457="All","full",IF($E457="","unrecorded",LOWER($E457)&amp;" only")))))))</f>
        <v/>
      </c>
      <c r="AT457">
        <f>IF(AND(OR($J457="BUY",$J457="SELL"),ISNUMBER($U457)),$U457,"")</f>
        <v/>
      </c>
      <c r="AU457">
        <f>IF(AND(OR($J457="BUY",$J457="SELL"),ISNUMBER($AK457)),$AK457,"")</f>
        <v/>
      </c>
      <c r="AV457">
        <f>IF(ISNUMBER($AT457),ABS(IF(ISNUMBER($I457),$I457,0)-Settings!$B$24),"")</f>
        <v/>
      </c>
      <c r="AW457">
        <f>IF(ISNUMBER($AV457),$AV457*$AT457,"")</f>
        <v/>
      </c>
      <c r="AX457">
        <f>IF(ISNUMBER($AU457),ABS(IF(ISNUMBER($I457),$I457,0)-Settings!$B$24),"")</f>
        <v/>
      </c>
      <c r="AY457">
        <f>IF(ISNUMBER($AX457),$AX457*$AU457,"")</f>
        <v/>
      </c>
      <c r="AZ457">
        <f>IF($A457="","",IFERROR(INDEX(Company_List!$H$3:$H$207,MATCH($A457,Company_List!$A$3:$A$207,0)),"unassigned"))</f>
        <v/>
      </c>
      <c r="BC457">
        <f>IF($A457="","",IF(COUNTIFS($A$3:$A457,$A457,$C$3:$C457,$C457,$D$3:$D457,$D457,$G$3:$G457,$G457)=1,1,0))</f>
        <v/>
      </c>
      <c r="BK457">
        <f>IF(OR($H457&lt;&gt;"Human",$S457="",$J457="",$Y457="",$Z457=""),"",IF(EXACT(UPPER($J457),UPPER($Y457)),1,0))</f>
        <v/>
      </c>
    </row>
    <row r="458">
      <c r="B458" s="142">
        <f>IF(A458="","",_xlfn.XLOOKUP(A458, Company_List!$A:$A, Company_List!$B:$B, ""))</f>
        <v/>
      </c>
      <c r="J458" s="145">
        <f>IF(OR(I458="",Settings!$B$6=""),"",IF(I458&gt;Settings!$B$6,"BUY",IF(I458&lt;-Settings!$B$6,"SELL","HOLD")))</f>
        <v/>
      </c>
      <c r="Q458" s="151">
        <f>IF(OR(N458="",P458=""),"",ROUND((P458-N458)/N458,4))</f>
        <v/>
      </c>
      <c r="R458" s="118">
        <f>IF(OR(N458="",P458=""),"",IF(Q458&gt;Settings!$B$3/100,"UP",IF(Q458&lt;-Settings!$B$3/100,"DOWN","FLAT")))</f>
        <v/>
      </c>
      <c r="S458" s="118">
        <f>IF(OR(N458="",P458="",J458=""),"",IF(OR(AND(J458="BUY",R458="UP"),AND(J458="SELL",R458="DOWN"),AND(J458="HOLD",R458="FLAT")),"YES","NO"))</f>
        <v/>
      </c>
      <c r="T458" s="119">
        <f>IF(J458="","",IF(J458="BUY",1,IF(J458="SELL",-1,0)))</f>
        <v/>
      </c>
      <c r="U458" s="150">
        <f>IFERROR(IF(OR(J458="",N458="",P458=""),"",IF(T458=0,0,T458*Q458-Settings!$B$4/10000-IF(T458&lt;0,Settings!$B$5/10000,0))),"")</f>
        <v/>
      </c>
      <c r="W458" s="21">
        <f>IF($K458="","",$K458*60)</f>
        <v/>
      </c>
      <c r="X458" s="91">
        <f>IF($A458="","",$A458&amp;"|"&amp;$C458&amp;"|"&amp;$D458)</f>
        <v/>
      </c>
      <c r="Y458" s="91">
        <f>IFERROR(IF($X458="","",INDEX(LLM_Data_Entry!$H$3:$H$548,MATCH($X458,INDEX(LLM_Data_Entry!$A$3:$A$548&amp;"|"&amp;LLM_Data_Entry!$C$3:$C$548&amp;"|"&amp;LLM_Data_Entry!$D$3:$D$548,0),0))),"")</f>
        <v/>
      </c>
      <c r="Z458" s="91">
        <f>IFERROR(IF($X458="","",INDEX(LLM_Data_Entry!$R$3:$R$548,MATCH($X458,INDEX(LLM_Data_Entry!$A$3:$A$548&amp;"|"&amp;LLM_Data_Entry!$C$3:$C$548&amp;"|"&amp;LLM_Data_Entry!$D$3:$D$548,0),0))),"")</f>
        <v/>
      </c>
      <c r="AL458">
        <f>IF($A458="","",IFERROR(INDEX(Company_List!$G$3:$G$207,MATCH($A458,Company_List!$A$3:$A$207,0)),"unassigned"))</f>
        <v/>
      </c>
      <c r="AP458">
        <f>IF($A458="","",IF(COUNTIFS(LLM_Data_Entry!$A$3:$A$548,$A458)&gt;0,"YES","NO"))</f>
        <v/>
      </c>
      <c r="AQ458">
        <f>IF($A458="","",IF(COUNTIFS($A$3:$A458,$A458,$C$3:$C458,$C458,$D$3:$D458,$D458)=1,"YES","NO"))</f>
        <v/>
      </c>
      <c r="AR458">
        <f>IF($A458="","",IF(AND($C458&amp;"-"&amp;$D458&gt;=Settings!$B$19,$C458&amp;"-"&amp;$D458&lt;=Settings!$B$20),"IN","OUT"))</f>
        <v/>
      </c>
      <c r="AS458">
        <f>IF($A458="","",IF($F458="Financial Results","financials",IF($F458="Outlook/Guidance","guidance",IF($F458="Transcript Q&amp;A","qanda",IF($F458="","unrecorded",IF($E458="All","full",IF($E458="","unrecorded",LOWER($E458)&amp;" only")))))))</f>
        <v/>
      </c>
      <c r="AT458">
        <f>IF(AND(OR($J458="BUY",$J458="SELL"),ISNUMBER($U458)),$U458,"")</f>
        <v/>
      </c>
      <c r="AU458">
        <f>IF(AND(OR($J458="BUY",$J458="SELL"),ISNUMBER($AK458)),$AK458,"")</f>
        <v/>
      </c>
      <c r="AV458">
        <f>IF(ISNUMBER($AT458),ABS(IF(ISNUMBER($I458),$I458,0)-Settings!$B$24),"")</f>
        <v/>
      </c>
      <c r="AW458">
        <f>IF(ISNUMBER($AV458),$AV458*$AT458,"")</f>
        <v/>
      </c>
      <c r="AX458">
        <f>IF(ISNUMBER($AU458),ABS(IF(ISNUMBER($I458),$I458,0)-Settings!$B$24),"")</f>
        <v/>
      </c>
      <c r="AY458">
        <f>IF(ISNUMBER($AX458),$AX458*$AU458,"")</f>
        <v/>
      </c>
      <c r="AZ458">
        <f>IF($A458="","",IFERROR(INDEX(Company_List!$H$3:$H$207,MATCH($A458,Company_List!$A$3:$A$207,0)),"unassigned"))</f>
        <v/>
      </c>
      <c r="BC458">
        <f>IF($A458="","",IF(COUNTIFS($A$3:$A458,$A458,$C$3:$C458,$C458,$D$3:$D458,$D458,$G$3:$G458,$G458)=1,1,0))</f>
        <v/>
      </c>
      <c r="BK458">
        <f>IF(OR($H458&lt;&gt;"Human",$S458="",$J458="",$Y458="",$Z458=""),"",IF(EXACT(UPPER($J458),UPPER($Y458)),1,0))</f>
        <v/>
      </c>
    </row>
    <row r="459">
      <c r="B459" s="142">
        <f>IF(A459="","",_xlfn.XLOOKUP(A459, Company_List!$A:$A, Company_List!$B:$B, ""))</f>
        <v/>
      </c>
      <c r="J459" s="145">
        <f>IF(OR(I459="",Settings!$B$6=""),"",IF(I459&gt;Settings!$B$6,"BUY",IF(I459&lt;-Settings!$B$6,"SELL","HOLD")))</f>
        <v/>
      </c>
      <c r="Q459" s="151">
        <f>IF(OR(N459="",P459=""),"",ROUND((P459-N459)/N459,4))</f>
        <v/>
      </c>
      <c r="R459" s="118">
        <f>IF(OR(N459="",P459=""),"",IF(Q459&gt;Settings!$B$3/100,"UP",IF(Q459&lt;-Settings!$B$3/100,"DOWN","FLAT")))</f>
        <v/>
      </c>
      <c r="S459" s="118">
        <f>IF(OR(N459="",P459="",J459=""),"",IF(OR(AND(J459="BUY",R459="UP"),AND(J459="SELL",R459="DOWN"),AND(J459="HOLD",R459="FLAT")),"YES","NO"))</f>
        <v/>
      </c>
      <c r="T459" s="119">
        <f>IF(J459="","",IF(J459="BUY",1,IF(J459="SELL",-1,0)))</f>
        <v/>
      </c>
      <c r="U459" s="150">
        <f>IFERROR(IF(OR(J459="",N459="",P459=""),"",IF(T459=0,0,T459*Q459-Settings!$B$4/10000-IF(T459&lt;0,Settings!$B$5/10000,0))),"")</f>
        <v/>
      </c>
      <c r="W459" s="21">
        <f>IF($K459="","",$K459*60)</f>
        <v/>
      </c>
      <c r="X459" s="91">
        <f>IF($A459="","",$A459&amp;"|"&amp;$C459&amp;"|"&amp;$D459)</f>
        <v/>
      </c>
      <c r="Y459" s="91">
        <f>IFERROR(IF($X459="","",INDEX(LLM_Data_Entry!$H$3:$H$548,MATCH($X459,INDEX(LLM_Data_Entry!$A$3:$A$548&amp;"|"&amp;LLM_Data_Entry!$C$3:$C$548&amp;"|"&amp;LLM_Data_Entry!$D$3:$D$548,0),0))),"")</f>
        <v/>
      </c>
      <c r="Z459" s="91">
        <f>IFERROR(IF($X459="","",INDEX(LLM_Data_Entry!$R$3:$R$548,MATCH($X459,INDEX(LLM_Data_Entry!$A$3:$A$548&amp;"|"&amp;LLM_Data_Entry!$C$3:$C$548&amp;"|"&amp;LLM_Data_Entry!$D$3:$D$548,0),0))),"")</f>
        <v/>
      </c>
      <c r="AL459">
        <f>IF($A459="","",IFERROR(INDEX(Company_List!$G$3:$G$207,MATCH($A459,Company_List!$A$3:$A$207,0)),"unassigned"))</f>
        <v/>
      </c>
      <c r="AP459">
        <f>IF($A459="","",IF(COUNTIFS(LLM_Data_Entry!$A$3:$A$548,$A459)&gt;0,"YES","NO"))</f>
        <v/>
      </c>
      <c r="AQ459">
        <f>IF($A459="","",IF(COUNTIFS($A$3:$A459,$A459,$C$3:$C459,$C459,$D$3:$D459,$D459)=1,"YES","NO"))</f>
        <v/>
      </c>
      <c r="AR459">
        <f>IF($A459="","",IF(AND($C459&amp;"-"&amp;$D459&gt;=Settings!$B$19,$C459&amp;"-"&amp;$D459&lt;=Settings!$B$20),"IN","OUT"))</f>
        <v/>
      </c>
      <c r="AS459">
        <f>IF($A459="","",IF($F459="Financial Results","financials",IF($F459="Outlook/Guidance","guidance",IF($F459="Transcript Q&amp;A","qanda",IF($F459="","unrecorded",IF($E459="All","full",IF($E459="","unrecorded",LOWER($E459)&amp;" only")))))))</f>
        <v/>
      </c>
      <c r="AT459">
        <f>IF(AND(OR($J459="BUY",$J459="SELL"),ISNUMBER($U459)),$U459,"")</f>
        <v/>
      </c>
      <c r="AU459">
        <f>IF(AND(OR($J459="BUY",$J459="SELL"),ISNUMBER($AK459)),$AK459,"")</f>
        <v/>
      </c>
      <c r="AV459">
        <f>IF(ISNUMBER($AT459),ABS(IF(ISNUMBER($I459),$I459,0)-Settings!$B$24),"")</f>
        <v/>
      </c>
      <c r="AW459">
        <f>IF(ISNUMBER($AV459),$AV459*$AT459,"")</f>
        <v/>
      </c>
      <c r="AX459">
        <f>IF(ISNUMBER($AU459),ABS(IF(ISNUMBER($I459),$I459,0)-Settings!$B$24),"")</f>
        <v/>
      </c>
      <c r="AY459">
        <f>IF(ISNUMBER($AX459),$AX459*$AU459,"")</f>
        <v/>
      </c>
      <c r="AZ459">
        <f>IF($A459="","",IFERROR(INDEX(Company_List!$H$3:$H$207,MATCH($A459,Company_List!$A$3:$A$207,0)),"unassigned"))</f>
        <v/>
      </c>
      <c r="BC459">
        <f>IF($A459="","",IF(COUNTIFS($A$3:$A459,$A459,$C$3:$C459,$C459,$D$3:$D459,$D459,$G$3:$G459,$G459)=1,1,0))</f>
        <v/>
      </c>
      <c r="BK459">
        <f>IF(OR($H459&lt;&gt;"Human",$S459="",$J459="",$Y459="",$Z459=""),"",IF(EXACT(UPPER($J459),UPPER($Y459)),1,0))</f>
        <v/>
      </c>
    </row>
    <row r="460">
      <c r="B460" s="142">
        <f>IF(A460="","",_xlfn.XLOOKUP(A460, Company_List!$A:$A, Company_List!$B:$B, ""))</f>
        <v/>
      </c>
      <c r="J460" s="145">
        <f>IF(OR(I460="",Settings!$B$6=""),"",IF(I460&gt;Settings!$B$6,"BUY",IF(I460&lt;-Settings!$B$6,"SELL","HOLD")))</f>
        <v/>
      </c>
      <c r="Q460" s="151">
        <f>IF(OR(N460="",P460=""),"",ROUND((P460-N460)/N460,4))</f>
        <v/>
      </c>
      <c r="R460" s="118">
        <f>IF(OR(N460="",P460=""),"",IF(Q460&gt;Settings!$B$3/100,"UP",IF(Q460&lt;-Settings!$B$3/100,"DOWN","FLAT")))</f>
        <v/>
      </c>
      <c r="S460" s="118">
        <f>IF(OR(N460="",P460="",J460=""),"",IF(OR(AND(J460="BUY",R460="UP"),AND(J460="SELL",R460="DOWN"),AND(J460="HOLD",R460="FLAT")),"YES","NO"))</f>
        <v/>
      </c>
      <c r="T460" s="119">
        <f>IF(J460="","",IF(J460="BUY",1,IF(J460="SELL",-1,0)))</f>
        <v/>
      </c>
      <c r="U460" s="150">
        <f>IFERROR(IF(OR(J460="",N460="",P460=""),"",IF(T460=0,0,T460*Q460-Settings!$B$4/10000-IF(T460&lt;0,Settings!$B$5/10000,0))),"")</f>
        <v/>
      </c>
      <c r="W460" s="21">
        <f>IF($K460="","",$K460*60)</f>
        <v/>
      </c>
      <c r="X460" s="91">
        <f>IF($A460="","",$A460&amp;"|"&amp;$C460&amp;"|"&amp;$D460)</f>
        <v/>
      </c>
      <c r="Y460" s="91">
        <f>IFERROR(IF($X460="","",INDEX(LLM_Data_Entry!$H$3:$H$548,MATCH($X460,INDEX(LLM_Data_Entry!$A$3:$A$548&amp;"|"&amp;LLM_Data_Entry!$C$3:$C$548&amp;"|"&amp;LLM_Data_Entry!$D$3:$D$548,0),0))),"")</f>
        <v/>
      </c>
      <c r="Z460" s="91">
        <f>IFERROR(IF($X460="","",INDEX(LLM_Data_Entry!$R$3:$R$548,MATCH($X460,INDEX(LLM_Data_Entry!$A$3:$A$548&amp;"|"&amp;LLM_Data_Entry!$C$3:$C$548&amp;"|"&amp;LLM_Data_Entry!$D$3:$D$548,0),0))),"")</f>
        <v/>
      </c>
      <c r="AL460">
        <f>IF($A460="","",IFERROR(INDEX(Company_List!$G$3:$G$207,MATCH($A460,Company_List!$A$3:$A$207,0)),"unassigned"))</f>
        <v/>
      </c>
      <c r="AP460">
        <f>IF($A460="","",IF(COUNTIFS(LLM_Data_Entry!$A$3:$A$548,$A460)&gt;0,"YES","NO"))</f>
        <v/>
      </c>
      <c r="AQ460">
        <f>IF($A460="","",IF(COUNTIFS($A$3:$A460,$A460,$C$3:$C460,$C460,$D$3:$D460,$D460)=1,"YES","NO"))</f>
        <v/>
      </c>
      <c r="AR460">
        <f>IF($A460="","",IF(AND($C460&amp;"-"&amp;$D460&gt;=Settings!$B$19,$C460&amp;"-"&amp;$D460&lt;=Settings!$B$20),"IN","OUT"))</f>
        <v/>
      </c>
      <c r="AS460">
        <f>IF($A460="","",IF($F460="Financial Results","financials",IF($F460="Outlook/Guidance","guidance",IF($F460="Transcript Q&amp;A","qanda",IF($F460="","unrecorded",IF($E460="All","full",IF($E460="","unrecorded",LOWER($E460)&amp;" only")))))))</f>
        <v/>
      </c>
      <c r="AT460">
        <f>IF(AND(OR($J460="BUY",$J460="SELL"),ISNUMBER($U460)),$U460,"")</f>
        <v/>
      </c>
      <c r="AU460">
        <f>IF(AND(OR($J460="BUY",$J460="SELL"),ISNUMBER($AK460)),$AK460,"")</f>
        <v/>
      </c>
      <c r="AV460">
        <f>IF(ISNUMBER($AT460),ABS(IF(ISNUMBER($I460),$I460,0)-Settings!$B$24),"")</f>
        <v/>
      </c>
      <c r="AW460">
        <f>IF(ISNUMBER($AV460),$AV460*$AT460,"")</f>
        <v/>
      </c>
      <c r="AX460">
        <f>IF(ISNUMBER($AU460),ABS(IF(ISNUMBER($I460),$I460,0)-Settings!$B$24),"")</f>
        <v/>
      </c>
      <c r="AY460">
        <f>IF(ISNUMBER($AX460),$AX460*$AU460,"")</f>
        <v/>
      </c>
      <c r="AZ460">
        <f>IF($A460="","",IFERROR(INDEX(Company_List!$H$3:$H$207,MATCH($A460,Company_List!$A$3:$A$207,0)),"unassigned"))</f>
        <v/>
      </c>
      <c r="BC460">
        <f>IF($A460="","",IF(COUNTIFS($A$3:$A460,$A460,$C$3:$C460,$C460,$D$3:$D460,$D460,$G$3:$G460,$G460)=1,1,0))</f>
        <v/>
      </c>
      <c r="BK460">
        <f>IF(OR($H460&lt;&gt;"Human",$S460="",$J460="",$Y460="",$Z460=""),"",IF(EXACT(UPPER($J460),UPPER($Y460)),1,0))</f>
        <v/>
      </c>
    </row>
    <row r="461">
      <c r="B461" s="142">
        <f>IF(A461="","",_xlfn.XLOOKUP(A461, Company_List!$A:$A, Company_List!$B:$B, ""))</f>
        <v/>
      </c>
      <c r="J461" s="145">
        <f>IF(OR(I461="",Settings!$B$6=""),"",IF(I461&gt;Settings!$B$6,"BUY",IF(I461&lt;-Settings!$B$6,"SELL","HOLD")))</f>
        <v/>
      </c>
      <c r="Q461" s="151">
        <f>IF(OR(N461="",P461=""),"",ROUND((P461-N461)/N461,4))</f>
        <v/>
      </c>
      <c r="R461" s="118">
        <f>IF(OR(N461="",P461=""),"",IF(Q461&gt;Settings!$B$3/100,"UP",IF(Q461&lt;-Settings!$B$3/100,"DOWN","FLAT")))</f>
        <v/>
      </c>
      <c r="S461" s="118">
        <f>IF(OR(N461="",P461="",J461=""),"",IF(OR(AND(J461="BUY",R461="UP"),AND(J461="SELL",R461="DOWN"),AND(J461="HOLD",R461="FLAT")),"YES","NO"))</f>
        <v/>
      </c>
      <c r="T461" s="119">
        <f>IF(J461="","",IF(J461="BUY",1,IF(J461="SELL",-1,0)))</f>
        <v/>
      </c>
      <c r="U461" s="150">
        <f>IFERROR(IF(OR(J461="",N461="",P461=""),"",IF(T461=0,0,T461*Q461-Settings!$B$4/10000-IF(T461&lt;0,Settings!$B$5/10000,0))),"")</f>
        <v/>
      </c>
      <c r="W461" s="21">
        <f>IF($K461="","",$K461*60)</f>
        <v/>
      </c>
      <c r="X461" s="91">
        <f>IF($A461="","",$A461&amp;"|"&amp;$C461&amp;"|"&amp;$D461)</f>
        <v/>
      </c>
      <c r="Y461" s="91">
        <f>IFERROR(IF($X461="","",INDEX(LLM_Data_Entry!$H$3:$H$548,MATCH($X461,INDEX(LLM_Data_Entry!$A$3:$A$548&amp;"|"&amp;LLM_Data_Entry!$C$3:$C$548&amp;"|"&amp;LLM_Data_Entry!$D$3:$D$548,0),0))),"")</f>
        <v/>
      </c>
      <c r="Z461" s="91">
        <f>IFERROR(IF($X461="","",INDEX(LLM_Data_Entry!$R$3:$R$548,MATCH($X461,INDEX(LLM_Data_Entry!$A$3:$A$548&amp;"|"&amp;LLM_Data_Entry!$C$3:$C$548&amp;"|"&amp;LLM_Data_Entry!$D$3:$D$548,0),0))),"")</f>
        <v/>
      </c>
      <c r="AL461">
        <f>IF($A461="","",IFERROR(INDEX(Company_List!$G$3:$G$207,MATCH($A461,Company_List!$A$3:$A$207,0)),"unassigned"))</f>
        <v/>
      </c>
      <c r="AP461">
        <f>IF($A461="","",IF(COUNTIFS(LLM_Data_Entry!$A$3:$A$548,$A461)&gt;0,"YES","NO"))</f>
        <v/>
      </c>
      <c r="AQ461">
        <f>IF($A461="","",IF(COUNTIFS($A$3:$A461,$A461,$C$3:$C461,$C461,$D$3:$D461,$D461)=1,"YES","NO"))</f>
        <v/>
      </c>
      <c r="AR461">
        <f>IF($A461="","",IF(AND($C461&amp;"-"&amp;$D461&gt;=Settings!$B$19,$C461&amp;"-"&amp;$D461&lt;=Settings!$B$20),"IN","OUT"))</f>
        <v/>
      </c>
      <c r="AS461">
        <f>IF($A461="","",IF($F461="Financial Results","financials",IF($F461="Outlook/Guidance","guidance",IF($F461="Transcript Q&amp;A","qanda",IF($F461="","unrecorded",IF($E461="All","full",IF($E461="","unrecorded",LOWER($E461)&amp;" only")))))))</f>
        <v/>
      </c>
      <c r="AT461">
        <f>IF(AND(OR($J461="BUY",$J461="SELL"),ISNUMBER($U461)),$U461,"")</f>
        <v/>
      </c>
      <c r="AU461">
        <f>IF(AND(OR($J461="BUY",$J461="SELL"),ISNUMBER($AK461)),$AK461,"")</f>
        <v/>
      </c>
      <c r="AV461">
        <f>IF(ISNUMBER($AT461),ABS(IF(ISNUMBER($I461),$I461,0)-Settings!$B$24),"")</f>
        <v/>
      </c>
      <c r="AW461">
        <f>IF(ISNUMBER($AV461),$AV461*$AT461,"")</f>
        <v/>
      </c>
      <c r="AX461">
        <f>IF(ISNUMBER($AU461),ABS(IF(ISNUMBER($I461),$I461,0)-Settings!$B$24),"")</f>
        <v/>
      </c>
      <c r="AY461">
        <f>IF(ISNUMBER($AX461),$AX461*$AU461,"")</f>
        <v/>
      </c>
      <c r="AZ461">
        <f>IF($A461="","",IFERROR(INDEX(Company_List!$H$3:$H$207,MATCH($A461,Company_List!$A$3:$A$207,0)),"unassigned"))</f>
        <v/>
      </c>
      <c r="BC461">
        <f>IF($A461="","",IF(COUNTIFS($A$3:$A461,$A461,$C$3:$C461,$C461,$D$3:$D461,$D461,$G$3:$G461,$G461)=1,1,0))</f>
        <v/>
      </c>
      <c r="BK461">
        <f>IF(OR($H461&lt;&gt;"Human",$S461="",$J461="",$Y461="",$Z461=""),"",IF(EXACT(UPPER($J461),UPPER($Y461)),1,0))</f>
        <v/>
      </c>
    </row>
    <row r="462">
      <c r="B462" s="142">
        <f>IF(A462="","",_xlfn.XLOOKUP(A462, Company_List!$A:$A, Company_List!$B:$B, ""))</f>
        <v/>
      </c>
      <c r="J462" s="145">
        <f>IF(OR(I462="",Settings!$B$6=""),"",IF(I462&gt;Settings!$B$6,"BUY",IF(I462&lt;-Settings!$B$6,"SELL","HOLD")))</f>
        <v/>
      </c>
      <c r="Q462" s="151">
        <f>IF(OR(N462="",P462=""),"",ROUND((P462-N462)/N462,4))</f>
        <v/>
      </c>
      <c r="R462" s="118">
        <f>IF(OR(N462="",P462=""),"",IF(Q462&gt;Settings!$B$3/100,"UP",IF(Q462&lt;-Settings!$B$3/100,"DOWN","FLAT")))</f>
        <v/>
      </c>
      <c r="S462" s="118">
        <f>IF(OR(N462="",P462="",J462=""),"",IF(OR(AND(J462="BUY",R462="UP"),AND(J462="SELL",R462="DOWN"),AND(J462="HOLD",R462="FLAT")),"YES","NO"))</f>
        <v/>
      </c>
      <c r="T462" s="119">
        <f>IF(J462="","",IF(J462="BUY",1,IF(J462="SELL",-1,0)))</f>
        <v/>
      </c>
      <c r="U462" s="150">
        <f>IFERROR(IF(OR(J462="",N462="",P462=""),"",IF(T462=0,0,T462*Q462-Settings!$B$4/10000-IF(T462&lt;0,Settings!$B$5/10000,0))),"")</f>
        <v/>
      </c>
      <c r="W462" s="21">
        <f>IF($K462="","",$K462*60)</f>
        <v/>
      </c>
      <c r="X462" s="91">
        <f>IF($A462="","",$A462&amp;"|"&amp;$C462&amp;"|"&amp;$D462)</f>
        <v/>
      </c>
      <c r="Y462" s="91">
        <f>IFERROR(IF($X462="","",INDEX(LLM_Data_Entry!$H$3:$H$548,MATCH($X462,INDEX(LLM_Data_Entry!$A$3:$A$548&amp;"|"&amp;LLM_Data_Entry!$C$3:$C$548&amp;"|"&amp;LLM_Data_Entry!$D$3:$D$548,0),0))),"")</f>
        <v/>
      </c>
      <c r="Z462" s="91">
        <f>IFERROR(IF($X462="","",INDEX(LLM_Data_Entry!$R$3:$R$548,MATCH($X462,INDEX(LLM_Data_Entry!$A$3:$A$548&amp;"|"&amp;LLM_Data_Entry!$C$3:$C$548&amp;"|"&amp;LLM_Data_Entry!$D$3:$D$548,0),0))),"")</f>
        <v/>
      </c>
      <c r="AL462">
        <f>IF($A462="","",IFERROR(INDEX(Company_List!$G$3:$G$207,MATCH($A462,Company_List!$A$3:$A$207,0)),"unassigned"))</f>
        <v/>
      </c>
      <c r="AP462">
        <f>IF($A462="","",IF(COUNTIFS(LLM_Data_Entry!$A$3:$A$548,$A462)&gt;0,"YES","NO"))</f>
        <v/>
      </c>
      <c r="AQ462">
        <f>IF($A462="","",IF(COUNTIFS($A$3:$A462,$A462,$C$3:$C462,$C462,$D$3:$D462,$D462)=1,"YES","NO"))</f>
        <v/>
      </c>
      <c r="AR462">
        <f>IF($A462="","",IF(AND($C462&amp;"-"&amp;$D462&gt;=Settings!$B$19,$C462&amp;"-"&amp;$D462&lt;=Settings!$B$20),"IN","OUT"))</f>
        <v/>
      </c>
      <c r="AS462">
        <f>IF($A462="","",IF($F462="Financial Results","financials",IF($F462="Outlook/Guidance","guidance",IF($F462="Transcript Q&amp;A","qanda",IF($F462="","unrecorded",IF($E462="All","full",IF($E462="","unrecorded",LOWER($E462)&amp;" only")))))))</f>
        <v/>
      </c>
      <c r="AT462">
        <f>IF(AND(OR($J462="BUY",$J462="SELL"),ISNUMBER($U462)),$U462,"")</f>
        <v/>
      </c>
      <c r="AU462">
        <f>IF(AND(OR($J462="BUY",$J462="SELL"),ISNUMBER($AK462)),$AK462,"")</f>
        <v/>
      </c>
      <c r="AV462">
        <f>IF(ISNUMBER($AT462),ABS(IF(ISNUMBER($I462),$I462,0)-Settings!$B$24),"")</f>
        <v/>
      </c>
      <c r="AW462">
        <f>IF(ISNUMBER($AV462),$AV462*$AT462,"")</f>
        <v/>
      </c>
      <c r="AX462">
        <f>IF(ISNUMBER($AU462),ABS(IF(ISNUMBER($I462),$I462,0)-Settings!$B$24),"")</f>
        <v/>
      </c>
      <c r="AY462">
        <f>IF(ISNUMBER($AX462),$AX462*$AU462,"")</f>
        <v/>
      </c>
      <c r="AZ462">
        <f>IF($A462="","",IFERROR(INDEX(Company_List!$H$3:$H$207,MATCH($A462,Company_List!$A$3:$A$207,0)),"unassigned"))</f>
        <v/>
      </c>
      <c r="BC462">
        <f>IF($A462="","",IF(COUNTIFS($A$3:$A462,$A462,$C$3:$C462,$C462,$D$3:$D462,$D462,$G$3:$G462,$G462)=1,1,0))</f>
        <v/>
      </c>
      <c r="BK462">
        <f>IF(OR($H462&lt;&gt;"Human",$S462="",$J462="",$Y462="",$Z462=""),"",IF(EXACT(UPPER($J462),UPPER($Y462)),1,0))</f>
        <v/>
      </c>
    </row>
    <row r="463">
      <c r="B463" s="142">
        <f>IF(A463="","",_xlfn.XLOOKUP(A463, Company_List!$A:$A, Company_List!$B:$B, ""))</f>
        <v/>
      </c>
      <c r="J463" s="145">
        <f>IF(OR(I463="",Settings!$B$6=""),"",IF(I463&gt;Settings!$B$6,"BUY",IF(I463&lt;-Settings!$B$6,"SELL","HOLD")))</f>
        <v/>
      </c>
      <c r="Q463" s="151">
        <f>IF(OR(N463="",P463=""),"",ROUND((P463-N463)/N463,4))</f>
        <v/>
      </c>
      <c r="R463" s="118">
        <f>IF(OR(N463="",P463=""),"",IF(Q463&gt;Settings!$B$3/100,"UP",IF(Q463&lt;-Settings!$B$3/100,"DOWN","FLAT")))</f>
        <v/>
      </c>
      <c r="S463" s="118">
        <f>IF(OR(N463="",P463="",J463=""),"",IF(OR(AND(J463="BUY",R463="UP"),AND(J463="SELL",R463="DOWN"),AND(J463="HOLD",R463="FLAT")),"YES","NO"))</f>
        <v/>
      </c>
      <c r="T463" s="119">
        <f>IF(J463="","",IF(J463="BUY",1,IF(J463="SELL",-1,0)))</f>
        <v/>
      </c>
      <c r="U463" s="150">
        <f>IFERROR(IF(OR(J463="",N463="",P463=""),"",IF(T463=0,0,T463*Q463-Settings!$B$4/10000-IF(T463&lt;0,Settings!$B$5/10000,0))),"")</f>
        <v/>
      </c>
      <c r="W463" s="21">
        <f>IF($K463="","",$K463*60)</f>
        <v/>
      </c>
      <c r="X463" s="91">
        <f>IF($A463="","",$A463&amp;"|"&amp;$C463&amp;"|"&amp;$D463)</f>
        <v/>
      </c>
      <c r="Y463" s="91">
        <f>IFERROR(IF($X463="","",INDEX(LLM_Data_Entry!$H$3:$H$548,MATCH($X463,INDEX(LLM_Data_Entry!$A$3:$A$548&amp;"|"&amp;LLM_Data_Entry!$C$3:$C$548&amp;"|"&amp;LLM_Data_Entry!$D$3:$D$548,0),0))),"")</f>
        <v/>
      </c>
      <c r="Z463" s="91">
        <f>IFERROR(IF($X463="","",INDEX(LLM_Data_Entry!$R$3:$R$548,MATCH($X463,INDEX(LLM_Data_Entry!$A$3:$A$548&amp;"|"&amp;LLM_Data_Entry!$C$3:$C$548&amp;"|"&amp;LLM_Data_Entry!$D$3:$D$548,0),0))),"")</f>
        <v/>
      </c>
      <c r="AL463">
        <f>IF($A463="","",IFERROR(INDEX(Company_List!$G$3:$G$207,MATCH($A463,Company_List!$A$3:$A$207,0)),"unassigned"))</f>
        <v/>
      </c>
      <c r="AP463">
        <f>IF($A463="","",IF(COUNTIFS(LLM_Data_Entry!$A$3:$A$548,$A463)&gt;0,"YES","NO"))</f>
        <v/>
      </c>
      <c r="AQ463">
        <f>IF($A463="","",IF(COUNTIFS($A$3:$A463,$A463,$C$3:$C463,$C463,$D$3:$D463,$D463)=1,"YES","NO"))</f>
        <v/>
      </c>
      <c r="AR463">
        <f>IF($A463="","",IF(AND($C463&amp;"-"&amp;$D463&gt;=Settings!$B$19,$C463&amp;"-"&amp;$D463&lt;=Settings!$B$20),"IN","OUT"))</f>
        <v/>
      </c>
      <c r="AS463">
        <f>IF($A463="","",IF($F463="Financial Results","financials",IF($F463="Outlook/Guidance","guidance",IF($F463="Transcript Q&amp;A","qanda",IF($F463="","unrecorded",IF($E463="All","full",IF($E463="","unrecorded",LOWER($E463)&amp;" only")))))))</f>
        <v/>
      </c>
      <c r="AT463">
        <f>IF(AND(OR($J463="BUY",$J463="SELL"),ISNUMBER($U463)),$U463,"")</f>
        <v/>
      </c>
      <c r="AU463">
        <f>IF(AND(OR($J463="BUY",$J463="SELL"),ISNUMBER($AK463)),$AK463,"")</f>
        <v/>
      </c>
      <c r="AV463">
        <f>IF(ISNUMBER($AT463),ABS(IF(ISNUMBER($I463),$I463,0)-Settings!$B$24),"")</f>
        <v/>
      </c>
      <c r="AW463">
        <f>IF(ISNUMBER($AV463),$AV463*$AT463,"")</f>
        <v/>
      </c>
      <c r="AX463">
        <f>IF(ISNUMBER($AU463),ABS(IF(ISNUMBER($I463),$I463,0)-Settings!$B$24),"")</f>
        <v/>
      </c>
      <c r="AY463">
        <f>IF(ISNUMBER($AX463),$AX463*$AU463,"")</f>
        <v/>
      </c>
      <c r="AZ463">
        <f>IF($A463="","",IFERROR(INDEX(Company_List!$H$3:$H$207,MATCH($A463,Company_List!$A$3:$A$207,0)),"unassigned"))</f>
        <v/>
      </c>
      <c r="BC463">
        <f>IF($A463="","",IF(COUNTIFS($A$3:$A463,$A463,$C$3:$C463,$C463,$D$3:$D463,$D463,$G$3:$G463,$G463)=1,1,0))</f>
        <v/>
      </c>
      <c r="BK463">
        <f>IF(OR($H463&lt;&gt;"Human",$S463="",$J463="",$Y463="",$Z463=""),"",IF(EXACT(UPPER($J463),UPPER($Y463)),1,0))</f>
        <v/>
      </c>
    </row>
    <row r="464">
      <c r="B464" s="142">
        <f>IF(A464="","",_xlfn.XLOOKUP(A464, Company_List!$A:$A, Company_List!$B:$B, ""))</f>
        <v/>
      </c>
      <c r="J464" s="145">
        <f>IF(OR(I464="",Settings!$B$6=""),"",IF(I464&gt;Settings!$B$6,"BUY",IF(I464&lt;-Settings!$B$6,"SELL","HOLD")))</f>
        <v/>
      </c>
      <c r="Q464" s="151">
        <f>IF(OR(N464="",P464=""),"",ROUND((P464-N464)/N464,4))</f>
        <v/>
      </c>
      <c r="R464" s="118">
        <f>IF(OR(N464="",P464=""),"",IF(Q464&gt;Settings!$B$3/100,"UP",IF(Q464&lt;-Settings!$B$3/100,"DOWN","FLAT")))</f>
        <v/>
      </c>
      <c r="S464" s="118">
        <f>IF(OR(N464="",P464="",J464=""),"",IF(OR(AND(J464="BUY",R464="UP"),AND(J464="SELL",R464="DOWN"),AND(J464="HOLD",R464="FLAT")),"YES","NO"))</f>
        <v/>
      </c>
      <c r="T464" s="119">
        <f>IF(J464="","",IF(J464="BUY",1,IF(J464="SELL",-1,0)))</f>
        <v/>
      </c>
      <c r="U464" s="150">
        <f>IFERROR(IF(OR(J464="",N464="",P464=""),"",IF(T464=0,0,T464*Q464-Settings!$B$4/10000-IF(T464&lt;0,Settings!$B$5/10000,0))),"")</f>
        <v/>
      </c>
      <c r="W464" s="21">
        <f>IF($K464="","",$K464*60)</f>
        <v/>
      </c>
      <c r="X464" s="91">
        <f>IF($A464="","",$A464&amp;"|"&amp;$C464&amp;"|"&amp;$D464)</f>
        <v/>
      </c>
      <c r="Y464" s="91">
        <f>IFERROR(IF($X464="","",INDEX(LLM_Data_Entry!$H$3:$H$548,MATCH($X464,INDEX(LLM_Data_Entry!$A$3:$A$548&amp;"|"&amp;LLM_Data_Entry!$C$3:$C$548&amp;"|"&amp;LLM_Data_Entry!$D$3:$D$548,0),0))),"")</f>
        <v/>
      </c>
      <c r="Z464" s="91">
        <f>IFERROR(IF($X464="","",INDEX(LLM_Data_Entry!$R$3:$R$548,MATCH($X464,INDEX(LLM_Data_Entry!$A$3:$A$548&amp;"|"&amp;LLM_Data_Entry!$C$3:$C$548&amp;"|"&amp;LLM_Data_Entry!$D$3:$D$548,0),0))),"")</f>
        <v/>
      </c>
      <c r="AL464">
        <f>IF($A464="","",IFERROR(INDEX(Company_List!$G$3:$G$207,MATCH($A464,Company_List!$A$3:$A$207,0)),"unassigned"))</f>
        <v/>
      </c>
      <c r="AP464">
        <f>IF($A464="","",IF(COUNTIFS(LLM_Data_Entry!$A$3:$A$548,$A464)&gt;0,"YES","NO"))</f>
        <v/>
      </c>
      <c r="AQ464">
        <f>IF($A464="","",IF(COUNTIFS($A$3:$A464,$A464,$C$3:$C464,$C464,$D$3:$D464,$D464)=1,"YES","NO"))</f>
        <v/>
      </c>
      <c r="AR464">
        <f>IF($A464="","",IF(AND($C464&amp;"-"&amp;$D464&gt;=Settings!$B$19,$C464&amp;"-"&amp;$D464&lt;=Settings!$B$20),"IN","OUT"))</f>
        <v/>
      </c>
      <c r="AS464">
        <f>IF($A464="","",IF($F464="Financial Results","financials",IF($F464="Outlook/Guidance","guidance",IF($F464="Transcript Q&amp;A","qanda",IF($F464="","unrecorded",IF($E464="All","full",IF($E464="","unrecorded",LOWER($E464)&amp;" only")))))))</f>
        <v/>
      </c>
      <c r="AT464">
        <f>IF(AND(OR($J464="BUY",$J464="SELL"),ISNUMBER($U464)),$U464,"")</f>
        <v/>
      </c>
      <c r="AU464">
        <f>IF(AND(OR($J464="BUY",$J464="SELL"),ISNUMBER($AK464)),$AK464,"")</f>
        <v/>
      </c>
      <c r="AV464">
        <f>IF(ISNUMBER($AT464),ABS(IF(ISNUMBER($I464),$I464,0)-Settings!$B$24),"")</f>
        <v/>
      </c>
      <c r="AW464">
        <f>IF(ISNUMBER($AV464),$AV464*$AT464,"")</f>
        <v/>
      </c>
      <c r="AX464">
        <f>IF(ISNUMBER($AU464),ABS(IF(ISNUMBER($I464),$I464,0)-Settings!$B$24),"")</f>
        <v/>
      </c>
      <c r="AY464">
        <f>IF(ISNUMBER($AX464),$AX464*$AU464,"")</f>
        <v/>
      </c>
      <c r="AZ464">
        <f>IF($A464="","",IFERROR(INDEX(Company_List!$H$3:$H$207,MATCH($A464,Company_List!$A$3:$A$207,0)),"unassigned"))</f>
        <v/>
      </c>
      <c r="BC464">
        <f>IF($A464="","",IF(COUNTIFS($A$3:$A464,$A464,$C$3:$C464,$C464,$D$3:$D464,$D464,$G$3:$G464,$G464)=1,1,0))</f>
        <v/>
      </c>
      <c r="BK464">
        <f>IF(OR($H464&lt;&gt;"Human",$S464="",$J464="",$Y464="",$Z464=""),"",IF(EXACT(UPPER($J464),UPPER($Y464)),1,0))</f>
        <v/>
      </c>
    </row>
    <row r="465">
      <c r="B465" s="142">
        <f>IF(A465="","",_xlfn.XLOOKUP(A465, Company_List!$A:$A, Company_List!$B:$B, ""))</f>
        <v/>
      </c>
      <c r="J465" s="145">
        <f>IF(OR(I465="",Settings!$B$6=""),"",IF(I465&gt;Settings!$B$6,"BUY",IF(I465&lt;-Settings!$B$6,"SELL","HOLD")))</f>
        <v/>
      </c>
      <c r="Q465" s="151">
        <f>IF(OR(N465="",P465=""),"",ROUND((P465-N465)/N465,4))</f>
        <v/>
      </c>
      <c r="R465" s="118">
        <f>IF(OR(N465="",P465=""),"",IF(Q465&gt;Settings!$B$3/100,"UP",IF(Q465&lt;-Settings!$B$3/100,"DOWN","FLAT")))</f>
        <v/>
      </c>
      <c r="S465" s="118">
        <f>IF(OR(N465="",P465="",J465=""),"",IF(OR(AND(J465="BUY",R465="UP"),AND(J465="SELL",R465="DOWN"),AND(J465="HOLD",R465="FLAT")),"YES","NO"))</f>
        <v/>
      </c>
      <c r="T465" s="119">
        <f>IF(J465="","",IF(J465="BUY",1,IF(J465="SELL",-1,0)))</f>
        <v/>
      </c>
      <c r="U465" s="150">
        <f>IFERROR(IF(OR(J465="",N465="",P465=""),"",IF(T465=0,0,T465*Q465-Settings!$B$4/10000-IF(T465&lt;0,Settings!$B$5/10000,0))),"")</f>
        <v/>
      </c>
      <c r="W465" s="21">
        <f>IF($K465="","",$K465*60)</f>
        <v/>
      </c>
      <c r="X465" s="91">
        <f>IF($A465="","",$A465&amp;"|"&amp;$C465&amp;"|"&amp;$D465)</f>
        <v/>
      </c>
      <c r="Y465" s="91">
        <f>IFERROR(IF($X465="","",INDEX(LLM_Data_Entry!$H$3:$H$548,MATCH($X465,INDEX(LLM_Data_Entry!$A$3:$A$548&amp;"|"&amp;LLM_Data_Entry!$C$3:$C$548&amp;"|"&amp;LLM_Data_Entry!$D$3:$D$548,0),0))),"")</f>
        <v/>
      </c>
      <c r="Z465" s="91">
        <f>IFERROR(IF($X465="","",INDEX(LLM_Data_Entry!$R$3:$R$548,MATCH($X465,INDEX(LLM_Data_Entry!$A$3:$A$548&amp;"|"&amp;LLM_Data_Entry!$C$3:$C$548&amp;"|"&amp;LLM_Data_Entry!$D$3:$D$548,0),0))),"")</f>
        <v/>
      </c>
      <c r="AL465">
        <f>IF($A465="","",IFERROR(INDEX(Company_List!$G$3:$G$207,MATCH($A465,Company_List!$A$3:$A$207,0)),"unassigned"))</f>
        <v/>
      </c>
      <c r="AP465">
        <f>IF($A465="","",IF(COUNTIFS(LLM_Data_Entry!$A$3:$A$548,$A465)&gt;0,"YES","NO"))</f>
        <v/>
      </c>
      <c r="AQ465">
        <f>IF($A465="","",IF(COUNTIFS($A$3:$A465,$A465,$C$3:$C465,$C465,$D$3:$D465,$D465)=1,"YES","NO"))</f>
        <v/>
      </c>
      <c r="AR465">
        <f>IF($A465="","",IF(AND($C465&amp;"-"&amp;$D465&gt;=Settings!$B$19,$C465&amp;"-"&amp;$D465&lt;=Settings!$B$20),"IN","OUT"))</f>
        <v/>
      </c>
      <c r="AS465">
        <f>IF($A465="","",IF($F465="Financial Results","financials",IF($F465="Outlook/Guidance","guidance",IF($F465="Transcript Q&amp;A","qanda",IF($F465="","unrecorded",IF($E465="All","full",IF($E465="","unrecorded",LOWER($E465)&amp;" only")))))))</f>
        <v/>
      </c>
      <c r="AT465">
        <f>IF(AND(OR($J465="BUY",$J465="SELL"),ISNUMBER($U465)),$U465,"")</f>
        <v/>
      </c>
      <c r="AU465">
        <f>IF(AND(OR($J465="BUY",$J465="SELL"),ISNUMBER($AK465)),$AK465,"")</f>
        <v/>
      </c>
      <c r="AV465">
        <f>IF(ISNUMBER($AT465),ABS(IF(ISNUMBER($I465),$I465,0)-Settings!$B$24),"")</f>
        <v/>
      </c>
      <c r="AW465">
        <f>IF(ISNUMBER($AV465),$AV465*$AT465,"")</f>
        <v/>
      </c>
      <c r="AX465">
        <f>IF(ISNUMBER($AU465),ABS(IF(ISNUMBER($I465),$I465,0)-Settings!$B$24),"")</f>
        <v/>
      </c>
      <c r="AY465">
        <f>IF(ISNUMBER($AX465),$AX465*$AU465,"")</f>
        <v/>
      </c>
      <c r="AZ465">
        <f>IF($A465="","",IFERROR(INDEX(Company_List!$H$3:$H$207,MATCH($A465,Company_List!$A$3:$A$207,0)),"unassigned"))</f>
        <v/>
      </c>
      <c r="BC465">
        <f>IF($A465="","",IF(COUNTIFS($A$3:$A465,$A465,$C$3:$C465,$C465,$D$3:$D465,$D465,$G$3:$G465,$G465)=1,1,0))</f>
        <v/>
      </c>
      <c r="BK465">
        <f>IF(OR($H465&lt;&gt;"Human",$S465="",$J465="",$Y465="",$Z465=""),"",IF(EXACT(UPPER($J465),UPPER($Y465)),1,0))</f>
        <v/>
      </c>
    </row>
    <row r="466">
      <c r="B466" s="142">
        <f>IF(A466="","",_xlfn.XLOOKUP(A466, Company_List!$A:$A, Company_List!$B:$B, ""))</f>
        <v/>
      </c>
      <c r="J466" s="145">
        <f>IF(OR(I466="",Settings!$B$6=""),"",IF(I466&gt;Settings!$B$6,"BUY",IF(I466&lt;-Settings!$B$6,"SELL","HOLD")))</f>
        <v/>
      </c>
      <c r="Q466" s="151">
        <f>IF(OR(N466="",P466=""),"",ROUND((P466-N466)/N466,4))</f>
        <v/>
      </c>
      <c r="R466" s="118">
        <f>IF(OR(N466="",P466=""),"",IF(Q466&gt;Settings!$B$3/100,"UP",IF(Q466&lt;-Settings!$B$3/100,"DOWN","FLAT")))</f>
        <v/>
      </c>
      <c r="S466" s="118">
        <f>IF(OR(N466="",P466="",J466=""),"",IF(OR(AND(J466="BUY",R466="UP"),AND(J466="SELL",R466="DOWN"),AND(J466="HOLD",R466="FLAT")),"YES","NO"))</f>
        <v/>
      </c>
      <c r="T466" s="119">
        <f>IF(J466="","",IF(J466="BUY",1,IF(J466="SELL",-1,0)))</f>
        <v/>
      </c>
      <c r="U466" s="150">
        <f>IFERROR(IF(OR(J466="",N466="",P466=""),"",IF(T466=0,0,T466*Q466-Settings!$B$4/10000-IF(T466&lt;0,Settings!$B$5/10000,0))),"")</f>
        <v/>
      </c>
      <c r="W466" s="21">
        <f>IF($K466="","",$K466*60)</f>
        <v/>
      </c>
      <c r="X466" s="91">
        <f>IF($A466="","",$A466&amp;"|"&amp;$C466&amp;"|"&amp;$D466)</f>
        <v/>
      </c>
      <c r="Y466" s="91">
        <f>IFERROR(IF($X466="","",INDEX(LLM_Data_Entry!$H$3:$H$548,MATCH($X466,INDEX(LLM_Data_Entry!$A$3:$A$548&amp;"|"&amp;LLM_Data_Entry!$C$3:$C$548&amp;"|"&amp;LLM_Data_Entry!$D$3:$D$548,0),0))),"")</f>
        <v/>
      </c>
      <c r="Z466" s="91">
        <f>IFERROR(IF($X466="","",INDEX(LLM_Data_Entry!$R$3:$R$548,MATCH($X466,INDEX(LLM_Data_Entry!$A$3:$A$548&amp;"|"&amp;LLM_Data_Entry!$C$3:$C$548&amp;"|"&amp;LLM_Data_Entry!$D$3:$D$548,0),0))),"")</f>
        <v/>
      </c>
      <c r="AL466">
        <f>IF($A466="","",IFERROR(INDEX(Company_List!$G$3:$G$207,MATCH($A466,Company_List!$A$3:$A$207,0)),"unassigned"))</f>
        <v/>
      </c>
      <c r="AP466">
        <f>IF($A466="","",IF(COUNTIFS(LLM_Data_Entry!$A$3:$A$548,$A466)&gt;0,"YES","NO"))</f>
        <v/>
      </c>
      <c r="AQ466">
        <f>IF($A466="","",IF(COUNTIFS($A$3:$A466,$A466,$C$3:$C466,$C466,$D$3:$D466,$D466)=1,"YES","NO"))</f>
        <v/>
      </c>
      <c r="AR466">
        <f>IF($A466="","",IF(AND($C466&amp;"-"&amp;$D466&gt;=Settings!$B$19,$C466&amp;"-"&amp;$D466&lt;=Settings!$B$20),"IN","OUT"))</f>
        <v/>
      </c>
      <c r="AS466">
        <f>IF($A466="","",IF($F466="Financial Results","financials",IF($F466="Outlook/Guidance","guidance",IF($F466="Transcript Q&amp;A","qanda",IF($F466="","unrecorded",IF($E466="All","full",IF($E466="","unrecorded",LOWER($E466)&amp;" only")))))))</f>
        <v/>
      </c>
      <c r="AT466">
        <f>IF(AND(OR($J466="BUY",$J466="SELL"),ISNUMBER($U466)),$U466,"")</f>
        <v/>
      </c>
      <c r="AU466">
        <f>IF(AND(OR($J466="BUY",$J466="SELL"),ISNUMBER($AK466)),$AK466,"")</f>
        <v/>
      </c>
      <c r="AV466">
        <f>IF(ISNUMBER($AT466),ABS(IF(ISNUMBER($I466),$I466,0)-Settings!$B$24),"")</f>
        <v/>
      </c>
      <c r="AW466">
        <f>IF(ISNUMBER($AV466),$AV466*$AT466,"")</f>
        <v/>
      </c>
      <c r="AX466">
        <f>IF(ISNUMBER($AU466),ABS(IF(ISNUMBER($I466),$I466,0)-Settings!$B$24),"")</f>
        <v/>
      </c>
      <c r="AY466">
        <f>IF(ISNUMBER($AX466),$AX466*$AU466,"")</f>
        <v/>
      </c>
      <c r="AZ466">
        <f>IF($A466="","",IFERROR(INDEX(Company_List!$H$3:$H$207,MATCH($A466,Company_List!$A$3:$A$207,0)),"unassigned"))</f>
        <v/>
      </c>
      <c r="BC466">
        <f>IF($A466="","",IF(COUNTIFS($A$3:$A466,$A466,$C$3:$C466,$C466,$D$3:$D466,$D466,$G$3:$G466,$G466)=1,1,0))</f>
        <v/>
      </c>
      <c r="BK466">
        <f>IF(OR($H466&lt;&gt;"Human",$S466="",$J466="",$Y466="",$Z466=""),"",IF(EXACT(UPPER($J466),UPPER($Y466)),1,0))</f>
        <v/>
      </c>
    </row>
    <row r="467">
      <c r="B467" s="142">
        <f>IF(A467="","",_xlfn.XLOOKUP(A467, Company_List!$A:$A, Company_List!$B:$B, ""))</f>
        <v/>
      </c>
      <c r="J467" s="145">
        <f>IF(OR(I467="",Settings!$B$6=""),"",IF(I467&gt;Settings!$B$6,"BUY",IF(I467&lt;-Settings!$B$6,"SELL","HOLD")))</f>
        <v/>
      </c>
      <c r="Q467" s="151">
        <f>IF(OR(N467="",P467=""),"",ROUND((P467-N467)/N467,4))</f>
        <v/>
      </c>
      <c r="R467" s="118">
        <f>IF(OR(N467="",P467=""),"",IF(Q467&gt;Settings!$B$3/100,"UP",IF(Q467&lt;-Settings!$B$3/100,"DOWN","FLAT")))</f>
        <v/>
      </c>
      <c r="S467" s="118">
        <f>IF(OR(N467="",P467="",J467=""),"",IF(OR(AND(J467="BUY",R467="UP"),AND(J467="SELL",R467="DOWN"),AND(J467="HOLD",R467="FLAT")),"YES","NO"))</f>
        <v/>
      </c>
      <c r="T467" s="119">
        <f>IF(J467="","",IF(J467="BUY",1,IF(J467="SELL",-1,0)))</f>
        <v/>
      </c>
      <c r="U467" s="150">
        <f>IFERROR(IF(OR(J467="",N467="",P467=""),"",IF(T467=0,0,T467*Q467-Settings!$B$4/10000-IF(T467&lt;0,Settings!$B$5/10000,0))),"")</f>
        <v/>
      </c>
      <c r="W467" s="21">
        <f>IF($K467="","",$K467*60)</f>
        <v/>
      </c>
      <c r="X467" s="91">
        <f>IF($A467="","",$A467&amp;"|"&amp;$C467&amp;"|"&amp;$D467)</f>
        <v/>
      </c>
      <c r="Y467" s="91">
        <f>IFERROR(IF($X467="","",INDEX(LLM_Data_Entry!$H$3:$H$548,MATCH($X467,INDEX(LLM_Data_Entry!$A$3:$A$548&amp;"|"&amp;LLM_Data_Entry!$C$3:$C$548&amp;"|"&amp;LLM_Data_Entry!$D$3:$D$548,0),0))),"")</f>
        <v/>
      </c>
      <c r="Z467" s="91">
        <f>IFERROR(IF($X467="","",INDEX(LLM_Data_Entry!$R$3:$R$548,MATCH($X467,INDEX(LLM_Data_Entry!$A$3:$A$548&amp;"|"&amp;LLM_Data_Entry!$C$3:$C$548&amp;"|"&amp;LLM_Data_Entry!$D$3:$D$548,0),0))),"")</f>
        <v/>
      </c>
      <c r="AL467">
        <f>IF($A467="","",IFERROR(INDEX(Company_List!$G$3:$G$207,MATCH($A467,Company_List!$A$3:$A$207,0)),"unassigned"))</f>
        <v/>
      </c>
      <c r="AP467">
        <f>IF($A467="","",IF(COUNTIFS(LLM_Data_Entry!$A$3:$A$548,$A467)&gt;0,"YES","NO"))</f>
        <v/>
      </c>
      <c r="AQ467">
        <f>IF($A467="","",IF(COUNTIFS($A$3:$A467,$A467,$C$3:$C467,$C467,$D$3:$D467,$D467)=1,"YES","NO"))</f>
        <v/>
      </c>
      <c r="AR467">
        <f>IF($A467="","",IF(AND($C467&amp;"-"&amp;$D467&gt;=Settings!$B$19,$C467&amp;"-"&amp;$D467&lt;=Settings!$B$20),"IN","OUT"))</f>
        <v/>
      </c>
      <c r="AS467">
        <f>IF($A467="","",IF($F467="Financial Results","financials",IF($F467="Outlook/Guidance","guidance",IF($F467="Transcript Q&amp;A","qanda",IF($F467="","unrecorded",IF($E467="All","full",IF($E467="","unrecorded",LOWER($E467)&amp;" only")))))))</f>
        <v/>
      </c>
      <c r="AT467">
        <f>IF(AND(OR($J467="BUY",$J467="SELL"),ISNUMBER($U467)),$U467,"")</f>
        <v/>
      </c>
      <c r="AU467">
        <f>IF(AND(OR($J467="BUY",$J467="SELL"),ISNUMBER($AK467)),$AK467,"")</f>
        <v/>
      </c>
      <c r="AV467">
        <f>IF(ISNUMBER($AT467),ABS(IF(ISNUMBER($I467),$I467,0)-Settings!$B$24),"")</f>
        <v/>
      </c>
      <c r="AW467">
        <f>IF(ISNUMBER($AV467),$AV467*$AT467,"")</f>
        <v/>
      </c>
      <c r="AX467">
        <f>IF(ISNUMBER($AU467),ABS(IF(ISNUMBER($I467),$I467,0)-Settings!$B$24),"")</f>
        <v/>
      </c>
      <c r="AY467">
        <f>IF(ISNUMBER($AX467),$AX467*$AU467,"")</f>
        <v/>
      </c>
      <c r="AZ467">
        <f>IF($A467="","",IFERROR(INDEX(Company_List!$H$3:$H$207,MATCH($A467,Company_List!$A$3:$A$207,0)),"unassigned"))</f>
        <v/>
      </c>
      <c r="BC467">
        <f>IF($A467="","",IF(COUNTIFS($A$3:$A467,$A467,$C$3:$C467,$C467,$D$3:$D467,$D467,$G$3:$G467,$G467)=1,1,0))</f>
        <v/>
      </c>
      <c r="BK467">
        <f>IF(OR($H467&lt;&gt;"Human",$S467="",$J467="",$Y467="",$Z467=""),"",IF(EXACT(UPPER($J467),UPPER($Y467)),1,0))</f>
        <v/>
      </c>
    </row>
    <row r="468">
      <c r="B468" s="142">
        <f>IF(A468="","",_xlfn.XLOOKUP(A468, Company_List!$A:$A, Company_List!$B:$B, ""))</f>
        <v/>
      </c>
      <c r="J468" s="145">
        <f>IF(OR(I468="",Settings!$B$6=""),"",IF(I468&gt;Settings!$B$6,"BUY",IF(I468&lt;-Settings!$B$6,"SELL","HOLD")))</f>
        <v/>
      </c>
      <c r="Q468" s="151">
        <f>IF(OR(N468="",P468=""),"",ROUND((P468-N468)/N468,4))</f>
        <v/>
      </c>
      <c r="R468" s="118">
        <f>IF(OR(N468="",P468=""),"",IF(Q468&gt;Settings!$B$3/100,"UP",IF(Q468&lt;-Settings!$B$3/100,"DOWN","FLAT")))</f>
        <v/>
      </c>
      <c r="S468" s="118">
        <f>IF(OR(N468="",P468="",J468=""),"",IF(OR(AND(J468="BUY",R468="UP"),AND(J468="SELL",R468="DOWN"),AND(J468="HOLD",R468="FLAT")),"YES","NO"))</f>
        <v/>
      </c>
      <c r="T468" s="119">
        <f>IF(J468="","",IF(J468="BUY",1,IF(J468="SELL",-1,0)))</f>
        <v/>
      </c>
      <c r="U468" s="150">
        <f>IFERROR(IF(OR(J468="",N468="",P468=""),"",IF(T468=0,0,T468*Q468-Settings!$B$4/10000-IF(T468&lt;0,Settings!$B$5/10000,0))),"")</f>
        <v/>
      </c>
      <c r="W468" s="21">
        <f>IF($K468="","",$K468*60)</f>
        <v/>
      </c>
      <c r="X468" s="91">
        <f>IF($A468="","",$A468&amp;"|"&amp;$C468&amp;"|"&amp;$D468)</f>
        <v/>
      </c>
      <c r="Y468" s="91">
        <f>IFERROR(IF($X468="","",INDEX(LLM_Data_Entry!$H$3:$H$548,MATCH($X468,INDEX(LLM_Data_Entry!$A$3:$A$548&amp;"|"&amp;LLM_Data_Entry!$C$3:$C$548&amp;"|"&amp;LLM_Data_Entry!$D$3:$D$548,0),0))),"")</f>
        <v/>
      </c>
      <c r="Z468" s="91">
        <f>IFERROR(IF($X468="","",INDEX(LLM_Data_Entry!$R$3:$R$548,MATCH($X468,INDEX(LLM_Data_Entry!$A$3:$A$548&amp;"|"&amp;LLM_Data_Entry!$C$3:$C$548&amp;"|"&amp;LLM_Data_Entry!$D$3:$D$548,0),0))),"")</f>
        <v/>
      </c>
      <c r="AL468">
        <f>IF($A468="","",IFERROR(INDEX(Company_List!$G$3:$G$207,MATCH($A468,Company_List!$A$3:$A$207,0)),"unassigned"))</f>
        <v/>
      </c>
      <c r="AP468">
        <f>IF($A468="","",IF(COUNTIFS(LLM_Data_Entry!$A$3:$A$548,$A468)&gt;0,"YES","NO"))</f>
        <v/>
      </c>
      <c r="AQ468">
        <f>IF($A468="","",IF(COUNTIFS($A$3:$A468,$A468,$C$3:$C468,$C468,$D$3:$D468,$D468)=1,"YES","NO"))</f>
        <v/>
      </c>
      <c r="AR468">
        <f>IF($A468="","",IF(AND($C468&amp;"-"&amp;$D468&gt;=Settings!$B$19,$C468&amp;"-"&amp;$D468&lt;=Settings!$B$20),"IN","OUT"))</f>
        <v/>
      </c>
      <c r="AS468">
        <f>IF($A468="","",IF($F468="Financial Results","financials",IF($F468="Outlook/Guidance","guidance",IF($F468="Transcript Q&amp;A","qanda",IF($F468="","unrecorded",IF($E468="All","full",IF($E468="","unrecorded",LOWER($E468)&amp;" only")))))))</f>
        <v/>
      </c>
      <c r="AT468">
        <f>IF(AND(OR($J468="BUY",$J468="SELL"),ISNUMBER($U468)),$U468,"")</f>
        <v/>
      </c>
      <c r="AU468">
        <f>IF(AND(OR($J468="BUY",$J468="SELL"),ISNUMBER($AK468)),$AK468,"")</f>
        <v/>
      </c>
      <c r="AV468">
        <f>IF(ISNUMBER($AT468),ABS(IF(ISNUMBER($I468),$I468,0)-Settings!$B$24),"")</f>
        <v/>
      </c>
      <c r="AW468">
        <f>IF(ISNUMBER($AV468),$AV468*$AT468,"")</f>
        <v/>
      </c>
      <c r="AX468">
        <f>IF(ISNUMBER($AU468),ABS(IF(ISNUMBER($I468),$I468,0)-Settings!$B$24),"")</f>
        <v/>
      </c>
      <c r="AY468">
        <f>IF(ISNUMBER($AX468),$AX468*$AU468,"")</f>
        <v/>
      </c>
      <c r="AZ468">
        <f>IF($A468="","",IFERROR(INDEX(Company_List!$H$3:$H$207,MATCH($A468,Company_List!$A$3:$A$207,0)),"unassigned"))</f>
        <v/>
      </c>
      <c r="BC468">
        <f>IF($A468="","",IF(COUNTIFS($A$3:$A468,$A468,$C$3:$C468,$C468,$D$3:$D468,$D468,$G$3:$G468,$G468)=1,1,0))</f>
        <v/>
      </c>
      <c r="BK468">
        <f>IF(OR($H468&lt;&gt;"Human",$S468="",$J468="",$Y468="",$Z468=""),"",IF(EXACT(UPPER($J468),UPPER($Y468)),1,0))</f>
        <v/>
      </c>
    </row>
    <row r="469">
      <c r="B469" s="142">
        <f>IF(A469="","",_xlfn.XLOOKUP(A469, Company_List!$A:$A, Company_List!$B:$B, ""))</f>
        <v/>
      </c>
      <c r="J469" s="145">
        <f>IF(OR(I469="",Settings!$B$6=""),"",IF(I469&gt;Settings!$B$6,"BUY",IF(I469&lt;-Settings!$B$6,"SELL","HOLD")))</f>
        <v/>
      </c>
      <c r="Q469" s="151">
        <f>IF(OR(N469="",P469=""),"",ROUND((P469-N469)/N469,4))</f>
        <v/>
      </c>
      <c r="R469" s="118">
        <f>IF(OR(N469="",P469=""),"",IF(Q469&gt;Settings!$B$3/100,"UP",IF(Q469&lt;-Settings!$B$3/100,"DOWN","FLAT")))</f>
        <v/>
      </c>
      <c r="S469" s="118">
        <f>IF(OR(N469="",P469="",J469=""),"",IF(OR(AND(J469="BUY",R469="UP"),AND(J469="SELL",R469="DOWN"),AND(J469="HOLD",R469="FLAT")),"YES","NO"))</f>
        <v/>
      </c>
      <c r="T469" s="119">
        <f>IF(J469="","",IF(J469="BUY",1,IF(J469="SELL",-1,0)))</f>
        <v/>
      </c>
      <c r="U469" s="150">
        <f>IFERROR(IF(OR(J469="",N469="",P469=""),"",IF(T469=0,0,T469*Q469-Settings!$B$4/10000-IF(T469&lt;0,Settings!$B$5/10000,0))),"")</f>
        <v/>
      </c>
      <c r="W469" s="21">
        <f>IF($K469="","",$K469*60)</f>
        <v/>
      </c>
      <c r="X469" s="91">
        <f>IF($A469="","",$A469&amp;"|"&amp;$C469&amp;"|"&amp;$D469)</f>
        <v/>
      </c>
      <c r="Y469" s="91">
        <f>IFERROR(IF($X469="","",INDEX(LLM_Data_Entry!$H$3:$H$548,MATCH($X469,INDEX(LLM_Data_Entry!$A$3:$A$548&amp;"|"&amp;LLM_Data_Entry!$C$3:$C$548&amp;"|"&amp;LLM_Data_Entry!$D$3:$D$548,0),0))),"")</f>
        <v/>
      </c>
      <c r="Z469" s="91">
        <f>IFERROR(IF($X469="","",INDEX(LLM_Data_Entry!$R$3:$R$548,MATCH($X469,INDEX(LLM_Data_Entry!$A$3:$A$548&amp;"|"&amp;LLM_Data_Entry!$C$3:$C$548&amp;"|"&amp;LLM_Data_Entry!$D$3:$D$548,0),0))),"")</f>
        <v/>
      </c>
      <c r="AL469">
        <f>IF($A469="","",IFERROR(INDEX(Company_List!$G$3:$G$207,MATCH($A469,Company_List!$A$3:$A$207,0)),"unassigned"))</f>
        <v/>
      </c>
      <c r="AP469">
        <f>IF($A469="","",IF(COUNTIFS(LLM_Data_Entry!$A$3:$A$548,$A469)&gt;0,"YES","NO"))</f>
        <v/>
      </c>
      <c r="AQ469">
        <f>IF($A469="","",IF(COUNTIFS($A$3:$A469,$A469,$C$3:$C469,$C469,$D$3:$D469,$D469)=1,"YES","NO"))</f>
        <v/>
      </c>
      <c r="AR469">
        <f>IF($A469="","",IF(AND($C469&amp;"-"&amp;$D469&gt;=Settings!$B$19,$C469&amp;"-"&amp;$D469&lt;=Settings!$B$20),"IN","OUT"))</f>
        <v/>
      </c>
      <c r="AS469">
        <f>IF($A469="","",IF($F469="Financial Results","financials",IF($F469="Outlook/Guidance","guidance",IF($F469="Transcript Q&amp;A","qanda",IF($F469="","unrecorded",IF($E469="All","full",IF($E469="","unrecorded",LOWER($E469)&amp;" only")))))))</f>
        <v/>
      </c>
      <c r="AT469">
        <f>IF(AND(OR($J469="BUY",$J469="SELL"),ISNUMBER($U469)),$U469,"")</f>
        <v/>
      </c>
      <c r="AU469">
        <f>IF(AND(OR($J469="BUY",$J469="SELL"),ISNUMBER($AK469)),$AK469,"")</f>
        <v/>
      </c>
      <c r="AV469">
        <f>IF(ISNUMBER($AT469),ABS(IF(ISNUMBER($I469),$I469,0)-Settings!$B$24),"")</f>
        <v/>
      </c>
      <c r="AW469">
        <f>IF(ISNUMBER($AV469),$AV469*$AT469,"")</f>
        <v/>
      </c>
      <c r="AX469">
        <f>IF(ISNUMBER($AU469),ABS(IF(ISNUMBER($I469),$I469,0)-Settings!$B$24),"")</f>
        <v/>
      </c>
      <c r="AY469">
        <f>IF(ISNUMBER($AX469),$AX469*$AU469,"")</f>
        <v/>
      </c>
      <c r="AZ469">
        <f>IF($A469="","",IFERROR(INDEX(Company_List!$H$3:$H$207,MATCH($A469,Company_List!$A$3:$A$207,0)),"unassigned"))</f>
        <v/>
      </c>
      <c r="BC469">
        <f>IF($A469="","",IF(COUNTIFS($A$3:$A469,$A469,$C$3:$C469,$C469,$D$3:$D469,$D469,$G$3:$G469,$G469)=1,1,0))</f>
        <v/>
      </c>
      <c r="BK469">
        <f>IF(OR($H469&lt;&gt;"Human",$S469="",$J469="",$Y469="",$Z469=""),"",IF(EXACT(UPPER($J469),UPPER($Y469)),1,0))</f>
        <v/>
      </c>
    </row>
    <row r="470">
      <c r="B470" s="142">
        <f>IF(A470="","",_xlfn.XLOOKUP(A470, Company_List!$A:$A, Company_List!$B:$B, ""))</f>
        <v/>
      </c>
      <c r="J470" s="145">
        <f>IF(OR(I470="",Settings!$B$6=""),"",IF(I470&gt;Settings!$B$6,"BUY",IF(I470&lt;-Settings!$B$6,"SELL","HOLD")))</f>
        <v/>
      </c>
      <c r="Q470" s="151">
        <f>IF(OR(N470="",P470=""),"",ROUND((P470-N470)/N470,4))</f>
        <v/>
      </c>
      <c r="R470" s="118">
        <f>IF(OR(N470="",P470=""),"",IF(Q470&gt;Settings!$B$3/100,"UP",IF(Q470&lt;-Settings!$B$3/100,"DOWN","FLAT")))</f>
        <v/>
      </c>
      <c r="S470" s="118">
        <f>IF(OR(N470="",P470="",J470=""),"",IF(OR(AND(J470="BUY",R470="UP"),AND(J470="SELL",R470="DOWN"),AND(J470="HOLD",R470="FLAT")),"YES","NO"))</f>
        <v/>
      </c>
      <c r="T470" s="119">
        <f>IF(J470="","",IF(J470="BUY",1,IF(J470="SELL",-1,0)))</f>
        <v/>
      </c>
      <c r="U470" s="150">
        <f>IFERROR(IF(OR(J470="",N470="",P470=""),"",IF(T470=0,0,T470*Q470-Settings!$B$4/10000-IF(T470&lt;0,Settings!$B$5/10000,0))),"")</f>
        <v/>
      </c>
      <c r="W470" s="21">
        <f>IF($K470="","",$K470*60)</f>
        <v/>
      </c>
      <c r="X470" s="91">
        <f>IF($A470="","",$A470&amp;"|"&amp;$C470&amp;"|"&amp;$D470)</f>
        <v/>
      </c>
      <c r="Y470" s="91">
        <f>IFERROR(IF($X470="","",INDEX(LLM_Data_Entry!$H$3:$H$548,MATCH($X470,INDEX(LLM_Data_Entry!$A$3:$A$548&amp;"|"&amp;LLM_Data_Entry!$C$3:$C$548&amp;"|"&amp;LLM_Data_Entry!$D$3:$D$548,0),0))),"")</f>
        <v/>
      </c>
      <c r="Z470" s="91">
        <f>IFERROR(IF($X470="","",INDEX(LLM_Data_Entry!$R$3:$R$548,MATCH($X470,INDEX(LLM_Data_Entry!$A$3:$A$548&amp;"|"&amp;LLM_Data_Entry!$C$3:$C$548&amp;"|"&amp;LLM_Data_Entry!$D$3:$D$548,0),0))),"")</f>
        <v/>
      </c>
      <c r="AL470">
        <f>IF($A470="","",IFERROR(INDEX(Company_List!$G$3:$G$207,MATCH($A470,Company_List!$A$3:$A$207,0)),"unassigned"))</f>
        <v/>
      </c>
      <c r="AP470">
        <f>IF($A470="","",IF(COUNTIFS(LLM_Data_Entry!$A$3:$A$548,$A470)&gt;0,"YES","NO"))</f>
        <v/>
      </c>
      <c r="AQ470">
        <f>IF($A470="","",IF(COUNTIFS($A$3:$A470,$A470,$C$3:$C470,$C470,$D$3:$D470,$D470)=1,"YES","NO"))</f>
        <v/>
      </c>
      <c r="AR470">
        <f>IF($A470="","",IF(AND($C470&amp;"-"&amp;$D470&gt;=Settings!$B$19,$C470&amp;"-"&amp;$D470&lt;=Settings!$B$20),"IN","OUT"))</f>
        <v/>
      </c>
      <c r="AS470">
        <f>IF($A470="","",IF($F470="Financial Results","financials",IF($F470="Outlook/Guidance","guidance",IF($F470="Transcript Q&amp;A","qanda",IF($F470="","unrecorded",IF($E470="All","full",IF($E470="","unrecorded",LOWER($E470)&amp;" only")))))))</f>
        <v/>
      </c>
      <c r="AT470">
        <f>IF(AND(OR($J470="BUY",$J470="SELL"),ISNUMBER($U470)),$U470,"")</f>
        <v/>
      </c>
      <c r="AU470">
        <f>IF(AND(OR($J470="BUY",$J470="SELL"),ISNUMBER($AK470)),$AK470,"")</f>
        <v/>
      </c>
      <c r="AV470">
        <f>IF(ISNUMBER($AT470),ABS(IF(ISNUMBER($I470),$I470,0)-Settings!$B$24),"")</f>
        <v/>
      </c>
      <c r="AW470">
        <f>IF(ISNUMBER($AV470),$AV470*$AT470,"")</f>
        <v/>
      </c>
      <c r="AX470">
        <f>IF(ISNUMBER($AU470),ABS(IF(ISNUMBER($I470),$I470,0)-Settings!$B$24),"")</f>
        <v/>
      </c>
      <c r="AY470">
        <f>IF(ISNUMBER($AX470),$AX470*$AU470,"")</f>
        <v/>
      </c>
      <c r="AZ470">
        <f>IF($A470="","",IFERROR(INDEX(Company_List!$H$3:$H$207,MATCH($A470,Company_List!$A$3:$A$207,0)),"unassigned"))</f>
        <v/>
      </c>
      <c r="BC470">
        <f>IF($A470="","",IF(COUNTIFS($A$3:$A470,$A470,$C$3:$C470,$C470,$D$3:$D470,$D470,$G$3:$G470,$G470)=1,1,0))</f>
        <v/>
      </c>
      <c r="BK470">
        <f>IF(OR($H470&lt;&gt;"Human",$S470="",$J470="",$Y470="",$Z470=""),"",IF(EXACT(UPPER($J470),UPPER($Y470)),1,0))</f>
        <v/>
      </c>
    </row>
    <row r="471">
      <c r="B471" s="142">
        <f>IF(A471="","",_xlfn.XLOOKUP(A471, Company_List!$A:$A, Company_List!$B:$B, ""))</f>
        <v/>
      </c>
      <c r="J471" s="145">
        <f>IF(OR(I471="",Settings!$B$6=""),"",IF(I471&gt;Settings!$B$6,"BUY",IF(I471&lt;-Settings!$B$6,"SELL","HOLD")))</f>
        <v/>
      </c>
      <c r="Q471" s="151">
        <f>IF(OR(N471="",P471=""),"",ROUND((P471-N471)/N471,4))</f>
        <v/>
      </c>
      <c r="R471" s="118">
        <f>IF(OR(N471="",P471=""),"",IF(Q471&gt;Settings!$B$3/100,"UP",IF(Q471&lt;-Settings!$B$3/100,"DOWN","FLAT")))</f>
        <v/>
      </c>
      <c r="S471" s="118">
        <f>IF(OR(N471="",P471="",J471=""),"",IF(OR(AND(J471="BUY",R471="UP"),AND(J471="SELL",R471="DOWN"),AND(J471="HOLD",R471="FLAT")),"YES","NO"))</f>
        <v/>
      </c>
      <c r="T471" s="119">
        <f>IF(J471="","",IF(J471="BUY",1,IF(J471="SELL",-1,0)))</f>
        <v/>
      </c>
      <c r="U471" s="150">
        <f>IFERROR(IF(OR(J471="",N471="",P471=""),"",IF(T471=0,0,T471*Q471-Settings!$B$4/10000-IF(T471&lt;0,Settings!$B$5/10000,0))),"")</f>
        <v/>
      </c>
      <c r="W471" s="21">
        <f>IF($K471="","",$K471*60)</f>
        <v/>
      </c>
      <c r="X471" s="91">
        <f>IF($A471="","",$A471&amp;"|"&amp;$C471&amp;"|"&amp;$D471)</f>
        <v/>
      </c>
      <c r="Y471" s="91">
        <f>IFERROR(IF($X471="","",INDEX(LLM_Data_Entry!$H$3:$H$548,MATCH($X471,INDEX(LLM_Data_Entry!$A$3:$A$548&amp;"|"&amp;LLM_Data_Entry!$C$3:$C$548&amp;"|"&amp;LLM_Data_Entry!$D$3:$D$548,0),0))),"")</f>
        <v/>
      </c>
      <c r="Z471" s="91">
        <f>IFERROR(IF($X471="","",INDEX(LLM_Data_Entry!$R$3:$R$548,MATCH($X471,INDEX(LLM_Data_Entry!$A$3:$A$548&amp;"|"&amp;LLM_Data_Entry!$C$3:$C$548&amp;"|"&amp;LLM_Data_Entry!$D$3:$D$548,0),0))),"")</f>
        <v/>
      </c>
      <c r="AL471">
        <f>IF($A471="","",IFERROR(INDEX(Company_List!$G$3:$G$207,MATCH($A471,Company_List!$A$3:$A$207,0)),"unassigned"))</f>
        <v/>
      </c>
      <c r="AP471">
        <f>IF($A471="","",IF(COUNTIFS(LLM_Data_Entry!$A$3:$A$548,$A471)&gt;0,"YES","NO"))</f>
        <v/>
      </c>
      <c r="AQ471">
        <f>IF($A471="","",IF(COUNTIFS($A$3:$A471,$A471,$C$3:$C471,$C471,$D$3:$D471,$D471)=1,"YES","NO"))</f>
        <v/>
      </c>
      <c r="AR471">
        <f>IF($A471="","",IF(AND($C471&amp;"-"&amp;$D471&gt;=Settings!$B$19,$C471&amp;"-"&amp;$D471&lt;=Settings!$B$20),"IN","OUT"))</f>
        <v/>
      </c>
      <c r="AS471">
        <f>IF($A471="","",IF($F471="Financial Results","financials",IF($F471="Outlook/Guidance","guidance",IF($F471="Transcript Q&amp;A","qanda",IF($F471="","unrecorded",IF($E471="All","full",IF($E471="","unrecorded",LOWER($E471)&amp;" only")))))))</f>
        <v/>
      </c>
      <c r="AT471">
        <f>IF(AND(OR($J471="BUY",$J471="SELL"),ISNUMBER($U471)),$U471,"")</f>
        <v/>
      </c>
      <c r="AU471">
        <f>IF(AND(OR($J471="BUY",$J471="SELL"),ISNUMBER($AK471)),$AK471,"")</f>
        <v/>
      </c>
      <c r="AV471">
        <f>IF(ISNUMBER($AT471),ABS(IF(ISNUMBER($I471),$I471,0)-Settings!$B$24),"")</f>
        <v/>
      </c>
      <c r="AW471">
        <f>IF(ISNUMBER($AV471),$AV471*$AT471,"")</f>
        <v/>
      </c>
      <c r="AX471">
        <f>IF(ISNUMBER($AU471),ABS(IF(ISNUMBER($I471),$I471,0)-Settings!$B$24),"")</f>
        <v/>
      </c>
      <c r="AY471">
        <f>IF(ISNUMBER($AX471),$AX471*$AU471,"")</f>
        <v/>
      </c>
      <c r="AZ471">
        <f>IF($A471="","",IFERROR(INDEX(Company_List!$H$3:$H$207,MATCH($A471,Company_List!$A$3:$A$207,0)),"unassigned"))</f>
        <v/>
      </c>
      <c r="BC471">
        <f>IF($A471="","",IF(COUNTIFS($A$3:$A471,$A471,$C$3:$C471,$C471,$D$3:$D471,$D471,$G$3:$G471,$G471)=1,1,0))</f>
        <v/>
      </c>
      <c r="BK471">
        <f>IF(OR($H471&lt;&gt;"Human",$S471="",$J471="",$Y471="",$Z471=""),"",IF(EXACT(UPPER($J471),UPPER($Y471)),1,0))</f>
        <v/>
      </c>
    </row>
    <row r="472">
      <c r="B472" s="142">
        <f>IF(A472="","",_xlfn.XLOOKUP(A472, Company_List!$A:$A, Company_List!$B:$B, ""))</f>
        <v/>
      </c>
      <c r="J472" s="145">
        <f>IF(OR(I472="",Settings!$B$6=""),"",IF(I472&gt;Settings!$B$6,"BUY",IF(I472&lt;-Settings!$B$6,"SELL","HOLD")))</f>
        <v/>
      </c>
      <c r="Q472" s="151">
        <f>IF(OR(N472="",P472=""),"",ROUND((P472-N472)/N472,4))</f>
        <v/>
      </c>
      <c r="R472" s="118">
        <f>IF(OR(N472="",P472=""),"",IF(Q472&gt;Settings!$B$3/100,"UP",IF(Q472&lt;-Settings!$B$3/100,"DOWN","FLAT")))</f>
        <v/>
      </c>
      <c r="S472" s="118">
        <f>IF(OR(N472="",P472="",J472=""),"",IF(OR(AND(J472="BUY",R472="UP"),AND(J472="SELL",R472="DOWN"),AND(J472="HOLD",R472="FLAT")),"YES","NO"))</f>
        <v/>
      </c>
      <c r="T472" s="119">
        <f>IF(J472="","",IF(J472="BUY",1,IF(J472="SELL",-1,0)))</f>
        <v/>
      </c>
      <c r="U472" s="150">
        <f>IFERROR(IF(OR(J472="",N472="",P472=""),"",IF(T472=0,0,T472*Q472-Settings!$B$4/10000-IF(T472&lt;0,Settings!$B$5/10000,0))),"")</f>
        <v/>
      </c>
      <c r="W472" s="21">
        <f>IF($K472="","",$K472*60)</f>
        <v/>
      </c>
      <c r="X472" s="91">
        <f>IF($A472="","",$A472&amp;"|"&amp;$C472&amp;"|"&amp;$D472)</f>
        <v/>
      </c>
      <c r="Y472" s="91">
        <f>IFERROR(IF($X472="","",INDEX(LLM_Data_Entry!$H$3:$H$548,MATCH($X472,INDEX(LLM_Data_Entry!$A$3:$A$548&amp;"|"&amp;LLM_Data_Entry!$C$3:$C$548&amp;"|"&amp;LLM_Data_Entry!$D$3:$D$548,0),0))),"")</f>
        <v/>
      </c>
      <c r="Z472" s="91">
        <f>IFERROR(IF($X472="","",INDEX(LLM_Data_Entry!$R$3:$R$548,MATCH($X472,INDEX(LLM_Data_Entry!$A$3:$A$548&amp;"|"&amp;LLM_Data_Entry!$C$3:$C$548&amp;"|"&amp;LLM_Data_Entry!$D$3:$D$548,0),0))),"")</f>
        <v/>
      </c>
      <c r="AL472">
        <f>IF($A472="","",IFERROR(INDEX(Company_List!$G$3:$G$207,MATCH($A472,Company_List!$A$3:$A$207,0)),"unassigned"))</f>
        <v/>
      </c>
      <c r="AP472">
        <f>IF($A472="","",IF(COUNTIFS(LLM_Data_Entry!$A$3:$A$548,$A472)&gt;0,"YES","NO"))</f>
        <v/>
      </c>
      <c r="AQ472">
        <f>IF($A472="","",IF(COUNTIFS($A$3:$A472,$A472,$C$3:$C472,$C472,$D$3:$D472,$D472)=1,"YES","NO"))</f>
        <v/>
      </c>
      <c r="AR472">
        <f>IF($A472="","",IF(AND($C472&amp;"-"&amp;$D472&gt;=Settings!$B$19,$C472&amp;"-"&amp;$D472&lt;=Settings!$B$20),"IN","OUT"))</f>
        <v/>
      </c>
      <c r="AS472">
        <f>IF($A472="","",IF($F472="Financial Results","financials",IF($F472="Outlook/Guidance","guidance",IF($F472="Transcript Q&amp;A","qanda",IF($F472="","unrecorded",IF($E472="All","full",IF($E472="","unrecorded",LOWER($E472)&amp;" only")))))))</f>
        <v/>
      </c>
      <c r="AT472">
        <f>IF(AND(OR($J472="BUY",$J472="SELL"),ISNUMBER($U472)),$U472,"")</f>
        <v/>
      </c>
      <c r="AU472">
        <f>IF(AND(OR($J472="BUY",$J472="SELL"),ISNUMBER($AK472)),$AK472,"")</f>
        <v/>
      </c>
      <c r="AV472">
        <f>IF(ISNUMBER($AT472),ABS(IF(ISNUMBER($I472),$I472,0)-Settings!$B$24),"")</f>
        <v/>
      </c>
      <c r="AW472">
        <f>IF(ISNUMBER($AV472),$AV472*$AT472,"")</f>
        <v/>
      </c>
      <c r="AX472">
        <f>IF(ISNUMBER($AU472),ABS(IF(ISNUMBER($I472),$I472,0)-Settings!$B$24),"")</f>
        <v/>
      </c>
      <c r="AY472">
        <f>IF(ISNUMBER($AX472),$AX472*$AU472,"")</f>
        <v/>
      </c>
      <c r="AZ472">
        <f>IF($A472="","",IFERROR(INDEX(Company_List!$H$3:$H$207,MATCH($A472,Company_List!$A$3:$A$207,0)),"unassigned"))</f>
        <v/>
      </c>
      <c r="BC472">
        <f>IF($A472="","",IF(COUNTIFS($A$3:$A472,$A472,$C$3:$C472,$C472,$D$3:$D472,$D472,$G$3:$G472,$G472)=1,1,0))</f>
        <v/>
      </c>
      <c r="BK472">
        <f>IF(OR($H472&lt;&gt;"Human",$S472="",$J472="",$Y472="",$Z472=""),"",IF(EXACT(UPPER($J472),UPPER($Y472)),1,0))</f>
        <v/>
      </c>
    </row>
    <row r="473">
      <c r="B473" s="142">
        <f>IF(A473="","",_xlfn.XLOOKUP(A473, Company_List!$A:$A, Company_List!$B:$B, ""))</f>
        <v/>
      </c>
      <c r="J473" s="145">
        <f>IF(OR(I473="",Settings!$B$6=""),"",IF(I473&gt;Settings!$B$6,"BUY",IF(I473&lt;-Settings!$B$6,"SELL","HOLD")))</f>
        <v/>
      </c>
      <c r="Q473" s="151">
        <f>IF(OR(N473="",P473=""),"",ROUND((P473-N473)/N473,4))</f>
        <v/>
      </c>
      <c r="R473" s="118">
        <f>IF(OR(N473="",P473=""),"",IF(Q473&gt;Settings!$B$3/100,"UP",IF(Q473&lt;-Settings!$B$3/100,"DOWN","FLAT")))</f>
        <v/>
      </c>
      <c r="S473" s="118">
        <f>IF(OR(N473="",P473="",J473=""),"",IF(OR(AND(J473="BUY",R473="UP"),AND(J473="SELL",R473="DOWN"),AND(J473="HOLD",R473="FLAT")),"YES","NO"))</f>
        <v/>
      </c>
      <c r="T473" s="119">
        <f>IF(J473="","",IF(J473="BUY",1,IF(J473="SELL",-1,0)))</f>
        <v/>
      </c>
      <c r="U473" s="150">
        <f>IFERROR(IF(OR(J473="",N473="",P473=""),"",IF(T473=0,0,T473*Q473-Settings!$B$4/10000-IF(T473&lt;0,Settings!$B$5/10000,0))),"")</f>
        <v/>
      </c>
      <c r="W473" s="21">
        <f>IF($K473="","",$K473*60)</f>
        <v/>
      </c>
      <c r="X473" s="91">
        <f>IF($A473="","",$A473&amp;"|"&amp;$C473&amp;"|"&amp;$D473)</f>
        <v/>
      </c>
      <c r="Y473" s="91">
        <f>IFERROR(IF($X473="","",INDEX(LLM_Data_Entry!$H$3:$H$548,MATCH($X473,INDEX(LLM_Data_Entry!$A$3:$A$548&amp;"|"&amp;LLM_Data_Entry!$C$3:$C$548&amp;"|"&amp;LLM_Data_Entry!$D$3:$D$548,0),0))),"")</f>
        <v/>
      </c>
      <c r="Z473" s="91">
        <f>IFERROR(IF($X473="","",INDEX(LLM_Data_Entry!$R$3:$R$548,MATCH($X473,INDEX(LLM_Data_Entry!$A$3:$A$548&amp;"|"&amp;LLM_Data_Entry!$C$3:$C$548&amp;"|"&amp;LLM_Data_Entry!$D$3:$D$548,0),0))),"")</f>
        <v/>
      </c>
      <c r="AL473">
        <f>IF($A473="","",IFERROR(INDEX(Company_List!$G$3:$G$207,MATCH($A473,Company_List!$A$3:$A$207,0)),"unassigned"))</f>
        <v/>
      </c>
      <c r="AP473">
        <f>IF($A473="","",IF(COUNTIFS(LLM_Data_Entry!$A$3:$A$548,$A473)&gt;0,"YES","NO"))</f>
        <v/>
      </c>
      <c r="AQ473">
        <f>IF($A473="","",IF(COUNTIFS($A$3:$A473,$A473,$C$3:$C473,$C473,$D$3:$D473,$D473)=1,"YES","NO"))</f>
        <v/>
      </c>
      <c r="AR473">
        <f>IF($A473="","",IF(AND($C473&amp;"-"&amp;$D473&gt;=Settings!$B$19,$C473&amp;"-"&amp;$D473&lt;=Settings!$B$20),"IN","OUT"))</f>
        <v/>
      </c>
      <c r="AS473">
        <f>IF($A473="","",IF($F473="Financial Results","financials",IF($F473="Outlook/Guidance","guidance",IF($F473="Transcript Q&amp;A","qanda",IF($F473="","unrecorded",IF($E473="All","full",IF($E473="","unrecorded",LOWER($E473)&amp;" only")))))))</f>
        <v/>
      </c>
      <c r="AT473">
        <f>IF(AND(OR($J473="BUY",$J473="SELL"),ISNUMBER($U473)),$U473,"")</f>
        <v/>
      </c>
      <c r="AU473">
        <f>IF(AND(OR($J473="BUY",$J473="SELL"),ISNUMBER($AK473)),$AK473,"")</f>
        <v/>
      </c>
      <c r="AV473">
        <f>IF(ISNUMBER($AT473),ABS(IF(ISNUMBER($I473),$I473,0)-Settings!$B$24),"")</f>
        <v/>
      </c>
      <c r="AW473">
        <f>IF(ISNUMBER($AV473),$AV473*$AT473,"")</f>
        <v/>
      </c>
      <c r="AX473">
        <f>IF(ISNUMBER($AU473),ABS(IF(ISNUMBER($I473),$I473,0)-Settings!$B$24),"")</f>
        <v/>
      </c>
      <c r="AY473">
        <f>IF(ISNUMBER($AX473),$AX473*$AU473,"")</f>
        <v/>
      </c>
      <c r="AZ473">
        <f>IF($A473="","",IFERROR(INDEX(Company_List!$H$3:$H$207,MATCH($A473,Company_List!$A$3:$A$207,0)),"unassigned"))</f>
        <v/>
      </c>
      <c r="BC473">
        <f>IF($A473="","",IF(COUNTIFS($A$3:$A473,$A473,$C$3:$C473,$C473,$D$3:$D473,$D473,$G$3:$G473,$G473)=1,1,0))</f>
        <v/>
      </c>
      <c r="BK473">
        <f>IF(OR($H473&lt;&gt;"Human",$S473="",$J473="",$Y473="",$Z473=""),"",IF(EXACT(UPPER($J473),UPPER($Y473)),1,0))</f>
        <v/>
      </c>
    </row>
    <row r="474">
      <c r="B474" s="142">
        <f>IF(A474="","",_xlfn.XLOOKUP(A474, Company_List!$A:$A, Company_List!$B:$B, ""))</f>
        <v/>
      </c>
      <c r="J474" s="145">
        <f>IF(OR(I474="",Settings!$B$6=""),"",IF(I474&gt;Settings!$B$6,"BUY",IF(I474&lt;-Settings!$B$6,"SELL","HOLD")))</f>
        <v/>
      </c>
      <c r="Q474" s="151">
        <f>IF(OR(N474="",P474=""),"",ROUND((P474-N474)/N474,4))</f>
        <v/>
      </c>
      <c r="R474" s="118">
        <f>IF(OR(N474="",P474=""),"",IF(Q474&gt;Settings!$B$3/100,"UP",IF(Q474&lt;-Settings!$B$3/100,"DOWN","FLAT")))</f>
        <v/>
      </c>
      <c r="S474" s="118">
        <f>IF(OR(N474="",P474="",J474=""),"",IF(OR(AND(J474="BUY",R474="UP"),AND(J474="SELL",R474="DOWN"),AND(J474="HOLD",R474="FLAT")),"YES","NO"))</f>
        <v/>
      </c>
      <c r="T474" s="119">
        <f>IF(J474="","",IF(J474="BUY",1,IF(J474="SELL",-1,0)))</f>
        <v/>
      </c>
      <c r="U474" s="150">
        <f>IFERROR(IF(OR(J474="",N474="",P474=""),"",IF(T474=0,0,T474*Q474-Settings!$B$4/10000-IF(T474&lt;0,Settings!$B$5/10000,0))),"")</f>
        <v/>
      </c>
      <c r="W474" s="21">
        <f>IF($K474="","",$K474*60)</f>
        <v/>
      </c>
      <c r="X474" s="91">
        <f>IF($A474="","",$A474&amp;"|"&amp;$C474&amp;"|"&amp;$D474)</f>
        <v/>
      </c>
      <c r="Y474" s="91">
        <f>IFERROR(IF($X474="","",INDEX(LLM_Data_Entry!$H$3:$H$548,MATCH($X474,INDEX(LLM_Data_Entry!$A$3:$A$548&amp;"|"&amp;LLM_Data_Entry!$C$3:$C$548&amp;"|"&amp;LLM_Data_Entry!$D$3:$D$548,0),0))),"")</f>
        <v/>
      </c>
      <c r="Z474" s="91">
        <f>IFERROR(IF($X474="","",INDEX(LLM_Data_Entry!$R$3:$R$548,MATCH($X474,INDEX(LLM_Data_Entry!$A$3:$A$548&amp;"|"&amp;LLM_Data_Entry!$C$3:$C$548&amp;"|"&amp;LLM_Data_Entry!$D$3:$D$548,0),0))),"")</f>
        <v/>
      </c>
      <c r="AL474">
        <f>IF($A474="","",IFERROR(INDEX(Company_List!$G$3:$G$207,MATCH($A474,Company_List!$A$3:$A$207,0)),"unassigned"))</f>
        <v/>
      </c>
      <c r="AP474">
        <f>IF($A474="","",IF(COUNTIFS(LLM_Data_Entry!$A$3:$A$548,$A474)&gt;0,"YES","NO"))</f>
        <v/>
      </c>
      <c r="AQ474">
        <f>IF($A474="","",IF(COUNTIFS($A$3:$A474,$A474,$C$3:$C474,$C474,$D$3:$D474,$D474)=1,"YES","NO"))</f>
        <v/>
      </c>
      <c r="AR474">
        <f>IF($A474="","",IF(AND($C474&amp;"-"&amp;$D474&gt;=Settings!$B$19,$C474&amp;"-"&amp;$D474&lt;=Settings!$B$20),"IN","OUT"))</f>
        <v/>
      </c>
      <c r="AS474">
        <f>IF($A474="","",IF($F474="Financial Results","financials",IF($F474="Outlook/Guidance","guidance",IF($F474="Transcript Q&amp;A","qanda",IF($F474="","unrecorded",IF($E474="All","full",IF($E474="","unrecorded",LOWER($E474)&amp;" only")))))))</f>
        <v/>
      </c>
      <c r="AT474">
        <f>IF(AND(OR($J474="BUY",$J474="SELL"),ISNUMBER($U474)),$U474,"")</f>
        <v/>
      </c>
      <c r="AU474">
        <f>IF(AND(OR($J474="BUY",$J474="SELL"),ISNUMBER($AK474)),$AK474,"")</f>
        <v/>
      </c>
      <c r="AV474">
        <f>IF(ISNUMBER($AT474),ABS(IF(ISNUMBER($I474),$I474,0)-Settings!$B$24),"")</f>
        <v/>
      </c>
      <c r="AW474">
        <f>IF(ISNUMBER($AV474),$AV474*$AT474,"")</f>
        <v/>
      </c>
      <c r="AX474">
        <f>IF(ISNUMBER($AU474),ABS(IF(ISNUMBER($I474),$I474,0)-Settings!$B$24),"")</f>
        <v/>
      </c>
      <c r="AY474">
        <f>IF(ISNUMBER($AX474),$AX474*$AU474,"")</f>
        <v/>
      </c>
      <c r="AZ474">
        <f>IF($A474="","",IFERROR(INDEX(Company_List!$H$3:$H$207,MATCH($A474,Company_List!$A$3:$A$207,0)),"unassigned"))</f>
        <v/>
      </c>
      <c r="BC474">
        <f>IF($A474="","",IF(COUNTIFS($A$3:$A474,$A474,$C$3:$C474,$C474,$D$3:$D474,$D474,$G$3:$G474,$G474)=1,1,0))</f>
        <v/>
      </c>
      <c r="BK474">
        <f>IF(OR($H474&lt;&gt;"Human",$S474="",$J474="",$Y474="",$Z474=""),"",IF(EXACT(UPPER($J474),UPPER($Y474)),1,0))</f>
        <v/>
      </c>
    </row>
    <row r="475">
      <c r="B475" s="142">
        <f>IF(A475="","",_xlfn.XLOOKUP(A475, Company_List!$A:$A, Company_List!$B:$B, ""))</f>
        <v/>
      </c>
      <c r="J475" s="145">
        <f>IF(OR(I475="",Settings!$B$6=""),"",IF(I475&gt;Settings!$B$6,"BUY",IF(I475&lt;-Settings!$B$6,"SELL","HOLD")))</f>
        <v/>
      </c>
      <c r="Q475" s="151">
        <f>IF(OR(N475="",P475=""),"",ROUND((P475-N475)/N475,4))</f>
        <v/>
      </c>
      <c r="R475" s="118">
        <f>IF(OR(N475="",P475=""),"",IF(Q475&gt;Settings!$B$3/100,"UP",IF(Q475&lt;-Settings!$B$3/100,"DOWN","FLAT")))</f>
        <v/>
      </c>
      <c r="S475" s="118">
        <f>IF(OR(N475="",P475="",J475=""),"",IF(OR(AND(J475="BUY",R475="UP"),AND(J475="SELL",R475="DOWN"),AND(J475="HOLD",R475="FLAT")),"YES","NO"))</f>
        <v/>
      </c>
      <c r="T475" s="119">
        <f>IF(J475="","",IF(J475="BUY",1,IF(J475="SELL",-1,0)))</f>
        <v/>
      </c>
      <c r="U475" s="150">
        <f>IFERROR(IF(OR(J475="",N475="",P475=""),"",IF(T475=0,0,T475*Q475-Settings!$B$4/10000-IF(T475&lt;0,Settings!$B$5/10000,0))),"")</f>
        <v/>
      </c>
      <c r="W475" s="21">
        <f>IF($K475="","",$K475*60)</f>
        <v/>
      </c>
      <c r="X475" s="91">
        <f>IF($A475="","",$A475&amp;"|"&amp;$C475&amp;"|"&amp;$D475)</f>
        <v/>
      </c>
      <c r="Y475" s="91">
        <f>IFERROR(IF($X475="","",INDEX(LLM_Data_Entry!$H$3:$H$548,MATCH($X475,INDEX(LLM_Data_Entry!$A$3:$A$548&amp;"|"&amp;LLM_Data_Entry!$C$3:$C$548&amp;"|"&amp;LLM_Data_Entry!$D$3:$D$548,0),0))),"")</f>
        <v/>
      </c>
      <c r="Z475" s="91">
        <f>IFERROR(IF($X475="","",INDEX(LLM_Data_Entry!$R$3:$R$548,MATCH($X475,INDEX(LLM_Data_Entry!$A$3:$A$548&amp;"|"&amp;LLM_Data_Entry!$C$3:$C$548&amp;"|"&amp;LLM_Data_Entry!$D$3:$D$548,0),0))),"")</f>
        <v/>
      </c>
      <c r="AL475">
        <f>IF($A475="","",IFERROR(INDEX(Company_List!$G$3:$G$207,MATCH($A475,Company_List!$A$3:$A$207,0)),"unassigned"))</f>
        <v/>
      </c>
      <c r="AP475">
        <f>IF($A475="","",IF(COUNTIFS(LLM_Data_Entry!$A$3:$A$548,$A475)&gt;0,"YES","NO"))</f>
        <v/>
      </c>
      <c r="AQ475">
        <f>IF($A475="","",IF(COUNTIFS($A$3:$A475,$A475,$C$3:$C475,$C475,$D$3:$D475,$D475)=1,"YES","NO"))</f>
        <v/>
      </c>
      <c r="AR475">
        <f>IF($A475="","",IF(AND($C475&amp;"-"&amp;$D475&gt;=Settings!$B$19,$C475&amp;"-"&amp;$D475&lt;=Settings!$B$20),"IN","OUT"))</f>
        <v/>
      </c>
      <c r="AS475">
        <f>IF($A475="","",IF($F475="Financial Results","financials",IF($F475="Outlook/Guidance","guidance",IF($F475="Transcript Q&amp;A","qanda",IF($F475="","unrecorded",IF($E475="All","full",IF($E475="","unrecorded",LOWER($E475)&amp;" only")))))))</f>
        <v/>
      </c>
      <c r="AT475">
        <f>IF(AND(OR($J475="BUY",$J475="SELL"),ISNUMBER($U475)),$U475,"")</f>
        <v/>
      </c>
      <c r="AU475">
        <f>IF(AND(OR($J475="BUY",$J475="SELL"),ISNUMBER($AK475)),$AK475,"")</f>
        <v/>
      </c>
      <c r="AV475">
        <f>IF(ISNUMBER($AT475),ABS(IF(ISNUMBER($I475),$I475,0)-Settings!$B$24),"")</f>
        <v/>
      </c>
      <c r="AW475">
        <f>IF(ISNUMBER($AV475),$AV475*$AT475,"")</f>
        <v/>
      </c>
      <c r="AX475">
        <f>IF(ISNUMBER($AU475),ABS(IF(ISNUMBER($I475),$I475,0)-Settings!$B$24),"")</f>
        <v/>
      </c>
      <c r="AY475">
        <f>IF(ISNUMBER($AX475),$AX475*$AU475,"")</f>
        <v/>
      </c>
      <c r="AZ475">
        <f>IF($A475="","",IFERROR(INDEX(Company_List!$H$3:$H$207,MATCH($A475,Company_List!$A$3:$A$207,0)),"unassigned"))</f>
        <v/>
      </c>
      <c r="BC475">
        <f>IF($A475="","",IF(COUNTIFS($A$3:$A475,$A475,$C$3:$C475,$C475,$D$3:$D475,$D475,$G$3:$G475,$G475)=1,1,0))</f>
        <v/>
      </c>
      <c r="BK475">
        <f>IF(OR($H475&lt;&gt;"Human",$S475="",$J475="",$Y475="",$Z475=""),"",IF(EXACT(UPPER($J475),UPPER($Y475)),1,0))</f>
        <v/>
      </c>
    </row>
    <row r="476">
      <c r="B476" s="142">
        <f>IF(A476="","",_xlfn.XLOOKUP(A476, Company_List!$A:$A, Company_List!$B:$B, ""))</f>
        <v/>
      </c>
      <c r="J476" s="145">
        <f>IF(OR(I476="",Settings!$B$6=""),"",IF(I476&gt;Settings!$B$6,"BUY",IF(I476&lt;-Settings!$B$6,"SELL","HOLD")))</f>
        <v/>
      </c>
      <c r="Q476" s="151">
        <f>IF(OR(N476="",P476=""),"",ROUND((P476-N476)/N476,4))</f>
        <v/>
      </c>
      <c r="R476" s="118">
        <f>IF(OR(N476="",P476=""),"",IF(Q476&gt;Settings!$B$3/100,"UP",IF(Q476&lt;-Settings!$B$3/100,"DOWN","FLAT")))</f>
        <v/>
      </c>
      <c r="S476" s="118">
        <f>IF(OR(N476="",P476="",J476=""),"",IF(OR(AND(J476="BUY",R476="UP"),AND(J476="SELL",R476="DOWN"),AND(J476="HOLD",R476="FLAT")),"YES","NO"))</f>
        <v/>
      </c>
      <c r="T476" s="119">
        <f>IF(J476="","",IF(J476="BUY",1,IF(J476="SELL",-1,0)))</f>
        <v/>
      </c>
      <c r="U476" s="150">
        <f>IFERROR(IF(OR(J476="",N476="",P476=""),"",IF(T476=0,0,T476*Q476-Settings!$B$4/10000-IF(T476&lt;0,Settings!$B$5/10000,0))),"")</f>
        <v/>
      </c>
      <c r="W476" s="21">
        <f>IF($K476="","",$K476*60)</f>
        <v/>
      </c>
      <c r="X476" s="91">
        <f>IF($A476="","",$A476&amp;"|"&amp;$C476&amp;"|"&amp;$D476)</f>
        <v/>
      </c>
      <c r="Y476" s="91">
        <f>IFERROR(IF($X476="","",INDEX(LLM_Data_Entry!$H$3:$H$548,MATCH($X476,INDEX(LLM_Data_Entry!$A$3:$A$548&amp;"|"&amp;LLM_Data_Entry!$C$3:$C$548&amp;"|"&amp;LLM_Data_Entry!$D$3:$D$548,0),0))),"")</f>
        <v/>
      </c>
      <c r="Z476" s="91">
        <f>IFERROR(IF($X476="","",INDEX(LLM_Data_Entry!$R$3:$R$548,MATCH($X476,INDEX(LLM_Data_Entry!$A$3:$A$548&amp;"|"&amp;LLM_Data_Entry!$C$3:$C$548&amp;"|"&amp;LLM_Data_Entry!$D$3:$D$548,0),0))),"")</f>
        <v/>
      </c>
      <c r="AL476">
        <f>IF($A476="","",IFERROR(INDEX(Company_List!$G$3:$G$207,MATCH($A476,Company_List!$A$3:$A$207,0)),"unassigned"))</f>
        <v/>
      </c>
      <c r="AP476">
        <f>IF($A476="","",IF(COUNTIFS(LLM_Data_Entry!$A$3:$A$548,$A476)&gt;0,"YES","NO"))</f>
        <v/>
      </c>
      <c r="AQ476">
        <f>IF($A476="","",IF(COUNTIFS($A$3:$A476,$A476,$C$3:$C476,$C476,$D$3:$D476,$D476)=1,"YES","NO"))</f>
        <v/>
      </c>
      <c r="AR476">
        <f>IF($A476="","",IF(AND($C476&amp;"-"&amp;$D476&gt;=Settings!$B$19,$C476&amp;"-"&amp;$D476&lt;=Settings!$B$20),"IN","OUT"))</f>
        <v/>
      </c>
      <c r="AS476">
        <f>IF($A476="","",IF($F476="Financial Results","financials",IF($F476="Outlook/Guidance","guidance",IF($F476="Transcript Q&amp;A","qanda",IF($F476="","unrecorded",IF($E476="All","full",IF($E476="","unrecorded",LOWER($E476)&amp;" only")))))))</f>
        <v/>
      </c>
      <c r="AT476">
        <f>IF(AND(OR($J476="BUY",$J476="SELL"),ISNUMBER($U476)),$U476,"")</f>
        <v/>
      </c>
      <c r="AU476">
        <f>IF(AND(OR($J476="BUY",$J476="SELL"),ISNUMBER($AK476)),$AK476,"")</f>
        <v/>
      </c>
      <c r="AV476">
        <f>IF(ISNUMBER($AT476),ABS(IF(ISNUMBER($I476),$I476,0)-Settings!$B$24),"")</f>
        <v/>
      </c>
      <c r="AW476">
        <f>IF(ISNUMBER($AV476),$AV476*$AT476,"")</f>
        <v/>
      </c>
      <c r="AX476">
        <f>IF(ISNUMBER($AU476),ABS(IF(ISNUMBER($I476),$I476,0)-Settings!$B$24),"")</f>
        <v/>
      </c>
      <c r="AY476">
        <f>IF(ISNUMBER($AX476),$AX476*$AU476,"")</f>
        <v/>
      </c>
      <c r="AZ476">
        <f>IF($A476="","",IFERROR(INDEX(Company_List!$H$3:$H$207,MATCH($A476,Company_List!$A$3:$A$207,0)),"unassigned"))</f>
        <v/>
      </c>
      <c r="BC476">
        <f>IF($A476="","",IF(COUNTIFS($A$3:$A476,$A476,$C$3:$C476,$C476,$D$3:$D476,$D476,$G$3:$G476,$G476)=1,1,0))</f>
        <v/>
      </c>
      <c r="BK476">
        <f>IF(OR($H476&lt;&gt;"Human",$S476="",$J476="",$Y476="",$Z476=""),"",IF(EXACT(UPPER($J476),UPPER($Y476)),1,0))</f>
        <v/>
      </c>
    </row>
    <row r="477">
      <c r="B477" s="142">
        <f>IF(A477="","",_xlfn.XLOOKUP(A477, Company_List!$A:$A, Company_List!$B:$B, ""))</f>
        <v/>
      </c>
      <c r="J477" s="145">
        <f>IF(OR(I477="",Settings!$B$6=""),"",IF(I477&gt;Settings!$B$6,"BUY",IF(I477&lt;-Settings!$B$6,"SELL","HOLD")))</f>
        <v/>
      </c>
      <c r="Q477" s="151">
        <f>IF(OR(N477="",P477=""),"",ROUND((P477-N477)/N477,4))</f>
        <v/>
      </c>
      <c r="R477" s="118">
        <f>IF(OR(N477="",P477=""),"",IF(Q477&gt;Settings!$B$3/100,"UP",IF(Q477&lt;-Settings!$B$3/100,"DOWN","FLAT")))</f>
        <v/>
      </c>
      <c r="S477" s="118">
        <f>IF(OR(N477="",P477="",J477=""),"",IF(OR(AND(J477="BUY",R477="UP"),AND(J477="SELL",R477="DOWN"),AND(J477="HOLD",R477="FLAT")),"YES","NO"))</f>
        <v/>
      </c>
      <c r="T477" s="119">
        <f>IF(J477="","",IF(J477="BUY",1,IF(J477="SELL",-1,0)))</f>
        <v/>
      </c>
      <c r="U477" s="150">
        <f>IFERROR(IF(OR(J477="",N477="",P477=""),"",IF(T477=0,0,T477*Q477-Settings!$B$4/10000-IF(T477&lt;0,Settings!$B$5/10000,0))),"")</f>
        <v/>
      </c>
      <c r="W477" s="21">
        <f>IF($K477="","",$K477*60)</f>
        <v/>
      </c>
      <c r="X477" s="91">
        <f>IF($A477="","",$A477&amp;"|"&amp;$C477&amp;"|"&amp;$D477)</f>
        <v/>
      </c>
      <c r="Y477" s="91">
        <f>IFERROR(IF($X477="","",INDEX(LLM_Data_Entry!$H$3:$H$548,MATCH($X477,INDEX(LLM_Data_Entry!$A$3:$A$548&amp;"|"&amp;LLM_Data_Entry!$C$3:$C$548&amp;"|"&amp;LLM_Data_Entry!$D$3:$D$548,0),0))),"")</f>
        <v/>
      </c>
      <c r="Z477" s="91">
        <f>IFERROR(IF($X477="","",INDEX(LLM_Data_Entry!$R$3:$R$548,MATCH($X477,INDEX(LLM_Data_Entry!$A$3:$A$548&amp;"|"&amp;LLM_Data_Entry!$C$3:$C$548&amp;"|"&amp;LLM_Data_Entry!$D$3:$D$548,0),0))),"")</f>
        <v/>
      </c>
      <c r="AL477">
        <f>IF($A477="","",IFERROR(INDEX(Company_List!$G$3:$G$207,MATCH($A477,Company_List!$A$3:$A$207,0)),"unassigned"))</f>
        <v/>
      </c>
      <c r="AP477">
        <f>IF($A477="","",IF(COUNTIFS(LLM_Data_Entry!$A$3:$A$548,$A477)&gt;0,"YES","NO"))</f>
        <v/>
      </c>
      <c r="AQ477">
        <f>IF($A477="","",IF(COUNTIFS($A$3:$A477,$A477,$C$3:$C477,$C477,$D$3:$D477,$D477)=1,"YES","NO"))</f>
        <v/>
      </c>
      <c r="AR477">
        <f>IF($A477="","",IF(AND($C477&amp;"-"&amp;$D477&gt;=Settings!$B$19,$C477&amp;"-"&amp;$D477&lt;=Settings!$B$20),"IN","OUT"))</f>
        <v/>
      </c>
      <c r="AS477">
        <f>IF($A477="","",IF($F477="Financial Results","financials",IF($F477="Outlook/Guidance","guidance",IF($F477="Transcript Q&amp;A","qanda",IF($F477="","unrecorded",IF($E477="All","full",IF($E477="","unrecorded",LOWER($E477)&amp;" only")))))))</f>
        <v/>
      </c>
      <c r="AT477">
        <f>IF(AND(OR($J477="BUY",$J477="SELL"),ISNUMBER($U477)),$U477,"")</f>
        <v/>
      </c>
      <c r="AU477">
        <f>IF(AND(OR($J477="BUY",$J477="SELL"),ISNUMBER($AK477)),$AK477,"")</f>
        <v/>
      </c>
      <c r="AV477">
        <f>IF(ISNUMBER($AT477),ABS(IF(ISNUMBER($I477),$I477,0)-Settings!$B$24),"")</f>
        <v/>
      </c>
      <c r="AW477">
        <f>IF(ISNUMBER($AV477),$AV477*$AT477,"")</f>
        <v/>
      </c>
      <c r="AX477">
        <f>IF(ISNUMBER($AU477),ABS(IF(ISNUMBER($I477),$I477,0)-Settings!$B$24),"")</f>
        <v/>
      </c>
      <c r="AY477">
        <f>IF(ISNUMBER($AX477),$AX477*$AU477,"")</f>
        <v/>
      </c>
      <c r="AZ477">
        <f>IF($A477="","",IFERROR(INDEX(Company_List!$H$3:$H$207,MATCH($A477,Company_List!$A$3:$A$207,0)),"unassigned"))</f>
        <v/>
      </c>
      <c r="BC477">
        <f>IF($A477="","",IF(COUNTIFS($A$3:$A477,$A477,$C$3:$C477,$C477,$D$3:$D477,$D477,$G$3:$G477,$G477)=1,1,0))</f>
        <v/>
      </c>
      <c r="BK477">
        <f>IF(OR($H477&lt;&gt;"Human",$S477="",$J477="",$Y477="",$Z477=""),"",IF(EXACT(UPPER($J477),UPPER($Y477)),1,0))</f>
        <v/>
      </c>
    </row>
    <row r="478">
      <c r="B478" s="142">
        <f>IF(A478="","",_xlfn.XLOOKUP(A478, Company_List!$A:$A, Company_List!$B:$B, ""))</f>
        <v/>
      </c>
      <c r="J478" s="145">
        <f>IF(OR(I478="",Settings!$B$6=""),"",IF(I478&gt;Settings!$B$6,"BUY",IF(I478&lt;-Settings!$B$6,"SELL","HOLD")))</f>
        <v/>
      </c>
      <c r="Q478" s="151">
        <f>IF(OR(N478="",P478=""),"",ROUND((P478-N478)/N478,4))</f>
        <v/>
      </c>
      <c r="R478" s="118">
        <f>IF(OR(N478="",P478=""),"",IF(Q478&gt;Settings!$B$3/100,"UP",IF(Q478&lt;-Settings!$B$3/100,"DOWN","FLAT")))</f>
        <v/>
      </c>
      <c r="S478" s="118">
        <f>IF(OR(N478="",P478="",J478=""),"",IF(OR(AND(J478="BUY",R478="UP"),AND(J478="SELL",R478="DOWN"),AND(J478="HOLD",R478="FLAT")),"YES","NO"))</f>
        <v/>
      </c>
      <c r="T478" s="119">
        <f>IF(J478="","",IF(J478="BUY",1,IF(J478="SELL",-1,0)))</f>
        <v/>
      </c>
      <c r="U478" s="150">
        <f>IFERROR(IF(OR(J478="",N478="",P478=""),"",IF(T478=0,0,T478*Q478-Settings!$B$4/10000-IF(T478&lt;0,Settings!$B$5/10000,0))),"")</f>
        <v/>
      </c>
      <c r="W478" s="21">
        <f>IF($K478="","",$K478*60)</f>
        <v/>
      </c>
      <c r="X478" s="91">
        <f>IF($A478="","",$A478&amp;"|"&amp;$C478&amp;"|"&amp;$D478)</f>
        <v/>
      </c>
      <c r="Y478" s="91">
        <f>IFERROR(IF($X478="","",INDEX(LLM_Data_Entry!$H$3:$H$548,MATCH($X478,INDEX(LLM_Data_Entry!$A$3:$A$548&amp;"|"&amp;LLM_Data_Entry!$C$3:$C$548&amp;"|"&amp;LLM_Data_Entry!$D$3:$D$548,0),0))),"")</f>
        <v/>
      </c>
      <c r="Z478" s="91">
        <f>IFERROR(IF($X478="","",INDEX(LLM_Data_Entry!$R$3:$R$548,MATCH($X478,INDEX(LLM_Data_Entry!$A$3:$A$548&amp;"|"&amp;LLM_Data_Entry!$C$3:$C$548&amp;"|"&amp;LLM_Data_Entry!$D$3:$D$548,0),0))),"")</f>
        <v/>
      </c>
      <c r="AL478">
        <f>IF($A478="","",IFERROR(INDEX(Company_List!$G$3:$G$207,MATCH($A478,Company_List!$A$3:$A$207,0)),"unassigned"))</f>
        <v/>
      </c>
      <c r="AP478">
        <f>IF($A478="","",IF(COUNTIFS(LLM_Data_Entry!$A$3:$A$548,$A478)&gt;0,"YES","NO"))</f>
        <v/>
      </c>
      <c r="AQ478">
        <f>IF($A478="","",IF(COUNTIFS($A$3:$A478,$A478,$C$3:$C478,$C478,$D$3:$D478,$D478)=1,"YES","NO"))</f>
        <v/>
      </c>
      <c r="AR478">
        <f>IF($A478="","",IF(AND($C478&amp;"-"&amp;$D478&gt;=Settings!$B$19,$C478&amp;"-"&amp;$D478&lt;=Settings!$B$20),"IN","OUT"))</f>
        <v/>
      </c>
      <c r="AS478">
        <f>IF($A478="","",IF($F478="Financial Results","financials",IF($F478="Outlook/Guidance","guidance",IF($F478="Transcript Q&amp;A","qanda",IF($F478="","unrecorded",IF($E478="All","full",IF($E478="","unrecorded",LOWER($E478)&amp;" only")))))))</f>
        <v/>
      </c>
      <c r="AT478">
        <f>IF(AND(OR($J478="BUY",$J478="SELL"),ISNUMBER($U478)),$U478,"")</f>
        <v/>
      </c>
      <c r="AU478">
        <f>IF(AND(OR($J478="BUY",$J478="SELL"),ISNUMBER($AK478)),$AK478,"")</f>
        <v/>
      </c>
      <c r="AV478">
        <f>IF(ISNUMBER($AT478),ABS(IF(ISNUMBER($I478),$I478,0)-Settings!$B$24),"")</f>
        <v/>
      </c>
      <c r="AW478">
        <f>IF(ISNUMBER($AV478),$AV478*$AT478,"")</f>
        <v/>
      </c>
      <c r="AX478">
        <f>IF(ISNUMBER($AU478),ABS(IF(ISNUMBER($I478),$I478,0)-Settings!$B$24),"")</f>
        <v/>
      </c>
      <c r="AY478">
        <f>IF(ISNUMBER($AX478),$AX478*$AU478,"")</f>
        <v/>
      </c>
      <c r="AZ478">
        <f>IF($A478="","",IFERROR(INDEX(Company_List!$H$3:$H$207,MATCH($A478,Company_List!$A$3:$A$207,0)),"unassigned"))</f>
        <v/>
      </c>
      <c r="BC478">
        <f>IF($A478="","",IF(COUNTIFS($A$3:$A478,$A478,$C$3:$C478,$C478,$D$3:$D478,$D478,$G$3:$G478,$G478)=1,1,0))</f>
        <v/>
      </c>
      <c r="BK478">
        <f>IF(OR($H478&lt;&gt;"Human",$S478="",$J478="",$Y478="",$Z478=""),"",IF(EXACT(UPPER($J478),UPPER($Y478)),1,0))</f>
        <v/>
      </c>
    </row>
    <row r="479">
      <c r="B479" s="142">
        <f>IF(A479="","",_xlfn.XLOOKUP(A479, Company_List!$A:$A, Company_List!$B:$B, ""))</f>
        <v/>
      </c>
      <c r="J479" s="145">
        <f>IF(OR(I479="",Settings!$B$6=""),"",IF(I479&gt;Settings!$B$6,"BUY",IF(I479&lt;-Settings!$B$6,"SELL","HOLD")))</f>
        <v/>
      </c>
      <c r="Q479" s="151">
        <f>IF(OR(N479="",P479=""),"",ROUND((P479-N479)/N479,4))</f>
        <v/>
      </c>
      <c r="R479" s="118">
        <f>IF(OR(N479="",P479=""),"",IF(Q479&gt;Settings!$B$3/100,"UP",IF(Q479&lt;-Settings!$B$3/100,"DOWN","FLAT")))</f>
        <v/>
      </c>
      <c r="S479" s="118">
        <f>IF(OR(N479="",P479="",J479=""),"",IF(OR(AND(J479="BUY",R479="UP"),AND(J479="SELL",R479="DOWN"),AND(J479="HOLD",R479="FLAT")),"YES","NO"))</f>
        <v/>
      </c>
      <c r="T479" s="119">
        <f>IF(J479="","",IF(J479="BUY",1,IF(J479="SELL",-1,0)))</f>
        <v/>
      </c>
      <c r="U479" s="150">
        <f>IFERROR(IF(OR(J479="",N479="",P479=""),"",IF(T479=0,0,T479*Q479-Settings!$B$4/10000-IF(T479&lt;0,Settings!$B$5/10000,0))),"")</f>
        <v/>
      </c>
      <c r="W479" s="21">
        <f>IF($K479="","",$K479*60)</f>
        <v/>
      </c>
      <c r="X479" s="91">
        <f>IF($A479="","",$A479&amp;"|"&amp;$C479&amp;"|"&amp;$D479)</f>
        <v/>
      </c>
      <c r="Y479" s="91">
        <f>IFERROR(IF($X479="","",INDEX(LLM_Data_Entry!$H$3:$H$548,MATCH($X479,INDEX(LLM_Data_Entry!$A$3:$A$548&amp;"|"&amp;LLM_Data_Entry!$C$3:$C$548&amp;"|"&amp;LLM_Data_Entry!$D$3:$D$548,0),0))),"")</f>
        <v/>
      </c>
      <c r="Z479" s="91">
        <f>IFERROR(IF($X479="","",INDEX(LLM_Data_Entry!$R$3:$R$548,MATCH($X479,INDEX(LLM_Data_Entry!$A$3:$A$548&amp;"|"&amp;LLM_Data_Entry!$C$3:$C$548&amp;"|"&amp;LLM_Data_Entry!$D$3:$D$548,0),0))),"")</f>
        <v/>
      </c>
      <c r="AL479">
        <f>IF($A479="","",IFERROR(INDEX(Company_List!$G$3:$G$207,MATCH($A479,Company_List!$A$3:$A$207,0)),"unassigned"))</f>
        <v/>
      </c>
      <c r="AP479">
        <f>IF($A479="","",IF(COUNTIFS(LLM_Data_Entry!$A$3:$A$548,$A479)&gt;0,"YES","NO"))</f>
        <v/>
      </c>
      <c r="AQ479">
        <f>IF($A479="","",IF(COUNTIFS($A$3:$A479,$A479,$C$3:$C479,$C479,$D$3:$D479,$D479)=1,"YES","NO"))</f>
        <v/>
      </c>
      <c r="AR479">
        <f>IF($A479="","",IF(AND($C479&amp;"-"&amp;$D479&gt;=Settings!$B$19,$C479&amp;"-"&amp;$D479&lt;=Settings!$B$20),"IN","OUT"))</f>
        <v/>
      </c>
      <c r="AS479">
        <f>IF($A479="","",IF($F479="Financial Results","financials",IF($F479="Outlook/Guidance","guidance",IF($F479="Transcript Q&amp;A","qanda",IF($F479="","unrecorded",IF($E479="All","full",IF($E479="","unrecorded",LOWER($E479)&amp;" only")))))))</f>
        <v/>
      </c>
      <c r="AT479">
        <f>IF(AND(OR($J479="BUY",$J479="SELL"),ISNUMBER($U479)),$U479,"")</f>
        <v/>
      </c>
      <c r="AU479">
        <f>IF(AND(OR($J479="BUY",$J479="SELL"),ISNUMBER($AK479)),$AK479,"")</f>
        <v/>
      </c>
      <c r="AV479">
        <f>IF(ISNUMBER($AT479),ABS(IF(ISNUMBER($I479),$I479,0)-Settings!$B$24),"")</f>
        <v/>
      </c>
      <c r="AW479">
        <f>IF(ISNUMBER($AV479),$AV479*$AT479,"")</f>
        <v/>
      </c>
      <c r="AX479">
        <f>IF(ISNUMBER($AU479),ABS(IF(ISNUMBER($I479),$I479,0)-Settings!$B$24),"")</f>
        <v/>
      </c>
      <c r="AY479">
        <f>IF(ISNUMBER($AX479),$AX479*$AU479,"")</f>
        <v/>
      </c>
      <c r="AZ479">
        <f>IF($A479="","",IFERROR(INDEX(Company_List!$H$3:$H$207,MATCH($A479,Company_List!$A$3:$A$207,0)),"unassigned"))</f>
        <v/>
      </c>
      <c r="BC479">
        <f>IF($A479="","",IF(COUNTIFS($A$3:$A479,$A479,$C$3:$C479,$C479,$D$3:$D479,$D479,$G$3:$G479,$G479)=1,1,0))</f>
        <v/>
      </c>
      <c r="BK479">
        <f>IF(OR($H479&lt;&gt;"Human",$S479="",$J479="",$Y479="",$Z479=""),"",IF(EXACT(UPPER($J479),UPPER($Y479)),1,0))</f>
        <v/>
      </c>
    </row>
    <row r="480">
      <c r="B480" s="142">
        <f>IF(A480="","",_xlfn.XLOOKUP(A480, Company_List!$A:$A, Company_List!$B:$B, ""))</f>
        <v/>
      </c>
      <c r="J480" s="145">
        <f>IF(OR(I480="",Settings!$B$6=""),"",IF(I480&gt;Settings!$B$6,"BUY",IF(I480&lt;-Settings!$B$6,"SELL","HOLD")))</f>
        <v/>
      </c>
      <c r="Q480" s="151">
        <f>IF(OR(N480="",P480=""),"",ROUND((P480-N480)/N480,4))</f>
        <v/>
      </c>
      <c r="R480" s="118">
        <f>IF(OR(N480="",P480=""),"",IF(Q480&gt;Settings!$B$3/100,"UP",IF(Q480&lt;-Settings!$B$3/100,"DOWN","FLAT")))</f>
        <v/>
      </c>
      <c r="S480" s="118">
        <f>IF(OR(N480="",P480="",J480=""),"",IF(OR(AND(J480="BUY",R480="UP"),AND(J480="SELL",R480="DOWN"),AND(J480="HOLD",R480="FLAT")),"YES","NO"))</f>
        <v/>
      </c>
      <c r="T480" s="119">
        <f>IF(J480="","",IF(J480="BUY",1,IF(J480="SELL",-1,0)))</f>
        <v/>
      </c>
      <c r="U480" s="150">
        <f>IFERROR(IF(OR(J480="",N480="",P480=""),"",IF(T480=0,0,T480*Q480-Settings!$B$4/10000-IF(T480&lt;0,Settings!$B$5/10000,0))),"")</f>
        <v/>
      </c>
      <c r="W480" s="21">
        <f>IF($K480="","",$K480*60)</f>
        <v/>
      </c>
      <c r="X480" s="91">
        <f>IF($A480="","",$A480&amp;"|"&amp;$C480&amp;"|"&amp;$D480)</f>
        <v/>
      </c>
      <c r="Y480" s="91">
        <f>IFERROR(IF($X480="","",INDEX(LLM_Data_Entry!$H$3:$H$548,MATCH($X480,INDEX(LLM_Data_Entry!$A$3:$A$548&amp;"|"&amp;LLM_Data_Entry!$C$3:$C$548&amp;"|"&amp;LLM_Data_Entry!$D$3:$D$548,0),0))),"")</f>
        <v/>
      </c>
      <c r="Z480" s="91">
        <f>IFERROR(IF($X480="","",INDEX(LLM_Data_Entry!$R$3:$R$548,MATCH($X480,INDEX(LLM_Data_Entry!$A$3:$A$548&amp;"|"&amp;LLM_Data_Entry!$C$3:$C$548&amp;"|"&amp;LLM_Data_Entry!$D$3:$D$548,0),0))),"")</f>
        <v/>
      </c>
      <c r="AL480">
        <f>IF($A480="","",IFERROR(INDEX(Company_List!$G$3:$G$207,MATCH($A480,Company_List!$A$3:$A$207,0)),"unassigned"))</f>
        <v/>
      </c>
      <c r="AP480">
        <f>IF($A480="","",IF(COUNTIFS(LLM_Data_Entry!$A$3:$A$548,$A480)&gt;0,"YES","NO"))</f>
        <v/>
      </c>
      <c r="AQ480">
        <f>IF($A480="","",IF(COUNTIFS($A$3:$A480,$A480,$C$3:$C480,$C480,$D$3:$D480,$D480)=1,"YES","NO"))</f>
        <v/>
      </c>
      <c r="AR480">
        <f>IF($A480="","",IF(AND($C480&amp;"-"&amp;$D480&gt;=Settings!$B$19,$C480&amp;"-"&amp;$D480&lt;=Settings!$B$20),"IN","OUT"))</f>
        <v/>
      </c>
      <c r="AS480">
        <f>IF($A480="","",IF($F480="Financial Results","financials",IF($F480="Outlook/Guidance","guidance",IF($F480="Transcript Q&amp;A","qanda",IF($F480="","unrecorded",IF($E480="All","full",IF($E480="","unrecorded",LOWER($E480)&amp;" only")))))))</f>
        <v/>
      </c>
      <c r="AT480">
        <f>IF(AND(OR($J480="BUY",$J480="SELL"),ISNUMBER($U480)),$U480,"")</f>
        <v/>
      </c>
      <c r="AU480">
        <f>IF(AND(OR($J480="BUY",$J480="SELL"),ISNUMBER($AK480)),$AK480,"")</f>
        <v/>
      </c>
      <c r="AV480">
        <f>IF(ISNUMBER($AT480),ABS(IF(ISNUMBER($I480),$I480,0)-Settings!$B$24),"")</f>
        <v/>
      </c>
      <c r="AW480">
        <f>IF(ISNUMBER($AV480),$AV480*$AT480,"")</f>
        <v/>
      </c>
      <c r="AX480">
        <f>IF(ISNUMBER($AU480),ABS(IF(ISNUMBER($I480),$I480,0)-Settings!$B$24),"")</f>
        <v/>
      </c>
      <c r="AY480">
        <f>IF(ISNUMBER($AX480),$AX480*$AU480,"")</f>
        <v/>
      </c>
      <c r="AZ480">
        <f>IF($A480="","",IFERROR(INDEX(Company_List!$H$3:$H$207,MATCH($A480,Company_List!$A$3:$A$207,0)),"unassigned"))</f>
        <v/>
      </c>
      <c r="BC480">
        <f>IF($A480="","",IF(COUNTIFS($A$3:$A480,$A480,$C$3:$C480,$C480,$D$3:$D480,$D480,$G$3:$G480,$G480)=1,1,0))</f>
        <v/>
      </c>
      <c r="BK480">
        <f>IF(OR($H480&lt;&gt;"Human",$S480="",$J480="",$Y480="",$Z480=""),"",IF(EXACT(UPPER($J480),UPPER($Y480)),1,0))</f>
        <v/>
      </c>
    </row>
    <row r="481">
      <c r="B481" s="142">
        <f>IF(A481="","",_xlfn.XLOOKUP(A481, Company_List!$A:$A, Company_List!$B:$B, ""))</f>
        <v/>
      </c>
      <c r="J481" s="145">
        <f>IF(OR(I481="",Settings!$B$6=""),"",IF(I481&gt;Settings!$B$6,"BUY",IF(I481&lt;-Settings!$B$6,"SELL","HOLD")))</f>
        <v/>
      </c>
      <c r="Q481" s="151">
        <f>IF(OR(N481="",P481=""),"",ROUND((P481-N481)/N481,4))</f>
        <v/>
      </c>
      <c r="R481" s="118">
        <f>IF(OR(N481="",P481=""),"",IF(Q481&gt;Settings!$B$3/100,"UP",IF(Q481&lt;-Settings!$B$3/100,"DOWN","FLAT")))</f>
        <v/>
      </c>
      <c r="S481" s="118">
        <f>IF(OR(N481="",P481="",J481=""),"",IF(OR(AND(J481="BUY",R481="UP"),AND(J481="SELL",R481="DOWN"),AND(J481="HOLD",R481="FLAT")),"YES","NO"))</f>
        <v/>
      </c>
      <c r="T481" s="119">
        <f>IF(J481="","",IF(J481="BUY",1,IF(J481="SELL",-1,0)))</f>
        <v/>
      </c>
      <c r="U481" s="150">
        <f>IFERROR(IF(OR(J481="",N481="",P481=""),"",IF(T481=0,0,T481*Q481-Settings!$B$4/10000-IF(T481&lt;0,Settings!$B$5/10000,0))),"")</f>
        <v/>
      </c>
      <c r="W481" s="21">
        <f>IF($K481="","",$K481*60)</f>
        <v/>
      </c>
      <c r="X481" s="91">
        <f>IF($A481="","",$A481&amp;"|"&amp;$C481&amp;"|"&amp;$D481)</f>
        <v/>
      </c>
      <c r="Y481" s="91">
        <f>IFERROR(IF($X481="","",INDEX(LLM_Data_Entry!$H$3:$H$548,MATCH($X481,INDEX(LLM_Data_Entry!$A$3:$A$548&amp;"|"&amp;LLM_Data_Entry!$C$3:$C$548&amp;"|"&amp;LLM_Data_Entry!$D$3:$D$548,0),0))),"")</f>
        <v/>
      </c>
      <c r="Z481" s="91">
        <f>IFERROR(IF($X481="","",INDEX(LLM_Data_Entry!$R$3:$R$548,MATCH($X481,INDEX(LLM_Data_Entry!$A$3:$A$548&amp;"|"&amp;LLM_Data_Entry!$C$3:$C$548&amp;"|"&amp;LLM_Data_Entry!$D$3:$D$548,0),0))),"")</f>
        <v/>
      </c>
      <c r="AL481">
        <f>IF($A481="","",IFERROR(INDEX(Company_List!$G$3:$G$207,MATCH($A481,Company_List!$A$3:$A$207,0)),"unassigned"))</f>
        <v/>
      </c>
      <c r="AP481">
        <f>IF($A481="","",IF(COUNTIFS(LLM_Data_Entry!$A$3:$A$548,$A481)&gt;0,"YES","NO"))</f>
        <v/>
      </c>
      <c r="AQ481">
        <f>IF($A481="","",IF(COUNTIFS($A$3:$A481,$A481,$C$3:$C481,$C481,$D$3:$D481,$D481)=1,"YES","NO"))</f>
        <v/>
      </c>
      <c r="AR481">
        <f>IF($A481="","",IF(AND($C481&amp;"-"&amp;$D481&gt;=Settings!$B$19,$C481&amp;"-"&amp;$D481&lt;=Settings!$B$20),"IN","OUT"))</f>
        <v/>
      </c>
      <c r="AS481">
        <f>IF($A481="","",IF($F481="Financial Results","financials",IF($F481="Outlook/Guidance","guidance",IF($F481="Transcript Q&amp;A","qanda",IF($F481="","unrecorded",IF($E481="All","full",IF($E481="","unrecorded",LOWER($E481)&amp;" only")))))))</f>
        <v/>
      </c>
      <c r="AT481">
        <f>IF(AND(OR($J481="BUY",$J481="SELL"),ISNUMBER($U481)),$U481,"")</f>
        <v/>
      </c>
      <c r="AU481">
        <f>IF(AND(OR($J481="BUY",$J481="SELL"),ISNUMBER($AK481)),$AK481,"")</f>
        <v/>
      </c>
      <c r="AV481">
        <f>IF(ISNUMBER($AT481),ABS(IF(ISNUMBER($I481),$I481,0)-Settings!$B$24),"")</f>
        <v/>
      </c>
      <c r="AW481">
        <f>IF(ISNUMBER($AV481),$AV481*$AT481,"")</f>
        <v/>
      </c>
      <c r="AX481">
        <f>IF(ISNUMBER($AU481),ABS(IF(ISNUMBER($I481),$I481,0)-Settings!$B$24),"")</f>
        <v/>
      </c>
      <c r="AY481">
        <f>IF(ISNUMBER($AX481),$AX481*$AU481,"")</f>
        <v/>
      </c>
      <c r="AZ481">
        <f>IF($A481="","",IFERROR(INDEX(Company_List!$H$3:$H$207,MATCH($A481,Company_List!$A$3:$A$207,0)),"unassigned"))</f>
        <v/>
      </c>
      <c r="BC481">
        <f>IF($A481="","",IF(COUNTIFS($A$3:$A481,$A481,$C$3:$C481,$C481,$D$3:$D481,$D481,$G$3:$G481,$G481)=1,1,0))</f>
        <v/>
      </c>
      <c r="BK481">
        <f>IF(OR($H481&lt;&gt;"Human",$S481="",$J481="",$Y481="",$Z481=""),"",IF(EXACT(UPPER($J481),UPPER($Y481)),1,0))</f>
        <v/>
      </c>
    </row>
    <row r="482">
      <c r="B482" s="142">
        <f>IF(A482="","",_xlfn.XLOOKUP(A482, Company_List!$A:$A, Company_List!$B:$B, ""))</f>
        <v/>
      </c>
      <c r="J482" s="145">
        <f>IF(OR(I482="",Settings!$B$6=""),"",IF(I482&gt;Settings!$B$6,"BUY",IF(I482&lt;-Settings!$B$6,"SELL","HOLD")))</f>
        <v/>
      </c>
      <c r="Q482" s="151">
        <f>IF(OR(N482="",P482=""),"",ROUND((P482-N482)/N482,4))</f>
        <v/>
      </c>
      <c r="R482" s="118">
        <f>IF(OR(N482="",P482=""),"",IF(Q482&gt;Settings!$B$3/100,"UP",IF(Q482&lt;-Settings!$B$3/100,"DOWN","FLAT")))</f>
        <v/>
      </c>
      <c r="S482" s="118">
        <f>IF(OR(N482="",P482="",J482=""),"",IF(OR(AND(J482="BUY",R482="UP"),AND(J482="SELL",R482="DOWN"),AND(J482="HOLD",R482="FLAT")),"YES","NO"))</f>
        <v/>
      </c>
      <c r="T482" s="119">
        <f>IF(J482="","",IF(J482="BUY",1,IF(J482="SELL",-1,0)))</f>
        <v/>
      </c>
      <c r="U482" s="150">
        <f>IFERROR(IF(OR(J482="",N482="",P482=""),"",IF(T482=0,0,T482*Q482-Settings!$B$4/10000-IF(T482&lt;0,Settings!$B$5/10000,0))),"")</f>
        <v/>
      </c>
      <c r="W482" s="21">
        <f>IF($K482="","",$K482*60)</f>
        <v/>
      </c>
      <c r="X482" s="91">
        <f>IF($A482="","",$A482&amp;"|"&amp;$C482&amp;"|"&amp;$D482)</f>
        <v/>
      </c>
      <c r="Y482" s="91">
        <f>IFERROR(IF($X482="","",INDEX(LLM_Data_Entry!$H$3:$H$548,MATCH($X482,INDEX(LLM_Data_Entry!$A$3:$A$548&amp;"|"&amp;LLM_Data_Entry!$C$3:$C$548&amp;"|"&amp;LLM_Data_Entry!$D$3:$D$548,0),0))),"")</f>
        <v/>
      </c>
      <c r="Z482" s="91">
        <f>IFERROR(IF($X482="","",INDEX(LLM_Data_Entry!$R$3:$R$548,MATCH($X482,INDEX(LLM_Data_Entry!$A$3:$A$548&amp;"|"&amp;LLM_Data_Entry!$C$3:$C$548&amp;"|"&amp;LLM_Data_Entry!$D$3:$D$548,0),0))),"")</f>
        <v/>
      </c>
      <c r="AL482">
        <f>IF($A482="","",IFERROR(INDEX(Company_List!$G$3:$G$207,MATCH($A482,Company_List!$A$3:$A$207,0)),"unassigned"))</f>
        <v/>
      </c>
      <c r="AP482">
        <f>IF($A482="","",IF(COUNTIFS(LLM_Data_Entry!$A$3:$A$548,$A482)&gt;0,"YES","NO"))</f>
        <v/>
      </c>
      <c r="AQ482">
        <f>IF($A482="","",IF(COUNTIFS($A$3:$A482,$A482,$C$3:$C482,$C482,$D$3:$D482,$D482)=1,"YES","NO"))</f>
        <v/>
      </c>
      <c r="AR482">
        <f>IF($A482="","",IF(AND($C482&amp;"-"&amp;$D482&gt;=Settings!$B$19,$C482&amp;"-"&amp;$D482&lt;=Settings!$B$20),"IN","OUT"))</f>
        <v/>
      </c>
      <c r="AS482">
        <f>IF($A482="","",IF($F482="Financial Results","financials",IF($F482="Outlook/Guidance","guidance",IF($F482="Transcript Q&amp;A","qanda",IF($F482="","unrecorded",IF($E482="All","full",IF($E482="","unrecorded",LOWER($E482)&amp;" only")))))))</f>
        <v/>
      </c>
      <c r="AT482">
        <f>IF(AND(OR($J482="BUY",$J482="SELL"),ISNUMBER($U482)),$U482,"")</f>
        <v/>
      </c>
      <c r="AU482">
        <f>IF(AND(OR($J482="BUY",$J482="SELL"),ISNUMBER($AK482)),$AK482,"")</f>
        <v/>
      </c>
      <c r="AV482">
        <f>IF(ISNUMBER($AT482),ABS(IF(ISNUMBER($I482),$I482,0)-Settings!$B$24),"")</f>
        <v/>
      </c>
      <c r="AW482">
        <f>IF(ISNUMBER($AV482),$AV482*$AT482,"")</f>
        <v/>
      </c>
      <c r="AX482">
        <f>IF(ISNUMBER($AU482),ABS(IF(ISNUMBER($I482),$I482,0)-Settings!$B$24),"")</f>
        <v/>
      </c>
      <c r="AY482">
        <f>IF(ISNUMBER($AX482),$AX482*$AU482,"")</f>
        <v/>
      </c>
      <c r="AZ482">
        <f>IF($A482="","",IFERROR(INDEX(Company_List!$H$3:$H$207,MATCH($A482,Company_List!$A$3:$A$207,0)),"unassigned"))</f>
        <v/>
      </c>
      <c r="BC482">
        <f>IF($A482="","",IF(COUNTIFS($A$3:$A482,$A482,$C$3:$C482,$C482,$D$3:$D482,$D482,$G$3:$G482,$G482)=1,1,0))</f>
        <v/>
      </c>
      <c r="BK482">
        <f>IF(OR($H482&lt;&gt;"Human",$S482="",$J482="",$Y482="",$Z482=""),"",IF(EXACT(UPPER($J482),UPPER($Y482)),1,0))</f>
        <v/>
      </c>
    </row>
    <row r="483">
      <c r="B483" s="142">
        <f>IF(A483="","",_xlfn.XLOOKUP(A483, Company_List!$A:$A, Company_List!$B:$B, ""))</f>
        <v/>
      </c>
      <c r="J483" s="145">
        <f>IF(OR(I483="",Settings!$B$6=""),"",IF(I483&gt;Settings!$B$6,"BUY",IF(I483&lt;-Settings!$B$6,"SELL","HOLD")))</f>
        <v/>
      </c>
      <c r="Q483" s="151">
        <f>IF(OR(N483="",P483=""),"",ROUND((P483-N483)/N483,4))</f>
        <v/>
      </c>
      <c r="R483" s="118">
        <f>IF(OR(N483="",P483=""),"",IF(Q483&gt;Settings!$B$3/100,"UP",IF(Q483&lt;-Settings!$B$3/100,"DOWN","FLAT")))</f>
        <v/>
      </c>
      <c r="S483" s="118">
        <f>IF(OR(N483="",P483="",J483=""),"",IF(OR(AND(J483="BUY",R483="UP"),AND(J483="SELL",R483="DOWN"),AND(J483="HOLD",R483="FLAT")),"YES","NO"))</f>
        <v/>
      </c>
      <c r="T483" s="119">
        <f>IF(J483="","",IF(J483="BUY",1,IF(J483="SELL",-1,0)))</f>
        <v/>
      </c>
      <c r="U483" s="150">
        <f>IFERROR(IF(OR(J483="",N483="",P483=""),"",IF(T483=0,0,T483*Q483-Settings!$B$4/10000-IF(T483&lt;0,Settings!$B$5/10000,0))),"")</f>
        <v/>
      </c>
      <c r="W483" s="21">
        <f>IF($K483="","",$K483*60)</f>
        <v/>
      </c>
      <c r="X483" s="91">
        <f>IF($A483="","",$A483&amp;"|"&amp;$C483&amp;"|"&amp;$D483)</f>
        <v/>
      </c>
      <c r="Y483" s="91">
        <f>IFERROR(IF($X483="","",INDEX(LLM_Data_Entry!$H$3:$H$548,MATCH($X483,INDEX(LLM_Data_Entry!$A$3:$A$548&amp;"|"&amp;LLM_Data_Entry!$C$3:$C$548&amp;"|"&amp;LLM_Data_Entry!$D$3:$D$548,0),0))),"")</f>
        <v/>
      </c>
      <c r="Z483" s="91">
        <f>IFERROR(IF($X483="","",INDEX(LLM_Data_Entry!$R$3:$R$548,MATCH($X483,INDEX(LLM_Data_Entry!$A$3:$A$548&amp;"|"&amp;LLM_Data_Entry!$C$3:$C$548&amp;"|"&amp;LLM_Data_Entry!$D$3:$D$548,0),0))),"")</f>
        <v/>
      </c>
      <c r="AL483">
        <f>IF($A483="","",IFERROR(INDEX(Company_List!$G$3:$G$207,MATCH($A483,Company_List!$A$3:$A$207,0)),"unassigned"))</f>
        <v/>
      </c>
      <c r="AP483">
        <f>IF($A483="","",IF(COUNTIFS(LLM_Data_Entry!$A$3:$A$548,$A483)&gt;0,"YES","NO"))</f>
        <v/>
      </c>
      <c r="AQ483">
        <f>IF($A483="","",IF(COUNTIFS($A$3:$A483,$A483,$C$3:$C483,$C483,$D$3:$D483,$D483)=1,"YES","NO"))</f>
        <v/>
      </c>
      <c r="AR483">
        <f>IF($A483="","",IF(AND($C483&amp;"-"&amp;$D483&gt;=Settings!$B$19,$C483&amp;"-"&amp;$D483&lt;=Settings!$B$20),"IN","OUT"))</f>
        <v/>
      </c>
      <c r="AS483">
        <f>IF($A483="","",IF($F483="Financial Results","financials",IF($F483="Outlook/Guidance","guidance",IF($F483="Transcript Q&amp;A","qanda",IF($F483="","unrecorded",IF($E483="All","full",IF($E483="","unrecorded",LOWER($E483)&amp;" only")))))))</f>
        <v/>
      </c>
      <c r="AT483">
        <f>IF(AND(OR($J483="BUY",$J483="SELL"),ISNUMBER($U483)),$U483,"")</f>
        <v/>
      </c>
      <c r="AU483">
        <f>IF(AND(OR($J483="BUY",$J483="SELL"),ISNUMBER($AK483)),$AK483,"")</f>
        <v/>
      </c>
      <c r="AV483">
        <f>IF(ISNUMBER($AT483),ABS(IF(ISNUMBER($I483),$I483,0)-Settings!$B$24),"")</f>
        <v/>
      </c>
      <c r="AW483">
        <f>IF(ISNUMBER($AV483),$AV483*$AT483,"")</f>
        <v/>
      </c>
      <c r="AX483">
        <f>IF(ISNUMBER($AU483),ABS(IF(ISNUMBER($I483),$I483,0)-Settings!$B$24),"")</f>
        <v/>
      </c>
      <c r="AY483">
        <f>IF(ISNUMBER($AX483),$AX483*$AU483,"")</f>
        <v/>
      </c>
      <c r="AZ483">
        <f>IF($A483="","",IFERROR(INDEX(Company_List!$H$3:$H$207,MATCH($A483,Company_List!$A$3:$A$207,0)),"unassigned"))</f>
        <v/>
      </c>
      <c r="BC483">
        <f>IF($A483="","",IF(COUNTIFS($A$3:$A483,$A483,$C$3:$C483,$C483,$D$3:$D483,$D483,$G$3:$G483,$G483)=1,1,0))</f>
        <v/>
      </c>
      <c r="BK483">
        <f>IF(OR($H483&lt;&gt;"Human",$S483="",$J483="",$Y483="",$Z483=""),"",IF(EXACT(UPPER($J483),UPPER($Y483)),1,0))</f>
        <v/>
      </c>
    </row>
    <row r="484">
      <c r="B484" s="142">
        <f>IF(A484="","",_xlfn.XLOOKUP(A484, Company_List!$A:$A, Company_List!$B:$B, ""))</f>
        <v/>
      </c>
      <c r="J484" s="145">
        <f>IF(OR(I484="",Settings!$B$6=""),"",IF(I484&gt;Settings!$B$6,"BUY",IF(I484&lt;-Settings!$B$6,"SELL","HOLD")))</f>
        <v/>
      </c>
      <c r="Q484" s="151">
        <f>IF(OR(N484="",P484=""),"",ROUND((P484-N484)/N484,4))</f>
        <v/>
      </c>
      <c r="R484" s="118">
        <f>IF(OR(N484="",P484=""),"",IF(Q484&gt;Settings!$B$3/100,"UP",IF(Q484&lt;-Settings!$B$3/100,"DOWN","FLAT")))</f>
        <v/>
      </c>
      <c r="S484" s="118">
        <f>IF(OR(N484="",P484="",J484=""),"",IF(OR(AND(J484="BUY",R484="UP"),AND(J484="SELL",R484="DOWN"),AND(J484="HOLD",R484="FLAT")),"YES","NO"))</f>
        <v/>
      </c>
      <c r="T484" s="119">
        <f>IF(J484="","",IF(J484="BUY",1,IF(J484="SELL",-1,0)))</f>
        <v/>
      </c>
      <c r="U484" s="150">
        <f>IFERROR(IF(OR(J484="",N484="",P484=""),"",IF(T484=0,0,T484*Q484-Settings!$B$4/10000-IF(T484&lt;0,Settings!$B$5/10000,0))),"")</f>
        <v/>
      </c>
      <c r="W484" s="21">
        <f>IF($K484="","",$K484*60)</f>
        <v/>
      </c>
      <c r="X484" s="91">
        <f>IF($A484="","",$A484&amp;"|"&amp;$C484&amp;"|"&amp;$D484)</f>
        <v/>
      </c>
      <c r="Y484" s="91">
        <f>IFERROR(IF($X484="","",INDEX(LLM_Data_Entry!$H$3:$H$548,MATCH($X484,INDEX(LLM_Data_Entry!$A$3:$A$548&amp;"|"&amp;LLM_Data_Entry!$C$3:$C$548&amp;"|"&amp;LLM_Data_Entry!$D$3:$D$548,0),0))),"")</f>
        <v/>
      </c>
      <c r="Z484" s="91">
        <f>IFERROR(IF($X484="","",INDEX(LLM_Data_Entry!$R$3:$R$548,MATCH($X484,INDEX(LLM_Data_Entry!$A$3:$A$548&amp;"|"&amp;LLM_Data_Entry!$C$3:$C$548&amp;"|"&amp;LLM_Data_Entry!$D$3:$D$548,0),0))),"")</f>
        <v/>
      </c>
      <c r="AL484">
        <f>IF($A484="","",IFERROR(INDEX(Company_List!$G$3:$G$207,MATCH($A484,Company_List!$A$3:$A$207,0)),"unassigned"))</f>
        <v/>
      </c>
      <c r="AP484">
        <f>IF($A484="","",IF(COUNTIFS(LLM_Data_Entry!$A$3:$A$548,$A484)&gt;0,"YES","NO"))</f>
        <v/>
      </c>
      <c r="AQ484">
        <f>IF($A484="","",IF(COUNTIFS($A$3:$A484,$A484,$C$3:$C484,$C484,$D$3:$D484,$D484)=1,"YES","NO"))</f>
        <v/>
      </c>
      <c r="AR484">
        <f>IF($A484="","",IF(AND($C484&amp;"-"&amp;$D484&gt;=Settings!$B$19,$C484&amp;"-"&amp;$D484&lt;=Settings!$B$20),"IN","OUT"))</f>
        <v/>
      </c>
      <c r="AS484">
        <f>IF($A484="","",IF($F484="Financial Results","financials",IF($F484="Outlook/Guidance","guidance",IF($F484="Transcript Q&amp;A","qanda",IF($F484="","unrecorded",IF($E484="All","full",IF($E484="","unrecorded",LOWER($E484)&amp;" only")))))))</f>
        <v/>
      </c>
      <c r="AT484">
        <f>IF(AND(OR($J484="BUY",$J484="SELL"),ISNUMBER($U484)),$U484,"")</f>
        <v/>
      </c>
      <c r="AU484">
        <f>IF(AND(OR($J484="BUY",$J484="SELL"),ISNUMBER($AK484)),$AK484,"")</f>
        <v/>
      </c>
      <c r="AV484">
        <f>IF(ISNUMBER($AT484),ABS(IF(ISNUMBER($I484),$I484,0)-Settings!$B$24),"")</f>
        <v/>
      </c>
      <c r="AW484">
        <f>IF(ISNUMBER($AV484),$AV484*$AT484,"")</f>
        <v/>
      </c>
      <c r="AX484">
        <f>IF(ISNUMBER($AU484),ABS(IF(ISNUMBER($I484),$I484,0)-Settings!$B$24),"")</f>
        <v/>
      </c>
      <c r="AY484">
        <f>IF(ISNUMBER($AX484),$AX484*$AU484,"")</f>
        <v/>
      </c>
      <c r="AZ484">
        <f>IF($A484="","",IFERROR(INDEX(Company_List!$H$3:$H$207,MATCH($A484,Company_List!$A$3:$A$207,0)),"unassigned"))</f>
        <v/>
      </c>
      <c r="BC484">
        <f>IF($A484="","",IF(COUNTIFS($A$3:$A484,$A484,$C$3:$C484,$C484,$D$3:$D484,$D484,$G$3:$G484,$G484)=1,1,0))</f>
        <v/>
      </c>
      <c r="BK484">
        <f>IF(OR($H484&lt;&gt;"Human",$S484="",$J484="",$Y484="",$Z484=""),"",IF(EXACT(UPPER($J484),UPPER($Y484)),1,0))</f>
        <v/>
      </c>
    </row>
    <row r="485">
      <c r="B485" s="142">
        <f>IF(A485="","",_xlfn.XLOOKUP(A485, Company_List!$A:$A, Company_List!$B:$B, ""))</f>
        <v/>
      </c>
      <c r="J485" s="145">
        <f>IF(OR(I485="",Settings!$B$6=""),"",IF(I485&gt;Settings!$B$6,"BUY",IF(I485&lt;-Settings!$B$6,"SELL","HOLD")))</f>
        <v/>
      </c>
      <c r="Q485" s="151">
        <f>IF(OR(N485="",P485=""),"",ROUND((P485-N485)/N485,4))</f>
        <v/>
      </c>
      <c r="R485" s="118">
        <f>IF(OR(N485="",P485=""),"",IF(Q485&gt;Settings!$B$3/100,"UP",IF(Q485&lt;-Settings!$B$3/100,"DOWN","FLAT")))</f>
        <v/>
      </c>
      <c r="S485" s="118">
        <f>IF(OR(N485="",P485="",J485=""),"",IF(OR(AND(J485="BUY",R485="UP"),AND(J485="SELL",R485="DOWN"),AND(J485="HOLD",R485="FLAT")),"YES","NO"))</f>
        <v/>
      </c>
      <c r="T485" s="119">
        <f>IF(J485="","",IF(J485="BUY",1,IF(J485="SELL",-1,0)))</f>
        <v/>
      </c>
      <c r="U485" s="150">
        <f>IFERROR(IF(OR(J485="",N485="",P485=""),"",IF(T485=0,0,T485*Q485-Settings!$B$4/10000-IF(T485&lt;0,Settings!$B$5/10000,0))),"")</f>
        <v/>
      </c>
      <c r="W485" s="21">
        <f>IF($K485="","",$K485*60)</f>
        <v/>
      </c>
      <c r="X485" s="91">
        <f>IF($A485="","",$A485&amp;"|"&amp;$C485&amp;"|"&amp;$D485)</f>
        <v/>
      </c>
      <c r="Y485" s="91">
        <f>IFERROR(IF($X485="","",INDEX(LLM_Data_Entry!$H$3:$H$548,MATCH($X485,INDEX(LLM_Data_Entry!$A$3:$A$548&amp;"|"&amp;LLM_Data_Entry!$C$3:$C$548&amp;"|"&amp;LLM_Data_Entry!$D$3:$D$548,0),0))),"")</f>
        <v/>
      </c>
      <c r="Z485" s="91">
        <f>IFERROR(IF($X485="","",INDEX(LLM_Data_Entry!$R$3:$R$548,MATCH($X485,INDEX(LLM_Data_Entry!$A$3:$A$548&amp;"|"&amp;LLM_Data_Entry!$C$3:$C$548&amp;"|"&amp;LLM_Data_Entry!$D$3:$D$548,0),0))),"")</f>
        <v/>
      </c>
      <c r="AL485">
        <f>IF($A485="","",IFERROR(INDEX(Company_List!$G$3:$G$207,MATCH($A485,Company_List!$A$3:$A$207,0)),"unassigned"))</f>
        <v/>
      </c>
      <c r="AP485">
        <f>IF($A485="","",IF(COUNTIFS(LLM_Data_Entry!$A$3:$A$548,$A485)&gt;0,"YES","NO"))</f>
        <v/>
      </c>
      <c r="AQ485">
        <f>IF($A485="","",IF(COUNTIFS($A$3:$A485,$A485,$C$3:$C485,$C485,$D$3:$D485,$D485)=1,"YES","NO"))</f>
        <v/>
      </c>
      <c r="AR485">
        <f>IF($A485="","",IF(AND($C485&amp;"-"&amp;$D485&gt;=Settings!$B$19,$C485&amp;"-"&amp;$D485&lt;=Settings!$B$20),"IN","OUT"))</f>
        <v/>
      </c>
      <c r="AS485">
        <f>IF($A485="","",IF($F485="Financial Results","financials",IF($F485="Outlook/Guidance","guidance",IF($F485="Transcript Q&amp;A","qanda",IF($F485="","unrecorded",IF($E485="All","full",IF($E485="","unrecorded",LOWER($E485)&amp;" only")))))))</f>
        <v/>
      </c>
      <c r="AT485">
        <f>IF(AND(OR($J485="BUY",$J485="SELL"),ISNUMBER($U485)),$U485,"")</f>
        <v/>
      </c>
      <c r="AU485">
        <f>IF(AND(OR($J485="BUY",$J485="SELL"),ISNUMBER($AK485)),$AK485,"")</f>
        <v/>
      </c>
      <c r="AV485">
        <f>IF(ISNUMBER($AT485),ABS(IF(ISNUMBER($I485),$I485,0)-Settings!$B$24),"")</f>
        <v/>
      </c>
      <c r="AW485">
        <f>IF(ISNUMBER($AV485),$AV485*$AT485,"")</f>
        <v/>
      </c>
      <c r="AX485">
        <f>IF(ISNUMBER($AU485),ABS(IF(ISNUMBER($I485),$I485,0)-Settings!$B$24),"")</f>
        <v/>
      </c>
      <c r="AY485">
        <f>IF(ISNUMBER($AX485),$AX485*$AU485,"")</f>
        <v/>
      </c>
      <c r="AZ485">
        <f>IF($A485="","",IFERROR(INDEX(Company_List!$H$3:$H$207,MATCH($A485,Company_List!$A$3:$A$207,0)),"unassigned"))</f>
        <v/>
      </c>
      <c r="BC485">
        <f>IF($A485="","",IF(COUNTIFS($A$3:$A485,$A485,$C$3:$C485,$C485,$D$3:$D485,$D485,$G$3:$G485,$G485)=1,1,0))</f>
        <v/>
      </c>
      <c r="BK485">
        <f>IF(OR($H485&lt;&gt;"Human",$S485="",$J485="",$Y485="",$Z485=""),"",IF(EXACT(UPPER($J485),UPPER($Y485)),1,0))</f>
        <v/>
      </c>
    </row>
    <row r="486">
      <c r="B486" s="142">
        <f>IF(A486="","",_xlfn.XLOOKUP(A486, Company_List!$A:$A, Company_List!$B:$B, ""))</f>
        <v/>
      </c>
      <c r="J486" s="145">
        <f>IF(OR(I486="",Settings!$B$6=""),"",IF(I486&gt;Settings!$B$6,"BUY",IF(I486&lt;-Settings!$B$6,"SELL","HOLD")))</f>
        <v/>
      </c>
      <c r="Q486" s="151">
        <f>IF(OR(N486="",P486=""),"",ROUND((P486-N486)/N486,4))</f>
        <v/>
      </c>
      <c r="R486" s="118">
        <f>IF(OR(N486="",P486=""),"",IF(Q486&gt;Settings!$B$3/100,"UP",IF(Q486&lt;-Settings!$B$3/100,"DOWN","FLAT")))</f>
        <v/>
      </c>
      <c r="S486" s="118">
        <f>IF(OR(N486="",P486="",J486=""),"",IF(OR(AND(J486="BUY",R486="UP"),AND(J486="SELL",R486="DOWN"),AND(J486="HOLD",R486="FLAT")),"YES","NO"))</f>
        <v/>
      </c>
      <c r="T486" s="119">
        <f>IF(J486="","",IF(J486="BUY",1,IF(J486="SELL",-1,0)))</f>
        <v/>
      </c>
      <c r="U486" s="150">
        <f>IFERROR(IF(OR(J486="",N486="",P486=""),"",IF(T486=0,0,T486*Q486-Settings!$B$4/10000-IF(T486&lt;0,Settings!$B$5/10000,0))),"")</f>
        <v/>
      </c>
      <c r="W486" s="21">
        <f>IF($K486="","",$K486*60)</f>
        <v/>
      </c>
      <c r="X486" s="91">
        <f>IF($A486="","",$A486&amp;"|"&amp;$C486&amp;"|"&amp;$D486)</f>
        <v/>
      </c>
      <c r="Y486" s="91">
        <f>IFERROR(IF($X486="","",INDEX(LLM_Data_Entry!$H$3:$H$548,MATCH($X486,INDEX(LLM_Data_Entry!$A$3:$A$548&amp;"|"&amp;LLM_Data_Entry!$C$3:$C$548&amp;"|"&amp;LLM_Data_Entry!$D$3:$D$548,0),0))),"")</f>
        <v/>
      </c>
      <c r="Z486" s="91">
        <f>IFERROR(IF($X486="","",INDEX(LLM_Data_Entry!$R$3:$R$548,MATCH($X486,INDEX(LLM_Data_Entry!$A$3:$A$548&amp;"|"&amp;LLM_Data_Entry!$C$3:$C$548&amp;"|"&amp;LLM_Data_Entry!$D$3:$D$548,0),0))),"")</f>
        <v/>
      </c>
      <c r="AL486">
        <f>IF($A486="","",IFERROR(INDEX(Company_List!$G$3:$G$207,MATCH($A486,Company_List!$A$3:$A$207,0)),"unassigned"))</f>
        <v/>
      </c>
      <c r="AP486">
        <f>IF($A486="","",IF(COUNTIFS(LLM_Data_Entry!$A$3:$A$548,$A486)&gt;0,"YES","NO"))</f>
        <v/>
      </c>
      <c r="AQ486">
        <f>IF($A486="","",IF(COUNTIFS($A$3:$A486,$A486,$C$3:$C486,$C486,$D$3:$D486,$D486)=1,"YES","NO"))</f>
        <v/>
      </c>
      <c r="AR486">
        <f>IF($A486="","",IF(AND($C486&amp;"-"&amp;$D486&gt;=Settings!$B$19,$C486&amp;"-"&amp;$D486&lt;=Settings!$B$20),"IN","OUT"))</f>
        <v/>
      </c>
      <c r="AS486">
        <f>IF($A486="","",IF($F486="Financial Results","financials",IF($F486="Outlook/Guidance","guidance",IF($F486="Transcript Q&amp;A","qanda",IF($F486="","unrecorded",IF($E486="All","full",IF($E486="","unrecorded",LOWER($E486)&amp;" only")))))))</f>
        <v/>
      </c>
      <c r="AT486">
        <f>IF(AND(OR($J486="BUY",$J486="SELL"),ISNUMBER($U486)),$U486,"")</f>
        <v/>
      </c>
      <c r="AU486">
        <f>IF(AND(OR($J486="BUY",$J486="SELL"),ISNUMBER($AK486)),$AK486,"")</f>
        <v/>
      </c>
      <c r="AV486">
        <f>IF(ISNUMBER($AT486),ABS(IF(ISNUMBER($I486),$I486,0)-Settings!$B$24),"")</f>
        <v/>
      </c>
      <c r="AW486">
        <f>IF(ISNUMBER($AV486),$AV486*$AT486,"")</f>
        <v/>
      </c>
      <c r="AX486">
        <f>IF(ISNUMBER($AU486),ABS(IF(ISNUMBER($I486),$I486,0)-Settings!$B$24),"")</f>
        <v/>
      </c>
      <c r="AY486">
        <f>IF(ISNUMBER($AX486),$AX486*$AU486,"")</f>
        <v/>
      </c>
      <c r="AZ486">
        <f>IF($A486="","",IFERROR(INDEX(Company_List!$H$3:$H$207,MATCH($A486,Company_List!$A$3:$A$207,0)),"unassigned"))</f>
        <v/>
      </c>
      <c r="BC486">
        <f>IF($A486="","",IF(COUNTIFS($A$3:$A486,$A486,$C$3:$C486,$C486,$D$3:$D486,$D486,$G$3:$G486,$G486)=1,1,0))</f>
        <v/>
      </c>
      <c r="BK486">
        <f>IF(OR($H486&lt;&gt;"Human",$S486="",$J486="",$Y486="",$Z486=""),"",IF(EXACT(UPPER($J486),UPPER($Y486)),1,0))</f>
        <v/>
      </c>
    </row>
    <row r="487">
      <c r="B487" s="142">
        <f>IF(A487="","",_xlfn.XLOOKUP(A487, Company_List!$A:$A, Company_List!$B:$B, ""))</f>
        <v/>
      </c>
      <c r="J487" s="145">
        <f>IF(OR(I487="",Settings!$B$6=""),"",IF(I487&gt;Settings!$B$6,"BUY",IF(I487&lt;-Settings!$B$6,"SELL","HOLD")))</f>
        <v/>
      </c>
      <c r="Q487" s="151">
        <f>IF(OR(N487="",P487=""),"",ROUND((P487-N487)/N487,4))</f>
        <v/>
      </c>
      <c r="R487" s="118">
        <f>IF(OR(N487="",P487=""),"",IF(Q487&gt;Settings!$B$3/100,"UP",IF(Q487&lt;-Settings!$B$3/100,"DOWN","FLAT")))</f>
        <v/>
      </c>
      <c r="S487" s="118">
        <f>IF(OR(N487="",P487="",J487=""),"",IF(OR(AND(J487="BUY",R487="UP"),AND(J487="SELL",R487="DOWN"),AND(J487="HOLD",R487="FLAT")),"YES","NO"))</f>
        <v/>
      </c>
      <c r="T487" s="119">
        <f>IF(J487="","",IF(J487="BUY",1,IF(J487="SELL",-1,0)))</f>
        <v/>
      </c>
      <c r="U487" s="150">
        <f>IFERROR(IF(OR(J487="",N487="",P487=""),"",IF(T487=0,0,T487*Q487-Settings!$B$4/10000-IF(T487&lt;0,Settings!$B$5/10000,0))),"")</f>
        <v/>
      </c>
      <c r="W487" s="21">
        <f>IF($K487="","",$K487*60)</f>
        <v/>
      </c>
      <c r="X487" s="91">
        <f>IF($A487="","",$A487&amp;"|"&amp;$C487&amp;"|"&amp;$D487)</f>
        <v/>
      </c>
      <c r="Y487" s="91">
        <f>IFERROR(IF($X487="","",INDEX(LLM_Data_Entry!$H$3:$H$548,MATCH($X487,INDEX(LLM_Data_Entry!$A$3:$A$548&amp;"|"&amp;LLM_Data_Entry!$C$3:$C$548&amp;"|"&amp;LLM_Data_Entry!$D$3:$D$548,0),0))),"")</f>
        <v/>
      </c>
      <c r="Z487" s="91">
        <f>IFERROR(IF($X487="","",INDEX(LLM_Data_Entry!$R$3:$R$548,MATCH($X487,INDEX(LLM_Data_Entry!$A$3:$A$548&amp;"|"&amp;LLM_Data_Entry!$C$3:$C$548&amp;"|"&amp;LLM_Data_Entry!$D$3:$D$548,0),0))),"")</f>
        <v/>
      </c>
      <c r="AL487">
        <f>IF($A487="","",IFERROR(INDEX(Company_List!$G$3:$G$207,MATCH($A487,Company_List!$A$3:$A$207,0)),"unassigned"))</f>
        <v/>
      </c>
      <c r="AP487">
        <f>IF($A487="","",IF(COUNTIFS(LLM_Data_Entry!$A$3:$A$548,$A487)&gt;0,"YES","NO"))</f>
        <v/>
      </c>
      <c r="AQ487">
        <f>IF($A487="","",IF(COUNTIFS($A$3:$A487,$A487,$C$3:$C487,$C487,$D$3:$D487,$D487)=1,"YES","NO"))</f>
        <v/>
      </c>
      <c r="AR487">
        <f>IF($A487="","",IF(AND($C487&amp;"-"&amp;$D487&gt;=Settings!$B$19,$C487&amp;"-"&amp;$D487&lt;=Settings!$B$20),"IN","OUT"))</f>
        <v/>
      </c>
      <c r="AS487">
        <f>IF($A487="","",IF($F487="Financial Results","financials",IF($F487="Outlook/Guidance","guidance",IF($F487="Transcript Q&amp;A","qanda",IF($F487="","unrecorded",IF($E487="All","full",IF($E487="","unrecorded",LOWER($E487)&amp;" only")))))))</f>
        <v/>
      </c>
      <c r="AT487">
        <f>IF(AND(OR($J487="BUY",$J487="SELL"),ISNUMBER($U487)),$U487,"")</f>
        <v/>
      </c>
      <c r="AU487">
        <f>IF(AND(OR($J487="BUY",$J487="SELL"),ISNUMBER($AK487)),$AK487,"")</f>
        <v/>
      </c>
      <c r="AV487">
        <f>IF(ISNUMBER($AT487),ABS(IF(ISNUMBER($I487),$I487,0)-Settings!$B$24),"")</f>
        <v/>
      </c>
      <c r="AW487">
        <f>IF(ISNUMBER($AV487),$AV487*$AT487,"")</f>
        <v/>
      </c>
      <c r="AX487">
        <f>IF(ISNUMBER($AU487),ABS(IF(ISNUMBER($I487),$I487,0)-Settings!$B$24),"")</f>
        <v/>
      </c>
      <c r="AY487">
        <f>IF(ISNUMBER($AX487),$AX487*$AU487,"")</f>
        <v/>
      </c>
      <c r="AZ487">
        <f>IF($A487="","",IFERROR(INDEX(Company_List!$H$3:$H$207,MATCH($A487,Company_List!$A$3:$A$207,0)),"unassigned"))</f>
        <v/>
      </c>
      <c r="BC487">
        <f>IF($A487="","",IF(COUNTIFS($A$3:$A487,$A487,$C$3:$C487,$C487,$D$3:$D487,$D487,$G$3:$G487,$G487)=1,1,0))</f>
        <v/>
      </c>
      <c r="BK487">
        <f>IF(OR($H487&lt;&gt;"Human",$S487="",$J487="",$Y487="",$Z487=""),"",IF(EXACT(UPPER($J487),UPPER($Y487)),1,0))</f>
        <v/>
      </c>
    </row>
    <row r="488">
      <c r="B488" s="142">
        <f>IF(A488="","",_xlfn.XLOOKUP(A488, Company_List!$A:$A, Company_List!$B:$B, ""))</f>
        <v/>
      </c>
      <c r="J488" s="145">
        <f>IF(OR(I488="",Settings!$B$6=""),"",IF(I488&gt;Settings!$B$6,"BUY",IF(I488&lt;-Settings!$B$6,"SELL","HOLD")))</f>
        <v/>
      </c>
      <c r="Q488" s="151">
        <f>IF(OR(N488="",P488=""),"",ROUND((P488-N488)/N488,4))</f>
        <v/>
      </c>
      <c r="R488" s="118">
        <f>IF(OR(N488="",P488=""),"",IF(Q488&gt;Settings!$B$3/100,"UP",IF(Q488&lt;-Settings!$B$3/100,"DOWN","FLAT")))</f>
        <v/>
      </c>
      <c r="S488" s="118">
        <f>IF(OR(N488="",P488="",J488=""),"",IF(OR(AND(J488="BUY",R488="UP"),AND(J488="SELL",R488="DOWN"),AND(J488="HOLD",R488="FLAT")),"YES","NO"))</f>
        <v/>
      </c>
      <c r="T488" s="119">
        <f>IF(J488="","",IF(J488="BUY",1,IF(J488="SELL",-1,0)))</f>
        <v/>
      </c>
      <c r="U488" s="150">
        <f>IFERROR(IF(OR(J488="",N488="",P488=""),"",IF(T488=0,0,T488*Q488-Settings!$B$4/10000-IF(T488&lt;0,Settings!$B$5/10000,0))),"")</f>
        <v/>
      </c>
      <c r="W488" s="21">
        <f>IF($K488="","",$K488*60)</f>
        <v/>
      </c>
      <c r="X488" s="91">
        <f>IF($A488="","",$A488&amp;"|"&amp;$C488&amp;"|"&amp;$D488)</f>
        <v/>
      </c>
      <c r="Y488" s="91">
        <f>IFERROR(IF($X488="","",INDEX(LLM_Data_Entry!$H$3:$H$548,MATCH($X488,INDEX(LLM_Data_Entry!$A$3:$A$548&amp;"|"&amp;LLM_Data_Entry!$C$3:$C$548&amp;"|"&amp;LLM_Data_Entry!$D$3:$D$548,0),0))),"")</f>
        <v/>
      </c>
      <c r="Z488" s="91">
        <f>IFERROR(IF($X488="","",INDEX(LLM_Data_Entry!$R$3:$R$548,MATCH($X488,INDEX(LLM_Data_Entry!$A$3:$A$548&amp;"|"&amp;LLM_Data_Entry!$C$3:$C$548&amp;"|"&amp;LLM_Data_Entry!$D$3:$D$548,0),0))),"")</f>
        <v/>
      </c>
      <c r="AL488">
        <f>IF($A488="","",IFERROR(INDEX(Company_List!$G$3:$G$207,MATCH($A488,Company_List!$A$3:$A$207,0)),"unassigned"))</f>
        <v/>
      </c>
      <c r="AP488">
        <f>IF($A488="","",IF(COUNTIFS(LLM_Data_Entry!$A$3:$A$548,$A488)&gt;0,"YES","NO"))</f>
        <v/>
      </c>
      <c r="AQ488">
        <f>IF($A488="","",IF(COUNTIFS($A$3:$A488,$A488,$C$3:$C488,$C488,$D$3:$D488,$D488)=1,"YES","NO"))</f>
        <v/>
      </c>
      <c r="AR488">
        <f>IF($A488="","",IF(AND($C488&amp;"-"&amp;$D488&gt;=Settings!$B$19,$C488&amp;"-"&amp;$D488&lt;=Settings!$B$20),"IN","OUT"))</f>
        <v/>
      </c>
      <c r="AS488">
        <f>IF($A488="","",IF($F488="Financial Results","financials",IF($F488="Outlook/Guidance","guidance",IF($F488="Transcript Q&amp;A","qanda",IF($F488="","unrecorded",IF($E488="All","full",IF($E488="","unrecorded",LOWER($E488)&amp;" only")))))))</f>
        <v/>
      </c>
      <c r="AT488">
        <f>IF(AND(OR($J488="BUY",$J488="SELL"),ISNUMBER($U488)),$U488,"")</f>
        <v/>
      </c>
      <c r="AU488">
        <f>IF(AND(OR($J488="BUY",$J488="SELL"),ISNUMBER($AK488)),$AK488,"")</f>
        <v/>
      </c>
      <c r="AV488">
        <f>IF(ISNUMBER($AT488),ABS(IF(ISNUMBER($I488),$I488,0)-Settings!$B$24),"")</f>
        <v/>
      </c>
      <c r="AW488">
        <f>IF(ISNUMBER($AV488),$AV488*$AT488,"")</f>
        <v/>
      </c>
      <c r="AX488">
        <f>IF(ISNUMBER($AU488),ABS(IF(ISNUMBER($I488),$I488,0)-Settings!$B$24),"")</f>
        <v/>
      </c>
      <c r="AY488">
        <f>IF(ISNUMBER($AX488),$AX488*$AU488,"")</f>
        <v/>
      </c>
      <c r="AZ488">
        <f>IF($A488="","",IFERROR(INDEX(Company_List!$H$3:$H$207,MATCH($A488,Company_List!$A$3:$A$207,0)),"unassigned"))</f>
        <v/>
      </c>
      <c r="BC488">
        <f>IF($A488="","",IF(COUNTIFS($A$3:$A488,$A488,$C$3:$C488,$C488,$D$3:$D488,$D488,$G$3:$G488,$G488)=1,1,0))</f>
        <v/>
      </c>
      <c r="BK488">
        <f>IF(OR($H488&lt;&gt;"Human",$S488="",$J488="",$Y488="",$Z488=""),"",IF(EXACT(UPPER($J488),UPPER($Y488)),1,0))</f>
        <v/>
      </c>
    </row>
    <row r="489">
      <c r="B489" s="142">
        <f>IF(A489="","",_xlfn.XLOOKUP(A489, Company_List!$A:$A, Company_List!$B:$B, ""))</f>
        <v/>
      </c>
      <c r="J489" s="145">
        <f>IF(OR(I489="",Settings!$B$6=""),"",IF(I489&gt;Settings!$B$6,"BUY",IF(I489&lt;-Settings!$B$6,"SELL","HOLD")))</f>
        <v/>
      </c>
      <c r="Q489" s="151">
        <f>IF(OR(N489="",P489=""),"",ROUND((P489-N489)/N489,4))</f>
        <v/>
      </c>
      <c r="R489" s="118">
        <f>IF(OR(N489="",P489=""),"",IF(Q489&gt;Settings!$B$3/100,"UP",IF(Q489&lt;-Settings!$B$3/100,"DOWN","FLAT")))</f>
        <v/>
      </c>
      <c r="S489" s="118">
        <f>IF(OR(N489="",P489="",J489=""),"",IF(OR(AND(J489="BUY",R489="UP"),AND(J489="SELL",R489="DOWN"),AND(J489="HOLD",R489="FLAT")),"YES","NO"))</f>
        <v/>
      </c>
      <c r="T489" s="119">
        <f>IF(J489="","",IF(J489="BUY",1,IF(J489="SELL",-1,0)))</f>
        <v/>
      </c>
      <c r="U489" s="150">
        <f>IFERROR(IF(OR(J489="",N489="",P489=""),"",IF(T489=0,0,T489*Q489-Settings!$B$4/10000-IF(T489&lt;0,Settings!$B$5/10000,0))),"")</f>
        <v/>
      </c>
      <c r="W489" s="21">
        <f>IF($K489="","",$K489*60)</f>
        <v/>
      </c>
      <c r="X489" s="91">
        <f>IF($A489="","",$A489&amp;"|"&amp;$C489&amp;"|"&amp;$D489)</f>
        <v/>
      </c>
      <c r="Y489" s="91">
        <f>IFERROR(IF($X489="","",INDEX(LLM_Data_Entry!$H$3:$H$548,MATCH($X489,INDEX(LLM_Data_Entry!$A$3:$A$548&amp;"|"&amp;LLM_Data_Entry!$C$3:$C$548&amp;"|"&amp;LLM_Data_Entry!$D$3:$D$548,0),0))),"")</f>
        <v/>
      </c>
      <c r="Z489" s="91">
        <f>IFERROR(IF($X489="","",INDEX(LLM_Data_Entry!$R$3:$R$548,MATCH($X489,INDEX(LLM_Data_Entry!$A$3:$A$548&amp;"|"&amp;LLM_Data_Entry!$C$3:$C$548&amp;"|"&amp;LLM_Data_Entry!$D$3:$D$548,0),0))),"")</f>
        <v/>
      </c>
      <c r="AL489">
        <f>IF($A489="","",IFERROR(INDEX(Company_List!$G$3:$G$207,MATCH($A489,Company_List!$A$3:$A$207,0)),"unassigned"))</f>
        <v/>
      </c>
      <c r="AP489">
        <f>IF($A489="","",IF(COUNTIFS(LLM_Data_Entry!$A$3:$A$548,$A489)&gt;0,"YES","NO"))</f>
        <v/>
      </c>
      <c r="AQ489">
        <f>IF($A489="","",IF(COUNTIFS($A$3:$A489,$A489,$C$3:$C489,$C489,$D$3:$D489,$D489)=1,"YES","NO"))</f>
        <v/>
      </c>
      <c r="AR489">
        <f>IF($A489="","",IF(AND($C489&amp;"-"&amp;$D489&gt;=Settings!$B$19,$C489&amp;"-"&amp;$D489&lt;=Settings!$B$20),"IN","OUT"))</f>
        <v/>
      </c>
      <c r="AS489">
        <f>IF($A489="","",IF($F489="Financial Results","financials",IF($F489="Outlook/Guidance","guidance",IF($F489="Transcript Q&amp;A","qanda",IF($F489="","unrecorded",IF($E489="All","full",IF($E489="","unrecorded",LOWER($E489)&amp;" only")))))))</f>
        <v/>
      </c>
      <c r="AT489">
        <f>IF(AND(OR($J489="BUY",$J489="SELL"),ISNUMBER($U489)),$U489,"")</f>
        <v/>
      </c>
      <c r="AU489">
        <f>IF(AND(OR($J489="BUY",$J489="SELL"),ISNUMBER($AK489)),$AK489,"")</f>
        <v/>
      </c>
      <c r="AV489">
        <f>IF(ISNUMBER($AT489),ABS(IF(ISNUMBER($I489),$I489,0)-Settings!$B$24),"")</f>
        <v/>
      </c>
      <c r="AW489">
        <f>IF(ISNUMBER($AV489),$AV489*$AT489,"")</f>
        <v/>
      </c>
      <c r="AX489">
        <f>IF(ISNUMBER($AU489),ABS(IF(ISNUMBER($I489),$I489,0)-Settings!$B$24),"")</f>
        <v/>
      </c>
      <c r="AY489">
        <f>IF(ISNUMBER($AX489),$AX489*$AU489,"")</f>
        <v/>
      </c>
      <c r="AZ489">
        <f>IF($A489="","",IFERROR(INDEX(Company_List!$H$3:$H$207,MATCH($A489,Company_List!$A$3:$A$207,0)),"unassigned"))</f>
        <v/>
      </c>
      <c r="BC489">
        <f>IF($A489="","",IF(COUNTIFS($A$3:$A489,$A489,$C$3:$C489,$C489,$D$3:$D489,$D489,$G$3:$G489,$G489)=1,1,0))</f>
        <v/>
      </c>
      <c r="BK489">
        <f>IF(OR($H489&lt;&gt;"Human",$S489="",$J489="",$Y489="",$Z489=""),"",IF(EXACT(UPPER($J489),UPPER($Y489)),1,0))</f>
        <v/>
      </c>
    </row>
    <row r="490">
      <c r="B490" s="142">
        <f>IF(A490="","",_xlfn.XLOOKUP(A490, Company_List!$A:$A, Company_List!$B:$B, ""))</f>
        <v/>
      </c>
      <c r="J490" s="145">
        <f>IF(OR(I490="",Settings!$B$6=""),"",IF(I490&gt;Settings!$B$6,"BUY",IF(I490&lt;-Settings!$B$6,"SELL","HOLD")))</f>
        <v/>
      </c>
      <c r="Q490" s="151">
        <f>IF(OR(N490="",P490=""),"",ROUND((P490-N490)/N490,4))</f>
        <v/>
      </c>
      <c r="R490" s="118">
        <f>IF(OR(N490="",P490=""),"",IF(Q490&gt;Settings!$B$3/100,"UP",IF(Q490&lt;-Settings!$B$3/100,"DOWN","FLAT")))</f>
        <v/>
      </c>
      <c r="S490" s="118">
        <f>IF(OR(N490="",P490="",J490=""),"",IF(OR(AND(J490="BUY",R490="UP"),AND(J490="SELL",R490="DOWN"),AND(J490="HOLD",R490="FLAT")),"YES","NO"))</f>
        <v/>
      </c>
      <c r="T490" s="119">
        <f>IF(J490="","",IF(J490="BUY",1,IF(J490="SELL",-1,0)))</f>
        <v/>
      </c>
      <c r="U490" s="150">
        <f>IFERROR(IF(OR(J490="",N490="",P490=""),"",IF(T490=0,0,T490*Q490-Settings!$B$4/10000-IF(T490&lt;0,Settings!$B$5/10000,0))),"")</f>
        <v/>
      </c>
      <c r="W490" s="21">
        <f>IF($K490="","",$K490*60)</f>
        <v/>
      </c>
      <c r="X490" s="91">
        <f>IF($A490="","",$A490&amp;"|"&amp;$C490&amp;"|"&amp;$D490)</f>
        <v/>
      </c>
      <c r="Y490" s="91">
        <f>IFERROR(IF($X490="","",INDEX(LLM_Data_Entry!$H$3:$H$548,MATCH($X490,INDEX(LLM_Data_Entry!$A$3:$A$548&amp;"|"&amp;LLM_Data_Entry!$C$3:$C$548&amp;"|"&amp;LLM_Data_Entry!$D$3:$D$548,0),0))),"")</f>
        <v/>
      </c>
      <c r="Z490" s="91">
        <f>IFERROR(IF($X490="","",INDEX(LLM_Data_Entry!$R$3:$R$548,MATCH($X490,INDEX(LLM_Data_Entry!$A$3:$A$548&amp;"|"&amp;LLM_Data_Entry!$C$3:$C$548&amp;"|"&amp;LLM_Data_Entry!$D$3:$D$548,0),0))),"")</f>
        <v/>
      </c>
      <c r="AL490">
        <f>IF($A490="","",IFERROR(INDEX(Company_List!$G$3:$G$207,MATCH($A490,Company_List!$A$3:$A$207,0)),"unassigned"))</f>
        <v/>
      </c>
      <c r="AP490">
        <f>IF($A490="","",IF(COUNTIFS(LLM_Data_Entry!$A$3:$A$548,$A490)&gt;0,"YES","NO"))</f>
        <v/>
      </c>
      <c r="AQ490">
        <f>IF($A490="","",IF(COUNTIFS($A$3:$A490,$A490,$C$3:$C490,$C490,$D$3:$D490,$D490)=1,"YES","NO"))</f>
        <v/>
      </c>
      <c r="AR490">
        <f>IF($A490="","",IF(AND($C490&amp;"-"&amp;$D490&gt;=Settings!$B$19,$C490&amp;"-"&amp;$D490&lt;=Settings!$B$20),"IN","OUT"))</f>
        <v/>
      </c>
      <c r="AS490">
        <f>IF($A490="","",IF($F490="Financial Results","financials",IF($F490="Outlook/Guidance","guidance",IF($F490="Transcript Q&amp;A","qanda",IF($F490="","unrecorded",IF($E490="All","full",IF($E490="","unrecorded",LOWER($E490)&amp;" only")))))))</f>
        <v/>
      </c>
      <c r="AT490">
        <f>IF(AND(OR($J490="BUY",$J490="SELL"),ISNUMBER($U490)),$U490,"")</f>
        <v/>
      </c>
      <c r="AU490">
        <f>IF(AND(OR($J490="BUY",$J490="SELL"),ISNUMBER($AK490)),$AK490,"")</f>
        <v/>
      </c>
      <c r="AV490">
        <f>IF(ISNUMBER($AT490),ABS(IF(ISNUMBER($I490),$I490,0)-Settings!$B$24),"")</f>
        <v/>
      </c>
      <c r="AW490">
        <f>IF(ISNUMBER($AV490),$AV490*$AT490,"")</f>
        <v/>
      </c>
      <c r="AX490">
        <f>IF(ISNUMBER($AU490),ABS(IF(ISNUMBER($I490),$I490,0)-Settings!$B$24),"")</f>
        <v/>
      </c>
      <c r="AY490">
        <f>IF(ISNUMBER($AX490),$AX490*$AU490,"")</f>
        <v/>
      </c>
      <c r="AZ490">
        <f>IF($A490="","",IFERROR(INDEX(Company_List!$H$3:$H$207,MATCH($A490,Company_List!$A$3:$A$207,0)),"unassigned"))</f>
        <v/>
      </c>
      <c r="BC490">
        <f>IF($A490="","",IF(COUNTIFS($A$3:$A490,$A490,$C$3:$C490,$C490,$D$3:$D490,$D490,$G$3:$G490,$G490)=1,1,0))</f>
        <v/>
      </c>
      <c r="BK490">
        <f>IF(OR($H490&lt;&gt;"Human",$S490="",$J490="",$Y490="",$Z490=""),"",IF(EXACT(UPPER($J490),UPPER($Y490)),1,0))</f>
        <v/>
      </c>
    </row>
    <row r="491">
      <c r="B491" s="142">
        <f>IF(A491="","",_xlfn.XLOOKUP(A491, Company_List!$A:$A, Company_List!$B:$B, ""))</f>
        <v/>
      </c>
      <c r="J491" s="145">
        <f>IF(OR(I491="",Settings!$B$6=""),"",IF(I491&gt;Settings!$B$6,"BUY",IF(I491&lt;-Settings!$B$6,"SELL","HOLD")))</f>
        <v/>
      </c>
      <c r="Q491" s="151">
        <f>IF(OR(N491="",P491=""),"",ROUND((P491-N491)/N491,4))</f>
        <v/>
      </c>
      <c r="R491" s="118">
        <f>IF(OR(N491="",P491=""),"",IF(Q491&gt;Settings!$B$3/100,"UP",IF(Q491&lt;-Settings!$B$3/100,"DOWN","FLAT")))</f>
        <v/>
      </c>
      <c r="S491" s="118">
        <f>IF(OR(N491="",P491="",J491=""),"",IF(OR(AND(J491="BUY",R491="UP"),AND(J491="SELL",R491="DOWN"),AND(J491="HOLD",R491="FLAT")),"YES","NO"))</f>
        <v/>
      </c>
      <c r="T491" s="119">
        <f>IF(J491="","",IF(J491="BUY",1,IF(J491="SELL",-1,0)))</f>
        <v/>
      </c>
      <c r="U491" s="150">
        <f>IFERROR(IF(OR(J491="",N491="",P491=""),"",IF(T491=0,0,T491*Q491-Settings!$B$4/10000-IF(T491&lt;0,Settings!$B$5/10000,0))),"")</f>
        <v/>
      </c>
      <c r="W491" s="21">
        <f>IF($K491="","",$K491*60)</f>
        <v/>
      </c>
      <c r="X491" s="91">
        <f>IF($A491="","",$A491&amp;"|"&amp;$C491&amp;"|"&amp;$D491)</f>
        <v/>
      </c>
      <c r="Y491" s="91">
        <f>IFERROR(IF($X491="","",INDEX(LLM_Data_Entry!$H$3:$H$548,MATCH($X491,INDEX(LLM_Data_Entry!$A$3:$A$548&amp;"|"&amp;LLM_Data_Entry!$C$3:$C$548&amp;"|"&amp;LLM_Data_Entry!$D$3:$D$548,0),0))),"")</f>
        <v/>
      </c>
      <c r="Z491" s="91">
        <f>IFERROR(IF($X491="","",INDEX(LLM_Data_Entry!$R$3:$R$548,MATCH($X491,INDEX(LLM_Data_Entry!$A$3:$A$548&amp;"|"&amp;LLM_Data_Entry!$C$3:$C$548&amp;"|"&amp;LLM_Data_Entry!$D$3:$D$548,0),0))),"")</f>
        <v/>
      </c>
      <c r="AL491">
        <f>IF($A491="","",IFERROR(INDEX(Company_List!$G$3:$G$207,MATCH($A491,Company_List!$A$3:$A$207,0)),"unassigned"))</f>
        <v/>
      </c>
      <c r="AP491">
        <f>IF($A491="","",IF(COUNTIFS(LLM_Data_Entry!$A$3:$A$548,$A491)&gt;0,"YES","NO"))</f>
        <v/>
      </c>
      <c r="AQ491">
        <f>IF($A491="","",IF(COUNTIFS($A$3:$A491,$A491,$C$3:$C491,$C491,$D$3:$D491,$D491)=1,"YES","NO"))</f>
        <v/>
      </c>
      <c r="AR491">
        <f>IF($A491="","",IF(AND($C491&amp;"-"&amp;$D491&gt;=Settings!$B$19,$C491&amp;"-"&amp;$D491&lt;=Settings!$B$20),"IN","OUT"))</f>
        <v/>
      </c>
      <c r="AS491">
        <f>IF($A491="","",IF($F491="Financial Results","financials",IF($F491="Outlook/Guidance","guidance",IF($F491="Transcript Q&amp;A","qanda",IF($F491="","unrecorded",IF($E491="All","full",IF($E491="","unrecorded",LOWER($E491)&amp;" only")))))))</f>
        <v/>
      </c>
      <c r="AT491">
        <f>IF(AND(OR($J491="BUY",$J491="SELL"),ISNUMBER($U491)),$U491,"")</f>
        <v/>
      </c>
      <c r="AU491">
        <f>IF(AND(OR($J491="BUY",$J491="SELL"),ISNUMBER($AK491)),$AK491,"")</f>
        <v/>
      </c>
      <c r="AV491">
        <f>IF(ISNUMBER($AT491),ABS(IF(ISNUMBER($I491),$I491,0)-Settings!$B$24),"")</f>
        <v/>
      </c>
      <c r="AW491">
        <f>IF(ISNUMBER($AV491),$AV491*$AT491,"")</f>
        <v/>
      </c>
      <c r="AX491">
        <f>IF(ISNUMBER($AU491),ABS(IF(ISNUMBER($I491),$I491,0)-Settings!$B$24),"")</f>
        <v/>
      </c>
      <c r="AY491">
        <f>IF(ISNUMBER($AX491),$AX491*$AU491,"")</f>
        <v/>
      </c>
      <c r="AZ491">
        <f>IF($A491="","",IFERROR(INDEX(Company_List!$H$3:$H$207,MATCH($A491,Company_List!$A$3:$A$207,0)),"unassigned"))</f>
        <v/>
      </c>
      <c r="BC491">
        <f>IF($A491="","",IF(COUNTIFS($A$3:$A491,$A491,$C$3:$C491,$C491,$D$3:$D491,$D491,$G$3:$G491,$G491)=1,1,0))</f>
        <v/>
      </c>
      <c r="BK491">
        <f>IF(OR($H491&lt;&gt;"Human",$S491="",$J491="",$Y491="",$Z491=""),"",IF(EXACT(UPPER($J491),UPPER($Y491)),1,0))</f>
        <v/>
      </c>
    </row>
    <row r="492">
      <c r="B492" s="142">
        <f>IF(A492="","",_xlfn.XLOOKUP(A492, Company_List!$A:$A, Company_List!$B:$B, ""))</f>
        <v/>
      </c>
      <c r="J492" s="145">
        <f>IF(OR(I492="",Settings!$B$6=""),"",IF(I492&gt;Settings!$B$6,"BUY",IF(I492&lt;-Settings!$B$6,"SELL","HOLD")))</f>
        <v/>
      </c>
      <c r="Q492" s="151">
        <f>IF(OR(N492="",P492=""),"",ROUND((P492-N492)/N492,4))</f>
        <v/>
      </c>
      <c r="R492" s="118">
        <f>IF(OR(N492="",P492=""),"",IF(Q492&gt;Settings!$B$3/100,"UP",IF(Q492&lt;-Settings!$B$3/100,"DOWN","FLAT")))</f>
        <v/>
      </c>
      <c r="S492" s="118">
        <f>IF(OR(N492="",P492="",J492=""),"",IF(OR(AND(J492="BUY",R492="UP"),AND(J492="SELL",R492="DOWN"),AND(J492="HOLD",R492="FLAT")),"YES","NO"))</f>
        <v/>
      </c>
      <c r="T492" s="119">
        <f>IF(J492="","",IF(J492="BUY",1,IF(J492="SELL",-1,0)))</f>
        <v/>
      </c>
      <c r="U492" s="150">
        <f>IFERROR(IF(OR(J492="",N492="",P492=""),"",IF(T492=0,0,T492*Q492-Settings!$B$4/10000-IF(T492&lt;0,Settings!$B$5/10000,0))),"")</f>
        <v/>
      </c>
      <c r="W492" s="21">
        <f>IF($K492="","",$K492*60)</f>
        <v/>
      </c>
      <c r="X492" s="91">
        <f>IF($A492="","",$A492&amp;"|"&amp;$C492&amp;"|"&amp;$D492)</f>
        <v/>
      </c>
      <c r="Y492" s="91">
        <f>IFERROR(IF($X492="","",INDEX(LLM_Data_Entry!$H$3:$H$548,MATCH($X492,INDEX(LLM_Data_Entry!$A$3:$A$548&amp;"|"&amp;LLM_Data_Entry!$C$3:$C$548&amp;"|"&amp;LLM_Data_Entry!$D$3:$D$548,0),0))),"")</f>
        <v/>
      </c>
      <c r="Z492" s="91">
        <f>IFERROR(IF($X492="","",INDEX(LLM_Data_Entry!$R$3:$R$548,MATCH($X492,INDEX(LLM_Data_Entry!$A$3:$A$548&amp;"|"&amp;LLM_Data_Entry!$C$3:$C$548&amp;"|"&amp;LLM_Data_Entry!$D$3:$D$548,0),0))),"")</f>
        <v/>
      </c>
      <c r="AL492">
        <f>IF($A492="","",IFERROR(INDEX(Company_List!$G$3:$G$207,MATCH($A492,Company_List!$A$3:$A$207,0)),"unassigned"))</f>
        <v/>
      </c>
      <c r="AP492">
        <f>IF($A492="","",IF(COUNTIFS(LLM_Data_Entry!$A$3:$A$548,$A492)&gt;0,"YES","NO"))</f>
        <v/>
      </c>
      <c r="AQ492">
        <f>IF($A492="","",IF(COUNTIFS($A$3:$A492,$A492,$C$3:$C492,$C492,$D$3:$D492,$D492)=1,"YES","NO"))</f>
        <v/>
      </c>
      <c r="AR492">
        <f>IF($A492="","",IF(AND($C492&amp;"-"&amp;$D492&gt;=Settings!$B$19,$C492&amp;"-"&amp;$D492&lt;=Settings!$B$20),"IN","OUT"))</f>
        <v/>
      </c>
      <c r="AS492">
        <f>IF($A492="","",IF($F492="Financial Results","financials",IF($F492="Outlook/Guidance","guidance",IF($F492="Transcript Q&amp;A","qanda",IF($F492="","unrecorded",IF($E492="All","full",IF($E492="","unrecorded",LOWER($E492)&amp;" only")))))))</f>
        <v/>
      </c>
      <c r="AT492">
        <f>IF(AND(OR($J492="BUY",$J492="SELL"),ISNUMBER($U492)),$U492,"")</f>
        <v/>
      </c>
      <c r="AU492">
        <f>IF(AND(OR($J492="BUY",$J492="SELL"),ISNUMBER($AK492)),$AK492,"")</f>
        <v/>
      </c>
      <c r="AV492">
        <f>IF(ISNUMBER($AT492),ABS(IF(ISNUMBER($I492),$I492,0)-Settings!$B$24),"")</f>
        <v/>
      </c>
      <c r="AW492">
        <f>IF(ISNUMBER($AV492),$AV492*$AT492,"")</f>
        <v/>
      </c>
      <c r="AX492">
        <f>IF(ISNUMBER($AU492),ABS(IF(ISNUMBER($I492),$I492,0)-Settings!$B$24),"")</f>
        <v/>
      </c>
      <c r="AY492">
        <f>IF(ISNUMBER($AX492),$AX492*$AU492,"")</f>
        <v/>
      </c>
      <c r="AZ492">
        <f>IF($A492="","",IFERROR(INDEX(Company_List!$H$3:$H$207,MATCH($A492,Company_List!$A$3:$A$207,0)),"unassigned"))</f>
        <v/>
      </c>
      <c r="BC492">
        <f>IF($A492="","",IF(COUNTIFS($A$3:$A492,$A492,$C$3:$C492,$C492,$D$3:$D492,$D492,$G$3:$G492,$G492)=1,1,0))</f>
        <v/>
      </c>
      <c r="BK492">
        <f>IF(OR($H492&lt;&gt;"Human",$S492="",$J492="",$Y492="",$Z492=""),"",IF(EXACT(UPPER($J492),UPPER($Y492)),1,0))</f>
        <v/>
      </c>
    </row>
    <row r="493">
      <c r="B493" s="142">
        <f>IF(A493="","",_xlfn.XLOOKUP(A493, Company_List!$A:$A, Company_List!$B:$B, ""))</f>
        <v/>
      </c>
      <c r="J493" s="145">
        <f>IF(OR(I493="",Settings!$B$6=""),"",IF(I493&gt;Settings!$B$6,"BUY",IF(I493&lt;-Settings!$B$6,"SELL","HOLD")))</f>
        <v/>
      </c>
      <c r="Q493" s="151">
        <f>IF(OR(N493="",P493=""),"",ROUND((P493-N493)/N493,4))</f>
        <v/>
      </c>
      <c r="R493" s="118">
        <f>IF(OR(N493="",P493=""),"",IF(Q493&gt;Settings!$B$3/100,"UP",IF(Q493&lt;-Settings!$B$3/100,"DOWN","FLAT")))</f>
        <v/>
      </c>
      <c r="S493" s="118">
        <f>IF(OR(N493="",P493="",J493=""),"",IF(OR(AND(J493="BUY",R493="UP"),AND(J493="SELL",R493="DOWN"),AND(J493="HOLD",R493="FLAT")),"YES","NO"))</f>
        <v/>
      </c>
      <c r="T493" s="119">
        <f>IF(J493="","",IF(J493="BUY",1,IF(J493="SELL",-1,0)))</f>
        <v/>
      </c>
      <c r="U493" s="150">
        <f>IFERROR(IF(OR(J493="",N493="",P493=""),"",IF(T493=0,0,T493*Q493-Settings!$B$4/10000-IF(T493&lt;0,Settings!$B$5/10000,0))),"")</f>
        <v/>
      </c>
      <c r="W493" s="21">
        <f>IF($K493="","",$K493*60)</f>
        <v/>
      </c>
      <c r="X493" s="91">
        <f>IF($A493="","",$A493&amp;"|"&amp;$C493&amp;"|"&amp;$D493)</f>
        <v/>
      </c>
      <c r="Y493" s="91">
        <f>IFERROR(IF($X493="","",INDEX(LLM_Data_Entry!$H$3:$H$548,MATCH($X493,INDEX(LLM_Data_Entry!$A$3:$A$548&amp;"|"&amp;LLM_Data_Entry!$C$3:$C$548&amp;"|"&amp;LLM_Data_Entry!$D$3:$D$548,0),0))),"")</f>
        <v/>
      </c>
      <c r="Z493" s="91">
        <f>IFERROR(IF($X493="","",INDEX(LLM_Data_Entry!$R$3:$R$548,MATCH($X493,INDEX(LLM_Data_Entry!$A$3:$A$548&amp;"|"&amp;LLM_Data_Entry!$C$3:$C$548&amp;"|"&amp;LLM_Data_Entry!$D$3:$D$548,0),0))),"")</f>
        <v/>
      </c>
      <c r="AL493">
        <f>IF($A493="","",IFERROR(INDEX(Company_List!$G$3:$G$207,MATCH($A493,Company_List!$A$3:$A$207,0)),"unassigned"))</f>
        <v/>
      </c>
      <c r="AP493">
        <f>IF($A493="","",IF(COUNTIFS(LLM_Data_Entry!$A$3:$A$548,$A493)&gt;0,"YES","NO"))</f>
        <v/>
      </c>
      <c r="AQ493">
        <f>IF($A493="","",IF(COUNTIFS($A$3:$A493,$A493,$C$3:$C493,$C493,$D$3:$D493,$D493)=1,"YES","NO"))</f>
        <v/>
      </c>
      <c r="AR493">
        <f>IF($A493="","",IF(AND($C493&amp;"-"&amp;$D493&gt;=Settings!$B$19,$C493&amp;"-"&amp;$D493&lt;=Settings!$B$20),"IN","OUT"))</f>
        <v/>
      </c>
      <c r="AS493">
        <f>IF($A493="","",IF($F493="Financial Results","financials",IF($F493="Outlook/Guidance","guidance",IF($F493="Transcript Q&amp;A","qanda",IF($F493="","unrecorded",IF($E493="All","full",IF($E493="","unrecorded",LOWER($E493)&amp;" only")))))))</f>
        <v/>
      </c>
      <c r="AT493">
        <f>IF(AND(OR($J493="BUY",$J493="SELL"),ISNUMBER($U493)),$U493,"")</f>
        <v/>
      </c>
      <c r="AU493">
        <f>IF(AND(OR($J493="BUY",$J493="SELL"),ISNUMBER($AK493)),$AK493,"")</f>
        <v/>
      </c>
      <c r="AV493">
        <f>IF(ISNUMBER($AT493),ABS(IF(ISNUMBER($I493),$I493,0)-Settings!$B$24),"")</f>
        <v/>
      </c>
      <c r="AW493">
        <f>IF(ISNUMBER($AV493),$AV493*$AT493,"")</f>
        <v/>
      </c>
      <c r="AX493">
        <f>IF(ISNUMBER($AU493),ABS(IF(ISNUMBER($I493),$I493,0)-Settings!$B$24),"")</f>
        <v/>
      </c>
      <c r="AY493">
        <f>IF(ISNUMBER($AX493),$AX493*$AU493,"")</f>
        <v/>
      </c>
      <c r="AZ493">
        <f>IF($A493="","",IFERROR(INDEX(Company_List!$H$3:$H$207,MATCH($A493,Company_List!$A$3:$A$207,0)),"unassigned"))</f>
        <v/>
      </c>
      <c r="BC493">
        <f>IF($A493="","",IF(COUNTIFS($A$3:$A493,$A493,$C$3:$C493,$C493,$D$3:$D493,$D493,$G$3:$G493,$G493)=1,1,0))</f>
        <v/>
      </c>
      <c r="BK493">
        <f>IF(OR($H493&lt;&gt;"Human",$S493="",$J493="",$Y493="",$Z493=""),"",IF(EXACT(UPPER($J493),UPPER($Y493)),1,0))</f>
        <v/>
      </c>
    </row>
    <row r="494">
      <c r="B494" s="142">
        <f>IF(A494="","",_xlfn.XLOOKUP(A494, Company_List!$A:$A, Company_List!$B:$B, ""))</f>
        <v/>
      </c>
      <c r="J494" s="145">
        <f>IF(OR(I494="",Settings!$B$6=""),"",IF(I494&gt;Settings!$B$6,"BUY",IF(I494&lt;-Settings!$B$6,"SELL","HOLD")))</f>
        <v/>
      </c>
      <c r="Q494" s="151">
        <f>IF(OR(N494="",P494=""),"",ROUND((P494-N494)/N494,4))</f>
        <v/>
      </c>
      <c r="R494" s="118">
        <f>IF(OR(N494="",P494=""),"",IF(Q494&gt;Settings!$B$3/100,"UP",IF(Q494&lt;-Settings!$B$3/100,"DOWN","FLAT")))</f>
        <v/>
      </c>
      <c r="S494" s="118">
        <f>IF(OR(N494="",P494="",J494=""),"",IF(OR(AND(J494="BUY",R494="UP"),AND(J494="SELL",R494="DOWN"),AND(J494="HOLD",R494="FLAT")),"YES","NO"))</f>
        <v/>
      </c>
      <c r="T494" s="119">
        <f>IF(J494="","",IF(J494="BUY",1,IF(J494="SELL",-1,0)))</f>
        <v/>
      </c>
      <c r="U494" s="150">
        <f>IFERROR(IF(OR(J494="",N494="",P494=""),"",IF(T494=0,0,T494*Q494-Settings!$B$4/10000-IF(T494&lt;0,Settings!$B$5/10000,0))),"")</f>
        <v/>
      </c>
      <c r="W494" s="21">
        <f>IF($K494="","",$K494*60)</f>
        <v/>
      </c>
      <c r="X494" s="91">
        <f>IF($A494="","",$A494&amp;"|"&amp;$C494&amp;"|"&amp;$D494)</f>
        <v/>
      </c>
      <c r="Y494" s="91">
        <f>IFERROR(IF($X494="","",INDEX(LLM_Data_Entry!$H$3:$H$548,MATCH($X494,INDEX(LLM_Data_Entry!$A$3:$A$548&amp;"|"&amp;LLM_Data_Entry!$C$3:$C$548&amp;"|"&amp;LLM_Data_Entry!$D$3:$D$548,0),0))),"")</f>
        <v/>
      </c>
      <c r="Z494" s="91">
        <f>IFERROR(IF($X494="","",INDEX(LLM_Data_Entry!$R$3:$R$548,MATCH($X494,INDEX(LLM_Data_Entry!$A$3:$A$548&amp;"|"&amp;LLM_Data_Entry!$C$3:$C$548&amp;"|"&amp;LLM_Data_Entry!$D$3:$D$548,0),0))),"")</f>
        <v/>
      </c>
      <c r="AL494">
        <f>IF($A494="","",IFERROR(INDEX(Company_List!$G$3:$G$207,MATCH($A494,Company_List!$A$3:$A$207,0)),"unassigned"))</f>
        <v/>
      </c>
      <c r="AP494">
        <f>IF($A494="","",IF(COUNTIFS(LLM_Data_Entry!$A$3:$A$548,$A494)&gt;0,"YES","NO"))</f>
        <v/>
      </c>
      <c r="AQ494">
        <f>IF($A494="","",IF(COUNTIFS($A$3:$A494,$A494,$C$3:$C494,$C494,$D$3:$D494,$D494)=1,"YES","NO"))</f>
        <v/>
      </c>
      <c r="AR494">
        <f>IF($A494="","",IF(AND($C494&amp;"-"&amp;$D494&gt;=Settings!$B$19,$C494&amp;"-"&amp;$D494&lt;=Settings!$B$20),"IN","OUT"))</f>
        <v/>
      </c>
      <c r="AS494">
        <f>IF($A494="","",IF($F494="Financial Results","financials",IF($F494="Outlook/Guidance","guidance",IF($F494="Transcript Q&amp;A","qanda",IF($F494="","unrecorded",IF($E494="All","full",IF($E494="","unrecorded",LOWER($E494)&amp;" only")))))))</f>
        <v/>
      </c>
      <c r="AT494">
        <f>IF(AND(OR($J494="BUY",$J494="SELL"),ISNUMBER($U494)),$U494,"")</f>
        <v/>
      </c>
      <c r="AU494">
        <f>IF(AND(OR($J494="BUY",$J494="SELL"),ISNUMBER($AK494)),$AK494,"")</f>
        <v/>
      </c>
      <c r="AV494">
        <f>IF(ISNUMBER($AT494),ABS(IF(ISNUMBER($I494),$I494,0)-Settings!$B$24),"")</f>
        <v/>
      </c>
      <c r="AW494">
        <f>IF(ISNUMBER($AV494),$AV494*$AT494,"")</f>
        <v/>
      </c>
      <c r="AX494">
        <f>IF(ISNUMBER($AU494),ABS(IF(ISNUMBER($I494),$I494,0)-Settings!$B$24),"")</f>
        <v/>
      </c>
      <c r="AY494">
        <f>IF(ISNUMBER($AX494),$AX494*$AU494,"")</f>
        <v/>
      </c>
      <c r="AZ494">
        <f>IF($A494="","",IFERROR(INDEX(Company_List!$H$3:$H$207,MATCH($A494,Company_List!$A$3:$A$207,0)),"unassigned"))</f>
        <v/>
      </c>
      <c r="BC494">
        <f>IF($A494="","",IF(COUNTIFS($A$3:$A494,$A494,$C$3:$C494,$C494,$D$3:$D494,$D494,$G$3:$G494,$G494)=1,1,0))</f>
        <v/>
      </c>
      <c r="BK494">
        <f>IF(OR($H494&lt;&gt;"Human",$S494="",$J494="",$Y494="",$Z494=""),"",IF(EXACT(UPPER($J494),UPPER($Y494)),1,0))</f>
        <v/>
      </c>
    </row>
    <row r="495">
      <c r="B495" s="142">
        <f>IF(A495="","",_xlfn.XLOOKUP(A495, Company_List!$A:$A, Company_List!$B:$B, ""))</f>
        <v/>
      </c>
      <c r="J495" s="145">
        <f>IF(OR(I495="",Settings!$B$6=""),"",IF(I495&gt;Settings!$B$6,"BUY",IF(I495&lt;-Settings!$B$6,"SELL","HOLD")))</f>
        <v/>
      </c>
      <c r="Q495" s="151">
        <f>IF(OR(N495="",P495=""),"",ROUND((P495-N495)/N495,4))</f>
        <v/>
      </c>
      <c r="R495" s="118">
        <f>IF(OR(N495="",P495=""),"",IF(Q495&gt;Settings!$B$3/100,"UP",IF(Q495&lt;-Settings!$B$3/100,"DOWN","FLAT")))</f>
        <v/>
      </c>
      <c r="S495" s="118">
        <f>IF(OR(N495="",P495="",J495=""),"",IF(OR(AND(J495="BUY",R495="UP"),AND(J495="SELL",R495="DOWN"),AND(J495="HOLD",R495="FLAT")),"YES","NO"))</f>
        <v/>
      </c>
      <c r="T495" s="119">
        <f>IF(J495="","",IF(J495="BUY",1,IF(J495="SELL",-1,0)))</f>
        <v/>
      </c>
      <c r="U495" s="150">
        <f>IFERROR(IF(OR(J495="",N495="",P495=""),"",IF(T495=0,0,T495*Q495-Settings!$B$4/10000-IF(T495&lt;0,Settings!$B$5/10000,0))),"")</f>
        <v/>
      </c>
      <c r="W495" s="21">
        <f>IF($K495="","",$K495*60)</f>
        <v/>
      </c>
      <c r="X495" s="91">
        <f>IF($A495="","",$A495&amp;"|"&amp;$C495&amp;"|"&amp;$D495)</f>
        <v/>
      </c>
      <c r="Y495" s="91">
        <f>IFERROR(IF($X495="","",INDEX(LLM_Data_Entry!$H$3:$H$548,MATCH($X495,INDEX(LLM_Data_Entry!$A$3:$A$548&amp;"|"&amp;LLM_Data_Entry!$C$3:$C$548&amp;"|"&amp;LLM_Data_Entry!$D$3:$D$548,0),0))),"")</f>
        <v/>
      </c>
      <c r="Z495" s="91">
        <f>IFERROR(IF($X495="","",INDEX(LLM_Data_Entry!$R$3:$R$548,MATCH($X495,INDEX(LLM_Data_Entry!$A$3:$A$548&amp;"|"&amp;LLM_Data_Entry!$C$3:$C$548&amp;"|"&amp;LLM_Data_Entry!$D$3:$D$548,0),0))),"")</f>
        <v/>
      </c>
      <c r="AL495">
        <f>IF($A495="","",IFERROR(INDEX(Company_List!$G$3:$G$207,MATCH($A495,Company_List!$A$3:$A$207,0)),"unassigned"))</f>
        <v/>
      </c>
      <c r="AP495">
        <f>IF($A495="","",IF(COUNTIFS(LLM_Data_Entry!$A$3:$A$548,$A495)&gt;0,"YES","NO"))</f>
        <v/>
      </c>
      <c r="AQ495">
        <f>IF($A495="","",IF(COUNTIFS($A$3:$A495,$A495,$C$3:$C495,$C495,$D$3:$D495,$D495)=1,"YES","NO"))</f>
        <v/>
      </c>
      <c r="AR495">
        <f>IF($A495="","",IF(AND($C495&amp;"-"&amp;$D495&gt;=Settings!$B$19,$C495&amp;"-"&amp;$D495&lt;=Settings!$B$20),"IN","OUT"))</f>
        <v/>
      </c>
      <c r="AS495">
        <f>IF($A495="","",IF($F495="Financial Results","financials",IF($F495="Outlook/Guidance","guidance",IF($F495="Transcript Q&amp;A","qanda",IF($F495="","unrecorded",IF($E495="All","full",IF($E495="","unrecorded",LOWER($E495)&amp;" only")))))))</f>
        <v/>
      </c>
      <c r="AT495">
        <f>IF(AND(OR($J495="BUY",$J495="SELL"),ISNUMBER($U495)),$U495,"")</f>
        <v/>
      </c>
      <c r="AU495">
        <f>IF(AND(OR($J495="BUY",$J495="SELL"),ISNUMBER($AK495)),$AK495,"")</f>
        <v/>
      </c>
      <c r="AV495">
        <f>IF(ISNUMBER($AT495),ABS(IF(ISNUMBER($I495),$I495,0)-Settings!$B$24),"")</f>
        <v/>
      </c>
      <c r="AW495">
        <f>IF(ISNUMBER($AV495),$AV495*$AT495,"")</f>
        <v/>
      </c>
      <c r="AX495">
        <f>IF(ISNUMBER($AU495),ABS(IF(ISNUMBER($I495),$I495,0)-Settings!$B$24),"")</f>
        <v/>
      </c>
      <c r="AY495">
        <f>IF(ISNUMBER($AX495),$AX495*$AU495,"")</f>
        <v/>
      </c>
      <c r="AZ495">
        <f>IF($A495="","",IFERROR(INDEX(Company_List!$H$3:$H$207,MATCH($A495,Company_List!$A$3:$A$207,0)),"unassigned"))</f>
        <v/>
      </c>
      <c r="BC495">
        <f>IF($A495="","",IF(COUNTIFS($A$3:$A495,$A495,$C$3:$C495,$C495,$D$3:$D495,$D495,$G$3:$G495,$G495)=1,1,0))</f>
        <v/>
      </c>
      <c r="BK495">
        <f>IF(OR($H495&lt;&gt;"Human",$S495="",$J495="",$Y495="",$Z495=""),"",IF(EXACT(UPPER($J495),UPPER($Y495)),1,0))</f>
        <v/>
      </c>
    </row>
    <row r="496">
      <c r="B496" s="142">
        <f>IF(A496="","",_xlfn.XLOOKUP(A496, Company_List!$A:$A, Company_List!$B:$B, ""))</f>
        <v/>
      </c>
      <c r="J496" s="145">
        <f>IF(OR(I496="",Settings!$B$6=""),"",IF(I496&gt;Settings!$B$6,"BUY",IF(I496&lt;-Settings!$B$6,"SELL","HOLD")))</f>
        <v/>
      </c>
      <c r="Q496" s="151">
        <f>IF(OR(N496="",P496=""),"",ROUND((P496-N496)/N496,4))</f>
        <v/>
      </c>
      <c r="R496" s="118">
        <f>IF(OR(N496="",P496=""),"",IF(Q496&gt;Settings!$B$3/100,"UP",IF(Q496&lt;-Settings!$B$3/100,"DOWN","FLAT")))</f>
        <v/>
      </c>
      <c r="S496" s="118">
        <f>IF(OR(N496="",P496="",J496=""),"",IF(OR(AND(J496="BUY",R496="UP"),AND(J496="SELL",R496="DOWN"),AND(J496="HOLD",R496="FLAT")),"YES","NO"))</f>
        <v/>
      </c>
      <c r="T496" s="119">
        <f>IF(J496="","",IF(J496="BUY",1,IF(J496="SELL",-1,0)))</f>
        <v/>
      </c>
      <c r="U496" s="150">
        <f>IFERROR(IF(OR(J496="",N496="",P496=""),"",IF(T496=0,0,T496*Q496-Settings!$B$4/10000-IF(T496&lt;0,Settings!$B$5/10000,0))),"")</f>
        <v/>
      </c>
      <c r="W496" s="21">
        <f>IF($K496="","",$K496*60)</f>
        <v/>
      </c>
      <c r="X496" s="91">
        <f>IF($A496="","",$A496&amp;"|"&amp;$C496&amp;"|"&amp;$D496)</f>
        <v/>
      </c>
      <c r="Y496" s="91">
        <f>IFERROR(IF($X496="","",INDEX(LLM_Data_Entry!$H$3:$H$548,MATCH($X496,INDEX(LLM_Data_Entry!$A$3:$A$548&amp;"|"&amp;LLM_Data_Entry!$C$3:$C$548&amp;"|"&amp;LLM_Data_Entry!$D$3:$D$548,0),0))),"")</f>
        <v/>
      </c>
      <c r="Z496" s="91">
        <f>IFERROR(IF($X496="","",INDEX(LLM_Data_Entry!$R$3:$R$548,MATCH($X496,INDEX(LLM_Data_Entry!$A$3:$A$548&amp;"|"&amp;LLM_Data_Entry!$C$3:$C$548&amp;"|"&amp;LLM_Data_Entry!$D$3:$D$548,0),0))),"")</f>
        <v/>
      </c>
      <c r="AL496">
        <f>IF($A496="","",IFERROR(INDEX(Company_List!$G$3:$G$207,MATCH($A496,Company_List!$A$3:$A$207,0)),"unassigned"))</f>
        <v/>
      </c>
      <c r="AP496">
        <f>IF($A496="","",IF(COUNTIFS(LLM_Data_Entry!$A$3:$A$548,$A496)&gt;0,"YES","NO"))</f>
        <v/>
      </c>
      <c r="AQ496">
        <f>IF($A496="","",IF(COUNTIFS($A$3:$A496,$A496,$C$3:$C496,$C496,$D$3:$D496,$D496)=1,"YES","NO"))</f>
        <v/>
      </c>
      <c r="AR496">
        <f>IF($A496="","",IF(AND($C496&amp;"-"&amp;$D496&gt;=Settings!$B$19,$C496&amp;"-"&amp;$D496&lt;=Settings!$B$20),"IN","OUT"))</f>
        <v/>
      </c>
      <c r="AS496">
        <f>IF($A496="","",IF($F496="Financial Results","financials",IF($F496="Outlook/Guidance","guidance",IF($F496="Transcript Q&amp;A","qanda",IF($F496="","unrecorded",IF($E496="All","full",IF($E496="","unrecorded",LOWER($E496)&amp;" only")))))))</f>
        <v/>
      </c>
      <c r="AT496">
        <f>IF(AND(OR($J496="BUY",$J496="SELL"),ISNUMBER($U496)),$U496,"")</f>
        <v/>
      </c>
      <c r="AU496">
        <f>IF(AND(OR($J496="BUY",$J496="SELL"),ISNUMBER($AK496)),$AK496,"")</f>
        <v/>
      </c>
      <c r="AV496">
        <f>IF(ISNUMBER($AT496),ABS(IF(ISNUMBER($I496),$I496,0)-Settings!$B$24),"")</f>
        <v/>
      </c>
      <c r="AW496">
        <f>IF(ISNUMBER($AV496),$AV496*$AT496,"")</f>
        <v/>
      </c>
      <c r="AX496">
        <f>IF(ISNUMBER($AU496),ABS(IF(ISNUMBER($I496),$I496,0)-Settings!$B$24),"")</f>
        <v/>
      </c>
      <c r="AY496">
        <f>IF(ISNUMBER($AX496),$AX496*$AU496,"")</f>
        <v/>
      </c>
      <c r="AZ496">
        <f>IF($A496="","",IFERROR(INDEX(Company_List!$H$3:$H$207,MATCH($A496,Company_List!$A$3:$A$207,0)),"unassigned"))</f>
        <v/>
      </c>
      <c r="BC496">
        <f>IF($A496="","",IF(COUNTIFS($A$3:$A496,$A496,$C$3:$C496,$C496,$D$3:$D496,$D496,$G$3:$G496,$G496)=1,1,0))</f>
        <v/>
      </c>
      <c r="BK496">
        <f>IF(OR($H496&lt;&gt;"Human",$S496="",$J496="",$Y496="",$Z496=""),"",IF(EXACT(UPPER($J496),UPPER($Y496)),1,0))</f>
        <v/>
      </c>
    </row>
    <row r="497">
      <c r="B497" s="142">
        <f>IF(A497="","",_xlfn.XLOOKUP(A497, Company_List!$A:$A, Company_List!$B:$B, ""))</f>
        <v/>
      </c>
      <c r="J497" s="145">
        <f>IF(OR(I497="",Settings!$B$6=""),"",IF(I497&gt;Settings!$B$6,"BUY",IF(I497&lt;-Settings!$B$6,"SELL","HOLD")))</f>
        <v/>
      </c>
      <c r="Q497" s="151">
        <f>IF(OR(N497="",P497=""),"",ROUND((P497-N497)/N497,4))</f>
        <v/>
      </c>
      <c r="R497" s="118">
        <f>IF(OR(N497="",P497=""),"",IF(Q497&gt;Settings!$B$3/100,"UP",IF(Q497&lt;-Settings!$B$3/100,"DOWN","FLAT")))</f>
        <v/>
      </c>
      <c r="S497" s="118">
        <f>IF(OR(N497="",P497="",J497=""),"",IF(OR(AND(J497="BUY",R497="UP"),AND(J497="SELL",R497="DOWN"),AND(J497="HOLD",R497="FLAT")),"YES","NO"))</f>
        <v/>
      </c>
      <c r="T497" s="119">
        <f>IF(J497="","",IF(J497="BUY",1,IF(J497="SELL",-1,0)))</f>
        <v/>
      </c>
      <c r="U497" s="150">
        <f>IFERROR(IF(OR(J497="",N497="",P497=""),"",IF(T497=0,0,T497*Q497-Settings!$B$4/10000-IF(T497&lt;0,Settings!$B$5/10000,0))),"")</f>
        <v/>
      </c>
      <c r="W497" s="21">
        <f>IF($K497="","",$K497*60)</f>
        <v/>
      </c>
      <c r="X497" s="91">
        <f>IF($A497="","",$A497&amp;"|"&amp;$C497&amp;"|"&amp;$D497)</f>
        <v/>
      </c>
      <c r="Y497" s="91">
        <f>IFERROR(IF($X497="","",INDEX(LLM_Data_Entry!$H$3:$H$548,MATCH($X497,INDEX(LLM_Data_Entry!$A$3:$A$548&amp;"|"&amp;LLM_Data_Entry!$C$3:$C$548&amp;"|"&amp;LLM_Data_Entry!$D$3:$D$548,0),0))),"")</f>
        <v/>
      </c>
      <c r="Z497" s="91">
        <f>IFERROR(IF($X497="","",INDEX(LLM_Data_Entry!$R$3:$R$548,MATCH($X497,INDEX(LLM_Data_Entry!$A$3:$A$548&amp;"|"&amp;LLM_Data_Entry!$C$3:$C$548&amp;"|"&amp;LLM_Data_Entry!$D$3:$D$548,0),0))),"")</f>
        <v/>
      </c>
      <c r="AL497">
        <f>IF($A497="","",IFERROR(INDEX(Company_List!$G$3:$G$207,MATCH($A497,Company_List!$A$3:$A$207,0)),"unassigned"))</f>
        <v/>
      </c>
      <c r="AP497">
        <f>IF($A497="","",IF(COUNTIFS(LLM_Data_Entry!$A$3:$A$548,$A497)&gt;0,"YES","NO"))</f>
        <v/>
      </c>
      <c r="AQ497">
        <f>IF($A497="","",IF(COUNTIFS($A$3:$A497,$A497,$C$3:$C497,$C497,$D$3:$D497,$D497)=1,"YES","NO"))</f>
        <v/>
      </c>
      <c r="AR497">
        <f>IF($A497="","",IF(AND($C497&amp;"-"&amp;$D497&gt;=Settings!$B$19,$C497&amp;"-"&amp;$D497&lt;=Settings!$B$20),"IN","OUT"))</f>
        <v/>
      </c>
      <c r="AS497">
        <f>IF($A497="","",IF($F497="Financial Results","financials",IF($F497="Outlook/Guidance","guidance",IF($F497="Transcript Q&amp;A","qanda",IF($F497="","unrecorded",IF($E497="All","full",IF($E497="","unrecorded",LOWER($E497)&amp;" only")))))))</f>
        <v/>
      </c>
      <c r="AT497">
        <f>IF(AND(OR($J497="BUY",$J497="SELL"),ISNUMBER($U497)),$U497,"")</f>
        <v/>
      </c>
      <c r="AU497">
        <f>IF(AND(OR($J497="BUY",$J497="SELL"),ISNUMBER($AK497)),$AK497,"")</f>
        <v/>
      </c>
      <c r="AV497">
        <f>IF(ISNUMBER($AT497),ABS(IF(ISNUMBER($I497),$I497,0)-Settings!$B$24),"")</f>
        <v/>
      </c>
      <c r="AW497">
        <f>IF(ISNUMBER($AV497),$AV497*$AT497,"")</f>
        <v/>
      </c>
      <c r="AX497">
        <f>IF(ISNUMBER($AU497),ABS(IF(ISNUMBER($I497),$I497,0)-Settings!$B$24),"")</f>
        <v/>
      </c>
      <c r="AY497">
        <f>IF(ISNUMBER($AX497),$AX497*$AU497,"")</f>
        <v/>
      </c>
      <c r="AZ497">
        <f>IF($A497="","",IFERROR(INDEX(Company_List!$H$3:$H$207,MATCH($A497,Company_List!$A$3:$A$207,0)),"unassigned"))</f>
        <v/>
      </c>
      <c r="BC497">
        <f>IF($A497="","",IF(COUNTIFS($A$3:$A497,$A497,$C$3:$C497,$C497,$D$3:$D497,$D497,$G$3:$G497,$G497)=1,1,0))</f>
        <v/>
      </c>
      <c r="BK497">
        <f>IF(OR($H497&lt;&gt;"Human",$S497="",$J497="",$Y497="",$Z497=""),"",IF(EXACT(UPPER($J497),UPPER($Y497)),1,0))</f>
        <v/>
      </c>
    </row>
    <row r="498">
      <c r="B498" s="142">
        <f>IF(A498="","",_xlfn.XLOOKUP(A498, Company_List!$A:$A, Company_List!$B:$B, ""))</f>
        <v/>
      </c>
      <c r="J498" s="145">
        <f>IF(OR(I498="",Settings!$B$6=""),"",IF(I498&gt;Settings!$B$6,"BUY",IF(I498&lt;-Settings!$B$6,"SELL","HOLD")))</f>
        <v/>
      </c>
      <c r="Q498" s="151">
        <f>IF(OR(N498="",P498=""),"",ROUND((P498-N498)/N498,4))</f>
        <v/>
      </c>
      <c r="R498" s="118">
        <f>IF(OR(N498="",P498=""),"",IF(Q498&gt;Settings!$B$3/100,"UP",IF(Q498&lt;-Settings!$B$3/100,"DOWN","FLAT")))</f>
        <v/>
      </c>
      <c r="S498" s="118">
        <f>IF(OR(N498="",P498="",J498=""),"",IF(OR(AND(J498="BUY",R498="UP"),AND(J498="SELL",R498="DOWN"),AND(J498="HOLD",R498="FLAT")),"YES","NO"))</f>
        <v/>
      </c>
      <c r="T498" s="119">
        <f>IF(J498="","",IF(J498="BUY",1,IF(J498="SELL",-1,0)))</f>
        <v/>
      </c>
      <c r="U498" s="150">
        <f>IFERROR(IF(OR(J498="",N498="",P498=""),"",IF(T498=0,0,T498*Q498-Settings!$B$4/10000-IF(T498&lt;0,Settings!$B$5/10000,0))),"")</f>
        <v/>
      </c>
      <c r="W498" s="21">
        <f>IF($K498="","",$K498*60)</f>
        <v/>
      </c>
      <c r="X498" s="91">
        <f>IF($A498="","",$A498&amp;"|"&amp;$C498&amp;"|"&amp;$D498)</f>
        <v/>
      </c>
      <c r="Y498" s="91">
        <f>IFERROR(IF($X498="","",INDEX(LLM_Data_Entry!$H$3:$H$548,MATCH($X498,INDEX(LLM_Data_Entry!$A$3:$A$548&amp;"|"&amp;LLM_Data_Entry!$C$3:$C$548&amp;"|"&amp;LLM_Data_Entry!$D$3:$D$548,0),0))),"")</f>
        <v/>
      </c>
      <c r="Z498" s="91">
        <f>IFERROR(IF($X498="","",INDEX(LLM_Data_Entry!$R$3:$R$548,MATCH($X498,INDEX(LLM_Data_Entry!$A$3:$A$548&amp;"|"&amp;LLM_Data_Entry!$C$3:$C$548&amp;"|"&amp;LLM_Data_Entry!$D$3:$D$548,0),0))),"")</f>
        <v/>
      </c>
      <c r="AL498">
        <f>IF($A498="","",IFERROR(INDEX(Company_List!$G$3:$G$207,MATCH($A498,Company_List!$A$3:$A$207,0)),"unassigned"))</f>
        <v/>
      </c>
      <c r="AP498">
        <f>IF($A498="","",IF(COUNTIFS(LLM_Data_Entry!$A$3:$A$548,$A498)&gt;0,"YES","NO"))</f>
        <v/>
      </c>
      <c r="AQ498">
        <f>IF($A498="","",IF(COUNTIFS($A$3:$A498,$A498,$C$3:$C498,$C498,$D$3:$D498,$D498)=1,"YES","NO"))</f>
        <v/>
      </c>
      <c r="AR498">
        <f>IF($A498="","",IF(AND($C498&amp;"-"&amp;$D498&gt;=Settings!$B$19,$C498&amp;"-"&amp;$D498&lt;=Settings!$B$20),"IN","OUT"))</f>
        <v/>
      </c>
      <c r="AS498">
        <f>IF($A498="","",IF($F498="Financial Results","financials",IF($F498="Outlook/Guidance","guidance",IF($F498="Transcript Q&amp;A","qanda",IF($F498="","unrecorded",IF($E498="All","full",IF($E498="","unrecorded",LOWER($E498)&amp;" only")))))))</f>
        <v/>
      </c>
      <c r="AT498">
        <f>IF(AND(OR($J498="BUY",$J498="SELL"),ISNUMBER($U498)),$U498,"")</f>
        <v/>
      </c>
      <c r="AU498">
        <f>IF(AND(OR($J498="BUY",$J498="SELL"),ISNUMBER($AK498)),$AK498,"")</f>
        <v/>
      </c>
      <c r="AV498">
        <f>IF(ISNUMBER($AT498),ABS(IF(ISNUMBER($I498),$I498,0)-Settings!$B$24),"")</f>
        <v/>
      </c>
      <c r="AW498">
        <f>IF(ISNUMBER($AV498),$AV498*$AT498,"")</f>
        <v/>
      </c>
      <c r="AX498">
        <f>IF(ISNUMBER($AU498),ABS(IF(ISNUMBER($I498),$I498,0)-Settings!$B$24),"")</f>
        <v/>
      </c>
      <c r="AY498">
        <f>IF(ISNUMBER($AX498),$AX498*$AU498,"")</f>
        <v/>
      </c>
      <c r="AZ498">
        <f>IF($A498="","",IFERROR(INDEX(Company_List!$H$3:$H$207,MATCH($A498,Company_List!$A$3:$A$207,0)),"unassigned"))</f>
        <v/>
      </c>
      <c r="BC498">
        <f>IF($A498="","",IF(COUNTIFS($A$3:$A498,$A498,$C$3:$C498,$C498,$D$3:$D498,$D498,$G$3:$G498,$G498)=1,1,0))</f>
        <v/>
      </c>
      <c r="BK498">
        <f>IF(OR($H498&lt;&gt;"Human",$S498="",$J498="",$Y498="",$Z498=""),"",IF(EXACT(UPPER($J498),UPPER($Y498)),1,0))</f>
        <v/>
      </c>
    </row>
    <row r="499">
      <c r="B499" s="142">
        <f>IF(A499="","",_xlfn.XLOOKUP(A499, Company_List!$A:$A, Company_List!$B:$B, ""))</f>
        <v/>
      </c>
      <c r="J499" s="145">
        <f>IF(OR(I499="",Settings!$B$6=""),"",IF(I499&gt;Settings!$B$6,"BUY",IF(I499&lt;-Settings!$B$6,"SELL","HOLD")))</f>
        <v/>
      </c>
      <c r="Q499" s="151">
        <f>IF(OR(N499="",P499=""),"",ROUND((P499-N499)/N499,4))</f>
        <v/>
      </c>
      <c r="R499" s="118">
        <f>IF(OR(N499="",P499=""),"",IF(Q499&gt;Settings!$B$3/100,"UP",IF(Q499&lt;-Settings!$B$3/100,"DOWN","FLAT")))</f>
        <v/>
      </c>
      <c r="S499" s="118">
        <f>IF(OR(N499="",P499="",J499=""),"",IF(OR(AND(J499="BUY",R499="UP"),AND(J499="SELL",R499="DOWN"),AND(J499="HOLD",R499="FLAT")),"YES","NO"))</f>
        <v/>
      </c>
      <c r="T499" s="119">
        <f>IF(J499="","",IF(J499="BUY",1,IF(J499="SELL",-1,0)))</f>
        <v/>
      </c>
      <c r="U499" s="150">
        <f>IFERROR(IF(OR(J499="",N499="",P499=""),"",IF(T499=0,0,T499*Q499-Settings!$B$4/10000-IF(T499&lt;0,Settings!$B$5/10000,0))),"")</f>
        <v/>
      </c>
      <c r="W499" s="21">
        <f>IF($K499="","",$K499*60)</f>
        <v/>
      </c>
      <c r="X499" s="91">
        <f>IF($A499="","",$A499&amp;"|"&amp;$C499&amp;"|"&amp;$D499)</f>
        <v/>
      </c>
      <c r="Y499" s="91">
        <f>IFERROR(IF($X499="","",INDEX(LLM_Data_Entry!$H$3:$H$548,MATCH($X499,INDEX(LLM_Data_Entry!$A$3:$A$548&amp;"|"&amp;LLM_Data_Entry!$C$3:$C$548&amp;"|"&amp;LLM_Data_Entry!$D$3:$D$548,0),0))),"")</f>
        <v/>
      </c>
      <c r="Z499" s="91">
        <f>IFERROR(IF($X499="","",INDEX(LLM_Data_Entry!$R$3:$R$548,MATCH($X499,INDEX(LLM_Data_Entry!$A$3:$A$548&amp;"|"&amp;LLM_Data_Entry!$C$3:$C$548&amp;"|"&amp;LLM_Data_Entry!$D$3:$D$548,0),0))),"")</f>
        <v/>
      </c>
      <c r="AL499">
        <f>IF($A499="","",IFERROR(INDEX(Company_List!$G$3:$G$207,MATCH($A499,Company_List!$A$3:$A$207,0)),"unassigned"))</f>
        <v/>
      </c>
      <c r="AP499">
        <f>IF($A499="","",IF(COUNTIFS(LLM_Data_Entry!$A$3:$A$548,$A499)&gt;0,"YES","NO"))</f>
        <v/>
      </c>
      <c r="AQ499">
        <f>IF($A499="","",IF(COUNTIFS($A$3:$A499,$A499,$C$3:$C499,$C499,$D$3:$D499,$D499)=1,"YES","NO"))</f>
        <v/>
      </c>
      <c r="AR499">
        <f>IF($A499="","",IF(AND($C499&amp;"-"&amp;$D499&gt;=Settings!$B$19,$C499&amp;"-"&amp;$D499&lt;=Settings!$B$20),"IN","OUT"))</f>
        <v/>
      </c>
      <c r="AS499">
        <f>IF($A499="","",IF($F499="Financial Results","financials",IF($F499="Outlook/Guidance","guidance",IF($F499="Transcript Q&amp;A","qanda",IF($F499="","unrecorded",IF($E499="All","full",IF($E499="","unrecorded",LOWER($E499)&amp;" only")))))))</f>
        <v/>
      </c>
      <c r="AT499">
        <f>IF(AND(OR($J499="BUY",$J499="SELL"),ISNUMBER($U499)),$U499,"")</f>
        <v/>
      </c>
      <c r="AU499">
        <f>IF(AND(OR($J499="BUY",$J499="SELL"),ISNUMBER($AK499)),$AK499,"")</f>
        <v/>
      </c>
      <c r="AV499">
        <f>IF(ISNUMBER($AT499),ABS(IF(ISNUMBER($I499),$I499,0)-Settings!$B$24),"")</f>
        <v/>
      </c>
      <c r="AW499">
        <f>IF(ISNUMBER($AV499),$AV499*$AT499,"")</f>
        <v/>
      </c>
      <c r="AX499">
        <f>IF(ISNUMBER($AU499),ABS(IF(ISNUMBER($I499),$I499,0)-Settings!$B$24),"")</f>
        <v/>
      </c>
      <c r="AY499">
        <f>IF(ISNUMBER($AX499),$AX499*$AU499,"")</f>
        <v/>
      </c>
      <c r="AZ499">
        <f>IF($A499="","",IFERROR(INDEX(Company_List!$H$3:$H$207,MATCH($A499,Company_List!$A$3:$A$207,0)),"unassigned"))</f>
        <v/>
      </c>
      <c r="BC499">
        <f>IF($A499="","",IF(COUNTIFS($A$3:$A499,$A499,$C$3:$C499,$C499,$D$3:$D499,$D499,$G$3:$G499,$G499)=1,1,0))</f>
        <v/>
      </c>
      <c r="BK499">
        <f>IF(OR($H499&lt;&gt;"Human",$S499="",$J499="",$Y499="",$Z499=""),"",IF(EXACT(UPPER($J499),UPPER($Y499)),1,0))</f>
        <v/>
      </c>
    </row>
    <row r="500">
      <c r="B500" s="142">
        <f>IF(A500="","",_xlfn.XLOOKUP(A500, Company_List!$A:$A, Company_List!$B:$B, ""))</f>
        <v/>
      </c>
      <c r="J500" s="145">
        <f>IF(OR(I500="",Settings!$B$6=""),"",IF(I500&gt;Settings!$B$6,"BUY",IF(I500&lt;-Settings!$B$6,"SELL","HOLD")))</f>
        <v/>
      </c>
      <c r="Q500" s="151">
        <f>IF(OR(N500="",P500=""),"",ROUND((P500-N500)/N500,4))</f>
        <v/>
      </c>
      <c r="R500" s="118">
        <f>IF(OR(N500="",P500=""),"",IF(Q500&gt;Settings!$B$3/100,"UP",IF(Q500&lt;-Settings!$B$3/100,"DOWN","FLAT")))</f>
        <v/>
      </c>
      <c r="S500" s="118">
        <f>IF(OR(N500="",P500="",J500=""),"",IF(OR(AND(J500="BUY",R500="UP"),AND(J500="SELL",R500="DOWN"),AND(J500="HOLD",R500="FLAT")),"YES","NO"))</f>
        <v/>
      </c>
      <c r="T500" s="119">
        <f>IF(J500="","",IF(J500="BUY",1,IF(J500="SELL",-1,0)))</f>
        <v/>
      </c>
      <c r="U500" s="150">
        <f>IFERROR(IF(OR(J500="",N500="",P500=""),"",IF(T500=0,0,T500*Q500-Settings!$B$4/10000-IF(T500&lt;0,Settings!$B$5/10000,0))),"")</f>
        <v/>
      </c>
      <c r="W500" s="21">
        <f>IF($K500="","",$K500*60)</f>
        <v/>
      </c>
      <c r="X500" s="91">
        <f>IF($A500="","",$A500&amp;"|"&amp;$C500&amp;"|"&amp;$D500)</f>
        <v/>
      </c>
      <c r="Y500" s="91">
        <f>IFERROR(IF($X500="","",INDEX(LLM_Data_Entry!$H$3:$H$548,MATCH($X500,INDEX(LLM_Data_Entry!$A$3:$A$548&amp;"|"&amp;LLM_Data_Entry!$C$3:$C$548&amp;"|"&amp;LLM_Data_Entry!$D$3:$D$548,0),0))),"")</f>
        <v/>
      </c>
      <c r="Z500" s="91">
        <f>IFERROR(IF($X500="","",INDEX(LLM_Data_Entry!$R$3:$R$548,MATCH($X500,INDEX(LLM_Data_Entry!$A$3:$A$548&amp;"|"&amp;LLM_Data_Entry!$C$3:$C$548&amp;"|"&amp;LLM_Data_Entry!$D$3:$D$548,0),0))),"")</f>
        <v/>
      </c>
      <c r="AL500">
        <f>IF($A500="","",IFERROR(INDEX(Company_List!$G$3:$G$207,MATCH($A500,Company_List!$A$3:$A$207,0)),"unassigned"))</f>
        <v/>
      </c>
      <c r="AP500">
        <f>IF($A500="","",IF(COUNTIFS(LLM_Data_Entry!$A$3:$A$548,$A500)&gt;0,"YES","NO"))</f>
        <v/>
      </c>
      <c r="AQ500">
        <f>IF($A500="","",IF(COUNTIFS($A$3:$A500,$A500,$C$3:$C500,$C500,$D$3:$D500,$D500)=1,"YES","NO"))</f>
        <v/>
      </c>
      <c r="AR500">
        <f>IF($A500="","",IF(AND($C500&amp;"-"&amp;$D500&gt;=Settings!$B$19,$C500&amp;"-"&amp;$D500&lt;=Settings!$B$20),"IN","OUT"))</f>
        <v/>
      </c>
      <c r="AS500">
        <f>IF($A500="","",IF($F500="Financial Results","financials",IF($F500="Outlook/Guidance","guidance",IF($F500="Transcript Q&amp;A","qanda",IF($F500="","unrecorded",IF($E500="All","full",IF($E500="","unrecorded",LOWER($E500)&amp;" only")))))))</f>
        <v/>
      </c>
      <c r="AT500">
        <f>IF(AND(OR($J500="BUY",$J500="SELL"),ISNUMBER($U500)),$U500,"")</f>
        <v/>
      </c>
      <c r="AU500">
        <f>IF(AND(OR($J500="BUY",$J500="SELL"),ISNUMBER($AK500)),$AK500,"")</f>
        <v/>
      </c>
      <c r="AV500">
        <f>IF(ISNUMBER($AT500),ABS(IF(ISNUMBER($I500),$I500,0)-Settings!$B$24),"")</f>
        <v/>
      </c>
      <c r="AW500">
        <f>IF(ISNUMBER($AV500),$AV500*$AT500,"")</f>
        <v/>
      </c>
      <c r="AX500">
        <f>IF(ISNUMBER($AU500),ABS(IF(ISNUMBER($I500),$I500,0)-Settings!$B$24),"")</f>
        <v/>
      </c>
      <c r="AY500">
        <f>IF(ISNUMBER($AX500),$AX500*$AU500,"")</f>
        <v/>
      </c>
      <c r="AZ500">
        <f>IF($A500="","",IFERROR(INDEX(Company_List!$H$3:$H$207,MATCH($A500,Company_List!$A$3:$A$207,0)),"unassigned"))</f>
        <v/>
      </c>
      <c r="BC500">
        <f>IF($A500="","",IF(COUNTIFS($A$3:$A500,$A500,$C$3:$C500,$C500,$D$3:$D500,$D500,$G$3:$G500,$G500)=1,1,0))</f>
        <v/>
      </c>
      <c r="BK500">
        <f>IF(OR($H500&lt;&gt;"Human",$S500="",$J500="",$Y500="",$Z500=""),"",IF(EXACT(UPPER($J500),UPPER($Y500)),1,0))</f>
        <v/>
      </c>
    </row>
    <row r="501">
      <c r="B501" s="142">
        <f>IF(A501="","",_xlfn.XLOOKUP(A501, Company_List!$A:$A, Company_List!$B:$B, ""))</f>
        <v/>
      </c>
      <c r="J501" s="145">
        <f>IF(OR(I501="",Settings!$B$6=""),"",IF(I501&gt;Settings!$B$6,"BUY",IF(I501&lt;-Settings!$B$6,"SELL","HOLD")))</f>
        <v/>
      </c>
      <c r="Q501" s="151">
        <f>IF(OR(N501="",P501=""),"",ROUND((P501-N501)/N501,4))</f>
        <v/>
      </c>
      <c r="R501" s="118">
        <f>IF(OR(N501="",P501=""),"",IF(Q501&gt;Settings!$B$3/100,"UP",IF(Q501&lt;-Settings!$B$3/100,"DOWN","FLAT")))</f>
        <v/>
      </c>
      <c r="S501" s="118">
        <f>IF(OR(N501="",P501="",J501=""),"",IF(OR(AND(J501="BUY",R501="UP"),AND(J501="SELL",R501="DOWN"),AND(J501="HOLD",R501="FLAT")),"YES","NO"))</f>
        <v/>
      </c>
      <c r="T501" s="119">
        <f>IF(J501="","",IF(J501="BUY",1,IF(J501="SELL",-1,0)))</f>
        <v/>
      </c>
      <c r="U501" s="150">
        <f>IFERROR(IF(OR(J501="",N501="",P501=""),"",IF(T501=0,0,T501*Q501-Settings!$B$4/10000-IF(T501&lt;0,Settings!$B$5/10000,0))),"")</f>
        <v/>
      </c>
      <c r="W501" s="21">
        <f>IF($K501="","",$K501*60)</f>
        <v/>
      </c>
      <c r="X501" s="91">
        <f>IF($A501="","",$A501&amp;"|"&amp;$C501&amp;"|"&amp;$D501)</f>
        <v/>
      </c>
      <c r="Y501" s="91">
        <f>IFERROR(IF($X501="","",INDEX(LLM_Data_Entry!$H$3:$H$548,MATCH($X501,INDEX(LLM_Data_Entry!$A$3:$A$548&amp;"|"&amp;LLM_Data_Entry!$C$3:$C$548&amp;"|"&amp;LLM_Data_Entry!$D$3:$D$548,0),0))),"")</f>
        <v/>
      </c>
      <c r="Z501" s="91">
        <f>IFERROR(IF($X501="","",INDEX(LLM_Data_Entry!$R$3:$R$548,MATCH($X501,INDEX(LLM_Data_Entry!$A$3:$A$548&amp;"|"&amp;LLM_Data_Entry!$C$3:$C$548&amp;"|"&amp;LLM_Data_Entry!$D$3:$D$548,0),0))),"")</f>
        <v/>
      </c>
      <c r="AL501">
        <f>IF($A501="","",IFERROR(INDEX(Company_List!$G$3:$G$207,MATCH($A501,Company_List!$A$3:$A$207,0)),"unassigned"))</f>
        <v/>
      </c>
      <c r="AP501">
        <f>IF($A501="","",IF(COUNTIFS(LLM_Data_Entry!$A$3:$A$548,$A501)&gt;0,"YES","NO"))</f>
        <v/>
      </c>
      <c r="AQ501">
        <f>IF($A501="","",IF(COUNTIFS($A$3:$A501,$A501,$C$3:$C501,$C501,$D$3:$D501,$D501)=1,"YES","NO"))</f>
        <v/>
      </c>
      <c r="AR501">
        <f>IF($A501="","",IF(AND($C501&amp;"-"&amp;$D501&gt;=Settings!$B$19,$C501&amp;"-"&amp;$D501&lt;=Settings!$B$20),"IN","OUT"))</f>
        <v/>
      </c>
      <c r="AS501">
        <f>IF($A501="","",IF($F501="Financial Results","financials",IF($F501="Outlook/Guidance","guidance",IF($F501="Transcript Q&amp;A","qanda",IF($F501="","unrecorded",IF($E501="All","full",IF($E501="","unrecorded",LOWER($E501)&amp;" only")))))))</f>
        <v/>
      </c>
      <c r="AT501">
        <f>IF(AND(OR($J501="BUY",$J501="SELL"),ISNUMBER($U501)),$U501,"")</f>
        <v/>
      </c>
      <c r="AU501">
        <f>IF(AND(OR($J501="BUY",$J501="SELL"),ISNUMBER($AK501)),$AK501,"")</f>
        <v/>
      </c>
      <c r="AV501">
        <f>IF(ISNUMBER($AT501),ABS(IF(ISNUMBER($I501),$I501,0)-Settings!$B$24),"")</f>
        <v/>
      </c>
      <c r="AW501">
        <f>IF(ISNUMBER($AV501),$AV501*$AT501,"")</f>
        <v/>
      </c>
      <c r="AX501">
        <f>IF(ISNUMBER($AU501),ABS(IF(ISNUMBER($I501),$I501,0)-Settings!$B$24),"")</f>
        <v/>
      </c>
      <c r="AY501">
        <f>IF(ISNUMBER($AX501),$AX501*$AU501,"")</f>
        <v/>
      </c>
      <c r="AZ501">
        <f>IF($A501="","",IFERROR(INDEX(Company_List!$H$3:$H$207,MATCH($A501,Company_List!$A$3:$A$207,0)),"unassigned"))</f>
        <v/>
      </c>
      <c r="BC501">
        <f>IF($A501="","",IF(COUNTIFS($A$3:$A501,$A501,$C$3:$C501,$C501,$D$3:$D501,$D501,$G$3:$G501,$G501)=1,1,0))</f>
        <v/>
      </c>
      <c r="BK501">
        <f>IF(OR($H501&lt;&gt;"Human",$S501="",$J501="",$Y501="",$Z501=""),"",IF(EXACT(UPPER($J501),UPPER($Y501)),1,0))</f>
        <v/>
      </c>
    </row>
    <row r="502">
      <c r="B502" s="142">
        <f>IF(A502="","",_xlfn.XLOOKUP(A502, Company_List!$A:$A, Company_List!$B:$B, ""))</f>
        <v/>
      </c>
      <c r="J502" s="145">
        <f>IF(OR(I502="",Settings!$B$6=""),"",IF(I502&gt;Settings!$B$6,"BUY",IF(I502&lt;-Settings!$B$6,"SELL","HOLD")))</f>
        <v/>
      </c>
      <c r="Q502" s="151">
        <f>IF(OR(N502="",P502=""),"",ROUND((P502-N502)/N502,4))</f>
        <v/>
      </c>
      <c r="R502" s="118">
        <f>IF(OR(N502="",P502=""),"",IF(Q502&gt;Settings!$B$3/100,"UP",IF(Q502&lt;-Settings!$B$3/100,"DOWN","FLAT")))</f>
        <v/>
      </c>
      <c r="S502" s="118">
        <f>IF(OR(N502="",P502="",J502=""),"",IF(OR(AND(J502="BUY",R502="UP"),AND(J502="SELL",R502="DOWN"),AND(J502="HOLD",R502="FLAT")),"YES","NO"))</f>
        <v/>
      </c>
      <c r="T502" s="119">
        <f>IF(J502="","",IF(J502="BUY",1,IF(J502="SELL",-1,0)))</f>
        <v/>
      </c>
      <c r="U502" s="150">
        <f>IFERROR(IF(OR(J502="",N502="",P502=""),"",IF(T502=0,0,T502*Q502-Settings!$B$4/10000-IF(T502&lt;0,Settings!$B$5/10000,0))),"")</f>
        <v/>
      </c>
      <c r="W502" s="21">
        <f>IF($K502="","",$K502*60)</f>
        <v/>
      </c>
      <c r="X502" s="91">
        <f>IF($A502="","",$A502&amp;"|"&amp;$C502&amp;"|"&amp;$D502)</f>
        <v/>
      </c>
      <c r="Y502" s="91">
        <f>IFERROR(IF($X502="","",INDEX(LLM_Data_Entry!$H$3:$H$548,MATCH($X502,INDEX(LLM_Data_Entry!$A$3:$A$548&amp;"|"&amp;LLM_Data_Entry!$C$3:$C$548&amp;"|"&amp;LLM_Data_Entry!$D$3:$D$548,0),0))),"")</f>
        <v/>
      </c>
      <c r="Z502" s="91">
        <f>IFERROR(IF($X502="","",INDEX(LLM_Data_Entry!$R$3:$R$548,MATCH($X502,INDEX(LLM_Data_Entry!$A$3:$A$548&amp;"|"&amp;LLM_Data_Entry!$C$3:$C$548&amp;"|"&amp;LLM_Data_Entry!$D$3:$D$548,0),0))),"")</f>
        <v/>
      </c>
      <c r="AL502">
        <f>IF($A502="","",IFERROR(INDEX(Company_List!$G$3:$G$207,MATCH($A502,Company_List!$A$3:$A$207,0)),"unassigned"))</f>
        <v/>
      </c>
      <c r="AP502">
        <f>IF($A502="","",IF(COUNTIFS(LLM_Data_Entry!$A$3:$A$548,$A502)&gt;0,"YES","NO"))</f>
        <v/>
      </c>
      <c r="AQ502">
        <f>IF($A502="","",IF(COUNTIFS($A$3:$A502,$A502,$C$3:$C502,$C502,$D$3:$D502,$D502)=1,"YES","NO"))</f>
        <v/>
      </c>
      <c r="AR502">
        <f>IF($A502="","",IF(AND($C502&amp;"-"&amp;$D502&gt;=Settings!$B$19,$C502&amp;"-"&amp;$D502&lt;=Settings!$B$20),"IN","OUT"))</f>
        <v/>
      </c>
      <c r="AS502">
        <f>IF($A502="","",IF($F502="Financial Results","financials",IF($F502="Outlook/Guidance","guidance",IF($F502="Transcript Q&amp;A","qanda",IF($F502="","unrecorded",IF($E502="All","full",IF($E502="","unrecorded",LOWER($E502)&amp;" only")))))))</f>
        <v/>
      </c>
      <c r="AT502">
        <f>IF(AND(OR($J502="BUY",$J502="SELL"),ISNUMBER($U502)),$U502,"")</f>
        <v/>
      </c>
      <c r="AU502">
        <f>IF(AND(OR($J502="BUY",$J502="SELL"),ISNUMBER($AK502)),$AK502,"")</f>
        <v/>
      </c>
      <c r="AV502">
        <f>IF(ISNUMBER($AT502),ABS(IF(ISNUMBER($I502),$I502,0)-Settings!$B$24),"")</f>
        <v/>
      </c>
      <c r="AW502">
        <f>IF(ISNUMBER($AV502),$AV502*$AT502,"")</f>
        <v/>
      </c>
      <c r="AX502">
        <f>IF(ISNUMBER($AU502),ABS(IF(ISNUMBER($I502),$I502,0)-Settings!$B$24),"")</f>
        <v/>
      </c>
      <c r="AY502">
        <f>IF(ISNUMBER($AX502),$AX502*$AU502,"")</f>
        <v/>
      </c>
      <c r="AZ502">
        <f>IF($A502="","",IFERROR(INDEX(Company_List!$H$3:$H$207,MATCH($A502,Company_List!$A$3:$A$207,0)),"unassigned"))</f>
        <v/>
      </c>
      <c r="BC502">
        <f>IF($A502="","",IF(COUNTIFS($A$3:$A502,$A502,$C$3:$C502,$C502,$D$3:$D502,$D502,$G$3:$G502,$G502)=1,1,0))</f>
        <v/>
      </c>
      <c r="BK502">
        <f>IF(OR($H502&lt;&gt;"Human",$S502="",$J502="",$Y502="",$Z502=""),"",IF(EXACT(UPPER($J502),UPPER($Y502)),1,0))</f>
        <v/>
      </c>
    </row>
    <row r="503">
      <c r="B503" s="142">
        <f>IF(A503="","",_xlfn.XLOOKUP(A503, Company_List!$A:$A, Company_List!$B:$B, ""))</f>
        <v/>
      </c>
      <c r="J503" s="145">
        <f>IF(OR(I503="",Settings!$B$6=""),"",IF(I503&gt;Settings!$B$6,"BUY",IF(I503&lt;-Settings!$B$6,"SELL","HOLD")))</f>
        <v/>
      </c>
      <c r="Q503" s="151">
        <f>IF(OR(N503="",P503=""),"",ROUND((P503-N503)/N503,4))</f>
        <v/>
      </c>
      <c r="R503" s="118">
        <f>IF(OR(N503="",P503=""),"",IF(Q503&gt;Settings!$B$3/100,"UP",IF(Q503&lt;-Settings!$B$3/100,"DOWN","FLAT")))</f>
        <v/>
      </c>
      <c r="S503" s="118">
        <f>IF(OR(N503="",P503="",J503=""),"",IF(OR(AND(J503="BUY",R503="UP"),AND(J503="SELL",R503="DOWN"),AND(J503="HOLD",R503="FLAT")),"YES","NO"))</f>
        <v/>
      </c>
      <c r="T503" s="119">
        <f>IF(J503="","",IF(J503="BUY",1,IF(J503="SELL",-1,0)))</f>
        <v/>
      </c>
      <c r="U503" s="150">
        <f>IFERROR(IF(OR(J503="",N503="",P503=""),"",IF(T503=0,0,T503*Q503-Settings!$B$4/10000-IF(T503&lt;0,Settings!$B$5/10000,0))),"")</f>
        <v/>
      </c>
      <c r="W503" s="21">
        <f>IF($K503="","",$K503*60)</f>
        <v/>
      </c>
      <c r="X503" s="91">
        <f>IF($A503="","",$A503&amp;"|"&amp;$C503&amp;"|"&amp;$D503)</f>
        <v/>
      </c>
      <c r="Y503" s="91">
        <f>IFERROR(IF($X503="","",INDEX(LLM_Data_Entry!$H$3:$H$548,MATCH($X503,INDEX(LLM_Data_Entry!$A$3:$A$548&amp;"|"&amp;LLM_Data_Entry!$C$3:$C$548&amp;"|"&amp;LLM_Data_Entry!$D$3:$D$548,0),0))),"")</f>
        <v/>
      </c>
      <c r="Z503" s="91">
        <f>IFERROR(IF($X503="","",INDEX(LLM_Data_Entry!$R$3:$R$548,MATCH($X503,INDEX(LLM_Data_Entry!$A$3:$A$548&amp;"|"&amp;LLM_Data_Entry!$C$3:$C$548&amp;"|"&amp;LLM_Data_Entry!$D$3:$D$548,0),0))),"")</f>
        <v/>
      </c>
      <c r="AL503">
        <f>IF($A503="","",IFERROR(INDEX(Company_List!$G$3:$G$207,MATCH($A503,Company_List!$A$3:$A$207,0)),"unassigned"))</f>
        <v/>
      </c>
      <c r="AP503">
        <f>IF($A503="","",IF(COUNTIFS(LLM_Data_Entry!$A$3:$A$548,$A503)&gt;0,"YES","NO"))</f>
        <v/>
      </c>
      <c r="AQ503">
        <f>IF($A503="","",IF(COUNTIFS($A$3:$A503,$A503,$C$3:$C503,$C503,$D$3:$D503,$D503)=1,"YES","NO"))</f>
        <v/>
      </c>
      <c r="AR503">
        <f>IF($A503="","",IF(AND($C503&amp;"-"&amp;$D503&gt;=Settings!$B$19,$C503&amp;"-"&amp;$D503&lt;=Settings!$B$20),"IN","OUT"))</f>
        <v/>
      </c>
      <c r="AS503">
        <f>IF($A503="","",IF($F503="Financial Results","financials",IF($F503="Outlook/Guidance","guidance",IF($F503="Transcript Q&amp;A","qanda",IF($F503="","unrecorded",IF($E503="All","full",IF($E503="","unrecorded",LOWER($E503)&amp;" only")))))))</f>
        <v/>
      </c>
      <c r="AT503">
        <f>IF(AND(OR($J503="BUY",$J503="SELL"),ISNUMBER($U503)),$U503,"")</f>
        <v/>
      </c>
      <c r="AU503">
        <f>IF(AND(OR($J503="BUY",$J503="SELL"),ISNUMBER($AK503)),$AK503,"")</f>
        <v/>
      </c>
      <c r="AV503">
        <f>IF(ISNUMBER($AT503),ABS(IF(ISNUMBER($I503),$I503,0)-Settings!$B$24),"")</f>
        <v/>
      </c>
      <c r="AW503">
        <f>IF(ISNUMBER($AV503),$AV503*$AT503,"")</f>
        <v/>
      </c>
      <c r="AX503">
        <f>IF(ISNUMBER($AU503),ABS(IF(ISNUMBER($I503),$I503,0)-Settings!$B$24),"")</f>
        <v/>
      </c>
      <c r="AY503">
        <f>IF(ISNUMBER($AX503),$AX503*$AU503,"")</f>
        <v/>
      </c>
      <c r="AZ503">
        <f>IF($A503="","",IFERROR(INDEX(Company_List!$H$3:$H$207,MATCH($A503,Company_List!$A$3:$A$207,0)),"unassigned"))</f>
        <v/>
      </c>
      <c r="BC503">
        <f>IF($A503="","",IF(COUNTIFS($A$3:$A503,$A503,$C$3:$C503,$C503,$D$3:$D503,$D503,$G$3:$G503,$G503)=1,1,0))</f>
        <v/>
      </c>
      <c r="BK503">
        <f>IF(OR($H503&lt;&gt;"Human",$S503="",$J503="",$Y503="",$Z503=""),"",IF(EXACT(UPPER($J503),UPPER($Y503)),1,0))</f>
        <v/>
      </c>
    </row>
    <row r="504">
      <c r="B504" s="142">
        <f>IF(A504="","",_xlfn.XLOOKUP(A504, Company_List!$A:$A, Company_List!$B:$B, ""))</f>
        <v/>
      </c>
      <c r="J504" s="145">
        <f>IF(OR(I504="",Settings!$B$6=""),"",IF(I504&gt;Settings!$B$6,"BUY",IF(I504&lt;-Settings!$B$6,"SELL","HOLD")))</f>
        <v/>
      </c>
      <c r="Q504" s="151">
        <f>IF(OR(N504="",P504=""),"",ROUND((P504-N504)/N504,4))</f>
        <v/>
      </c>
      <c r="R504" s="118">
        <f>IF(OR(N504="",P504=""),"",IF(Q504&gt;Settings!$B$3/100,"UP",IF(Q504&lt;-Settings!$B$3/100,"DOWN","FLAT")))</f>
        <v/>
      </c>
      <c r="S504" s="118">
        <f>IF(OR(N504="",P504="",J504=""),"",IF(OR(AND(J504="BUY",R504="UP"),AND(J504="SELL",R504="DOWN"),AND(J504="HOLD",R504="FLAT")),"YES","NO"))</f>
        <v/>
      </c>
      <c r="T504" s="119">
        <f>IF(J504="","",IF(J504="BUY",1,IF(J504="SELL",-1,0)))</f>
        <v/>
      </c>
      <c r="U504" s="150">
        <f>IFERROR(IF(OR(J504="",N504="",P504=""),"",IF(T504=0,0,T504*Q504-Settings!$B$4/10000-IF(T504&lt;0,Settings!$B$5/10000,0))),"")</f>
        <v/>
      </c>
      <c r="W504" s="21">
        <f>IF($K504="","",$K504*60)</f>
        <v/>
      </c>
      <c r="X504" s="91">
        <f>IF($A504="","",$A504&amp;"|"&amp;$C504&amp;"|"&amp;$D504)</f>
        <v/>
      </c>
      <c r="Y504" s="91">
        <f>IFERROR(IF($X504="","",INDEX(LLM_Data_Entry!$H$3:$H$548,MATCH($X504,INDEX(LLM_Data_Entry!$A$3:$A$548&amp;"|"&amp;LLM_Data_Entry!$C$3:$C$548&amp;"|"&amp;LLM_Data_Entry!$D$3:$D$548,0),0))),"")</f>
        <v/>
      </c>
      <c r="Z504" s="91">
        <f>IFERROR(IF($X504="","",INDEX(LLM_Data_Entry!$R$3:$R$548,MATCH($X504,INDEX(LLM_Data_Entry!$A$3:$A$548&amp;"|"&amp;LLM_Data_Entry!$C$3:$C$548&amp;"|"&amp;LLM_Data_Entry!$D$3:$D$548,0),0))),"")</f>
        <v/>
      </c>
      <c r="AL504">
        <f>IF($A504="","",IFERROR(INDEX(Company_List!$G$3:$G$207,MATCH($A504,Company_List!$A$3:$A$207,0)),"unassigned"))</f>
        <v/>
      </c>
      <c r="AP504">
        <f>IF($A504="","",IF(COUNTIFS(LLM_Data_Entry!$A$3:$A$548,$A504)&gt;0,"YES","NO"))</f>
        <v/>
      </c>
      <c r="AQ504">
        <f>IF($A504="","",IF(COUNTIFS($A$3:$A504,$A504,$C$3:$C504,$C504,$D$3:$D504,$D504)=1,"YES","NO"))</f>
        <v/>
      </c>
      <c r="AR504">
        <f>IF($A504="","",IF(AND($C504&amp;"-"&amp;$D504&gt;=Settings!$B$19,$C504&amp;"-"&amp;$D504&lt;=Settings!$B$20),"IN","OUT"))</f>
        <v/>
      </c>
      <c r="AS504">
        <f>IF($A504="","",IF($F504="Financial Results","financials",IF($F504="Outlook/Guidance","guidance",IF($F504="Transcript Q&amp;A","qanda",IF($F504="","unrecorded",IF($E504="All","full",IF($E504="","unrecorded",LOWER($E504)&amp;" only")))))))</f>
        <v/>
      </c>
      <c r="AT504">
        <f>IF(AND(OR($J504="BUY",$J504="SELL"),ISNUMBER($U504)),$U504,"")</f>
        <v/>
      </c>
      <c r="AU504">
        <f>IF(AND(OR($J504="BUY",$J504="SELL"),ISNUMBER($AK504)),$AK504,"")</f>
        <v/>
      </c>
      <c r="AV504">
        <f>IF(ISNUMBER($AT504),ABS(IF(ISNUMBER($I504),$I504,0)-Settings!$B$24),"")</f>
        <v/>
      </c>
      <c r="AW504">
        <f>IF(ISNUMBER($AV504),$AV504*$AT504,"")</f>
        <v/>
      </c>
      <c r="AX504">
        <f>IF(ISNUMBER($AU504),ABS(IF(ISNUMBER($I504),$I504,0)-Settings!$B$24),"")</f>
        <v/>
      </c>
      <c r="AY504">
        <f>IF(ISNUMBER($AX504),$AX504*$AU504,"")</f>
        <v/>
      </c>
      <c r="AZ504">
        <f>IF($A504="","",IFERROR(INDEX(Company_List!$H$3:$H$207,MATCH($A504,Company_List!$A$3:$A$207,0)),"unassigned"))</f>
        <v/>
      </c>
      <c r="BC504">
        <f>IF($A504="","",IF(COUNTIFS($A$3:$A504,$A504,$C$3:$C504,$C504,$D$3:$D504,$D504,$G$3:$G504,$G504)=1,1,0))</f>
        <v/>
      </c>
      <c r="BK504">
        <f>IF(OR($H504&lt;&gt;"Human",$S504="",$J504="",$Y504="",$Z504=""),"",IF(EXACT(UPPER($J504),UPPER($Y504)),1,0))</f>
        <v/>
      </c>
    </row>
    <row r="505">
      <c r="B505" s="142">
        <f>IF(A505="","",_xlfn.XLOOKUP(A505, Company_List!$A:$A, Company_List!$B:$B, ""))</f>
        <v/>
      </c>
      <c r="J505" s="145">
        <f>IF(OR(I505="",Settings!$B$6=""),"",IF(I505&gt;Settings!$B$6,"BUY",IF(I505&lt;-Settings!$B$6,"SELL","HOLD")))</f>
        <v/>
      </c>
      <c r="Q505" s="151">
        <f>IF(OR(N505="",P505=""),"",ROUND((P505-N505)/N505,4))</f>
        <v/>
      </c>
      <c r="R505" s="118">
        <f>IF(OR(N505="",P505=""),"",IF(Q505&gt;Settings!$B$3/100,"UP",IF(Q505&lt;-Settings!$B$3/100,"DOWN","FLAT")))</f>
        <v/>
      </c>
      <c r="S505" s="118">
        <f>IF(OR(N505="",P505="",J505=""),"",IF(OR(AND(J505="BUY",R505="UP"),AND(J505="SELL",R505="DOWN"),AND(J505="HOLD",R505="FLAT")),"YES","NO"))</f>
        <v/>
      </c>
      <c r="T505" s="119">
        <f>IF(J505="","",IF(J505="BUY",1,IF(J505="SELL",-1,0)))</f>
        <v/>
      </c>
      <c r="U505" s="150">
        <f>IFERROR(IF(OR(J505="",N505="",P505=""),"",IF(T505=0,0,T505*Q505-Settings!$B$4/10000-IF(T505&lt;0,Settings!$B$5/10000,0))),"")</f>
        <v/>
      </c>
      <c r="W505" s="21">
        <f>IF($K505="","",$K505*60)</f>
        <v/>
      </c>
      <c r="X505" s="91">
        <f>IF($A505="","",$A505&amp;"|"&amp;$C505&amp;"|"&amp;$D505)</f>
        <v/>
      </c>
      <c r="Y505" s="91">
        <f>IFERROR(IF($X505="","",INDEX(LLM_Data_Entry!$H$3:$H$548,MATCH($X505,INDEX(LLM_Data_Entry!$A$3:$A$548&amp;"|"&amp;LLM_Data_Entry!$C$3:$C$548&amp;"|"&amp;LLM_Data_Entry!$D$3:$D$548,0),0))),"")</f>
        <v/>
      </c>
      <c r="Z505" s="91">
        <f>IFERROR(IF($X505="","",INDEX(LLM_Data_Entry!$R$3:$R$548,MATCH($X505,INDEX(LLM_Data_Entry!$A$3:$A$548&amp;"|"&amp;LLM_Data_Entry!$C$3:$C$548&amp;"|"&amp;LLM_Data_Entry!$D$3:$D$548,0),0))),"")</f>
        <v/>
      </c>
      <c r="AL505">
        <f>IF($A505="","",IFERROR(INDEX(Company_List!$G$3:$G$207,MATCH($A505,Company_List!$A$3:$A$207,0)),"unassigned"))</f>
        <v/>
      </c>
      <c r="AP505">
        <f>IF($A505="","",IF(COUNTIFS(LLM_Data_Entry!$A$3:$A$548,$A505)&gt;0,"YES","NO"))</f>
        <v/>
      </c>
      <c r="AQ505">
        <f>IF($A505="","",IF(COUNTIFS($A$3:$A505,$A505,$C$3:$C505,$C505,$D$3:$D505,$D505)=1,"YES","NO"))</f>
        <v/>
      </c>
      <c r="AR505">
        <f>IF($A505="","",IF(AND($C505&amp;"-"&amp;$D505&gt;=Settings!$B$19,$C505&amp;"-"&amp;$D505&lt;=Settings!$B$20),"IN","OUT"))</f>
        <v/>
      </c>
      <c r="AS505">
        <f>IF($A505="","",IF($F505="Financial Results","financials",IF($F505="Outlook/Guidance","guidance",IF($F505="Transcript Q&amp;A","qanda",IF($F505="","unrecorded",IF($E505="All","full",IF($E505="","unrecorded",LOWER($E505)&amp;" only")))))))</f>
        <v/>
      </c>
      <c r="AT505">
        <f>IF(AND(OR($J505="BUY",$J505="SELL"),ISNUMBER($U505)),$U505,"")</f>
        <v/>
      </c>
      <c r="AU505">
        <f>IF(AND(OR($J505="BUY",$J505="SELL"),ISNUMBER($AK505)),$AK505,"")</f>
        <v/>
      </c>
      <c r="AV505">
        <f>IF(ISNUMBER($AT505),ABS(IF(ISNUMBER($I505),$I505,0)-Settings!$B$24),"")</f>
        <v/>
      </c>
      <c r="AW505">
        <f>IF(ISNUMBER($AV505),$AV505*$AT505,"")</f>
        <v/>
      </c>
      <c r="AX505">
        <f>IF(ISNUMBER($AU505),ABS(IF(ISNUMBER($I505),$I505,0)-Settings!$B$24),"")</f>
        <v/>
      </c>
      <c r="AY505">
        <f>IF(ISNUMBER($AX505),$AX505*$AU505,"")</f>
        <v/>
      </c>
      <c r="AZ505">
        <f>IF($A505="","",IFERROR(INDEX(Company_List!$H$3:$H$207,MATCH($A505,Company_List!$A$3:$A$207,0)),"unassigned"))</f>
        <v/>
      </c>
      <c r="BC505">
        <f>IF($A505="","",IF(COUNTIFS($A$3:$A505,$A505,$C$3:$C505,$C505,$D$3:$D505,$D505,$G$3:$G505,$G505)=1,1,0))</f>
        <v/>
      </c>
      <c r="BK505">
        <f>IF(OR($H505&lt;&gt;"Human",$S505="",$J505="",$Y505="",$Z505=""),"",IF(EXACT(UPPER($J505),UPPER($Y505)),1,0))</f>
        <v/>
      </c>
    </row>
    <row r="506">
      <c r="B506" s="142">
        <f>IF(A506="","",_xlfn.XLOOKUP(A506, Company_List!$A:$A, Company_List!$B:$B, ""))</f>
        <v/>
      </c>
      <c r="J506" s="145">
        <f>IF(OR(I506="",Settings!$B$6=""),"",IF(I506&gt;Settings!$B$6,"BUY",IF(I506&lt;-Settings!$B$6,"SELL","HOLD")))</f>
        <v/>
      </c>
      <c r="Q506" s="151">
        <f>IF(OR(N506="",P506=""),"",ROUND((P506-N506)/N506,4))</f>
        <v/>
      </c>
      <c r="R506" s="118">
        <f>IF(OR(N506="",P506=""),"",IF(Q506&gt;Settings!$B$3/100,"UP",IF(Q506&lt;-Settings!$B$3/100,"DOWN","FLAT")))</f>
        <v/>
      </c>
      <c r="S506" s="118">
        <f>IF(OR(N506="",P506="",J506=""),"",IF(OR(AND(J506="BUY",R506="UP"),AND(J506="SELL",R506="DOWN"),AND(J506="HOLD",R506="FLAT")),"YES","NO"))</f>
        <v/>
      </c>
      <c r="T506" s="119">
        <f>IF(J506="","",IF(J506="BUY",1,IF(J506="SELL",-1,0)))</f>
        <v/>
      </c>
      <c r="U506" s="150">
        <f>IFERROR(IF(OR(J506="",N506="",P506=""),"",IF(T506=0,0,T506*Q506-Settings!$B$4/10000-IF(T506&lt;0,Settings!$B$5/10000,0))),"")</f>
        <v/>
      </c>
      <c r="W506" s="21">
        <f>IF($K506="","",$K506*60)</f>
        <v/>
      </c>
      <c r="X506" s="91">
        <f>IF($A506="","",$A506&amp;"|"&amp;$C506&amp;"|"&amp;$D506)</f>
        <v/>
      </c>
      <c r="Y506" s="91">
        <f>IFERROR(IF($X506="","",INDEX(LLM_Data_Entry!$H$3:$H$548,MATCH($X506,INDEX(LLM_Data_Entry!$A$3:$A$548&amp;"|"&amp;LLM_Data_Entry!$C$3:$C$548&amp;"|"&amp;LLM_Data_Entry!$D$3:$D$548,0),0))),"")</f>
        <v/>
      </c>
      <c r="Z506" s="91">
        <f>IFERROR(IF($X506="","",INDEX(LLM_Data_Entry!$R$3:$R$548,MATCH($X506,INDEX(LLM_Data_Entry!$A$3:$A$548&amp;"|"&amp;LLM_Data_Entry!$C$3:$C$548&amp;"|"&amp;LLM_Data_Entry!$D$3:$D$548,0),0))),"")</f>
        <v/>
      </c>
      <c r="AL506">
        <f>IF($A506="","",IFERROR(INDEX(Company_List!$G$3:$G$207,MATCH($A506,Company_List!$A$3:$A$207,0)),"unassigned"))</f>
        <v/>
      </c>
      <c r="AP506">
        <f>IF($A506="","",IF(COUNTIFS(LLM_Data_Entry!$A$3:$A$548,$A506)&gt;0,"YES","NO"))</f>
        <v/>
      </c>
      <c r="AQ506">
        <f>IF($A506="","",IF(COUNTIFS($A$3:$A506,$A506,$C$3:$C506,$C506,$D$3:$D506,$D506)=1,"YES","NO"))</f>
        <v/>
      </c>
      <c r="AR506">
        <f>IF($A506="","",IF(AND($C506&amp;"-"&amp;$D506&gt;=Settings!$B$19,$C506&amp;"-"&amp;$D506&lt;=Settings!$B$20),"IN","OUT"))</f>
        <v/>
      </c>
      <c r="AS506">
        <f>IF($A506="","",IF($F506="Financial Results","financials",IF($F506="Outlook/Guidance","guidance",IF($F506="Transcript Q&amp;A","qanda",IF($F506="","unrecorded",IF($E506="All","full",IF($E506="","unrecorded",LOWER($E506)&amp;" only")))))))</f>
        <v/>
      </c>
      <c r="AT506">
        <f>IF(AND(OR($J506="BUY",$J506="SELL"),ISNUMBER($U506)),$U506,"")</f>
        <v/>
      </c>
      <c r="AU506">
        <f>IF(AND(OR($J506="BUY",$J506="SELL"),ISNUMBER($AK506)),$AK506,"")</f>
        <v/>
      </c>
      <c r="AV506">
        <f>IF(ISNUMBER($AT506),ABS(IF(ISNUMBER($I506),$I506,0)-Settings!$B$24),"")</f>
        <v/>
      </c>
      <c r="AW506">
        <f>IF(ISNUMBER($AV506),$AV506*$AT506,"")</f>
        <v/>
      </c>
      <c r="AX506">
        <f>IF(ISNUMBER($AU506),ABS(IF(ISNUMBER($I506),$I506,0)-Settings!$B$24),"")</f>
        <v/>
      </c>
      <c r="AY506">
        <f>IF(ISNUMBER($AX506),$AX506*$AU506,"")</f>
        <v/>
      </c>
      <c r="AZ506">
        <f>IF($A506="","",IFERROR(INDEX(Company_List!$H$3:$H$207,MATCH($A506,Company_List!$A$3:$A$207,0)),"unassigned"))</f>
        <v/>
      </c>
      <c r="BC506">
        <f>IF($A506="","",IF(COUNTIFS($A$3:$A506,$A506,$C$3:$C506,$C506,$D$3:$D506,$D506,$G$3:$G506,$G506)=1,1,0))</f>
        <v/>
      </c>
      <c r="BK506">
        <f>IF(OR($H506&lt;&gt;"Human",$S506="",$J506="",$Y506="",$Z506=""),"",IF(EXACT(UPPER($J506),UPPER($Y506)),1,0))</f>
        <v/>
      </c>
    </row>
    <row r="507">
      <c r="B507" s="142">
        <f>IF(A507="","",_xlfn.XLOOKUP(A507, Company_List!$A:$A, Company_List!$B:$B, ""))</f>
        <v/>
      </c>
      <c r="J507" s="145">
        <f>IF(OR(I507="",Settings!$B$6=""),"",IF(I507&gt;Settings!$B$6,"BUY",IF(I507&lt;-Settings!$B$6,"SELL","HOLD")))</f>
        <v/>
      </c>
      <c r="Q507" s="151">
        <f>IF(OR(N507="",P507=""),"",ROUND((P507-N507)/N507,4))</f>
        <v/>
      </c>
      <c r="R507" s="118">
        <f>IF(OR(N507="",P507=""),"",IF(Q507&gt;Settings!$B$3/100,"UP",IF(Q507&lt;-Settings!$B$3/100,"DOWN","FLAT")))</f>
        <v/>
      </c>
      <c r="S507" s="118">
        <f>IF(OR(N507="",P507="",J507=""),"",IF(OR(AND(J507="BUY",R507="UP"),AND(J507="SELL",R507="DOWN"),AND(J507="HOLD",R507="FLAT")),"YES","NO"))</f>
        <v/>
      </c>
      <c r="T507" s="119">
        <f>IF(J507="","",IF(J507="BUY",1,IF(J507="SELL",-1,0)))</f>
        <v/>
      </c>
      <c r="U507" s="150">
        <f>IFERROR(IF(OR(J507="",N507="",P507=""),"",IF(T507=0,0,T507*Q507-Settings!$B$4/10000-IF(T507&lt;0,Settings!$B$5/10000,0))),"")</f>
        <v/>
      </c>
      <c r="W507" s="21">
        <f>IF($K507="","",$K507*60)</f>
        <v/>
      </c>
      <c r="X507" s="91">
        <f>IF($A507="","",$A507&amp;"|"&amp;$C507&amp;"|"&amp;$D507)</f>
        <v/>
      </c>
      <c r="Y507" s="91">
        <f>IFERROR(IF($X507="","",INDEX(LLM_Data_Entry!$H$3:$H$548,MATCH($X507,INDEX(LLM_Data_Entry!$A$3:$A$548&amp;"|"&amp;LLM_Data_Entry!$C$3:$C$548&amp;"|"&amp;LLM_Data_Entry!$D$3:$D$548,0),0))),"")</f>
        <v/>
      </c>
      <c r="Z507" s="91">
        <f>IFERROR(IF($X507="","",INDEX(LLM_Data_Entry!$R$3:$R$548,MATCH($X507,INDEX(LLM_Data_Entry!$A$3:$A$548&amp;"|"&amp;LLM_Data_Entry!$C$3:$C$548&amp;"|"&amp;LLM_Data_Entry!$D$3:$D$548,0),0))),"")</f>
        <v/>
      </c>
      <c r="AL507">
        <f>IF($A507="","",IFERROR(INDEX(Company_List!$G$3:$G$207,MATCH($A507,Company_List!$A$3:$A$207,0)),"unassigned"))</f>
        <v/>
      </c>
      <c r="AP507">
        <f>IF($A507="","",IF(COUNTIFS(LLM_Data_Entry!$A$3:$A$548,$A507)&gt;0,"YES","NO"))</f>
        <v/>
      </c>
      <c r="AQ507">
        <f>IF($A507="","",IF(COUNTIFS($A$3:$A507,$A507,$C$3:$C507,$C507,$D$3:$D507,$D507)=1,"YES","NO"))</f>
        <v/>
      </c>
      <c r="AR507">
        <f>IF($A507="","",IF(AND($C507&amp;"-"&amp;$D507&gt;=Settings!$B$19,$C507&amp;"-"&amp;$D507&lt;=Settings!$B$20),"IN","OUT"))</f>
        <v/>
      </c>
      <c r="AS507">
        <f>IF($A507="","",IF($F507="Financial Results","financials",IF($F507="Outlook/Guidance","guidance",IF($F507="Transcript Q&amp;A","qanda",IF($F507="","unrecorded",IF($E507="All","full",IF($E507="","unrecorded",LOWER($E507)&amp;" only")))))))</f>
        <v/>
      </c>
      <c r="AT507">
        <f>IF(AND(OR($J507="BUY",$J507="SELL"),ISNUMBER($U507)),$U507,"")</f>
        <v/>
      </c>
      <c r="AU507">
        <f>IF(AND(OR($J507="BUY",$J507="SELL"),ISNUMBER($AK507)),$AK507,"")</f>
        <v/>
      </c>
      <c r="AV507">
        <f>IF(ISNUMBER($AT507),ABS(IF(ISNUMBER($I507),$I507,0)-Settings!$B$24),"")</f>
        <v/>
      </c>
      <c r="AW507">
        <f>IF(ISNUMBER($AV507),$AV507*$AT507,"")</f>
        <v/>
      </c>
      <c r="AX507">
        <f>IF(ISNUMBER($AU507),ABS(IF(ISNUMBER($I507),$I507,0)-Settings!$B$24),"")</f>
        <v/>
      </c>
      <c r="AY507">
        <f>IF(ISNUMBER($AX507),$AX507*$AU507,"")</f>
        <v/>
      </c>
      <c r="AZ507">
        <f>IF($A507="","",IFERROR(INDEX(Company_List!$H$3:$H$207,MATCH($A507,Company_List!$A$3:$A$207,0)),"unassigned"))</f>
        <v/>
      </c>
      <c r="BC507">
        <f>IF($A507="","",IF(COUNTIFS($A$3:$A507,$A507,$C$3:$C507,$C507,$D$3:$D507,$D507,$G$3:$G507,$G507)=1,1,0))</f>
        <v/>
      </c>
      <c r="BK507">
        <f>IF(OR($H507&lt;&gt;"Human",$S507="",$J507="",$Y507="",$Z507=""),"",IF(EXACT(UPPER($J507),UPPER($Y507)),1,0))</f>
        <v/>
      </c>
    </row>
    <row r="508">
      <c r="B508" s="142">
        <f>IF(A508="","",_xlfn.XLOOKUP(A508, Company_List!$A:$A, Company_List!$B:$B, ""))</f>
        <v/>
      </c>
      <c r="J508" s="145">
        <f>IF(OR(I508="",Settings!$B$6=""),"",IF(I508&gt;Settings!$B$6,"BUY",IF(I508&lt;-Settings!$B$6,"SELL","HOLD")))</f>
        <v/>
      </c>
      <c r="Q508" s="151">
        <f>IF(OR(N508="",P508=""),"",ROUND((P508-N508)/N508,4))</f>
        <v/>
      </c>
      <c r="R508" s="118">
        <f>IF(OR(N508="",P508=""),"",IF(Q508&gt;Settings!$B$3/100,"UP",IF(Q508&lt;-Settings!$B$3/100,"DOWN","FLAT")))</f>
        <v/>
      </c>
      <c r="S508" s="118">
        <f>IF(OR(N508="",P508="",J508=""),"",IF(OR(AND(J508="BUY",R508="UP"),AND(J508="SELL",R508="DOWN"),AND(J508="HOLD",R508="FLAT")),"YES","NO"))</f>
        <v/>
      </c>
      <c r="T508" s="119">
        <f>IF(J508="","",IF(J508="BUY",1,IF(J508="SELL",-1,0)))</f>
        <v/>
      </c>
      <c r="U508" s="150">
        <f>IFERROR(IF(OR(J508="",N508="",P508=""),"",IF(T508=0,0,T508*Q508-Settings!$B$4/10000-IF(T508&lt;0,Settings!$B$5/10000,0))),"")</f>
        <v/>
      </c>
      <c r="W508" s="21">
        <f>IF($K508="","",$K508*60)</f>
        <v/>
      </c>
      <c r="X508" s="91">
        <f>IF($A508="","",$A508&amp;"|"&amp;$C508&amp;"|"&amp;$D508)</f>
        <v/>
      </c>
      <c r="Y508" s="91">
        <f>IFERROR(IF($X508="","",INDEX(LLM_Data_Entry!$H$3:$H$548,MATCH($X508,INDEX(LLM_Data_Entry!$A$3:$A$548&amp;"|"&amp;LLM_Data_Entry!$C$3:$C$548&amp;"|"&amp;LLM_Data_Entry!$D$3:$D$548,0),0))),"")</f>
        <v/>
      </c>
      <c r="Z508" s="91">
        <f>IFERROR(IF($X508="","",INDEX(LLM_Data_Entry!$R$3:$R$548,MATCH($X508,INDEX(LLM_Data_Entry!$A$3:$A$548&amp;"|"&amp;LLM_Data_Entry!$C$3:$C$548&amp;"|"&amp;LLM_Data_Entry!$D$3:$D$548,0),0))),"")</f>
        <v/>
      </c>
      <c r="AL508">
        <f>IF($A508="","",IFERROR(INDEX(Company_List!$G$3:$G$207,MATCH($A508,Company_List!$A$3:$A$207,0)),"unassigned"))</f>
        <v/>
      </c>
      <c r="AP508">
        <f>IF($A508="","",IF(COUNTIFS(LLM_Data_Entry!$A$3:$A$548,$A508)&gt;0,"YES","NO"))</f>
        <v/>
      </c>
      <c r="AQ508">
        <f>IF($A508="","",IF(COUNTIFS($A$3:$A508,$A508,$C$3:$C508,$C508,$D$3:$D508,$D508)=1,"YES","NO"))</f>
        <v/>
      </c>
      <c r="AR508">
        <f>IF($A508="","",IF(AND($C508&amp;"-"&amp;$D508&gt;=Settings!$B$19,$C508&amp;"-"&amp;$D508&lt;=Settings!$B$20),"IN","OUT"))</f>
        <v/>
      </c>
      <c r="AS508">
        <f>IF($A508="","",IF($F508="Financial Results","financials",IF($F508="Outlook/Guidance","guidance",IF($F508="Transcript Q&amp;A","qanda",IF($F508="","unrecorded",IF($E508="All","full",IF($E508="","unrecorded",LOWER($E508)&amp;" only")))))))</f>
        <v/>
      </c>
      <c r="AT508">
        <f>IF(AND(OR($J508="BUY",$J508="SELL"),ISNUMBER($U508)),$U508,"")</f>
        <v/>
      </c>
      <c r="AU508">
        <f>IF(AND(OR($J508="BUY",$J508="SELL"),ISNUMBER($AK508)),$AK508,"")</f>
        <v/>
      </c>
      <c r="AV508">
        <f>IF(ISNUMBER($AT508),ABS(IF(ISNUMBER($I508),$I508,0)-Settings!$B$24),"")</f>
        <v/>
      </c>
      <c r="AW508">
        <f>IF(ISNUMBER($AV508),$AV508*$AT508,"")</f>
        <v/>
      </c>
      <c r="AX508">
        <f>IF(ISNUMBER($AU508),ABS(IF(ISNUMBER($I508),$I508,0)-Settings!$B$24),"")</f>
        <v/>
      </c>
      <c r="AY508">
        <f>IF(ISNUMBER($AX508),$AX508*$AU508,"")</f>
        <v/>
      </c>
      <c r="AZ508">
        <f>IF($A508="","",IFERROR(INDEX(Company_List!$H$3:$H$207,MATCH($A508,Company_List!$A$3:$A$207,0)),"unassigned"))</f>
        <v/>
      </c>
      <c r="BC508">
        <f>IF($A508="","",IF(COUNTIFS($A$3:$A508,$A508,$C$3:$C508,$C508,$D$3:$D508,$D508,$G$3:$G508,$G508)=1,1,0))</f>
        <v/>
      </c>
      <c r="BK508">
        <f>IF(OR($H508&lt;&gt;"Human",$S508="",$J508="",$Y508="",$Z508=""),"",IF(EXACT(UPPER($J508),UPPER($Y508)),1,0))</f>
        <v/>
      </c>
    </row>
    <row r="509">
      <c r="B509" s="142">
        <f>IF(A509="","",_xlfn.XLOOKUP(A509, Company_List!$A:$A, Company_List!$B:$B, ""))</f>
        <v/>
      </c>
      <c r="J509" s="145">
        <f>IF(OR(I509="",Settings!$B$6=""),"",IF(I509&gt;Settings!$B$6,"BUY",IF(I509&lt;-Settings!$B$6,"SELL","HOLD")))</f>
        <v/>
      </c>
      <c r="Q509" s="151">
        <f>IF(OR(N509="",P509=""),"",ROUND((P509-N509)/N509,4))</f>
        <v/>
      </c>
      <c r="R509" s="118">
        <f>IF(OR(N509="",P509=""),"",IF(Q509&gt;Settings!$B$3/100,"UP",IF(Q509&lt;-Settings!$B$3/100,"DOWN","FLAT")))</f>
        <v/>
      </c>
      <c r="S509" s="118">
        <f>IF(OR(N509="",P509="",J509=""),"",IF(OR(AND(J509="BUY",R509="UP"),AND(J509="SELL",R509="DOWN"),AND(J509="HOLD",R509="FLAT")),"YES","NO"))</f>
        <v/>
      </c>
      <c r="T509" s="119">
        <f>IF(J509="","",IF(J509="BUY",1,IF(J509="SELL",-1,0)))</f>
        <v/>
      </c>
      <c r="U509" s="150">
        <f>IFERROR(IF(OR(J509="",N509="",P509=""),"",IF(T509=0,0,T509*Q509-Settings!$B$4/10000-IF(T509&lt;0,Settings!$B$5/10000,0))),"")</f>
        <v/>
      </c>
      <c r="W509" s="21">
        <f>IF($K509="","",$K509*60)</f>
        <v/>
      </c>
      <c r="X509" s="91">
        <f>IF($A509="","",$A509&amp;"|"&amp;$C509&amp;"|"&amp;$D509)</f>
        <v/>
      </c>
      <c r="Y509" s="91">
        <f>IFERROR(IF($X509="","",INDEX(LLM_Data_Entry!$H$3:$H$548,MATCH($X509,INDEX(LLM_Data_Entry!$A$3:$A$548&amp;"|"&amp;LLM_Data_Entry!$C$3:$C$548&amp;"|"&amp;LLM_Data_Entry!$D$3:$D$548,0),0))),"")</f>
        <v/>
      </c>
      <c r="Z509" s="91">
        <f>IFERROR(IF($X509="","",INDEX(LLM_Data_Entry!$R$3:$R$548,MATCH($X509,INDEX(LLM_Data_Entry!$A$3:$A$548&amp;"|"&amp;LLM_Data_Entry!$C$3:$C$548&amp;"|"&amp;LLM_Data_Entry!$D$3:$D$548,0),0))),"")</f>
        <v/>
      </c>
      <c r="AL509">
        <f>IF($A509="","",IFERROR(INDEX(Company_List!$G$3:$G$207,MATCH($A509,Company_List!$A$3:$A$207,0)),"unassigned"))</f>
        <v/>
      </c>
      <c r="AP509">
        <f>IF($A509="","",IF(COUNTIFS(LLM_Data_Entry!$A$3:$A$548,$A509)&gt;0,"YES","NO"))</f>
        <v/>
      </c>
      <c r="AQ509">
        <f>IF($A509="","",IF(COUNTIFS($A$3:$A509,$A509,$C$3:$C509,$C509,$D$3:$D509,$D509)=1,"YES","NO"))</f>
        <v/>
      </c>
      <c r="AR509">
        <f>IF($A509="","",IF(AND($C509&amp;"-"&amp;$D509&gt;=Settings!$B$19,$C509&amp;"-"&amp;$D509&lt;=Settings!$B$20),"IN","OUT"))</f>
        <v/>
      </c>
      <c r="AS509">
        <f>IF($A509="","",IF($F509="Financial Results","financials",IF($F509="Outlook/Guidance","guidance",IF($F509="Transcript Q&amp;A","qanda",IF($F509="","unrecorded",IF($E509="All","full",IF($E509="","unrecorded",LOWER($E509)&amp;" only")))))))</f>
        <v/>
      </c>
      <c r="AT509">
        <f>IF(AND(OR($J509="BUY",$J509="SELL"),ISNUMBER($U509)),$U509,"")</f>
        <v/>
      </c>
      <c r="AU509">
        <f>IF(AND(OR($J509="BUY",$J509="SELL"),ISNUMBER($AK509)),$AK509,"")</f>
        <v/>
      </c>
      <c r="AV509">
        <f>IF(ISNUMBER($AT509),ABS(IF(ISNUMBER($I509),$I509,0)-Settings!$B$24),"")</f>
        <v/>
      </c>
      <c r="AW509">
        <f>IF(ISNUMBER($AV509),$AV509*$AT509,"")</f>
        <v/>
      </c>
      <c r="AX509">
        <f>IF(ISNUMBER($AU509),ABS(IF(ISNUMBER($I509),$I509,0)-Settings!$B$24),"")</f>
        <v/>
      </c>
      <c r="AY509">
        <f>IF(ISNUMBER($AX509),$AX509*$AU509,"")</f>
        <v/>
      </c>
      <c r="AZ509">
        <f>IF($A509="","",IFERROR(INDEX(Company_List!$H$3:$H$207,MATCH($A509,Company_List!$A$3:$A$207,0)),"unassigned"))</f>
        <v/>
      </c>
      <c r="BC509">
        <f>IF($A509="","",IF(COUNTIFS($A$3:$A509,$A509,$C$3:$C509,$C509,$D$3:$D509,$D509,$G$3:$G509,$G509)=1,1,0))</f>
        <v/>
      </c>
      <c r="BK509">
        <f>IF(OR($H509&lt;&gt;"Human",$S509="",$J509="",$Y509="",$Z509=""),"",IF(EXACT(UPPER($J509),UPPER($Y509)),1,0))</f>
        <v/>
      </c>
    </row>
    <row r="510">
      <c r="B510" s="142">
        <f>IF(A510="","",_xlfn.XLOOKUP(A510, Company_List!$A:$A, Company_List!$B:$B, ""))</f>
        <v/>
      </c>
      <c r="J510" s="145">
        <f>IF(OR(I510="",Settings!$B$6=""),"",IF(I510&gt;Settings!$B$6,"BUY",IF(I510&lt;-Settings!$B$6,"SELL","HOLD")))</f>
        <v/>
      </c>
      <c r="Q510" s="151">
        <f>IF(OR(N510="",P510=""),"",ROUND((P510-N510)/N510,4))</f>
        <v/>
      </c>
      <c r="R510" s="118">
        <f>IF(OR(N510="",P510=""),"",IF(Q510&gt;Settings!$B$3/100,"UP",IF(Q510&lt;-Settings!$B$3/100,"DOWN","FLAT")))</f>
        <v/>
      </c>
      <c r="S510" s="118">
        <f>IF(OR(N510="",P510="",J510=""),"",IF(OR(AND(J510="BUY",R510="UP"),AND(J510="SELL",R510="DOWN"),AND(J510="HOLD",R510="FLAT")),"YES","NO"))</f>
        <v/>
      </c>
      <c r="T510" s="119">
        <f>IF(J510="","",IF(J510="BUY",1,IF(J510="SELL",-1,0)))</f>
        <v/>
      </c>
      <c r="U510" s="150">
        <f>IFERROR(IF(OR(J510="",N510="",P510=""),"",IF(T510=0,0,T510*Q510-Settings!$B$4/10000-IF(T510&lt;0,Settings!$B$5/10000,0))),"")</f>
        <v/>
      </c>
      <c r="W510" s="21">
        <f>IF($K510="","",$K510*60)</f>
        <v/>
      </c>
      <c r="X510" s="91">
        <f>IF($A510="","",$A510&amp;"|"&amp;$C510&amp;"|"&amp;$D510)</f>
        <v/>
      </c>
      <c r="Y510" s="91">
        <f>IFERROR(IF($X510="","",INDEX(LLM_Data_Entry!$H$3:$H$548,MATCH($X510,INDEX(LLM_Data_Entry!$A$3:$A$548&amp;"|"&amp;LLM_Data_Entry!$C$3:$C$548&amp;"|"&amp;LLM_Data_Entry!$D$3:$D$548,0),0))),"")</f>
        <v/>
      </c>
      <c r="Z510" s="91">
        <f>IFERROR(IF($X510="","",INDEX(LLM_Data_Entry!$R$3:$R$548,MATCH($X510,INDEX(LLM_Data_Entry!$A$3:$A$548&amp;"|"&amp;LLM_Data_Entry!$C$3:$C$548&amp;"|"&amp;LLM_Data_Entry!$D$3:$D$548,0),0))),"")</f>
        <v/>
      </c>
      <c r="AL510">
        <f>IF($A510="","",IFERROR(INDEX(Company_List!$G$3:$G$207,MATCH($A510,Company_List!$A$3:$A$207,0)),"unassigned"))</f>
        <v/>
      </c>
      <c r="AP510">
        <f>IF($A510="","",IF(COUNTIFS(LLM_Data_Entry!$A$3:$A$548,$A510)&gt;0,"YES","NO"))</f>
        <v/>
      </c>
      <c r="AQ510">
        <f>IF($A510="","",IF(COUNTIFS($A$3:$A510,$A510,$C$3:$C510,$C510,$D$3:$D510,$D510)=1,"YES","NO"))</f>
        <v/>
      </c>
      <c r="AR510">
        <f>IF($A510="","",IF(AND($C510&amp;"-"&amp;$D510&gt;=Settings!$B$19,$C510&amp;"-"&amp;$D510&lt;=Settings!$B$20),"IN","OUT"))</f>
        <v/>
      </c>
      <c r="AS510">
        <f>IF($A510="","",IF($F510="Financial Results","financials",IF($F510="Outlook/Guidance","guidance",IF($F510="Transcript Q&amp;A","qanda",IF($F510="","unrecorded",IF($E510="All","full",IF($E510="","unrecorded",LOWER($E510)&amp;" only")))))))</f>
        <v/>
      </c>
      <c r="AT510">
        <f>IF(AND(OR($J510="BUY",$J510="SELL"),ISNUMBER($U510)),$U510,"")</f>
        <v/>
      </c>
      <c r="AU510">
        <f>IF(AND(OR($J510="BUY",$J510="SELL"),ISNUMBER($AK510)),$AK510,"")</f>
        <v/>
      </c>
      <c r="AV510">
        <f>IF(ISNUMBER($AT510),ABS(IF(ISNUMBER($I510),$I510,0)-Settings!$B$24),"")</f>
        <v/>
      </c>
      <c r="AW510">
        <f>IF(ISNUMBER($AV510),$AV510*$AT510,"")</f>
        <v/>
      </c>
      <c r="AX510">
        <f>IF(ISNUMBER($AU510),ABS(IF(ISNUMBER($I510),$I510,0)-Settings!$B$24),"")</f>
        <v/>
      </c>
      <c r="AY510">
        <f>IF(ISNUMBER($AX510),$AX510*$AU510,"")</f>
        <v/>
      </c>
      <c r="AZ510">
        <f>IF($A510="","",IFERROR(INDEX(Company_List!$H$3:$H$207,MATCH($A510,Company_List!$A$3:$A$207,0)),"unassigned"))</f>
        <v/>
      </c>
      <c r="BC510">
        <f>IF($A510="","",IF(COUNTIFS($A$3:$A510,$A510,$C$3:$C510,$C510,$D$3:$D510,$D510,$G$3:$G510,$G510)=1,1,0))</f>
        <v/>
      </c>
      <c r="BK510">
        <f>IF(OR($H510&lt;&gt;"Human",$S510="",$J510="",$Y510="",$Z510=""),"",IF(EXACT(UPPER($J510),UPPER($Y510)),1,0))</f>
        <v/>
      </c>
    </row>
    <row r="511">
      <c r="B511" s="142">
        <f>IF(A511="","",_xlfn.XLOOKUP(A511, Company_List!$A:$A, Company_List!$B:$B, ""))</f>
        <v/>
      </c>
      <c r="J511" s="145">
        <f>IF(OR(I511="",Settings!$B$6=""),"",IF(I511&gt;Settings!$B$6,"BUY",IF(I511&lt;-Settings!$B$6,"SELL","HOLD")))</f>
        <v/>
      </c>
      <c r="Q511" s="151">
        <f>IF(OR(N511="",P511=""),"",ROUND((P511-N511)/N511,4))</f>
        <v/>
      </c>
      <c r="R511" s="118">
        <f>IF(OR(N511="",P511=""),"",IF(Q511&gt;Settings!$B$3/100,"UP",IF(Q511&lt;-Settings!$B$3/100,"DOWN","FLAT")))</f>
        <v/>
      </c>
      <c r="S511" s="118">
        <f>IF(OR(N511="",P511="",J511=""),"",IF(OR(AND(J511="BUY",R511="UP"),AND(J511="SELL",R511="DOWN"),AND(J511="HOLD",R511="FLAT")),"YES","NO"))</f>
        <v/>
      </c>
      <c r="T511" s="119">
        <f>IF(J511="","",IF(J511="BUY",1,IF(J511="SELL",-1,0)))</f>
        <v/>
      </c>
      <c r="U511" s="150">
        <f>IFERROR(IF(OR(J511="",N511="",P511=""),"",IF(T511=0,0,T511*Q511-Settings!$B$4/10000-IF(T511&lt;0,Settings!$B$5/10000,0))),"")</f>
        <v/>
      </c>
      <c r="W511" s="21">
        <f>IF($K511="","",$K511*60)</f>
        <v/>
      </c>
      <c r="X511" s="91">
        <f>IF($A511="","",$A511&amp;"|"&amp;$C511&amp;"|"&amp;$D511)</f>
        <v/>
      </c>
      <c r="Y511" s="91">
        <f>IFERROR(IF($X511="","",INDEX(LLM_Data_Entry!$H$3:$H$548,MATCH($X511,INDEX(LLM_Data_Entry!$A$3:$A$548&amp;"|"&amp;LLM_Data_Entry!$C$3:$C$548&amp;"|"&amp;LLM_Data_Entry!$D$3:$D$548,0),0))),"")</f>
        <v/>
      </c>
      <c r="Z511" s="91">
        <f>IFERROR(IF($X511="","",INDEX(LLM_Data_Entry!$R$3:$R$548,MATCH($X511,INDEX(LLM_Data_Entry!$A$3:$A$548&amp;"|"&amp;LLM_Data_Entry!$C$3:$C$548&amp;"|"&amp;LLM_Data_Entry!$D$3:$D$548,0),0))),"")</f>
        <v/>
      </c>
      <c r="AL511">
        <f>IF($A511="","",IFERROR(INDEX(Company_List!$G$3:$G$207,MATCH($A511,Company_List!$A$3:$A$207,0)),"unassigned"))</f>
        <v/>
      </c>
      <c r="AP511">
        <f>IF($A511="","",IF(COUNTIFS(LLM_Data_Entry!$A$3:$A$548,$A511)&gt;0,"YES","NO"))</f>
        <v/>
      </c>
      <c r="AQ511">
        <f>IF($A511="","",IF(COUNTIFS($A$3:$A511,$A511,$C$3:$C511,$C511,$D$3:$D511,$D511)=1,"YES","NO"))</f>
        <v/>
      </c>
      <c r="AR511">
        <f>IF($A511="","",IF(AND($C511&amp;"-"&amp;$D511&gt;=Settings!$B$19,$C511&amp;"-"&amp;$D511&lt;=Settings!$B$20),"IN","OUT"))</f>
        <v/>
      </c>
      <c r="AS511">
        <f>IF($A511="","",IF($F511="Financial Results","financials",IF($F511="Outlook/Guidance","guidance",IF($F511="Transcript Q&amp;A","qanda",IF($F511="","unrecorded",IF($E511="All","full",IF($E511="","unrecorded",LOWER($E511)&amp;" only")))))))</f>
        <v/>
      </c>
      <c r="AT511">
        <f>IF(AND(OR($J511="BUY",$J511="SELL"),ISNUMBER($U511)),$U511,"")</f>
        <v/>
      </c>
      <c r="AU511">
        <f>IF(AND(OR($J511="BUY",$J511="SELL"),ISNUMBER($AK511)),$AK511,"")</f>
        <v/>
      </c>
      <c r="AV511">
        <f>IF(ISNUMBER($AT511),ABS(IF(ISNUMBER($I511),$I511,0)-Settings!$B$24),"")</f>
        <v/>
      </c>
      <c r="AW511">
        <f>IF(ISNUMBER($AV511),$AV511*$AT511,"")</f>
        <v/>
      </c>
      <c r="AX511">
        <f>IF(ISNUMBER($AU511),ABS(IF(ISNUMBER($I511),$I511,0)-Settings!$B$24),"")</f>
        <v/>
      </c>
      <c r="AY511">
        <f>IF(ISNUMBER($AX511),$AX511*$AU511,"")</f>
        <v/>
      </c>
      <c r="AZ511">
        <f>IF($A511="","",IFERROR(INDEX(Company_List!$H$3:$H$207,MATCH($A511,Company_List!$A$3:$A$207,0)),"unassigned"))</f>
        <v/>
      </c>
      <c r="BC511">
        <f>IF($A511="","",IF(COUNTIFS($A$3:$A511,$A511,$C$3:$C511,$C511,$D$3:$D511,$D511,$G$3:$G511,$G511)=1,1,0))</f>
        <v/>
      </c>
      <c r="BK511">
        <f>IF(OR($H511&lt;&gt;"Human",$S511="",$J511="",$Y511="",$Z511=""),"",IF(EXACT(UPPER($J511),UPPER($Y511)),1,0))</f>
        <v/>
      </c>
    </row>
    <row r="512">
      <c r="B512" s="142">
        <f>IF(A512="","",_xlfn.XLOOKUP(A512, Company_List!$A:$A, Company_List!$B:$B, ""))</f>
        <v/>
      </c>
      <c r="J512" s="145">
        <f>IF(OR(I512="",Settings!$B$6=""),"",IF(I512&gt;Settings!$B$6,"BUY",IF(I512&lt;-Settings!$B$6,"SELL","HOLD")))</f>
        <v/>
      </c>
      <c r="Q512" s="151">
        <f>IF(OR(N512="",P512=""),"",ROUND((P512-N512)/N512,4))</f>
        <v/>
      </c>
      <c r="R512" s="118">
        <f>IF(OR(N512="",P512=""),"",IF(Q512&gt;Settings!$B$3/100,"UP",IF(Q512&lt;-Settings!$B$3/100,"DOWN","FLAT")))</f>
        <v/>
      </c>
      <c r="S512" s="118">
        <f>IF(OR(N512="",P512="",J512=""),"",IF(OR(AND(J512="BUY",R512="UP"),AND(J512="SELL",R512="DOWN"),AND(J512="HOLD",R512="FLAT")),"YES","NO"))</f>
        <v/>
      </c>
      <c r="T512" s="119">
        <f>IF(J512="","",IF(J512="BUY",1,IF(J512="SELL",-1,0)))</f>
        <v/>
      </c>
      <c r="U512" s="150">
        <f>IFERROR(IF(OR(J512="",N512="",P512=""),"",IF(T512=0,0,T512*Q512-Settings!$B$4/10000-IF(T512&lt;0,Settings!$B$5/10000,0))),"")</f>
        <v/>
      </c>
      <c r="W512" s="21">
        <f>IF($K512="","",$K512*60)</f>
        <v/>
      </c>
      <c r="X512" s="91">
        <f>IF($A512="","",$A512&amp;"|"&amp;$C512&amp;"|"&amp;$D512)</f>
        <v/>
      </c>
      <c r="Y512" s="91">
        <f>IFERROR(IF($X512="","",INDEX(LLM_Data_Entry!$H$3:$H$548,MATCH($X512,INDEX(LLM_Data_Entry!$A$3:$A$548&amp;"|"&amp;LLM_Data_Entry!$C$3:$C$548&amp;"|"&amp;LLM_Data_Entry!$D$3:$D$548,0),0))),"")</f>
        <v/>
      </c>
      <c r="Z512" s="91">
        <f>IFERROR(IF($X512="","",INDEX(LLM_Data_Entry!$R$3:$R$548,MATCH($X512,INDEX(LLM_Data_Entry!$A$3:$A$548&amp;"|"&amp;LLM_Data_Entry!$C$3:$C$548&amp;"|"&amp;LLM_Data_Entry!$D$3:$D$548,0),0))),"")</f>
        <v/>
      </c>
      <c r="AL512">
        <f>IF($A512="","",IFERROR(INDEX(Company_List!$G$3:$G$207,MATCH($A512,Company_List!$A$3:$A$207,0)),"unassigned"))</f>
        <v/>
      </c>
      <c r="AP512">
        <f>IF($A512="","",IF(COUNTIFS(LLM_Data_Entry!$A$3:$A$548,$A512)&gt;0,"YES","NO"))</f>
        <v/>
      </c>
      <c r="AQ512">
        <f>IF($A512="","",IF(COUNTIFS($A$3:$A512,$A512,$C$3:$C512,$C512,$D$3:$D512,$D512)=1,"YES","NO"))</f>
        <v/>
      </c>
      <c r="AR512">
        <f>IF($A512="","",IF(AND($C512&amp;"-"&amp;$D512&gt;=Settings!$B$19,$C512&amp;"-"&amp;$D512&lt;=Settings!$B$20),"IN","OUT"))</f>
        <v/>
      </c>
      <c r="AS512">
        <f>IF($A512="","",IF($F512="Financial Results","financials",IF($F512="Outlook/Guidance","guidance",IF($F512="Transcript Q&amp;A","qanda",IF($F512="","unrecorded",IF($E512="All","full",IF($E512="","unrecorded",LOWER($E512)&amp;" only")))))))</f>
        <v/>
      </c>
      <c r="AT512">
        <f>IF(AND(OR($J512="BUY",$J512="SELL"),ISNUMBER($U512)),$U512,"")</f>
        <v/>
      </c>
      <c r="AU512">
        <f>IF(AND(OR($J512="BUY",$J512="SELL"),ISNUMBER($AK512)),$AK512,"")</f>
        <v/>
      </c>
      <c r="AV512">
        <f>IF(ISNUMBER($AT512),ABS(IF(ISNUMBER($I512),$I512,0)-Settings!$B$24),"")</f>
        <v/>
      </c>
      <c r="AW512">
        <f>IF(ISNUMBER($AV512),$AV512*$AT512,"")</f>
        <v/>
      </c>
      <c r="AX512">
        <f>IF(ISNUMBER($AU512),ABS(IF(ISNUMBER($I512),$I512,0)-Settings!$B$24),"")</f>
        <v/>
      </c>
      <c r="AY512">
        <f>IF(ISNUMBER($AX512),$AX512*$AU512,"")</f>
        <v/>
      </c>
      <c r="AZ512">
        <f>IF($A512="","",IFERROR(INDEX(Company_List!$H$3:$H$207,MATCH($A512,Company_List!$A$3:$A$207,0)),"unassigned"))</f>
        <v/>
      </c>
      <c r="BC512">
        <f>IF($A512="","",IF(COUNTIFS($A$3:$A512,$A512,$C$3:$C512,$C512,$D$3:$D512,$D512,$G$3:$G512,$G512)=1,1,0))</f>
        <v/>
      </c>
      <c r="BK512">
        <f>IF(OR($H512&lt;&gt;"Human",$S512="",$J512="",$Y512="",$Z512=""),"",IF(EXACT(UPPER($J512),UPPER($Y512)),1,0))</f>
        <v/>
      </c>
    </row>
    <row r="513">
      <c r="B513" s="142">
        <f>IF(A513="","",_xlfn.XLOOKUP(A513, Company_List!$A:$A, Company_List!$B:$B, ""))</f>
        <v/>
      </c>
      <c r="J513" s="145">
        <f>IF(OR(I513="",Settings!$B$6=""),"",IF(I513&gt;Settings!$B$6,"BUY",IF(I513&lt;-Settings!$B$6,"SELL","HOLD")))</f>
        <v/>
      </c>
      <c r="Q513" s="151">
        <f>IF(OR(N513="",P513=""),"",ROUND((P513-N513)/N513,4))</f>
        <v/>
      </c>
      <c r="R513" s="118">
        <f>IF(OR(N513="",P513=""),"",IF(Q513&gt;Settings!$B$3/100,"UP",IF(Q513&lt;-Settings!$B$3/100,"DOWN","FLAT")))</f>
        <v/>
      </c>
      <c r="S513" s="118">
        <f>IF(OR(N513="",P513="",J513=""),"",IF(OR(AND(J513="BUY",R513="UP"),AND(J513="SELL",R513="DOWN"),AND(J513="HOLD",R513="FLAT")),"YES","NO"))</f>
        <v/>
      </c>
      <c r="T513" s="119">
        <f>IF(J513="","",IF(J513="BUY",1,IF(J513="SELL",-1,0)))</f>
        <v/>
      </c>
      <c r="U513" s="150">
        <f>IFERROR(IF(OR(J513="",N513="",P513=""),"",IF(T513=0,0,T513*Q513-Settings!$B$4/10000-IF(T513&lt;0,Settings!$B$5/10000,0))),"")</f>
        <v/>
      </c>
      <c r="W513" s="21">
        <f>IF($K513="","",$K513*60)</f>
        <v/>
      </c>
      <c r="X513" s="91">
        <f>IF($A513="","",$A513&amp;"|"&amp;$C513&amp;"|"&amp;$D513)</f>
        <v/>
      </c>
      <c r="Y513" s="91">
        <f>IFERROR(IF($X513="","",INDEX(LLM_Data_Entry!$H$3:$H$548,MATCH($X513,INDEX(LLM_Data_Entry!$A$3:$A$548&amp;"|"&amp;LLM_Data_Entry!$C$3:$C$548&amp;"|"&amp;LLM_Data_Entry!$D$3:$D$548,0),0))),"")</f>
        <v/>
      </c>
      <c r="Z513" s="91">
        <f>IFERROR(IF($X513="","",INDEX(LLM_Data_Entry!$R$3:$R$548,MATCH($X513,INDEX(LLM_Data_Entry!$A$3:$A$548&amp;"|"&amp;LLM_Data_Entry!$C$3:$C$548&amp;"|"&amp;LLM_Data_Entry!$D$3:$D$548,0),0))),"")</f>
        <v/>
      </c>
      <c r="AL513">
        <f>IF($A513="","",IFERROR(INDEX(Company_List!$G$3:$G$207,MATCH($A513,Company_List!$A$3:$A$207,0)),"unassigned"))</f>
        <v/>
      </c>
      <c r="AP513">
        <f>IF($A513="","",IF(COUNTIFS(LLM_Data_Entry!$A$3:$A$548,$A513)&gt;0,"YES","NO"))</f>
        <v/>
      </c>
      <c r="AQ513">
        <f>IF($A513="","",IF(COUNTIFS($A$3:$A513,$A513,$C$3:$C513,$C513,$D$3:$D513,$D513)=1,"YES","NO"))</f>
        <v/>
      </c>
      <c r="AR513">
        <f>IF($A513="","",IF(AND($C513&amp;"-"&amp;$D513&gt;=Settings!$B$19,$C513&amp;"-"&amp;$D513&lt;=Settings!$B$20),"IN","OUT"))</f>
        <v/>
      </c>
      <c r="AS513">
        <f>IF($A513="","",IF($F513="Financial Results","financials",IF($F513="Outlook/Guidance","guidance",IF($F513="Transcript Q&amp;A","qanda",IF($F513="","unrecorded",IF($E513="All","full",IF($E513="","unrecorded",LOWER($E513)&amp;" only")))))))</f>
        <v/>
      </c>
      <c r="AT513">
        <f>IF(AND(OR($J513="BUY",$J513="SELL"),ISNUMBER($U513)),$U513,"")</f>
        <v/>
      </c>
      <c r="AU513">
        <f>IF(AND(OR($J513="BUY",$J513="SELL"),ISNUMBER($AK513)),$AK513,"")</f>
        <v/>
      </c>
      <c r="AV513">
        <f>IF(ISNUMBER($AT513),ABS(IF(ISNUMBER($I513),$I513,0)-Settings!$B$24),"")</f>
        <v/>
      </c>
      <c r="AW513">
        <f>IF(ISNUMBER($AV513),$AV513*$AT513,"")</f>
        <v/>
      </c>
      <c r="AX513">
        <f>IF(ISNUMBER($AU513),ABS(IF(ISNUMBER($I513),$I513,0)-Settings!$B$24),"")</f>
        <v/>
      </c>
      <c r="AY513">
        <f>IF(ISNUMBER($AX513),$AX513*$AU513,"")</f>
        <v/>
      </c>
      <c r="AZ513">
        <f>IF($A513="","",IFERROR(INDEX(Company_List!$H$3:$H$207,MATCH($A513,Company_List!$A$3:$A$207,0)),"unassigned"))</f>
        <v/>
      </c>
      <c r="BC513">
        <f>IF($A513="","",IF(COUNTIFS($A$3:$A513,$A513,$C$3:$C513,$C513,$D$3:$D513,$D513,$G$3:$G513,$G513)=1,1,0))</f>
        <v/>
      </c>
      <c r="BK513">
        <f>IF(OR($H513&lt;&gt;"Human",$S513="",$J513="",$Y513="",$Z513=""),"",IF(EXACT(UPPER($J513),UPPER($Y513)),1,0))</f>
        <v/>
      </c>
    </row>
    <row r="514">
      <c r="B514" s="142">
        <f>IF(A514="","",_xlfn.XLOOKUP(A514, Company_List!$A:$A, Company_List!$B:$B, ""))</f>
        <v/>
      </c>
      <c r="J514" s="145">
        <f>IF(OR(I514="",Settings!$B$6=""),"",IF(I514&gt;Settings!$B$6,"BUY",IF(I514&lt;-Settings!$B$6,"SELL","HOLD")))</f>
        <v/>
      </c>
      <c r="Q514" s="151">
        <f>IF(OR(N514="",P514=""),"",ROUND((P514-N514)/N514,4))</f>
        <v/>
      </c>
      <c r="R514" s="118">
        <f>IF(OR(N514="",P514=""),"",IF(Q514&gt;Settings!$B$3/100,"UP",IF(Q514&lt;-Settings!$B$3/100,"DOWN","FLAT")))</f>
        <v/>
      </c>
      <c r="S514" s="118">
        <f>IF(OR(N514="",P514="",J514=""),"",IF(OR(AND(J514="BUY",R514="UP"),AND(J514="SELL",R514="DOWN"),AND(J514="HOLD",R514="FLAT")),"YES","NO"))</f>
        <v/>
      </c>
      <c r="T514" s="119">
        <f>IF(J514="","",IF(J514="BUY",1,IF(J514="SELL",-1,0)))</f>
        <v/>
      </c>
      <c r="U514" s="150">
        <f>IFERROR(IF(OR(J514="",N514="",P514=""),"",IF(T514=0,0,T514*Q514-Settings!$B$4/10000-IF(T514&lt;0,Settings!$B$5/10000,0))),"")</f>
        <v/>
      </c>
      <c r="W514" s="21">
        <f>IF($K514="","",$K514*60)</f>
        <v/>
      </c>
      <c r="X514" s="91">
        <f>IF($A514="","",$A514&amp;"|"&amp;$C514&amp;"|"&amp;$D514)</f>
        <v/>
      </c>
      <c r="Y514" s="91">
        <f>IFERROR(IF($X514="","",INDEX(LLM_Data_Entry!$H$3:$H$548,MATCH($X514,INDEX(LLM_Data_Entry!$A$3:$A$548&amp;"|"&amp;LLM_Data_Entry!$C$3:$C$548&amp;"|"&amp;LLM_Data_Entry!$D$3:$D$548,0),0))),"")</f>
        <v/>
      </c>
      <c r="Z514" s="91">
        <f>IFERROR(IF($X514="","",INDEX(LLM_Data_Entry!$R$3:$R$548,MATCH($X514,INDEX(LLM_Data_Entry!$A$3:$A$548&amp;"|"&amp;LLM_Data_Entry!$C$3:$C$548&amp;"|"&amp;LLM_Data_Entry!$D$3:$D$548,0),0))),"")</f>
        <v/>
      </c>
      <c r="AL514">
        <f>IF($A514="","",IFERROR(INDEX(Company_List!$G$3:$G$207,MATCH($A514,Company_List!$A$3:$A$207,0)),"unassigned"))</f>
        <v/>
      </c>
      <c r="AP514">
        <f>IF($A514="","",IF(COUNTIFS(LLM_Data_Entry!$A$3:$A$548,$A514)&gt;0,"YES","NO"))</f>
        <v/>
      </c>
      <c r="AQ514">
        <f>IF($A514="","",IF(COUNTIFS($A$3:$A514,$A514,$C$3:$C514,$C514,$D$3:$D514,$D514)=1,"YES","NO"))</f>
        <v/>
      </c>
      <c r="AR514">
        <f>IF($A514="","",IF(AND($C514&amp;"-"&amp;$D514&gt;=Settings!$B$19,$C514&amp;"-"&amp;$D514&lt;=Settings!$B$20),"IN","OUT"))</f>
        <v/>
      </c>
      <c r="AS514">
        <f>IF($A514="","",IF($F514="Financial Results","financials",IF($F514="Outlook/Guidance","guidance",IF($F514="Transcript Q&amp;A","qanda",IF($F514="","unrecorded",IF($E514="All","full",IF($E514="","unrecorded",LOWER($E514)&amp;" only")))))))</f>
        <v/>
      </c>
      <c r="AT514">
        <f>IF(AND(OR($J514="BUY",$J514="SELL"),ISNUMBER($U514)),$U514,"")</f>
        <v/>
      </c>
      <c r="AU514">
        <f>IF(AND(OR($J514="BUY",$J514="SELL"),ISNUMBER($AK514)),$AK514,"")</f>
        <v/>
      </c>
      <c r="AV514">
        <f>IF(ISNUMBER($AT514),ABS(IF(ISNUMBER($I514),$I514,0)-Settings!$B$24),"")</f>
        <v/>
      </c>
      <c r="AW514">
        <f>IF(ISNUMBER($AV514),$AV514*$AT514,"")</f>
        <v/>
      </c>
      <c r="AX514">
        <f>IF(ISNUMBER($AU514),ABS(IF(ISNUMBER($I514),$I514,0)-Settings!$B$24),"")</f>
        <v/>
      </c>
      <c r="AY514">
        <f>IF(ISNUMBER($AX514),$AX514*$AU514,"")</f>
        <v/>
      </c>
      <c r="AZ514">
        <f>IF($A514="","",IFERROR(INDEX(Company_List!$H$3:$H$207,MATCH($A514,Company_List!$A$3:$A$207,0)),"unassigned"))</f>
        <v/>
      </c>
      <c r="BC514">
        <f>IF($A514="","",IF(COUNTIFS($A$3:$A514,$A514,$C$3:$C514,$C514,$D$3:$D514,$D514,$G$3:$G514,$G514)=1,1,0))</f>
        <v/>
      </c>
      <c r="BK514">
        <f>IF(OR($H514&lt;&gt;"Human",$S514="",$J514="",$Y514="",$Z514=""),"",IF(EXACT(UPPER($J514),UPPER($Y514)),1,0))</f>
        <v/>
      </c>
    </row>
    <row r="515">
      <c r="B515" s="142">
        <f>IF(A515="","",_xlfn.XLOOKUP(A515, Company_List!$A:$A, Company_List!$B:$B, ""))</f>
        <v/>
      </c>
      <c r="J515" s="145">
        <f>IF(OR(I515="",Settings!$B$6=""),"",IF(I515&gt;Settings!$B$6,"BUY",IF(I515&lt;-Settings!$B$6,"SELL","HOLD")))</f>
        <v/>
      </c>
      <c r="Q515" s="151">
        <f>IF(OR(N515="",P515=""),"",ROUND((P515-N515)/N515,4))</f>
        <v/>
      </c>
      <c r="R515" s="118">
        <f>IF(OR(N515="",P515=""),"",IF(Q515&gt;Settings!$B$3/100,"UP",IF(Q515&lt;-Settings!$B$3/100,"DOWN","FLAT")))</f>
        <v/>
      </c>
      <c r="S515" s="118">
        <f>IF(OR(N515="",P515="",J515=""),"",IF(OR(AND(J515="BUY",R515="UP"),AND(J515="SELL",R515="DOWN"),AND(J515="HOLD",R515="FLAT")),"YES","NO"))</f>
        <v/>
      </c>
      <c r="T515" s="119">
        <f>IF(J515="","",IF(J515="BUY",1,IF(J515="SELL",-1,0)))</f>
        <v/>
      </c>
      <c r="U515" s="150">
        <f>IFERROR(IF(OR(J515="",N515="",P515=""),"",IF(T515=0,0,T515*Q515-Settings!$B$4/10000-IF(T515&lt;0,Settings!$B$5/10000,0))),"")</f>
        <v/>
      </c>
      <c r="W515" s="21">
        <f>IF($K515="","",$K515*60)</f>
        <v/>
      </c>
      <c r="X515" s="91">
        <f>IF($A515="","",$A515&amp;"|"&amp;$C515&amp;"|"&amp;$D515)</f>
        <v/>
      </c>
      <c r="Y515" s="91">
        <f>IFERROR(IF($X515="","",INDEX(LLM_Data_Entry!$H$3:$H$548,MATCH($X515,INDEX(LLM_Data_Entry!$A$3:$A$548&amp;"|"&amp;LLM_Data_Entry!$C$3:$C$548&amp;"|"&amp;LLM_Data_Entry!$D$3:$D$548,0),0))),"")</f>
        <v/>
      </c>
      <c r="Z515" s="91">
        <f>IFERROR(IF($X515="","",INDEX(LLM_Data_Entry!$R$3:$R$548,MATCH($X515,INDEX(LLM_Data_Entry!$A$3:$A$548&amp;"|"&amp;LLM_Data_Entry!$C$3:$C$548&amp;"|"&amp;LLM_Data_Entry!$D$3:$D$548,0),0))),"")</f>
        <v/>
      </c>
      <c r="AL515">
        <f>IF($A515="","",IFERROR(INDEX(Company_List!$G$3:$G$207,MATCH($A515,Company_List!$A$3:$A$207,0)),"unassigned"))</f>
        <v/>
      </c>
      <c r="AP515">
        <f>IF($A515="","",IF(COUNTIFS(LLM_Data_Entry!$A$3:$A$548,$A515)&gt;0,"YES","NO"))</f>
        <v/>
      </c>
      <c r="AQ515">
        <f>IF($A515="","",IF(COUNTIFS($A$3:$A515,$A515,$C$3:$C515,$C515,$D$3:$D515,$D515)=1,"YES","NO"))</f>
        <v/>
      </c>
      <c r="AR515">
        <f>IF($A515="","",IF(AND($C515&amp;"-"&amp;$D515&gt;=Settings!$B$19,$C515&amp;"-"&amp;$D515&lt;=Settings!$B$20),"IN","OUT"))</f>
        <v/>
      </c>
      <c r="AS515">
        <f>IF($A515="","",IF($F515="Financial Results","financials",IF($F515="Outlook/Guidance","guidance",IF($F515="Transcript Q&amp;A","qanda",IF($F515="","unrecorded",IF($E515="All","full",IF($E515="","unrecorded",LOWER($E515)&amp;" only")))))))</f>
        <v/>
      </c>
      <c r="AT515">
        <f>IF(AND(OR($J515="BUY",$J515="SELL"),ISNUMBER($U515)),$U515,"")</f>
        <v/>
      </c>
      <c r="AU515">
        <f>IF(AND(OR($J515="BUY",$J515="SELL"),ISNUMBER($AK515)),$AK515,"")</f>
        <v/>
      </c>
      <c r="AV515">
        <f>IF(ISNUMBER($AT515),ABS(IF(ISNUMBER($I515),$I515,0)-Settings!$B$24),"")</f>
        <v/>
      </c>
      <c r="AW515">
        <f>IF(ISNUMBER($AV515),$AV515*$AT515,"")</f>
        <v/>
      </c>
      <c r="AX515">
        <f>IF(ISNUMBER($AU515),ABS(IF(ISNUMBER($I515),$I515,0)-Settings!$B$24),"")</f>
        <v/>
      </c>
      <c r="AY515">
        <f>IF(ISNUMBER($AX515),$AX515*$AU515,"")</f>
        <v/>
      </c>
      <c r="AZ515">
        <f>IF($A515="","",IFERROR(INDEX(Company_List!$H$3:$H$207,MATCH($A515,Company_List!$A$3:$A$207,0)),"unassigned"))</f>
        <v/>
      </c>
      <c r="BC515">
        <f>IF($A515="","",IF(COUNTIFS($A$3:$A515,$A515,$C$3:$C515,$C515,$D$3:$D515,$D515,$G$3:$G515,$G515)=1,1,0))</f>
        <v/>
      </c>
      <c r="BK515">
        <f>IF(OR($H515&lt;&gt;"Human",$S515="",$J515="",$Y515="",$Z515=""),"",IF(EXACT(UPPER($J515),UPPER($Y515)),1,0))</f>
        <v/>
      </c>
    </row>
    <row r="516">
      <c r="B516" s="142">
        <f>IF(A516="","",_xlfn.XLOOKUP(A516, Company_List!$A:$A, Company_List!$B:$B, ""))</f>
        <v/>
      </c>
      <c r="J516" s="145">
        <f>IF(OR(I516="",Settings!$B$6=""),"",IF(I516&gt;Settings!$B$6,"BUY",IF(I516&lt;-Settings!$B$6,"SELL","HOLD")))</f>
        <v/>
      </c>
      <c r="Q516" s="151">
        <f>IF(OR(N516="",P516=""),"",ROUND((P516-N516)/N516,4))</f>
        <v/>
      </c>
      <c r="R516" s="118">
        <f>IF(OR(N516="",P516=""),"",IF(Q516&gt;Settings!$B$3/100,"UP",IF(Q516&lt;-Settings!$B$3/100,"DOWN","FLAT")))</f>
        <v/>
      </c>
      <c r="S516" s="118">
        <f>IF(OR(N516="",P516="",J516=""),"",IF(OR(AND(J516="BUY",R516="UP"),AND(J516="SELL",R516="DOWN"),AND(J516="HOLD",R516="FLAT")),"YES","NO"))</f>
        <v/>
      </c>
      <c r="T516" s="119">
        <f>IF(J516="","",IF(J516="BUY",1,IF(J516="SELL",-1,0)))</f>
        <v/>
      </c>
      <c r="U516" s="150">
        <f>IFERROR(IF(OR(J516="",N516="",P516=""),"",IF(T516=0,0,T516*Q516-Settings!$B$4/10000-IF(T516&lt;0,Settings!$B$5/10000,0))),"")</f>
        <v/>
      </c>
      <c r="W516" s="21">
        <f>IF($K516="","",$K516*60)</f>
        <v/>
      </c>
      <c r="X516" s="91">
        <f>IF($A516="","",$A516&amp;"|"&amp;$C516&amp;"|"&amp;$D516)</f>
        <v/>
      </c>
      <c r="Y516" s="91">
        <f>IFERROR(IF($X516="","",INDEX(LLM_Data_Entry!$H$3:$H$548,MATCH($X516,INDEX(LLM_Data_Entry!$A$3:$A$548&amp;"|"&amp;LLM_Data_Entry!$C$3:$C$548&amp;"|"&amp;LLM_Data_Entry!$D$3:$D$548,0),0))),"")</f>
        <v/>
      </c>
      <c r="Z516" s="91">
        <f>IFERROR(IF($X516="","",INDEX(LLM_Data_Entry!$R$3:$R$548,MATCH($X516,INDEX(LLM_Data_Entry!$A$3:$A$548&amp;"|"&amp;LLM_Data_Entry!$C$3:$C$548&amp;"|"&amp;LLM_Data_Entry!$D$3:$D$548,0),0))),"")</f>
        <v/>
      </c>
      <c r="AL516">
        <f>IF($A516="","",IFERROR(INDEX(Company_List!$G$3:$G$207,MATCH($A516,Company_List!$A$3:$A$207,0)),"unassigned"))</f>
        <v/>
      </c>
      <c r="AP516">
        <f>IF($A516="","",IF(COUNTIFS(LLM_Data_Entry!$A$3:$A$548,$A516)&gt;0,"YES","NO"))</f>
        <v/>
      </c>
      <c r="AQ516">
        <f>IF($A516="","",IF(COUNTIFS($A$3:$A516,$A516,$C$3:$C516,$C516,$D$3:$D516,$D516)=1,"YES","NO"))</f>
        <v/>
      </c>
      <c r="AR516">
        <f>IF($A516="","",IF(AND($C516&amp;"-"&amp;$D516&gt;=Settings!$B$19,$C516&amp;"-"&amp;$D516&lt;=Settings!$B$20),"IN","OUT"))</f>
        <v/>
      </c>
      <c r="AS516">
        <f>IF($A516="","",IF($F516="Financial Results","financials",IF($F516="Outlook/Guidance","guidance",IF($F516="Transcript Q&amp;A","qanda",IF($F516="","unrecorded",IF($E516="All","full",IF($E516="","unrecorded",LOWER($E516)&amp;" only")))))))</f>
        <v/>
      </c>
      <c r="AT516">
        <f>IF(AND(OR($J516="BUY",$J516="SELL"),ISNUMBER($U516)),$U516,"")</f>
        <v/>
      </c>
      <c r="AU516">
        <f>IF(AND(OR($J516="BUY",$J516="SELL"),ISNUMBER($AK516)),$AK516,"")</f>
        <v/>
      </c>
      <c r="AV516">
        <f>IF(ISNUMBER($AT516),ABS(IF(ISNUMBER($I516),$I516,0)-Settings!$B$24),"")</f>
        <v/>
      </c>
      <c r="AW516">
        <f>IF(ISNUMBER($AV516),$AV516*$AT516,"")</f>
        <v/>
      </c>
      <c r="AX516">
        <f>IF(ISNUMBER($AU516),ABS(IF(ISNUMBER($I516),$I516,0)-Settings!$B$24),"")</f>
        <v/>
      </c>
      <c r="AY516">
        <f>IF(ISNUMBER($AX516),$AX516*$AU516,"")</f>
        <v/>
      </c>
      <c r="AZ516">
        <f>IF($A516="","",IFERROR(INDEX(Company_List!$H$3:$H$207,MATCH($A516,Company_List!$A$3:$A$207,0)),"unassigned"))</f>
        <v/>
      </c>
      <c r="BC516">
        <f>IF($A516="","",IF(COUNTIFS($A$3:$A516,$A516,$C$3:$C516,$C516,$D$3:$D516,$D516,$G$3:$G516,$G516)=1,1,0))</f>
        <v/>
      </c>
      <c r="BK516">
        <f>IF(OR($H516&lt;&gt;"Human",$S516="",$J516="",$Y516="",$Z516=""),"",IF(EXACT(UPPER($J516),UPPER($Y516)),1,0))</f>
        <v/>
      </c>
    </row>
    <row r="517">
      <c r="B517" s="142">
        <f>IF(A517="","",_xlfn.XLOOKUP(A517, Company_List!$A:$A, Company_List!$B:$B, ""))</f>
        <v/>
      </c>
      <c r="J517" s="145">
        <f>IF(OR(I517="",Settings!$B$6=""),"",IF(I517&gt;Settings!$B$6,"BUY",IF(I517&lt;-Settings!$B$6,"SELL","HOLD")))</f>
        <v/>
      </c>
      <c r="Q517" s="151">
        <f>IF(OR(N517="",P517=""),"",ROUND((P517-N517)/N517,4))</f>
        <v/>
      </c>
      <c r="R517" s="118">
        <f>IF(OR(N517="",P517=""),"",IF(Q517&gt;Settings!$B$3/100,"UP",IF(Q517&lt;-Settings!$B$3/100,"DOWN","FLAT")))</f>
        <v/>
      </c>
      <c r="S517" s="118">
        <f>IF(OR(N517="",P517="",J517=""),"",IF(OR(AND(J517="BUY",R517="UP"),AND(J517="SELL",R517="DOWN"),AND(J517="HOLD",R517="FLAT")),"YES","NO"))</f>
        <v/>
      </c>
      <c r="T517" s="119">
        <f>IF(J517="","",IF(J517="BUY",1,IF(J517="SELL",-1,0)))</f>
        <v/>
      </c>
      <c r="U517" s="150">
        <f>IFERROR(IF(OR(J517="",N517="",P517=""),"",IF(T517=0,0,T517*Q517-Settings!$B$4/10000-IF(T517&lt;0,Settings!$B$5/10000,0))),"")</f>
        <v/>
      </c>
      <c r="W517" s="21">
        <f>IF($K517="","",$K517*60)</f>
        <v/>
      </c>
      <c r="X517" s="91">
        <f>IF($A517="","",$A517&amp;"|"&amp;$C517&amp;"|"&amp;$D517)</f>
        <v/>
      </c>
      <c r="Y517" s="91">
        <f>IFERROR(IF($X517="","",INDEX(LLM_Data_Entry!$H$3:$H$548,MATCH($X517,INDEX(LLM_Data_Entry!$A$3:$A$548&amp;"|"&amp;LLM_Data_Entry!$C$3:$C$548&amp;"|"&amp;LLM_Data_Entry!$D$3:$D$548,0),0))),"")</f>
        <v/>
      </c>
      <c r="Z517" s="91">
        <f>IFERROR(IF($X517="","",INDEX(LLM_Data_Entry!$R$3:$R$548,MATCH($X517,INDEX(LLM_Data_Entry!$A$3:$A$548&amp;"|"&amp;LLM_Data_Entry!$C$3:$C$548&amp;"|"&amp;LLM_Data_Entry!$D$3:$D$548,0),0))),"")</f>
        <v/>
      </c>
      <c r="AL517">
        <f>IF($A517="","",IFERROR(INDEX(Company_List!$G$3:$G$207,MATCH($A517,Company_List!$A$3:$A$207,0)),"unassigned"))</f>
        <v/>
      </c>
      <c r="AP517">
        <f>IF($A517="","",IF(COUNTIFS(LLM_Data_Entry!$A$3:$A$548,$A517)&gt;0,"YES","NO"))</f>
        <v/>
      </c>
      <c r="AQ517">
        <f>IF($A517="","",IF(COUNTIFS($A$3:$A517,$A517,$C$3:$C517,$C517,$D$3:$D517,$D517)=1,"YES","NO"))</f>
        <v/>
      </c>
      <c r="AR517">
        <f>IF($A517="","",IF(AND($C517&amp;"-"&amp;$D517&gt;=Settings!$B$19,$C517&amp;"-"&amp;$D517&lt;=Settings!$B$20),"IN","OUT"))</f>
        <v/>
      </c>
      <c r="AS517">
        <f>IF($A517="","",IF($F517="Financial Results","financials",IF($F517="Outlook/Guidance","guidance",IF($F517="Transcript Q&amp;A","qanda",IF($F517="","unrecorded",IF($E517="All","full",IF($E517="","unrecorded",LOWER($E517)&amp;" only")))))))</f>
        <v/>
      </c>
      <c r="AT517">
        <f>IF(AND(OR($J517="BUY",$J517="SELL"),ISNUMBER($U517)),$U517,"")</f>
        <v/>
      </c>
      <c r="AU517">
        <f>IF(AND(OR($J517="BUY",$J517="SELL"),ISNUMBER($AK517)),$AK517,"")</f>
        <v/>
      </c>
      <c r="AV517">
        <f>IF(ISNUMBER($AT517),ABS(IF(ISNUMBER($I517),$I517,0)-Settings!$B$24),"")</f>
        <v/>
      </c>
      <c r="AW517">
        <f>IF(ISNUMBER($AV517),$AV517*$AT517,"")</f>
        <v/>
      </c>
      <c r="AX517">
        <f>IF(ISNUMBER($AU517),ABS(IF(ISNUMBER($I517),$I517,0)-Settings!$B$24),"")</f>
        <v/>
      </c>
      <c r="AY517">
        <f>IF(ISNUMBER($AX517),$AX517*$AU517,"")</f>
        <v/>
      </c>
      <c r="AZ517">
        <f>IF($A517="","",IFERROR(INDEX(Company_List!$H$3:$H$207,MATCH($A517,Company_List!$A$3:$A$207,0)),"unassigned"))</f>
        <v/>
      </c>
      <c r="BC517">
        <f>IF($A517="","",IF(COUNTIFS($A$3:$A517,$A517,$C$3:$C517,$C517,$D$3:$D517,$D517,$G$3:$G517,$G517)=1,1,0))</f>
        <v/>
      </c>
      <c r="BK517">
        <f>IF(OR($H517&lt;&gt;"Human",$S517="",$J517="",$Y517="",$Z517=""),"",IF(EXACT(UPPER($J517),UPPER($Y517)),1,0))</f>
        <v/>
      </c>
    </row>
    <row r="518">
      <c r="B518" s="142">
        <f>IF(A518="","",_xlfn.XLOOKUP(A518, Company_List!$A:$A, Company_List!$B:$B, ""))</f>
        <v/>
      </c>
      <c r="J518" s="145">
        <f>IF(OR(I518="",Settings!$B$6=""),"",IF(I518&gt;Settings!$B$6,"BUY",IF(I518&lt;-Settings!$B$6,"SELL","HOLD")))</f>
        <v/>
      </c>
      <c r="Q518" s="151">
        <f>IF(OR(N518="",P518=""),"",ROUND((P518-N518)/N518,4))</f>
        <v/>
      </c>
      <c r="R518" s="118">
        <f>IF(OR(N518="",P518=""),"",IF(Q518&gt;Settings!$B$3/100,"UP",IF(Q518&lt;-Settings!$B$3/100,"DOWN","FLAT")))</f>
        <v/>
      </c>
      <c r="S518" s="118">
        <f>IF(OR(N518="",P518="",J518=""),"",IF(OR(AND(J518="BUY",R518="UP"),AND(J518="SELL",R518="DOWN"),AND(J518="HOLD",R518="FLAT")),"YES","NO"))</f>
        <v/>
      </c>
      <c r="T518" s="119">
        <f>IF(J518="","",IF(J518="BUY",1,IF(J518="SELL",-1,0)))</f>
        <v/>
      </c>
      <c r="U518" s="150">
        <f>IFERROR(IF(OR(J518="",N518="",P518=""),"",IF(T518=0,0,T518*Q518-Settings!$B$4/10000-IF(T518&lt;0,Settings!$B$5/10000,0))),"")</f>
        <v/>
      </c>
      <c r="W518" s="21">
        <f>IF($K518="","",$K518*60)</f>
        <v/>
      </c>
      <c r="X518" s="91">
        <f>IF($A518="","",$A518&amp;"|"&amp;$C518&amp;"|"&amp;$D518)</f>
        <v/>
      </c>
      <c r="Y518" s="91">
        <f>IFERROR(IF($X518="","",INDEX(LLM_Data_Entry!$H$3:$H$548,MATCH($X518,INDEX(LLM_Data_Entry!$A$3:$A$548&amp;"|"&amp;LLM_Data_Entry!$C$3:$C$548&amp;"|"&amp;LLM_Data_Entry!$D$3:$D$548,0),0))),"")</f>
        <v/>
      </c>
      <c r="Z518" s="91">
        <f>IFERROR(IF($X518="","",INDEX(LLM_Data_Entry!$R$3:$R$548,MATCH($X518,INDEX(LLM_Data_Entry!$A$3:$A$548&amp;"|"&amp;LLM_Data_Entry!$C$3:$C$548&amp;"|"&amp;LLM_Data_Entry!$D$3:$D$548,0),0))),"")</f>
        <v/>
      </c>
      <c r="AL518">
        <f>IF($A518="","",IFERROR(INDEX(Company_List!$G$3:$G$207,MATCH($A518,Company_List!$A$3:$A$207,0)),"unassigned"))</f>
        <v/>
      </c>
      <c r="AP518">
        <f>IF($A518="","",IF(COUNTIFS(LLM_Data_Entry!$A$3:$A$548,$A518)&gt;0,"YES","NO"))</f>
        <v/>
      </c>
      <c r="AQ518">
        <f>IF($A518="","",IF(COUNTIFS($A$3:$A518,$A518,$C$3:$C518,$C518,$D$3:$D518,$D518)=1,"YES","NO"))</f>
        <v/>
      </c>
      <c r="AR518">
        <f>IF($A518="","",IF(AND($C518&amp;"-"&amp;$D518&gt;=Settings!$B$19,$C518&amp;"-"&amp;$D518&lt;=Settings!$B$20),"IN","OUT"))</f>
        <v/>
      </c>
      <c r="AS518">
        <f>IF($A518="","",IF($F518="Financial Results","financials",IF($F518="Outlook/Guidance","guidance",IF($F518="Transcript Q&amp;A","qanda",IF($F518="","unrecorded",IF($E518="All","full",IF($E518="","unrecorded",LOWER($E518)&amp;" only")))))))</f>
        <v/>
      </c>
      <c r="AT518">
        <f>IF(AND(OR($J518="BUY",$J518="SELL"),ISNUMBER($U518)),$U518,"")</f>
        <v/>
      </c>
      <c r="AU518">
        <f>IF(AND(OR($J518="BUY",$J518="SELL"),ISNUMBER($AK518)),$AK518,"")</f>
        <v/>
      </c>
      <c r="AV518">
        <f>IF(ISNUMBER($AT518),ABS(IF(ISNUMBER($I518),$I518,0)-Settings!$B$24),"")</f>
        <v/>
      </c>
      <c r="AW518">
        <f>IF(ISNUMBER($AV518),$AV518*$AT518,"")</f>
        <v/>
      </c>
      <c r="AX518">
        <f>IF(ISNUMBER($AU518),ABS(IF(ISNUMBER($I518),$I518,0)-Settings!$B$24),"")</f>
        <v/>
      </c>
      <c r="AY518">
        <f>IF(ISNUMBER($AX518),$AX518*$AU518,"")</f>
        <v/>
      </c>
      <c r="AZ518">
        <f>IF($A518="","",IFERROR(INDEX(Company_List!$H$3:$H$207,MATCH($A518,Company_List!$A$3:$A$207,0)),"unassigned"))</f>
        <v/>
      </c>
      <c r="BC518">
        <f>IF($A518="","",IF(COUNTIFS($A$3:$A518,$A518,$C$3:$C518,$C518,$D$3:$D518,$D518,$G$3:$G518,$G518)=1,1,0))</f>
        <v/>
      </c>
      <c r="BK518">
        <f>IF(OR($H518&lt;&gt;"Human",$S518="",$J518="",$Y518="",$Z518=""),"",IF(EXACT(UPPER($J518),UPPER($Y518)),1,0))</f>
        <v/>
      </c>
    </row>
    <row r="519">
      <c r="B519" s="142">
        <f>IF(A519="","",_xlfn.XLOOKUP(A519, Company_List!$A:$A, Company_List!$B:$B, ""))</f>
        <v/>
      </c>
      <c r="J519" s="145">
        <f>IF(OR(I519="",Settings!$B$6=""),"",IF(I519&gt;Settings!$B$6,"BUY",IF(I519&lt;-Settings!$B$6,"SELL","HOLD")))</f>
        <v/>
      </c>
      <c r="Q519" s="151">
        <f>IF(OR(N519="",P519=""),"",ROUND((P519-N519)/N519,4))</f>
        <v/>
      </c>
      <c r="R519" s="118">
        <f>IF(OR(N519="",P519=""),"",IF(Q519&gt;Settings!$B$3/100,"UP",IF(Q519&lt;-Settings!$B$3/100,"DOWN","FLAT")))</f>
        <v/>
      </c>
      <c r="S519" s="118">
        <f>IF(OR(N519="",P519="",J519=""),"",IF(OR(AND(J519="BUY",R519="UP"),AND(J519="SELL",R519="DOWN"),AND(J519="HOLD",R519="FLAT")),"YES","NO"))</f>
        <v/>
      </c>
      <c r="T519" s="119">
        <f>IF(J519="","",IF(J519="BUY",1,IF(J519="SELL",-1,0)))</f>
        <v/>
      </c>
      <c r="U519" s="150">
        <f>IFERROR(IF(OR(J519="",N519="",P519=""),"",IF(T519=0,0,T519*Q519-Settings!$B$4/10000-IF(T519&lt;0,Settings!$B$5/10000,0))),"")</f>
        <v/>
      </c>
      <c r="W519" s="21">
        <f>IF($K519="","",$K519*60)</f>
        <v/>
      </c>
      <c r="X519" s="91">
        <f>IF($A519="","",$A519&amp;"|"&amp;$C519&amp;"|"&amp;$D519)</f>
        <v/>
      </c>
      <c r="Y519" s="91">
        <f>IFERROR(IF($X519="","",INDEX(LLM_Data_Entry!$H$3:$H$548,MATCH($X519,INDEX(LLM_Data_Entry!$A$3:$A$548&amp;"|"&amp;LLM_Data_Entry!$C$3:$C$548&amp;"|"&amp;LLM_Data_Entry!$D$3:$D$548,0),0))),"")</f>
        <v/>
      </c>
      <c r="Z519" s="91">
        <f>IFERROR(IF($X519="","",INDEX(LLM_Data_Entry!$R$3:$R$548,MATCH($X519,INDEX(LLM_Data_Entry!$A$3:$A$548&amp;"|"&amp;LLM_Data_Entry!$C$3:$C$548&amp;"|"&amp;LLM_Data_Entry!$D$3:$D$548,0),0))),"")</f>
        <v/>
      </c>
      <c r="AL519">
        <f>IF($A519="","",IFERROR(INDEX(Company_List!$G$3:$G$207,MATCH($A519,Company_List!$A$3:$A$207,0)),"unassigned"))</f>
        <v/>
      </c>
      <c r="AP519">
        <f>IF($A519="","",IF(COUNTIFS(LLM_Data_Entry!$A$3:$A$548,$A519)&gt;0,"YES","NO"))</f>
        <v/>
      </c>
      <c r="AQ519">
        <f>IF($A519="","",IF(COUNTIFS($A$3:$A519,$A519,$C$3:$C519,$C519,$D$3:$D519,$D519)=1,"YES","NO"))</f>
        <v/>
      </c>
      <c r="AR519">
        <f>IF($A519="","",IF(AND($C519&amp;"-"&amp;$D519&gt;=Settings!$B$19,$C519&amp;"-"&amp;$D519&lt;=Settings!$B$20),"IN","OUT"))</f>
        <v/>
      </c>
      <c r="AS519">
        <f>IF($A519="","",IF($F519="Financial Results","financials",IF($F519="Outlook/Guidance","guidance",IF($F519="Transcript Q&amp;A","qanda",IF($F519="","unrecorded",IF($E519="All","full",IF($E519="","unrecorded",LOWER($E519)&amp;" only")))))))</f>
        <v/>
      </c>
      <c r="AT519">
        <f>IF(AND(OR($J519="BUY",$J519="SELL"),ISNUMBER($U519)),$U519,"")</f>
        <v/>
      </c>
      <c r="AU519">
        <f>IF(AND(OR($J519="BUY",$J519="SELL"),ISNUMBER($AK519)),$AK519,"")</f>
        <v/>
      </c>
      <c r="AV519">
        <f>IF(ISNUMBER($AT519),ABS(IF(ISNUMBER($I519),$I519,0)-Settings!$B$24),"")</f>
        <v/>
      </c>
      <c r="AW519">
        <f>IF(ISNUMBER($AV519),$AV519*$AT519,"")</f>
        <v/>
      </c>
      <c r="AX519">
        <f>IF(ISNUMBER($AU519),ABS(IF(ISNUMBER($I519),$I519,0)-Settings!$B$24),"")</f>
        <v/>
      </c>
      <c r="AY519">
        <f>IF(ISNUMBER($AX519),$AX519*$AU519,"")</f>
        <v/>
      </c>
      <c r="AZ519">
        <f>IF($A519="","",IFERROR(INDEX(Company_List!$H$3:$H$207,MATCH($A519,Company_List!$A$3:$A$207,0)),"unassigned"))</f>
        <v/>
      </c>
      <c r="BC519">
        <f>IF($A519="","",IF(COUNTIFS($A$3:$A519,$A519,$C$3:$C519,$C519,$D$3:$D519,$D519,$G$3:$G519,$G519)=1,1,0))</f>
        <v/>
      </c>
      <c r="BK519">
        <f>IF(OR($H519&lt;&gt;"Human",$S519="",$J519="",$Y519="",$Z519=""),"",IF(EXACT(UPPER($J519),UPPER($Y519)),1,0))</f>
        <v/>
      </c>
    </row>
    <row r="520">
      <c r="B520" s="142">
        <f>IF(A520="","",_xlfn.XLOOKUP(A520, Company_List!$A:$A, Company_List!$B:$B, ""))</f>
        <v/>
      </c>
      <c r="J520" s="145">
        <f>IF(OR(I520="",Settings!$B$6=""),"",IF(I520&gt;Settings!$B$6,"BUY",IF(I520&lt;-Settings!$B$6,"SELL","HOLD")))</f>
        <v/>
      </c>
      <c r="Q520" s="151">
        <f>IF(OR(N520="",P520=""),"",ROUND((P520-N520)/N520,4))</f>
        <v/>
      </c>
      <c r="R520" s="118">
        <f>IF(OR(N520="",P520=""),"",IF(Q520&gt;Settings!$B$3/100,"UP",IF(Q520&lt;-Settings!$B$3/100,"DOWN","FLAT")))</f>
        <v/>
      </c>
      <c r="S520" s="118">
        <f>IF(OR(N520="",P520="",J520=""),"",IF(OR(AND(J520="BUY",R520="UP"),AND(J520="SELL",R520="DOWN"),AND(J520="HOLD",R520="FLAT")),"YES","NO"))</f>
        <v/>
      </c>
      <c r="T520" s="119">
        <f>IF(J520="","",IF(J520="BUY",1,IF(J520="SELL",-1,0)))</f>
        <v/>
      </c>
      <c r="U520" s="150">
        <f>IFERROR(IF(OR(J520="",N520="",P520=""),"",IF(T520=0,0,T520*Q520-Settings!$B$4/10000-IF(T520&lt;0,Settings!$B$5/10000,0))),"")</f>
        <v/>
      </c>
      <c r="W520" s="21">
        <f>IF($K520="","",$K520*60)</f>
        <v/>
      </c>
      <c r="X520" s="91">
        <f>IF($A520="","",$A520&amp;"|"&amp;$C520&amp;"|"&amp;$D520)</f>
        <v/>
      </c>
      <c r="Y520" s="91">
        <f>IFERROR(IF($X520="","",INDEX(LLM_Data_Entry!$H$3:$H$548,MATCH($X520,INDEX(LLM_Data_Entry!$A$3:$A$548&amp;"|"&amp;LLM_Data_Entry!$C$3:$C$548&amp;"|"&amp;LLM_Data_Entry!$D$3:$D$548,0),0))),"")</f>
        <v/>
      </c>
      <c r="Z520" s="91">
        <f>IFERROR(IF($X520="","",INDEX(LLM_Data_Entry!$R$3:$R$548,MATCH($X520,INDEX(LLM_Data_Entry!$A$3:$A$548&amp;"|"&amp;LLM_Data_Entry!$C$3:$C$548&amp;"|"&amp;LLM_Data_Entry!$D$3:$D$548,0),0))),"")</f>
        <v/>
      </c>
      <c r="AL520">
        <f>IF($A520="","",IFERROR(INDEX(Company_List!$G$3:$G$207,MATCH($A520,Company_List!$A$3:$A$207,0)),"unassigned"))</f>
        <v/>
      </c>
      <c r="AP520">
        <f>IF($A520="","",IF(COUNTIFS(LLM_Data_Entry!$A$3:$A$548,$A520)&gt;0,"YES","NO"))</f>
        <v/>
      </c>
      <c r="AQ520">
        <f>IF($A520="","",IF(COUNTIFS($A$3:$A520,$A520,$C$3:$C520,$C520,$D$3:$D520,$D520)=1,"YES","NO"))</f>
        <v/>
      </c>
      <c r="AR520">
        <f>IF($A520="","",IF(AND($C520&amp;"-"&amp;$D520&gt;=Settings!$B$19,$C520&amp;"-"&amp;$D520&lt;=Settings!$B$20),"IN","OUT"))</f>
        <v/>
      </c>
      <c r="AS520">
        <f>IF($A520="","",IF($F520="Financial Results","financials",IF($F520="Outlook/Guidance","guidance",IF($F520="Transcript Q&amp;A","qanda",IF($F520="","unrecorded",IF($E520="All","full",IF($E520="","unrecorded",LOWER($E520)&amp;" only")))))))</f>
        <v/>
      </c>
      <c r="AT520">
        <f>IF(AND(OR($J520="BUY",$J520="SELL"),ISNUMBER($U520)),$U520,"")</f>
        <v/>
      </c>
      <c r="AU520">
        <f>IF(AND(OR($J520="BUY",$J520="SELL"),ISNUMBER($AK520)),$AK520,"")</f>
        <v/>
      </c>
      <c r="AV520">
        <f>IF(ISNUMBER($AT520),ABS(IF(ISNUMBER($I520),$I520,0)-Settings!$B$24),"")</f>
        <v/>
      </c>
      <c r="AW520">
        <f>IF(ISNUMBER($AV520),$AV520*$AT520,"")</f>
        <v/>
      </c>
      <c r="AX520">
        <f>IF(ISNUMBER($AU520),ABS(IF(ISNUMBER($I520),$I520,0)-Settings!$B$24),"")</f>
        <v/>
      </c>
      <c r="AY520">
        <f>IF(ISNUMBER($AX520),$AX520*$AU520,"")</f>
        <v/>
      </c>
      <c r="AZ520">
        <f>IF($A520="","",IFERROR(INDEX(Company_List!$H$3:$H$207,MATCH($A520,Company_List!$A$3:$A$207,0)),"unassigned"))</f>
        <v/>
      </c>
      <c r="BC520">
        <f>IF($A520="","",IF(COUNTIFS($A$3:$A520,$A520,$C$3:$C520,$C520,$D$3:$D520,$D520,$G$3:$G520,$G520)=1,1,0))</f>
        <v/>
      </c>
      <c r="BK520">
        <f>IF(OR($H520&lt;&gt;"Human",$S520="",$J520="",$Y520="",$Z520=""),"",IF(EXACT(UPPER($J520),UPPER($Y520)),1,0))</f>
        <v/>
      </c>
    </row>
    <row r="521">
      <c r="B521" s="142">
        <f>IF(A521="","",_xlfn.XLOOKUP(A521, Company_List!$A:$A, Company_List!$B:$B, ""))</f>
        <v/>
      </c>
      <c r="J521" s="145">
        <f>IF(OR(I521="",Settings!$B$6=""),"",IF(I521&gt;Settings!$B$6,"BUY",IF(I521&lt;-Settings!$B$6,"SELL","HOLD")))</f>
        <v/>
      </c>
      <c r="Q521" s="151">
        <f>IF(OR(N521="",P521=""),"",ROUND((P521-N521)/N521,4))</f>
        <v/>
      </c>
      <c r="R521" s="118">
        <f>IF(OR(N521="",P521=""),"",IF(Q521&gt;Settings!$B$3/100,"UP",IF(Q521&lt;-Settings!$B$3/100,"DOWN","FLAT")))</f>
        <v/>
      </c>
      <c r="S521" s="118">
        <f>IF(OR(N521="",P521="",J521=""),"",IF(OR(AND(J521="BUY",R521="UP"),AND(J521="SELL",R521="DOWN"),AND(J521="HOLD",R521="FLAT")),"YES","NO"))</f>
        <v/>
      </c>
      <c r="T521" s="119">
        <f>IF(J521="","",IF(J521="BUY",1,IF(J521="SELL",-1,0)))</f>
        <v/>
      </c>
      <c r="U521" s="150">
        <f>IFERROR(IF(OR(J521="",N521="",P521=""),"",IF(T521=0,0,T521*Q521-Settings!$B$4/10000-IF(T521&lt;0,Settings!$B$5/10000,0))),"")</f>
        <v/>
      </c>
      <c r="W521" s="21">
        <f>IF($K521="","",$K521*60)</f>
        <v/>
      </c>
      <c r="X521" s="91">
        <f>IF($A521="","",$A521&amp;"|"&amp;$C521&amp;"|"&amp;$D521)</f>
        <v/>
      </c>
      <c r="Y521" s="91">
        <f>IFERROR(IF($X521="","",INDEX(LLM_Data_Entry!$H$3:$H$548,MATCH($X521,INDEX(LLM_Data_Entry!$A$3:$A$548&amp;"|"&amp;LLM_Data_Entry!$C$3:$C$548&amp;"|"&amp;LLM_Data_Entry!$D$3:$D$548,0),0))),"")</f>
        <v/>
      </c>
      <c r="Z521" s="91">
        <f>IFERROR(IF($X521="","",INDEX(LLM_Data_Entry!$R$3:$R$548,MATCH($X521,INDEX(LLM_Data_Entry!$A$3:$A$548&amp;"|"&amp;LLM_Data_Entry!$C$3:$C$548&amp;"|"&amp;LLM_Data_Entry!$D$3:$D$548,0),0))),"")</f>
        <v/>
      </c>
      <c r="AL521">
        <f>IF($A521="","",IFERROR(INDEX(Company_List!$G$3:$G$207,MATCH($A521,Company_List!$A$3:$A$207,0)),"unassigned"))</f>
        <v/>
      </c>
      <c r="AP521">
        <f>IF($A521="","",IF(COUNTIFS(LLM_Data_Entry!$A$3:$A$548,$A521)&gt;0,"YES","NO"))</f>
        <v/>
      </c>
      <c r="AQ521">
        <f>IF($A521="","",IF(COUNTIFS($A$3:$A521,$A521,$C$3:$C521,$C521,$D$3:$D521,$D521)=1,"YES","NO"))</f>
        <v/>
      </c>
      <c r="AR521">
        <f>IF($A521="","",IF(AND($C521&amp;"-"&amp;$D521&gt;=Settings!$B$19,$C521&amp;"-"&amp;$D521&lt;=Settings!$B$20),"IN","OUT"))</f>
        <v/>
      </c>
      <c r="AS521">
        <f>IF($A521="","",IF($F521="Financial Results","financials",IF($F521="Outlook/Guidance","guidance",IF($F521="Transcript Q&amp;A","qanda",IF($F521="","unrecorded",IF($E521="All","full",IF($E521="","unrecorded",LOWER($E521)&amp;" only")))))))</f>
        <v/>
      </c>
      <c r="AT521">
        <f>IF(AND(OR($J521="BUY",$J521="SELL"),ISNUMBER($U521)),$U521,"")</f>
        <v/>
      </c>
      <c r="AU521">
        <f>IF(AND(OR($J521="BUY",$J521="SELL"),ISNUMBER($AK521)),$AK521,"")</f>
        <v/>
      </c>
      <c r="AV521">
        <f>IF(ISNUMBER($AT521),ABS(IF(ISNUMBER($I521),$I521,0)-Settings!$B$24),"")</f>
        <v/>
      </c>
      <c r="AW521">
        <f>IF(ISNUMBER($AV521),$AV521*$AT521,"")</f>
        <v/>
      </c>
      <c r="AX521">
        <f>IF(ISNUMBER($AU521),ABS(IF(ISNUMBER($I521),$I521,0)-Settings!$B$24),"")</f>
        <v/>
      </c>
      <c r="AY521">
        <f>IF(ISNUMBER($AX521),$AX521*$AU521,"")</f>
        <v/>
      </c>
      <c r="AZ521">
        <f>IF($A521="","",IFERROR(INDEX(Company_List!$H$3:$H$207,MATCH($A521,Company_List!$A$3:$A$207,0)),"unassigned"))</f>
        <v/>
      </c>
      <c r="BC521">
        <f>IF($A521="","",IF(COUNTIFS($A$3:$A521,$A521,$C$3:$C521,$C521,$D$3:$D521,$D521,$G$3:$G521,$G521)=1,1,0))</f>
        <v/>
      </c>
      <c r="BK521">
        <f>IF(OR($H521&lt;&gt;"Human",$S521="",$J521="",$Y521="",$Z521=""),"",IF(EXACT(UPPER($J521),UPPER($Y521)),1,0))</f>
        <v/>
      </c>
    </row>
    <row r="522">
      <c r="B522" s="142">
        <f>IF(A522="","",_xlfn.XLOOKUP(A522, Company_List!$A:$A, Company_List!$B:$B, ""))</f>
        <v/>
      </c>
      <c r="J522" s="145">
        <f>IF(OR(I522="",Settings!$B$6=""),"",IF(I522&gt;Settings!$B$6,"BUY",IF(I522&lt;-Settings!$B$6,"SELL","HOLD")))</f>
        <v/>
      </c>
      <c r="Q522" s="151">
        <f>IF(OR(N522="",P522=""),"",ROUND((P522-N522)/N522,4))</f>
        <v/>
      </c>
      <c r="R522" s="118">
        <f>IF(OR(N522="",P522=""),"",IF(Q522&gt;Settings!$B$3/100,"UP",IF(Q522&lt;-Settings!$B$3/100,"DOWN","FLAT")))</f>
        <v/>
      </c>
      <c r="S522" s="118">
        <f>IF(OR(N522="",P522="",J522=""),"",IF(OR(AND(J522="BUY",R522="UP"),AND(J522="SELL",R522="DOWN"),AND(J522="HOLD",R522="FLAT")),"YES","NO"))</f>
        <v/>
      </c>
      <c r="T522" s="119">
        <f>IF(J522="","",IF(J522="BUY",1,IF(J522="SELL",-1,0)))</f>
        <v/>
      </c>
      <c r="U522" s="150">
        <f>IFERROR(IF(OR(J522="",N522="",P522=""),"",IF(T522=0,0,T522*Q522-Settings!$B$4/10000-IF(T522&lt;0,Settings!$B$5/10000,0))),"")</f>
        <v/>
      </c>
      <c r="W522" s="21">
        <f>IF($K522="","",$K522*60)</f>
        <v/>
      </c>
      <c r="X522" s="91">
        <f>IF($A522="","",$A522&amp;"|"&amp;$C522&amp;"|"&amp;$D522)</f>
        <v/>
      </c>
      <c r="Y522" s="91">
        <f>IFERROR(IF($X522="","",INDEX(LLM_Data_Entry!$H$3:$H$548,MATCH($X522,INDEX(LLM_Data_Entry!$A$3:$A$548&amp;"|"&amp;LLM_Data_Entry!$C$3:$C$548&amp;"|"&amp;LLM_Data_Entry!$D$3:$D$548,0),0))),"")</f>
        <v/>
      </c>
      <c r="Z522" s="91">
        <f>IFERROR(IF($X522="","",INDEX(LLM_Data_Entry!$R$3:$R$548,MATCH($X522,INDEX(LLM_Data_Entry!$A$3:$A$548&amp;"|"&amp;LLM_Data_Entry!$C$3:$C$548&amp;"|"&amp;LLM_Data_Entry!$D$3:$D$548,0),0))),"")</f>
        <v/>
      </c>
      <c r="AL522">
        <f>IF($A522="","",IFERROR(INDEX(Company_List!$G$3:$G$207,MATCH($A522,Company_List!$A$3:$A$207,0)),"unassigned"))</f>
        <v/>
      </c>
      <c r="AP522">
        <f>IF($A522="","",IF(COUNTIFS(LLM_Data_Entry!$A$3:$A$548,$A522)&gt;0,"YES","NO"))</f>
        <v/>
      </c>
      <c r="AQ522">
        <f>IF($A522="","",IF(COUNTIFS($A$3:$A522,$A522,$C$3:$C522,$C522,$D$3:$D522,$D522)=1,"YES","NO"))</f>
        <v/>
      </c>
      <c r="AR522">
        <f>IF($A522="","",IF(AND($C522&amp;"-"&amp;$D522&gt;=Settings!$B$19,$C522&amp;"-"&amp;$D522&lt;=Settings!$B$20),"IN","OUT"))</f>
        <v/>
      </c>
      <c r="AS522">
        <f>IF($A522="","",IF($F522="Financial Results","financials",IF($F522="Outlook/Guidance","guidance",IF($F522="Transcript Q&amp;A","qanda",IF($F522="","unrecorded",IF($E522="All","full",IF($E522="","unrecorded",LOWER($E522)&amp;" only")))))))</f>
        <v/>
      </c>
      <c r="AT522">
        <f>IF(AND(OR($J522="BUY",$J522="SELL"),ISNUMBER($U522)),$U522,"")</f>
        <v/>
      </c>
      <c r="AU522">
        <f>IF(AND(OR($J522="BUY",$J522="SELL"),ISNUMBER($AK522)),$AK522,"")</f>
        <v/>
      </c>
      <c r="AV522">
        <f>IF(ISNUMBER($AT522),ABS(IF(ISNUMBER($I522),$I522,0)-Settings!$B$24),"")</f>
        <v/>
      </c>
      <c r="AW522">
        <f>IF(ISNUMBER($AV522),$AV522*$AT522,"")</f>
        <v/>
      </c>
      <c r="AX522">
        <f>IF(ISNUMBER($AU522),ABS(IF(ISNUMBER($I522),$I522,0)-Settings!$B$24),"")</f>
        <v/>
      </c>
      <c r="AY522">
        <f>IF(ISNUMBER($AX522),$AX522*$AU522,"")</f>
        <v/>
      </c>
      <c r="AZ522">
        <f>IF($A522="","",IFERROR(INDEX(Company_List!$H$3:$H$207,MATCH($A522,Company_List!$A$3:$A$207,0)),"unassigned"))</f>
        <v/>
      </c>
      <c r="BC522">
        <f>IF($A522="","",IF(COUNTIFS($A$3:$A522,$A522,$C$3:$C522,$C522,$D$3:$D522,$D522,$G$3:$G522,$G522)=1,1,0))</f>
        <v/>
      </c>
      <c r="BK522">
        <f>IF(OR($H522&lt;&gt;"Human",$S522="",$J522="",$Y522="",$Z522=""),"",IF(EXACT(UPPER($J522),UPPER($Y522)),1,0))</f>
        <v/>
      </c>
    </row>
    <row r="523">
      <c r="B523" s="142">
        <f>IF(A523="","",_xlfn.XLOOKUP(A523, Company_List!$A:$A, Company_List!$B:$B, ""))</f>
        <v/>
      </c>
      <c r="J523" s="145">
        <f>IF(OR(I523="",Settings!$B$6=""),"",IF(I523&gt;Settings!$B$6,"BUY",IF(I523&lt;-Settings!$B$6,"SELL","HOLD")))</f>
        <v/>
      </c>
      <c r="Q523" s="151">
        <f>IF(OR(N523="",P523=""),"",ROUND((P523-N523)/N523,4))</f>
        <v/>
      </c>
      <c r="R523" s="118">
        <f>IF(OR(N523="",P523=""),"",IF(Q523&gt;Settings!$B$3/100,"UP",IF(Q523&lt;-Settings!$B$3/100,"DOWN","FLAT")))</f>
        <v/>
      </c>
      <c r="S523" s="118">
        <f>IF(OR(N523="",P523="",J523=""),"",IF(OR(AND(J523="BUY",R523="UP"),AND(J523="SELL",R523="DOWN"),AND(J523="HOLD",R523="FLAT")),"YES","NO"))</f>
        <v/>
      </c>
      <c r="T523" s="119">
        <f>IF(J523="","",IF(J523="BUY",1,IF(J523="SELL",-1,0)))</f>
        <v/>
      </c>
      <c r="U523" s="150">
        <f>IFERROR(IF(OR(J523="",N523="",P523=""),"",IF(T523=0,0,T523*Q523-Settings!$B$4/10000-IF(T523&lt;0,Settings!$B$5/10000,0))),"")</f>
        <v/>
      </c>
      <c r="W523" s="21">
        <f>IF($K523="","",$K523*60)</f>
        <v/>
      </c>
      <c r="X523" s="91">
        <f>IF($A523="","",$A523&amp;"|"&amp;$C523&amp;"|"&amp;$D523)</f>
        <v/>
      </c>
      <c r="Y523" s="91">
        <f>IFERROR(IF($X523="","",INDEX(LLM_Data_Entry!$H$3:$H$548,MATCH($X523,INDEX(LLM_Data_Entry!$A$3:$A$548&amp;"|"&amp;LLM_Data_Entry!$C$3:$C$548&amp;"|"&amp;LLM_Data_Entry!$D$3:$D$548,0),0))),"")</f>
        <v/>
      </c>
      <c r="Z523" s="91">
        <f>IFERROR(IF($X523="","",INDEX(LLM_Data_Entry!$R$3:$R$548,MATCH($X523,INDEX(LLM_Data_Entry!$A$3:$A$548&amp;"|"&amp;LLM_Data_Entry!$C$3:$C$548&amp;"|"&amp;LLM_Data_Entry!$D$3:$D$548,0),0))),"")</f>
        <v/>
      </c>
      <c r="AL523">
        <f>IF($A523="","",IFERROR(INDEX(Company_List!$G$3:$G$207,MATCH($A523,Company_List!$A$3:$A$207,0)),"unassigned"))</f>
        <v/>
      </c>
      <c r="AP523">
        <f>IF($A523="","",IF(COUNTIFS(LLM_Data_Entry!$A$3:$A$548,$A523)&gt;0,"YES","NO"))</f>
        <v/>
      </c>
      <c r="AQ523">
        <f>IF($A523="","",IF(COUNTIFS($A$3:$A523,$A523,$C$3:$C523,$C523,$D$3:$D523,$D523)=1,"YES","NO"))</f>
        <v/>
      </c>
      <c r="AR523">
        <f>IF($A523="","",IF(AND($C523&amp;"-"&amp;$D523&gt;=Settings!$B$19,$C523&amp;"-"&amp;$D523&lt;=Settings!$B$20),"IN","OUT"))</f>
        <v/>
      </c>
      <c r="AS523">
        <f>IF($A523="","",IF($F523="Financial Results","financials",IF($F523="Outlook/Guidance","guidance",IF($F523="Transcript Q&amp;A","qanda",IF($F523="","unrecorded",IF($E523="All","full",IF($E523="","unrecorded",LOWER($E523)&amp;" only")))))))</f>
        <v/>
      </c>
      <c r="AT523">
        <f>IF(AND(OR($J523="BUY",$J523="SELL"),ISNUMBER($U523)),$U523,"")</f>
        <v/>
      </c>
      <c r="AU523">
        <f>IF(AND(OR($J523="BUY",$J523="SELL"),ISNUMBER($AK523)),$AK523,"")</f>
        <v/>
      </c>
      <c r="AV523">
        <f>IF(ISNUMBER($AT523),ABS(IF(ISNUMBER($I523),$I523,0)-Settings!$B$24),"")</f>
        <v/>
      </c>
      <c r="AW523">
        <f>IF(ISNUMBER($AV523),$AV523*$AT523,"")</f>
        <v/>
      </c>
      <c r="AX523">
        <f>IF(ISNUMBER($AU523),ABS(IF(ISNUMBER($I523),$I523,0)-Settings!$B$24),"")</f>
        <v/>
      </c>
      <c r="AY523">
        <f>IF(ISNUMBER($AX523),$AX523*$AU523,"")</f>
        <v/>
      </c>
      <c r="AZ523">
        <f>IF($A523="","",IFERROR(INDEX(Company_List!$H$3:$H$207,MATCH($A523,Company_List!$A$3:$A$207,0)),"unassigned"))</f>
        <v/>
      </c>
      <c r="BC523">
        <f>IF($A523="","",IF(COUNTIFS($A$3:$A523,$A523,$C$3:$C523,$C523,$D$3:$D523,$D523,$G$3:$G523,$G523)=1,1,0))</f>
        <v/>
      </c>
      <c r="BK523">
        <f>IF(OR($H523&lt;&gt;"Human",$S523="",$J523="",$Y523="",$Z523=""),"",IF(EXACT(UPPER($J523),UPPER($Y523)),1,0))</f>
        <v/>
      </c>
    </row>
    <row r="524">
      <c r="B524" s="142">
        <f>IF(A524="","",_xlfn.XLOOKUP(A524, Company_List!$A:$A, Company_List!$B:$B, ""))</f>
        <v/>
      </c>
      <c r="J524" s="145">
        <f>IF(OR(I524="",Settings!$B$6=""),"",IF(I524&gt;Settings!$B$6,"BUY",IF(I524&lt;-Settings!$B$6,"SELL","HOLD")))</f>
        <v/>
      </c>
      <c r="Q524" s="151">
        <f>IF(OR(N524="",P524=""),"",ROUND((P524-N524)/N524,4))</f>
        <v/>
      </c>
      <c r="R524" s="118">
        <f>IF(OR(N524="",P524=""),"",IF(Q524&gt;Settings!$B$3/100,"UP",IF(Q524&lt;-Settings!$B$3/100,"DOWN","FLAT")))</f>
        <v/>
      </c>
      <c r="S524" s="118">
        <f>IF(OR(N524="",P524="",J524=""),"",IF(OR(AND(J524="BUY",R524="UP"),AND(J524="SELL",R524="DOWN"),AND(J524="HOLD",R524="FLAT")),"YES","NO"))</f>
        <v/>
      </c>
      <c r="T524" s="119">
        <f>IF(J524="","",IF(J524="BUY",1,IF(J524="SELL",-1,0)))</f>
        <v/>
      </c>
      <c r="U524" s="150">
        <f>IFERROR(IF(OR(J524="",N524="",P524=""),"",IF(T524=0,0,T524*Q524-Settings!$B$4/10000-IF(T524&lt;0,Settings!$B$5/10000,0))),"")</f>
        <v/>
      </c>
      <c r="W524" s="21">
        <f>IF($K524="","",$K524*60)</f>
        <v/>
      </c>
      <c r="X524" s="91">
        <f>IF($A524="","",$A524&amp;"|"&amp;$C524&amp;"|"&amp;$D524)</f>
        <v/>
      </c>
      <c r="Y524" s="91">
        <f>IFERROR(IF($X524="","",INDEX(LLM_Data_Entry!$H$3:$H$548,MATCH($X524,INDEX(LLM_Data_Entry!$A$3:$A$548&amp;"|"&amp;LLM_Data_Entry!$C$3:$C$548&amp;"|"&amp;LLM_Data_Entry!$D$3:$D$548,0),0))),"")</f>
        <v/>
      </c>
      <c r="Z524" s="91">
        <f>IFERROR(IF($X524="","",INDEX(LLM_Data_Entry!$R$3:$R$548,MATCH($X524,INDEX(LLM_Data_Entry!$A$3:$A$548&amp;"|"&amp;LLM_Data_Entry!$C$3:$C$548&amp;"|"&amp;LLM_Data_Entry!$D$3:$D$548,0),0))),"")</f>
        <v/>
      </c>
      <c r="AL524">
        <f>IF($A524="","",IFERROR(INDEX(Company_List!$G$3:$G$207,MATCH($A524,Company_List!$A$3:$A$207,0)),"unassigned"))</f>
        <v/>
      </c>
      <c r="AP524">
        <f>IF($A524="","",IF(COUNTIFS(LLM_Data_Entry!$A$3:$A$548,$A524)&gt;0,"YES","NO"))</f>
        <v/>
      </c>
      <c r="AQ524">
        <f>IF($A524="","",IF(COUNTIFS($A$3:$A524,$A524,$C$3:$C524,$C524,$D$3:$D524,$D524)=1,"YES","NO"))</f>
        <v/>
      </c>
      <c r="AR524">
        <f>IF($A524="","",IF(AND($C524&amp;"-"&amp;$D524&gt;=Settings!$B$19,$C524&amp;"-"&amp;$D524&lt;=Settings!$B$20),"IN","OUT"))</f>
        <v/>
      </c>
      <c r="AS524">
        <f>IF($A524="","",IF($F524="Financial Results","financials",IF($F524="Outlook/Guidance","guidance",IF($F524="Transcript Q&amp;A","qanda",IF($F524="","unrecorded",IF($E524="All","full",IF($E524="","unrecorded",LOWER($E524)&amp;" only")))))))</f>
        <v/>
      </c>
      <c r="AT524">
        <f>IF(AND(OR($J524="BUY",$J524="SELL"),ISNUMBER($U524)),$U524,"")</f>
        <v/>
      </c>
      <c r="AU524">
        <f>IF(AND(OR($J524="BUY",$J524="SELL"),ISNUMBER($AK524)),$AK524,"")</f>
        <v/>
      </c>
      <c r="AV524">
        <f>IF(ISNUMBER($AT524),ABS(IF(ISNUMBER($I524),$I524,0)-Settings!$B$24),"")</f>
        <v/>
      </c>
      <c r="AW524">
        <f>IF(ISNUMBER($AV524),$AV524*$AT524,"")</f>
        <v/>
      </c>
      <c r="AX524">
        <f>IF(ISNUMBER($AU524),ABS(IF(ISNUMBER($I524),$I524,0)-Settings!$B$24),"")</f>
        <v/>
      </c>
      <c r="AY524">
        <f>IF(ISNUMBER($AX524),$AX524*$AU524,"")</f>
        <v/>
      </c>
      <c r="AZ524">
        <f>IF($A524="","",IFERROR(INDEX(Company_List!$H$3:$H$207,MATCH($A524,Company_List!$A$3:$A$207,0)),"unassigned"))</f>
        <v/>
      </c>
      <c r="BC524">
        <f>IF($A524="","",IF(COUNTIFS($A$3:$A524,$A524,$C$3:$C524,$C524,$D$3:$D524,$D524,$G$3:$G524,$G524)=1,1,0))</f>
        <v/>
      </c>
      <c r="BK524">
        <f>IF(OR($H524&lt;&gt;"Human",$S524="",$J524="",$Y524="",$Z524=""),"",IF(EXACT(UPPER($J524),UPPER($Y524)),1,0))</f>
        <v/>
      </c>
    </row>
  </sheetData>
  <mergeCells count="1">
    <mergeCell ref="X1:Z1"/>
  </mergeCells>
  <conditionalFormatting sqref="Q3:Q524 R295:S295 S296:S324 U3:U524">
    <cfRule type="cellIs" priority="5" operator="greaterThan" dxfId="19">
      <formula>0</formula>
    </cfRule>
    <cfRule type="cellIs" priority="6" operator="lessThan" dxfId="18">
      <formula>0</formula>
    </cfRule>
  </conditionalFormatting>
  <conditionalFormatting sqref="R3:R524">
    <cfRule type="cellIs" priority="7" operator="equal" dxfId="19">
      <formula>"UP"</formula>
    </cfRule>
    <cfRule type="cellIs" priority="8" operator="equal" dxfId="18">
      <formula>"DOWN"</formula>
    </cfRule>
  </conditionalFormatting>
  <conditionalFormatting sqref="S3:S524">
    <cfRule type="cellIs" priority="1" operator="equal" dxfId="17">
      <formula>"YES"</formula>
    </cfRule>
    <cfRule type="cellIs" priority="2" operator="equal" dxfId="16">
      <formula>"NO"</formula>
    </cfRule>
  </conditionalFormatting>
  <dataValidations count="8">
    <dataValidation sqref="D3:D524" showDropDown="0" showInputMessage="1" showErrorMessage="1" allowBlank="1" errorTitle="Not on the list" error="Use the dropdown. Free text here will break the Summary counts." promptTitle="Quarter" prompt="Pick Q1 to Q4." type="list">
      <formula1>QuarterList</formula1>
    </dataValidation>
    <dataValidation sqref="J3:J524 V242:V273" showDropDown="0" showInputMessage="1" showErrorMessage="1" allowBlank="1" errorTitle="Not on the list" error="Use the dropdown. Free text here will break the Summary counts." promptTitle="Decision" prompt="Pick BUY, HOLD or SELL." type="list">
      <formula1>DecisionList</formula1>
    </dataValidation>
    <dataValidation sqref="I3:I524" showDropDown="0" showInputMessage="0" showErrorMessage="1" allowBlank="1" errorTitle="Out of range" error="Sentiment must be between -1.00 and +1.00." type="decimal">
      <formula1>-1</formula1>
      <formula2>1</formula2>
    </dataValidation>
    <dataValidation sqref="G3:G524" showDropDown="0" showInputMessage="1" showErrorMessage="1" allowBlank="1" errorTitle="Not on the list" error="Use the dropdown. Free text here will break the Summary counts." promptTitle="Rater" prompt="Pick a rater from Settings." type="list">
      <formula1>RaterList</formula1>
    </dataValidation>
    <dataValidation sqref="C3:C524" showDropDown="0" showInputMessage="1" showErrorMessage="1" allowBlank="1" errorTitle="Not on the list" error="Use the dropdown. Free text here will break the Summary counts." promptTitle="Year" prompt="Pick a year." type="list">
      <formula1>YearList</formula1>
    </dataValidation>
    <dataValidation sqref="A3:A524" showDropDown="0" showInputMessage="1" showErrorMessage="1" allowBlank="1" type="list">
      <formula1>CompanyList</formula1>
    </dataValidation>
    <dataValidation sqref="E3:E44 E48:E105 E118:E524" showDropDown="0" showInputMessage="1" showErrorMessage="1" allowBlank="1" type="list">
      <formula1>DocumentList</formula1>
    </dataValidation>
    <dataValidation sqref="F3:F44 F48:F105 F118:F524" showDropDown="0" showInputMessage="1" showErrorMessage="1" allowBlank="1" type="list">
      <formula1>SectionList</formula1>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Z430"/>
  <sheetViews>
    <sheetView showGridLines="0" zoomScale="86" zoomScaleNormal="100" workbookViewId="0">
      <pane xSplit="2" ySplit="2" topLeftCell="C3" activePane="bottomRight" state="frozen"/>
      <selection pane="bottomRight" activeCell="AY20" sqref="AY20"/>
      <selection pane="bottomLeft" activeCell="A4" sqref="A4"/>
      <selection pane="topRight" activeCell="C1" sqref="C1"/>
    </sheetView>
  </sheetViews>
  <sheetFormatPr baseColWidth="8" defaultColWidth="8.7109375" defaultRowHeight="15"/>
  <cols>
    <col width="20" customWidth="1" style="97" min="1" max="1"/>
    <col width="9" customWidth="1" style="94" min="2" max="2"/>
    <col width="7" customWidth="1" min="3" max="3"/>
    <col width="8" customWidth="1" min="4" max="4"/>
    <col width="15" customWidth="1" min="5" max="5"/>
    <col width="10" customWidth="1" min="6" max="7"/>
    <col width="12" customWidth="1" min="8" max="8"/>
    <col width="9" customWidth="1" style="16" min="9" max="9"/>
    <col width="14" customWidth="1" style="121" min="10" max="10"/>
    <col width="12" customWidth="1" style="121" min="11" max="11"/>
    <col width="12" customWidth="1" min="12" max="12"/>
    <col width="12" customWidth="1" style="121" min="13" max="13"/>
    <col width="12" customWidth="1" min="14" max="14"/>
    <col width="13" customWidth="1" min="15" max="15"/>
    <col width="11" customWidth="1" min="16" max="18"/>
    <col width="9" customWidth="1" min="19" max="19"/>
    <col width="11" customWidth="1" min="20" max="20"/>
    <col width="179" bestFit="1" customWidth="1" style="7" min="21" max="21"/>
  </cols>
  <sheetData>
    <row r="1" ht="22.35" customHeight="1">
      <c r="A1" s="8" t="inlineStr">
        <is>
          <t>LLM Readings — Data Entry</t>
        </is>
      </c>
      <c r="W1" t="inlineStr">
        <is>
          <t>SECTION C — re-priced on the declared basis. Values, not formulas. Nothing to the left of here has been changed.</t>
        </is>
      </c>
      <c r="AG1" t="inlineStr">
        <is>
          <t>SECTION D - provenance and classification for the model arm. Same rules as Human_Data_Entry!AL:AY. Columns A:U are untouched pasted values and stay that way.</t>
        </is>
      </c>
    </row>
    <row r="2" ht="45" customHeight="1">
      <c r="A2" s="17" t="inlineStr">
        <is>
          <t>Company</t>
        </is>
      </c>
      <c r="B2" s="17" t="inlineStr">
        <is>
          <t>Ticker</t>
        </is>
      </c>
      <c r="C2" s="17" t="inlineStr">
        <is>
          <t>Year</t>
        </is>
      </c>
      <c r="D2" s="17" t="inlineStr">
        <is>
          <t>Quarter</t>
        </is>
      </c>
      <c r="E2" s="17" t="inlineStr">
        <is>
          <t>Rater</t>
        </is>
      </c>
      <c r="F2" s="17" t="inlineStr">
        <is>
          <t>Type (Human/LLM)</t>
        </is>
      </c>
      <c r="G2" s="17" t="inlineStr">
        <is>
          <t>Sentiment Score (−1 to +1)</t>
        </is>
      </c>
      <c r="H2" s="17" t="inlineStr">
        <is>
          <t>Decision (BUY/HOLD/SELL)</t>
        </is>
      </c>
      <c r="I2" s="25" t="inlineStr">
        <is>
          <t xml:space="preserve">Time (seconds)
</t>
        </is>
      </c>
      <c r="J2" s="122" t="inlineStr">
        <is>
          <t>Document Date</t>
        </is>
      </c>
      <c r="K2" s="122" t="inlineStr">
        <is>
          <t>Closing Date</t>
        </is>
      </c>
      <c r="L2" s="17" t="inlineStr">
        <is>
          <t>Prior
Close ($)</t>
        </is>
      </c>
      <c r="M2" s="122" t="inlineStr">
        <is>
          <t>Opening Date</t>
        </is>
      </c>
      <c r="N2" s="17" t="inlineStr">
        <is>
          <t>Next Day
Open ($)</t>
        </is>
      </c>
      <c r="O2" s="17" t="inlineStr">
        <is>
          <t>Token Cost ($)</t>
        </is>
      </c>
      <c r="P2" s="17" t="inlineStr">
        <is>
          <t>Actual % Change</t>
        </is>
      </c>
      <c r="Q2" s="17" t="inlineStr">
        <is>
          <t>Actual Direction</t>
        </is>
      </c>
      <c r="R2" s="17" t="inlineStr">
        <is>
          <t>Prediction Correct?</t>
        </is>
      </c>
      <c r="S2" s="17" t="inlineStr">
        <is>
          <t>Position</t>
        </is>
      </c>
      <c r="T2" s="17" t="inlineStr">
        <is>
          <t>Net P&amp;L</t>
        </is>
      </c>
      <c r="U2" s="17" t="inlineStr">
        <is>
          <t>Notes / Risks Flagged</t>
        </is>
      </c>
      <c r="W2" t="inlineStr">
        <is>
          <t>Re-priced basis</t>
        </is>
      </c>
      <c r="X2" t="inlineStr">
        <is>
          <t>Re-priced listing</t>
        </is>
      </c>
      <c r="Y2" t="inlineStr">
        <is>
          <t>Re-priced prior close date</t>
        </is>
      </c>
      <c r="Z2" t="inlineStr">
        <is>
          <t>Re-priced prior close</t>
        </is>
      </c>
      <c r="AA2" t="inlineStr">
        <is>
          <t>Re-priced next open date</t>
        </is>
      </c>
      <c r="AB2" t="inlineStr">
        <is>
          <t>Re-priced next open</t>
        </is>
      </c>
      <c r="AC2" t="inlineStr">
        <is>
          <t>Re-priced % change</t>
        </is>
      </c>
      <c r="AD2" t="inlineStr">
        <is>
          <t>Re-priced direction</t>
        </is>
      </c>
      <c r="AE2" t="inlineStr">
        <is>
          <t>Re-priced correct?</t>
        </is>
      </c>
      <c r="AF2" t="inlineStr">
        <is>
          <t>Re-priced net P&amp;L</t>
        </is>
      </c>
      <c r="AG2" t="inlineStr">
        <is>
          <t>Phase</t>
        </is>
      </c>
      <c r="AH2" t="inlineStr">
        <is>
          <t>Source File</t>
        </is>
      </c>
      <c r="AI2" t="inlineStr">
        <is>
          <t>Source URL</t>
        </is>
      </c>
      <c r="AJ2" t="inlineStr">
        <is>
          <t>Source Basis</t>
        </is>
      </c>
      <c r="AK2" t="inlineStr">
        <is>
          <t>In Human Universe</t>
        </is>
      </c>
      <c r="AL2" t="inlineStr">
        <is>
          <t>In Window</t>
        </is>
      </c>
      <c r="AM2" t="inlineStr">
        <is>
          <t>Net P&amp;L on trades (helper)</t>
        </is>
      </c>
      <c r="AN2" t="inlineStr">
        <is>
          <t>Net P&amp;L on trades, re-priced (helper)</t>
        </is>
      </c>
      <c r="AO2" t="inlineStr">
        <is>
          <t>Conviction weight (helper)</t>
        </is>
      </c>
      <c r="AP2" t="inlineStr">
        <is>
          <t>Conviction-weighted P&amp;L (helper)</t>
        </is>
      </c>
      <c r="AQ2" t="inlineStr">
        <is>
          <t>Conviction weight, re-priced (helper)</t>
        </is>
      </c>
      <c r="AR2" t="inlineStr">
        <is>
          <t>Conviction-weighted P&amp;L, re-priced (helper)</t>
        </is>
      </c>
      <c r="AS2" t="inlineStr">
        <is>
          <t>Sector</t>
        </is>
      </c>
      <c r="AT2" t="inlineStr">
        <is>
          <t>Run</t>
        </is>
      </c>
      <c r="AU2" t="inlineStr">
        <is>
          <t>Run Evidence</t>
        </is>
      </c>
      <c r="AV2" t="inlineStr">
        <is>
          <t>Source Documents Cited</t>
        </is>
      </c>
      <c r="AW2" t="inlineStr">
        <is>
          <t>Source Publisher</t>
        </is>
      </c>
      <c r="AX2" t="inlineStr">
        <is>
          <t>Source Licence Class</t>
        </is>
      </c>
      <c r="AY2" t="inlineStr">
        <is>
          <t>Source Is SEC Periodic Filing</t>
        </is>
      </c>
      <c r="AZ2" t="inlineStr">
        <is>
          <t>Source In Provenance Manifest</t>
        </is>
      </c>
    </row>
    <row r="3">
      <c r="A3" s="115" t="inlineStr">
        <is>
          <t>Airbnb</t>
        </is>
      </c>
      <c r="B3" s="117" t="inlineStr">
        <is>
          <t>ABNB</t>
        </is>
      </c>
      <c r="C3" s="105" t="n">
        <v>2026</v>
      </c>
      <c r="D3" s="106" t="inlineStr">
        <is>
          <t>Q1</t>
        </is>
      </c>
      <c r="E3" s="109" t="inlineStr">
        <is>
          <t>Ben/DeepSeek</t>
        </is>
      </c>
      <c r="F3" s="106" t="inlineStr">
        <is>
          <t>LLM</t>
        </is>
      </c>
      <c r="G3" s="128" t="n">
        <v>0.14</v>
      </c>
      <c r="H3" s="106" t="inlineStr">
        <is>
          <t>HOLD</t>
        </is>
      </c>
      <c r="I3" s="128" t="n"/>
      <c r="J3" s="125" t="n">
        <v>46149</v>
      </c>
      <c r="K3" s="126" t="n">
        <v>46149</v>
      </c>
      <c r="L3" s="129" t="n">
        <v>140.46</v>
      </c>
      <c r="M3" s="126" t="n">
        <v>46150</v>
      </c>
      <c r="N3" s="129" t="n">
        <v>138.12</v>
      </c>
      <c r="O3" s="132" t="n">
        <v>0.00783</v>
      </c>
      <c r="P3" s="107" t="n">
        <v>-0.016624</v>
      </c>
      <c r="Q3" s="106" t="inlineStr">
        <is>
          <t>FLAT</t>
        </is>
      </c>
      <c r="R3" s="106" t="inlineStr">
        <is>
          <t>YES</t>
        </is>
      </c>
      <c r="S3" s="105" t="n">
        <v>0</v>
      </c>
      <c r="T3" s="107" t="n">
        <v>0</v>
      </c>
      <c r="U3" s="130" t="inlineStr">
        <is>
          <t>w=[0.55,0.45,0,0] thr=(+0.25,-0.05), deployed default (risk-accepted, PSR=0.0/perm p=0.150 at N=161, not rechecked at N=268)</t>
        </is>
      </c>
      <c r="W3" t="inlineStr">
        <is>
          <t>price signal — only this window shows an abnormal move</t>
        </is>
      </c>
      <c r="X3" t="inlineStr">
        <is>
          <t>ABNB</t>
        </is>
      </c>
      <c r="Y3" t="inlineStr">
        <is>
          <t>2026-05-07</t>
        </is>
      </c>
      <c r="Z3" t="n">
        <v>140.46</v>
      </c>
      <c r="AA3" t="inlineStr">
        <is>
          <t>2026-05-08</t>
        </is>
      </c>
      <c r="AB3" t="n">
        <v>138.125</v>
      </c>
      <c r="AC3" t="n">
        <v>-0.01662399888674354</v>
      </c>
      <c r="AD3" t="inlineStr">
        <is>
          <t>FLAT</t>
        </is>
      </c>
      <c r="AE3" t="inlineStr">
        <is>
          <t>YES</t>
        </is>
      </c>
      <c r="AF3" t="n">
        <v>0</v>
      </c>
      <c r="AG3">
        <f>IF($A3="","",IFERROR(INDEX(Company_List!$G$3:$G$207,MATCH($A3,Company_List!$A$3:$A$207,0)),"unassigned"))</f>
        <v/>
      </c>
      <c r="AH3" t="inlineStr">
        <is>
          <t>Phase 2/Airbnb/2026-Q1/ABNB-2026-Q1-press-release-SEC-EX-99-1.htm</t>
        </is>
      </c>
      <c r="AI3" t="inlineStr">
        <is>
          <t>https://www.sec.gov/Archives/edgar/data/1559720/000119312526211816/d23351dex991.htm</t>
        </is>
      </c>
      <c r="AJ3" t="inlineStr">
        <is>
          <t>manifest</t>
        </is>
      </c>
      <c r="AK3">
        <f>IF($A3="","",IF(COUNTIFS(Human_Data_Entry!$A$3:$A$525,$A3)&gt;0,"YES","NO"))</f>
        <v/>
      </c>
      <c r="AL3">
        <f>IF($A3="","",IF(AND($C3&amp;"-"&amp;$D3&gt;=Settings!$B$19,$C3&amp;"-"&amp;$D3&lt;=Settings!$B$20),"IN","OUT"))</f>
        <v/>
      </c>
      <c r="AM3">
        <f>IF(AND(OR($H3="BUY",$H3="SELL"),ISNUMBER($T3)),$T3,"")</f>
        <v/>
      </c>
      <c r="AN3">
        <f>IF(AND(OR($H3="BUY",$H3="SELL"),ISNUMBER($AF3)),$AF3,"")</f>
        <v/>
      </c>
      <c r="AO3">
        <f>IF(ISNUMBER($AM3),ABS(IF(ISNUMBER($G3),$G3,0)-Settings!$B$25),"")</f>
        <v/>
      </c>
      <c r="AP3">
        <f>IF(ISNUMBER($AO3),$AO3*$AM3,"")</f>
        <v/>
      </c>
      <c r="AQ3">
        <f>IF(ISNUMBER($AN3),ABS(IF(ISNUMBER($G3),$G3,0)-Settings!$B$25),"")</f>
        <v/>
      </c>
      <c r="AR3">
        <f>IF(ISNUMBER($AQ3),$AQ3*$AN3,"")</f>
        <v/>
      </c>
      <c r="AS3">
        <f>IF($A3="","",IFERROR(INDEX(Company_List!$H$3:$H$207,MATCH($A3,Company_List!$A$3:$A$207,0)),"unassigned"))</f>
        <v/>
      </c>
      <c r="AT3" t="inlineStr">
        <is>
          <t>re-read since v1</t>
        </is>
      </c>
      <c r="AU3" t="inlineStr">
        <is>
          <t>Phase 2/Master_Data_v1.xlsx</t>
        </is>
      </c>
      <c r="AV3" t="n">
        <v>1</v>
      </c>
      <c r="AW3" t="inlineStr">
        <is>
          <t>not publisher-identified</t>
        </is>
      </c>
      <c r="AX3" t="inlineStr">
        <is>
          <t>not publisher-identified</t>
        </is>
      </c>
      <c r="AY3" t="inlineStr">
        <is>
          <t>no</t>
        </is>
      </c>
      <c r="AZ3" t="inlineStr">
        <is>
          <t>yes</t>
        </is>
      </c>
    </row>
    <row r="4">
      <c r="A4" s="115" t="inlineStr">
        <is>
          <t>Airbnb</t>
        </is>
      </c>
      <c r="B4" s="117" t="inlineStr">
        <is>
          <t>ABNB</t>
        </is>
      </c>
      <c r="C4" s="105" t="n">
        <v>2025</v>
      </c>
      <c r="D4" s="106" t="inlineStr">
        <is>
          <t>Q2</t>
        </is>
      </c>
      <c r="E4" s="109" t="inlineStr">
        <is>
          <t>Ben/DeepSeek</t>
        </is>
      </c>
      <c r="F4" s="106" t="inlineStr">
        <is>
          <t>LLM</t>
        </is>
      </c>
      <c r="G4" s="128" t="n">
        <v>0.155</v>
      </c>
      <c r="H4" s="106" t="inlineStr">
        <is>
          <t>HOLD</t>
        </is>
      </c>
      <c r="I4" s="128" t="n"/>
      <c r="J4" s="125" t="n">
        <v>45875</v>
      </c>
      <c r="K4" s="126" t="n">
        <v>45875</v>
      </c>
      <c r="L4" s="129" t="n">
        <v>130.5</v>
      </c>
      <c r="M4" s="126" t="n">
        <v>45876</v>
      </c>
      <c r="N4" s="129" t="n">
        <v>120.38</v>
      </c>
      <c r="O4" s="132" t="n">
        <v>0.008082000000000001</v>
      </c>
      <c r="P4" s="107" t="n">
        <v>-0.07754800000000001</v>
      </c>
      <c r="Q4" s="106" t="inlineStr">
        <is>
          <t>DOWN</t>
        </is>
      </c>
      <c r="R4" s="106" t="inlineStr">
        <is>
          <t>NO</t>
        </is>
      </c>
      <c r="S4" s="105" t="n">
        <v>0</v>
      </c>
      <c r="T4" s="107" t="n">
        <v>0</v>
      </c>
      <c r="U4" s="130" t="inlineStr">
        <is>
          <t>w=[0.55,0.45,0,0] thr=(+0.25,-0.05), deployed default (risk-accepted, PSR=0.0/perm p=0.150 at N=161, not rechecked at N=268)</t>
        </is>
      </c>
      <c r="W4" t="inlineStr">
        <is>
          <t>price signal — only this window shows an abnormal move</t>
        </is>
      </c>
      <c r="X4" t="inlineStr">
        <is>
          <t>ABNB</t>
        </is>
      </c>
      <c r="Y4" t="inlineStr">
        <is>
          <t>2025-08-06</t>
        </is>
      </c>
      <c r="Z4" t="n">
        <v>130.5</v>
      </c>
      <c r="AA4" t="inlineStr">
        <is>
          <t>2025-08-07</t>
        </is>
      </c>
      <c r="AB4" t="n">
        <v>120.38</v>
      </c>
      <c r="AC4" t="n">
        <v>-0.07754791570881224</v>
      </c>
      <c r="AD4" t="inlineStr">
        <is>
          <t>DOWN</t>
        </is>
      </c>
      <c r="AE4" t="inlineStr">
        <is>
          <t>NO</t>
        </is>
      </c>
      <c r="AF4" t="n">
        <v>0</v>
      </c>
      <c r="AG4">
        <f>IF($A4="","",IFERROR(INDEX(Company_List!$G$3:$G$207,MATCH($A4,Company_List!$A$3:$A$207,0)),"unassigned"))</f>
        <v/>
      </c>
      <c r="AH4" t="inlineStr">
        <is>
          <t>Phase 2/Airbnb/2025-Q2/ABNB-2025-Q2-press-release-SEC-EX-99-1.htm</t>
        </is>
      </c>
      <c r="AI4" t="inlineStr">
        <is>
          <t>https://www.sec.gov/Archives/edgar/data/1559720/000119312525174438/d17531dex991.htm</t>
        </is>
      </c>
      <c r="AJ4" t="inlineStr">
        <is>
          <t>manifest</t>
        </is>
      </c>
      <c r="AK4">
        <f>IF($A4="","",IF(COUNTIFS(Human_Data_Entry!$A$3:$A$525,$A4)&gt;0,"YES","NO"))</f>
        <v/>
      </c>
      <c r="AL4">
        <f>IF($A4="","",IF(AND($C4&amp;"-"&amp;$D4&gt;=Settings!$B$19,$C4&amp;"-"&amp;$D4&lt;=Settings!$B$20),"IN","OUT"))</f>
        <v/>
      </c>
      <c r="AM4">
        <f>IF(AND(OR($H4="BUY",$H4="SELL"),ISNUMBER($T4)),$T4,"")</f>
        <v/>
      </c>
      <c r="AN4">
        <f>IF(AND(OR($H4="BUY",$H4="SELL"),ISNUMBER($AF4)),$AF4,"")</f>
        <v/>
      </c>
      <c r="AO4">
        <f>IF(ISNUMBER($AM4),ABS(IF(ISNUMBER($G4),$G4,0)-Settings!$B$25),"")</f>
        <v/>
      </c>
      <c r="AP4">
        <f>IF(ISNUMBER($AO4),$AO4*$AM4,"")</f>
        <v/>
      </c>
      <c r="AQ4">
        <f>IF(ISNUMBER($AN4),ABS(IF(ISNUMBER($G4),$G4,0)-Settings!$B$25),"")</f>
        <v/>
      </c>
      <c r="AR4">
        <f>IF(ISNUMBER($AQ4),$AQ4*$AN4,"")</f>
        <v/>
      </c>
      <c r="AS4">
        <f>IF($A4="","",IFERROR(INDEX(Company_List!$H$3:$H$207,MATCH($A4,Company_List!$A$3:$A$207,0)),"unassigned"))</f>
        <v/>
      </c>
      <c r="AT4" t="inlineStr">
        <is>
          <t>re-read since v1</t>
        </is>
      </c>
      <c r="AU4" t="inlineStr">
        <is>
          <t>Phase 2/Master_Data_v1.xlsx</t>
        </is>
      </c>
      <c r="AV4" t="n">
        <v>1</v>
      </c>
      <c r="AW4" t="inlineStr">
        <is>
          <t>not publisher-identified</t>
        </is>
      </c>
      <c r="AX4" t="inlineStr">
        <is>
          <t>not publisher-identified</t>
        </is>
      </c>
      <c r="AY4" t="inlineStr">
        <is>
          <t>no</t>
        </is>
      </c>
      <c r="AZ4" t="inlineStr">
        <is>
          <t>yes</t>
        </is>
      </c>
    </row>
    <row r="5">
      <c r="A5" s="115" t="inlineStr">
        <is>
          <t>Airbnb</t>
        </is>
      </c>
      <c r="B5" s="117" t="inlineStr">
        <is>
          <t>ABNB</t>
        </is>
      </c>
      <c r="C5" s="105" t="n">
        <v>2025</v>
      </c>
      <c r="D5" s="106" t="inlineStr">
        <is>
          <t>Q3</t>
        </is>
      </c>
      <c r="E5" s="109" t="inlineStr">
        <is>
          <t>Ben/DeepSeek</t>
        </is>
      </c>
      <c r="F5" s="106" t="inlineStr">
        <is>
          <t>LLM</t>
        </is>
      </c>
      <c r="G5" s="128" t="n">
        <v>0.2725</v>
      </c>
      <c r="H5" s="106" t="inlineStr">
        <is>
          <t>BUY</t>
        </is>
      </c>
      <c r="I5" s="128" t="n"/>
      <c r="J5" s="125" t="n">
        <v>45967</v>
      </c>
      <c r="K5" s="126" t="n">
        <v>45967</v>
      </c>
      <c r="L5" s="129" t="n">
        <v>120.53</v>
      </c>
      <c r="M5" s="126" t="n">
        <v>45968</v>
      </c>
      <c r="N5" s="129" t="n">
        <v>125.49</v>
      </c>
      <c r="O5" s="132" t="n">
        <v>0.007759</v>
      </c>
      <c r="P5" s="107" t="n">
        <v>0.041193</v>
      </c>
      <c r="Q5" s="106" t="inlineStr">
        <is>
          <t>UP</t>
        </is>
      </c>
      <c r="R5" s="106" t="inlineStr">
        <is>
          <t>YES</t>
        </is>
      </c>
      <c r="S5" s="105" t="n">
        <v>1</v>
      </c>
      <c r="T5" s="107" t="n">
        <v>0.040193</v>
      </c>
      <c r="U5" s="130" t="inlineStr">
        <is>
          <t>w=[0.55,0.45,0,0] thr=(+0.25,-0.05), deployed default (risk-accepted, PSR=0.0/perm p=0.150 at N=161, not rechecked at N=268)</t>
        </is>
      </c>
      <c r="W5" t="inlineStr">
        <is>
          <t>price signal — only this window shows an abnormal move</t>
        </is>
      </c>
      <c r="X5" t="inlineStr">
        <is>
          <t>ABNB</t>
        </is>
      </c>
      <c r="Y5" t="inlineStr">
        <is>
          <t>2025-11-06</t>
        </is>
      </c>
      <c r="Z5" t="n">
        <v>120.53</v>
      </c>
      <c r="AA5" t="inlineStr">
        <is>
          <t>2025-11-07</t>
        </is>
      </c>
      <c r="AB5" t="n">
        <v>125.495</v>
      </c>
      <c r="AC5" t="n">
        <v>0.04119309749600174</v>
      </c>
      <c r="AD5" t="inlineStr">
        <is>
          <t>UP</t>
        </is>
      </c>
      <c r="AE5" t="inlineStr">
        <is>
          <t>YES</t>
        </is>
      </c>
      <c r="AF5" t="n">
        <v>0.040193</v>
      </c>
      <c r="AG5">
        <f>IF($A5="","",IFERROR(INDEX(Company_List!$G$3:$G$207,MATCH($A5,Company_List!$A$3:$A$207,0)),"unassigned"))</f>
        <v/>
      </c>
      <c r="AH5" t="inlineStr">
        <is>
          <t>Phase 2/Airbnb/Airbnb-Q3-2025-Earnings-Call-6-November-2025-5_00-PM-ET.pdf</t>
        </is>
      </c>
      <c r="AJ5" t="inlineStr">
        <is>
          <t>unique filename match</t>
        </is>
      </c>
      <c r="AK5">
        <f>IF($A5="","",IF(COUNTIFS(Human_Data_Entry!$A$3:$A$525,$A5)&gt;0,"YES","NO"))</f>
        <v/>
      </c>
      <c r="AL5">
        <f>IF($A5="","",IF(AND($C5&amp;"-"&amp;$D5&gt;=Settings!$B$19,$C5&amp;"-"&amp;$D5&lt;=Settings!$B$20),"IN","OUT"))</f>
        <v/>
      </c>
      <c r="AM5">
        <f>IF(AND(OR($H5="BUY",$H5="SELL"),ISNUMBER($T5)),$T5,"")</f>
        <v/>
      </c>
      <c r="AN5">
        <f>IF(AND(OR($H5="BUY",$H5="SELL"),ISNUMBER($AF5)),$AF5,"")</f>
        <v/>
      </c>
      <c r="AO5">
        <f>IF(ISNUMBER($AM5),ABS(IF(ISNUMBER($G5),$G5,0)-Settings!$B$25),"")</f>
        <v/>
      </c>
      <c r="AP5">
        <f>IF(ISNUMBER($AO5),$AO5*$AM5,"")</f>
        <v/>
      </c>
      <c r="AQ5">
        <f>IF(ISNUMBER($AN5),ABS(IF(ISNUMBER($G5),$G5,0)-Settings!$B$25),"")</f>
        <v/>
      </c>
      <c r="AR5">
        <f>IF(ISNUMBER($AQ5),$AQ5*$AN5,"")</f>
        <v/>
      </c>
      <c r="AS5">
        <f>IF($A5="","",IFERROR(INDEX(Company_List!$H$3:$H$207,MATCH($A5,Company_List!$A$3:$A$207,0)),"unassigned"))</f>
        <v/>
      </c>
      <c r="AT5" t="inlineStr">
        <is>
          <t>re-read since v1</t>
        </is>
      </c>
      <c r="AU5" t="inlineStr">
        <is>
          <t>Phase 2/Master_Data_v1.xlsx</t>
        </is>
      </c>
      <c r="AV5" t="n">
        <v>1</v>
      </c>
      <c r="AW5" t="inlineStr">
        <is>
          <t>FactSet CallStreet</t>
        </is>
      </c>
      <c r="AX5" t="inlineStr">
        <is>
          <t>licensed vendor</t>
        </is>
      </c>
      <c r="AY5" t="inlineStr">
        <is>
          <t>no</t>
        </is>
      </c>
      <c r="AZ5" t="inlineStr">
        <is>
          <t>no</t>
        </is>
      </c>
    </row>
    <row r="6">
      <c r="A6" s="115" t="inlineStr">
        <is>
          <t>Airbnb</t>
        </is>
      </c>
      <c r="B6" s="117" t="inlineStr">
        <is>
          <t>ABNB</t>
        </is>
      </c>
      <c r="C6" s="105" t="n">
        <v>2025</v>
      </c>
      <c r="D6" s="106" t="inlineStr">
        <is>
          <t>Q4</t>
        </is>
      </c>
      <c r="E6" s="109" t="inlineStr">
        <is>
          <t>Ben/DeepSeek</t>
        </is>
      </c>
      <c r="F6" s="106" t="inlineStr">
        <is>
          <t>LLM</t>
        </is>
      </c>
      <c r="G6" s="128" t="n">
        <v>0.415</v>
      </c>
      <c r="H6" s="106" t="inlineStr">
        <is>
          <t>BUY</t>
        </is>
      </c>
      <c r="I6" s="128" t="n"/>
      <c r="J6" s="125" t="n">
        <v>46065</v>
      </c>
      <c r="K6" s="126" t="n">
        <v>46065</v>
      </c>
      <c r="L6" s="129" t="n">
        <v>115.96</v>
      </c>
      <c r="M6" s="126" t="n">
        <v>46066</v>
      </c>
      <c r="N6" s="129" t="n">
        <v>126.47</v>
      </c>
      <c r="O6" s="132" t="n">
        <v>0.00738</v>
      </c>
      <c r="P6" s="107" t="n">
        <v>0.09059200000000001</v>
      </c>
      <c r="Q6" s="106" t="inlineStr">
        <is>
          <t>UP</t>
        </is>
      </c>
      <c r="R6" s="106" t="inlineStr">
        <is>
          <t>YES</t>
        </is>
      </c>
      <c r="S6" s="105" t="n">
        <v>1</v>
      </c>
      <c r="T6" s="107" t="n">
        <v>0.089592</v>
      </c>
      <c r="U6" s="130" t="inlineStr">
        <is>
          <t>w=[0.55,0.45,0,0] thr=(+0.25,-0.05), deployed default (risk-accepted, PSR=0.0/perm p=0.150 at N=161, not rechecked at N=268)</t>
        </is>
      </c>
      <c r="W6" t="inlineStr">
        <is>
          <t>price signal — only this window shows an abnormal move</t>
        </is>
      </c>
      <c r="X6" t="inlineStr">
        <is>
          <t>ABNB</t>
        </is>
      </c>
      <c r="Y6" t="inlineStr">
        <is>
          <t>2026-02-12</t>
        </is>
      </c>
      <c r="Z6" t="n">
        <v>115.96</v>
      </c>
      <c r="AA6" t="inlineStr">
        <is>
          <t>2026-02-13</t>
        </is>
      </c>
      <c r="AB6" t="n">
        <v>126.465</v>
      </c>
      <c r="AC6" t="n">
        <v>0.09059155821482892</v>
      </c>
      <c r="AD6" t="inlineStr">
        <is>
          <t>UP</t>
        </is>
      </c>
      <c r="AE6" t="inlineStr">
        <is>
          <t>YES</t>
        </is>
      </c>
      <c r="AF6" t="n">
        <v>0.089592</v>
      </c>
      <c r="AG6">
        <f>IF($A6="","",IFERROR(INDEX(Company_List!$G$3:$G$207,MATCH($A6,Company_List!$A$3:$A$207,0)),"unassigned"))</f>
        <v/>
      </c>
      <c r="AH6" t="inlineStr">
        <is>
          <t>Phase 2/Airbnb/2025-Q4/ABNB-2025-Q4-press-release-SEC-EX-99-1.htm</t>
        </is>
      </c>
      <c r="AI6" t="inlineStr">
        <is>
          <t>https://www.sec.gov/Archives/edgar/data/1559720/000119312526048670/d58192dex991.htm</t>
        </is>
      </c>
      <c r="AJ6" t="inlineStr">
        <is>
          <t>manifest</t>
        </is>
      </c>
      <c r="AK6">
        <f>IF($A6="","",IF(COUNTIFS(Human_Data_Entry!$A$3:$A$525,$A6)&gt;0,"YES","NO"))</f>
        <v/>
      </c>
      <c r="AL6">
        <f>IF($A6="","",IF(AND($C6&amp;"-"&amp;$D6&gt;=Settings!$B$19,$C6&amp;"-"&amp;$D6&lt;=Settings!$B$20),"IN","OUT"))</f>
        <v/>
      </c>
      <c r="AM6">
        <f>IF(AND(OR($H6="BUY",$H6="SELL"),ISNUMBER($T6)),$T6,"")</f>
        <v/>
      </c>
      <c r="AN6">
        <f>IF(AND(OR($H6="BUY",$H6="SELL"),ISNUMBER($AF6)),$AF6,"")</f>
        <v/>
      </c>
      <c r="AO6">
        <f>IF(ISNUMBER($AM6),ABS(IF(ISNUMBER($G6),$G6,0)-Settings!$B$25),"")</f>
        <v/>
      </c>
      <c r="AP6">
        <f>IF(ISNUMBER($AO6),$AO6*$AM6,"")</f>
        <v/>
      </c>
      <c r="AQ6">
        <f>IF(ISNUMBER($AN6),ABS(IF(ISNUMBER($G6),$G6,0)-Settings!$B$25),"")</f>
        <v/>
      </c>
      <c r="AR6">
        <f>IF(ISNUMBER($AQ6),$AQ6*$AN6,"")</f>
        <v/>
      </c>
      <c r="AS6">
        <f>IF($A6="","",IFERROR(INDEX(Company_List!$H$3:$H$207,MATCH($A6,Company_List!$A$3:$A$207,0)),"unassigned"))</f>
        <v/>
      </c>
      <c r="AT6" t="inlineStr">
        <is>
          <t>re-read since v1</t>
        </is>
      </c>
      <c r="AU6" t="inlineStr">
        <is>
          <t>Phase 2/Master_Data_v1.xlsx</t>
        </is>
      </c>
      <c r="AV6" t="n">
        <v>1</v>
      </c>
      <c r="AW6" t="inlineStr">
        <is>
          <t>not publisher-identified</t>
        </is>
      </c>
      <c r="AX6" t="inlineStr">
        <is>
          <t>not publisher-identified</t>
        </is>
      </c>
      <c r="AY6" t="inlineStr">
        <is>
          <t>no</t>
        </is>
      </c>
      <c r="AZ6" t="inlineStr">
        <is>
          <t>yes</t>
        </is>
      </c>
    </row>
    <row r="7">
      <c r="A7" s="115" t="inlineStr">
        <is>
          <t>Amazon</t>
        </is>
      </c>
      <c r="B7" s="117" t="inlineStr">
        <is>
          <t>AMZN</t>
        </is>
      </c>
      <c r="C7" s="105" t="n">
        <v>2026</v>
      </c>
      <c r="D7" s="106" t="inlineStr">
        <is>
          <t>Q1</t>
        </is>
      </c>
      <c r="E7" s="109" t="inlineStr">
        <is>
          <t>Ben/DeepSeek</t>
        </is>
      </c>
      <c r="F7" s="106" t="inlineStr">
        <is>
          <t>LLM</t>
        </is>
      </c>
      <c r="G7" s="128" t="n">
        <v>0.305</v>
      </c>
      <c r="H7" s="106" t="inlineStr">
        <is>
          <t>BUY</t>
        </is>
      </c>
      <c r="I7" s="128" t="n"/>
      <c r="J7" s="125" t="n">
        <v>46141</v>
      </c>
      <c r="K7" s="126" t="n">
        <v>46141</v>
      </c>
      <c r="L7" s="129" t="n">
        <v>263.04</v>
      </c>
      <c r="M7" s="126" t="n">
        <v>46142</v>
      </c>
      <c r="N7" s="129" t="n">
        <v>273.17</v>
      </c>
      <c r="O7" s="132" t="n">
        <v>0.005951</v>
      </c>
      <c r="P7" s="107" t="n">
        <v>0.038511</v>
      </c>
      <c r="Q7" s="106" t="inlineStr">
        <is>
          <t>UP</t>
        </is>
      </c>
      <c r="R7" s="106" t="inlineStr">
        <is>
          <t>YES</t>
        </is>
      </c>
      <c r="S7" s="105" t="n">
        <v>1</v>
      </c>
      <c r="T7" s="107" t="n">
        <v>0.037511</v>
      </c>
      <c r="U7" s="130" t="inlineStr">
        <is>
          <t>w=[0.55,0.45,0,0] thr=(+0.25,-0.05), deployed default (risk-accepted, PSR=0.0/perm p=0.150 at N=161, not rechecked at N=268)</t>
        </is>
      </c>
      <c r="W7" t="inlineStr">
        <is>
          <t>release date + stated time in the document (rater worksheet)</t>
        </is>
      </c>
      <c r="X7" t="inlineStr">
        <is>
          <t>AMZN</t>
        </is>
      </c>
      <c r="Y7" t="inlineStr">
        <is>
          <t>2026-04-29</t>
        </is>
      </c>
      <c r="Z7" t="n">
        <v>263.04</v>
      </c>
      <c r="AA7" t="inlineStr">
        <is>
          <t>2026-04-30</t>
        </is>
      </c>
      <c r="AB7" t="n">
        <v>273.17</v>
      </c>
      <c r="AC7" t="n">
        <v>0.03851126693049948</v>
      </c>
      <c r="AD7" t="inlineStr">
        <is>
          <t>UP</t>
        </is>
      </c>
      <c r="AE7" t="inlineStr">
        <is>
          <t>YES</t>
        </is>
      </c>
      <c r="AF7" t="n">
        <v>0.037511</v>
      </c>
      <c r="AG7">
        <f>IF($A7="","",IFERROR(INDEX(Company_List!$G$3:$G$207,MATCH($A7,Company_List!$A$3:$A$207,0)),"unassigned"))</f>
        <v/>
      </c>
      <c r="AH7" t="inlineStr">
        <is>
          <t>Phase 2/Amazon/2026-Q1/AMZN-2026-Q1-press-release-SEC-EX-99-1.htm</t>
        </is>
      </c>
      <c r="AI7" t="inlineStr">
        <is>
          <t>https://www.sec.gov/Archives/edgar/data/1018724/000101872426000012/amzn-20260331xex991.htm</t>
        </is>
      </c>
      <c r="AJ7" t="inlineStr">
        <is>
          <t>manifest</t>
        </is>
      </c>
      <c r="AK7">
        <f>IF($A7="","",IF(COUNTIFS(Human_Data_Entry!$A$3:$A$525,$A7)&gt;0,"YES","NO"))</f>
        <v/>
      </c>
      <c r="AL7">
        <f>IF($A7="","",IF(AND($C7&amp;"-"&amp;$D7&gt;=Settings!$B$19,$C7&amp;"-"&amp;$D7&lt;=Settings!$B$20),"IN","OUT"))</f>
        <v/>
      </c>
      <c r="AM7">
        <f>IF(AND(OR($H7="BUY",$H7="SELL"),ISNUMBER($T7)),$T7,"")</f>
        <v/>
      </c>
      <c r="AN7">
        <f>IF(AND(OR($H7="BUY",$H7="SELL"),ISNUMBER($AF7)),$AF7,"")</f>
        <v/>
      </c>
      <c r="AO7">
        <f>IF(ISNUMBER($AM7),ABS(IF(ISNUMBER($G7),$G7,0)-Settings!$B$25),"")</f>
        <v/>
      </c>
      <c r="AP7">
        <f>IF(ISNUMBER($AO7),$AO7*$AM7,"")</f>
        <v/>
      </c>
      <c r="AQ7">
        <f>IF(ISNUMBER($AN7),ABS(IF(ISNUMBER($G7),$G7,0)-Settings!$B$25),"")</f>
        <v/>
      </c>
      <c r="AR7">
        <f>IF(ISNUMBER($AQ7),$AQ7*$AN7,"")</f>
        <v/>
      </c>
      <c r="AS7">
        <f>IF($A7="","",IFERROR(INDEX(Company_List!$H$3:$H$207,MATCH($A7,Company_List!$A$3:$A$207,0)),"unassigned"))</f>
        <v/>
      </c>
      <c r="AT7" t="inlineStr">
        <is>
          <t>re-read since v1</t>
        </is>
      </c>
      <c r="AU7" t="inlineStr">
        <is>
          <t>Phase 2/Master_Data_v1.xlsx</t>
        </is>
      </c>
      <c r="AV7" t="n">
        <v>1</v>
      </c>
      <c r="AW7" t="inlineStr">
        <is>
          <t>not publisher-identified</t>
        </is>
      </c>
      <c r="AX7" t="inlineStr">
        <is>
          <t>not publisher-identified</t>
        </is>
      </c>
      <c r="AY7" t="inlineStr">
        <is>
          <t>no</t>
        </is>
      </c>
      <c r="AZ7" t="inlineStr">
        <is>
          <t>yes</t>
        </is>
      </c>
    </row>
    <row r="8">
      <c r="A8" s="115" t="inlineStr">
        <is>
          <t>Amazon</t>
        </is>
      </c>
      <c r="B8" s="117" t="inlineStr">
        <is>
          <t>AMZN</t>
        </is>
      </c>
      <c r="C8" s="105" t="n">
        <v>2025</v>
      </c>
      <c r="D8" s="106" t="inlineStr">
        <is>
          <t>Q3</t>
        </is>
      </c>
      <c r="E8" s="109" t="inlineStr">
        <is>
          <t>Ben/DeepSeek</t>
        </is>
      </c>
      <c r="F8" s="106" t="inlineStr">
        <is>
          <t>LLM</t>
        </is>
      </c>
      <c r="G8" s="128" t="n">
        <v>-0.1675</v>
      </c>
      <c r="H8" s="106" t="inlineStr">
        <is>
          <t>SELL</t>
        </is>
      </c>
      <c r="I8" s="128" t="n"/>
      <c r="J8" s="125" t="n">
        <v>45960</v>
      </c>
      <c r="K8" s="126" t="n">
        <v>45960</v>
      </c>
      <c r="L8" s="129" t="n">
        <v>222.86</v>
      </c>
      <c r="M8" s="126" t="n">
        <v>45961</v>
      </c>
      <c r="N8" s="129" t="n">
        <v>250.1</v>
      </c>
      <c r="O8" s="132" t="n">
        <v>0.006521</v>
      </c>
      <c r="P8" s="107" t="n">
        <v>0.122229</v>
      </c>
      <c r="Q8" s="106" t="inlineStr">
        <is>
          <t>UP</t>
        </is>
      </c>
      <c r="R8" s="106" t="inlineStr">
        <is>
          <t>NO</t>
        </is>
      </c>
      <c r="S8" s="105" t="n">
        <v>-1</v>
      </c>
      <c r="T8" s="107" t="n">
        <v>-0.123229</v>
      </c>
      <c r="U8" s="130" t="inlineStr">
        <is>
          <t>w=[0.55,0.45,0,0] thr=(+0.25,-0.05), deployed default (risk-accepted, PSR=0.0/perm p=0.150 at N=161, not rechecked at N=268)</t>
        </is>
      </c>
      <c r="W8" t="inlineStr">
        <is>
          <t>release date + stated time in the document (rater worksheet)</t>
        </is>
      </c>
      <c r="X8" t="inlineStr">
        <is>
          <t>AMZN</t>
        </is>
      </c>
      <c r="Y8" t="inlineStr">
        <is>
          <t>2025-10-30</t>
        </is>
      </c>
      <c r="Z8" t="n">
        <v>222.86</v>
      </c>
      <c r="AA8" t="inlineStr">
        <is>
          <t>2025-10-31</t>
        </is>
      </c>
      <c r="AB8" t="n">
        <v>250.1</v>
      </c>
      <c r="AC8" t="n">
        <v>0.1222292240768679</v>
      </c>
      <c r="AD8" t="inlineStr">
        <is>
          <t>UP</t>
        </is>
      </c>
      <c r="AE8" t="inlineStr">
        <is>
          <t>NO</t>
        </is>
      </c>
      <c r="AF8" t="n">
        <v>-0.123229</v>
      </c>
      <c r="AG8">
        <f>IF($A8="","",IFERROR(INDEX(Company_List!$G$3:$G$207,MATCH($A8,Company_List!$A$3:$A$207,0)),"unassigned"))</f>
        <v/>
      </c>
      <c r="AH8" t="inlineStr">
        <is>
          <t>Phase 2/Amazon/2025-Q3/AMZN-2025-Q3-press-release-SEC-EX-99-1.htm</t>
        </is>
      </c>
      <c r="AI8" t="inlineStr">
        <is>
          <t>https://www.sec.gov/Archives/edgar/data/1018724/000101872425000121/amzn-20250930xex991.htm</t>
        </is>
      </c>
      <c r="AJ8" t="inlineStr">
        <is>
          <t>manifest</t>
        </is>
      </c>
      <c r="AK8">
        <f>IF($A8="","",IF(COUNTIFS(Human_Data_Entry!$A$3:$A$525,$A8)&gt;0,"YES","NO"))</f>
        <v/>
      </c>
      <c r="AL8">
        <f>IF($A8="","",IF(AND($C8&amp;"-"&amp;$D8&gt;=Settings!$B$19,$C8&amp;"-"&amp;$D8&lt;=Settings!$B$20),"IN","OUT"))</f>
        <v/>
      </c>
      <c r="AM8">
        <f>IF(AND(OR($H8="BUY",$H8="SELL"),ISNUMBER($T8)),$T8,"")</f>
        <v/>
      </c>
      <c r="AN8">
        <f>IF(AND(OR($H8="BUY",$H8="SELL"),ISNUMBER($AF8)),$AF8,"")</f>
        <v/>
      </c>
      <c r="AO8">
        <f>IF(ISNUMBER($AM8),ABS(IF(ISNUMBER($G8),$G8,0)-Settings!$B$25),"")</f>
        <v/>
      </c>
      <c r="AP8">
        <f>IF(ISNUMBER($AO8),$AO8*$AM8,"")</f>
        <v/>
      </c>
      <c r="AQ8">
        <f>IF(ISNUMBER($AN8),ABS(IF(ISNUMBER($G8),$G8,0)-Settings!$B$25),"")</f>
        <v/>
      </c>
      <c r="AR8">
        <f>IF(ISNUMBER($AQ8),$AQ8*$AN8,"")</f>
        <v/>
      </c>
      <c r="AS8">
        <f>IF($A8="","",IFERROR(INDEX(Company_List!$H$3:$H$207,MATCH($A8,Company_List!$A$3:$A$207,0)),"unassigned"))</f>
        <v/>
      </c>
      <c r="AT8" t="inlineStr">
        <is>
          <t>re-read since v1</t>
        </is>
      </c>
      <c r="AU8" t="inlineStr">
        <is>
          <t>Phase 2/Master_Data_v1.xlsx</t>
        </is>
      </c>
      <c r="AV8" t="n">
        <v>1</v>
      </c>
      <c r="AW8" t="inlineStr">
        <is>
          <t>not publisher-identified</t>
        </is>
      </c>
      <c r="AX8" t="inlineStr">
        <is>
          <t>not publisher-identified</t>
        </is>
      </c>
      <c r="AY8" t="inlineStr">
        <is>
          <t>no</t>
        </is>
      </c>
      <c r="AZ8" t="inlineStr">
        <is>
          <t>yes</t>
        </is>
      </c>
    </row>
    <row r="9">
      <c r="A9" s="115" t="inlineStr">
        <is>
          <t>Amazon</t>
        </is>
      </c>
      <c r="B9" s="117" t="inlineStr">
        <is>
          <t>AMZN</t>
        </is>
      </c>
      <c r="C9" s="105" t="n">
        <v>2025</v>
      </c>
      <c r="D9" s="106" t="inlineStr">
        <is>
          <t>Q4</t>
        </is>
      </c>
      <c r="E9" s="109" t="inlineStr">
        <is>
          <t>Ben/DeepSeek</t>
        </is>
      </c>
      <c r="F9" s="106" t="inlineStr">
        <is>
          <t>LLM</t>
        </is>
      </c>
      <c r="G9" s="128" t="n">
        <v>-0.0525</v>
      </c>
      <c r="H9" s="106" t="inlineStr">
        <is>
          <t>SELL</t>
        </is>
      </c>
      <c r="I9" s="128" t="n"/>
      <c r="J9" s="125" t="n">
        <v>46058</v>
      </c>
      <c r="K9" s="126" t="n">
        <v>46058</v>
      </c>
      <c r="L9" s="129" t="n">
        <v>222.69</v>
      </c>
      <c r="M9" s="126" t="n">
        <v>46059</v>
      </c>
      <c r="N9" s="129" t="n">
        <v>202.7</v>
      </c>
      <c r="O9" s="132" t="n">
        <v>0.006899</v>
      </c>
      <c r="P9" s="107" t="n">
        <v>-0.089766</v>
      </c>
      <c r="Q9" s="106" t="inlineStr">
        <is>
          <t>DOWN</t>
        </is>
      </c>
      <c r="R9" s="106" t="inlineStr">
        <is>
          <t>YES</t>
        </is>
      </c>
      <c r="S9" s="105" t="n">
        <v>-1</v>
      </c>
      <c r="T9" s="107" t="n">
        <v>0.088766</v>
      </c>
      <c r="U9" s="130" t="inlineStr">
        <is>
          <t>w=[0.55,0.45,0,0] thr=(+0.25,-0.05), deployed default (risk-accepted, PSR=0.0/perm p=0.150 at N=161, not rechecked at N=268)</t>
        </is>
      </c>
      <c r="W9" t="inlineStr">
        <is>
          <t>recorded price identified against every pulled series</t>
        </is>
      </c>
      <c r="X9" t="inlineStr">
        <is>
          <t>AMZN</t>
        </is>
      </c>
      <c r="Y9" t="inlineStr">
        <is>
          <t>2026-02-05</t>
        </is>
      </c>
      <c r="Z9" t="n">
        <v>222.69</v>
      </c>
      <c r="AA9" t="inlineStr">
        <is>
          <t>2026-02-06</t>
        </is>
      </c>
      <c r="AB9" t="n">
        <v>202.7</v>
      </c>
      <c r="AC9" t="n">
        <v>-0.08976606412711782</v>
      </c>
      <c r="AD9" t="inlineStr">
        <is>
          <t>DOWN</t>
        </is>
      </c>
      <c r="AE9" t="inlineStr">
        <is>
          <t>YES</t>
        </is>
      </c>
      <c r="AF9" t="n">
        <v>0.088766</v>
      </c>
      <c r="AG9">
        <f>IF($A9="","",IFERROR(INDEX(Company_List!$G$3:$G$207,MATCH($A9,Company_List!$A$3:$A$207,0)),"unassigned"))</f>
        <v/>
      </c>
      <c r="AH9" t="inlineStr">
        <is>
          <t>Phase 2/Amazon/2025-Q4/AMZN-2025-Q4-press-release-SEC-EX-99-1.htm</t>
        </is>
      </c>
      <c r="AI9" t="inlineStr">
        <is>
          <t>https://www.sec.gov/Archives/edgar/data/1018724/000101872426000002/amzn-20251231xex991.htm</t>
        </is>
      </c>
      <c r="AJ9" t="inlineStr">
        <is>
          <t>manifest</t>
        </is>
      </c>
      <c r="AK9">
        <f>IF($A9="","",IF(COUNTIFS(Human_Data_Entry!$A$3:$A$525,$A9)&gt;0,"YES","NO"))</f>
        <v/>
      </c>
      <c r="AL9">
        <f>IF($A9="","",IF(AND($C9&amp;"-"&amp;$D9&gt;=Settings!$B$19,$C9&amp;"-"&amp;$D9&lt;=Settings!$B$20),"IN","OUT"))</f>
        <v/>
      </c>
      <c r="AM9">
        <f>IF(AND(OR($H9="BUY",$H9="SELL"),ISNUMBER($T9)),$T9,"")</f>
        <v/>
      </c>
      <c r="AN9">
        <f>IF(AND(OR($H9="BUY",$H9="SELL"),ISNUMBER($AF9)),$AF9,"")</f>
        <v/>
      </c>
      <c r="AO9">
        <f>IF(ISNUMBER($AM9),ABS(IF(ISNUMBER($G9),$G9,0)-Settings!$B$25),"")</f>
        <v/>
      </c>
      <c r="AP9">
        <f>IF(ISNUMBER($AO9),$AO9*$AM9,"")</f>
        <v/>
      </c>
      <c r="AQ9">
        <f>IF(ISNUMBER($AN9),ABS(IF(ISNUMBER($G9),$G9,0)-Settings!$B$25),"")</f>
        <v/>
      </c>
      <c r="AR9">
        <f>IF(ISNUMBER($AQ9),$AQ9*$AN9,"")</f>
        <v/>
      </c>
      <c r="AS9">
        <f>IF($A9="","",IFERROR(INDEX(Company_List!$H$3:$H$207,MATCH($A9,Company_List!$A$3:$A$207,0)),"unassigned"))</f>
        <v/>
      </c>
      <c r="AT9" t="inlineStr">
        <is>
          <t>re-read since v1</t>
        </is>
      </c>
      <c r="AU9" t="inlineStr">
        <is>
          <t>Phase 2/Master_Data_v1.xlsx</t>
        </is>
      </c>
      <c r="AV9" t="n">
        <v>1</v>
      </c>
      <c r="AW9" t="inlineStr">
        <is>
          <t>not publisher-identified</t>
        </is>
      </c>
      <c r="AX9" t="inlineStr">
        <is>
          <t>not publisher-identified</t>
        </is>
      </c>
      <c r="AY9" t="inlineStr">
        <is>
          <t>no</t>
        </is>
      </c>
      <c r="AZ9" t="inlineStr">
        <is>
          <t>yes</t>
        </is>
      </c>
    </row>
    <row r="10">
      <c r="A10" s="115" t="inlineStr">
        <is>
          <t>AMD</t>
        </is>
      </c>
      <c r="B10" s="117" t="inlineStr">
        <is>
          <t>AMD</t>
        </is>
      </c>
      <c r="C10" s="105" t="n">
        <v>2026</v>
      </c>
      <c r="D10" s="106" t="inlineStr">
        <is>
          <t>Q1</t>
        </is>
      </c>
      <c r="E10" s="109" t="inlineStr">
        <is>
          <t>Ben/DeepSeek</t>
        </is>
      </c>
      <c r="F10" s="106" t="inlineStr">
        <is>
          <t>LLM</t>
        </is>
      </c>
      <c r="G10" s="128" t="n">
        <v>0.305</v>
      </c>
      <c r="H10" s="106" t="inlineStr">
        <is>
          <t>BUY</t>
        </is>
      </c>
      <c r="I10" s="128" t="n"/>
      <c r="J10" s="125" t="n">
        <v>46147</v>
      </c>
      <c r="K10" s="126" t="n">
        <v>46147</v>
      </c>
      <c r="L10" s="129" t="n">
        <v>355.26</v>
      </c>
      <c r="M10" s="126" t="n">
        <v>46148</v>
      </c>
      <c r="N10" s="129" t="n">
        <v>409.49</v>
      </c>
      <c r="O10" s="132" t="n">
        <v>0.006512</v>
      </c>
      <c r="P10" s="107" t="n">
        <v>0.152649</v>
      </c>
      <c r="Q10" s="106" t="inlineStr">
        <is>
          <t>UP</t>
        </is>
      </c>
      <c r="R10" s="106" t="inlineStr">
        <is>
          <t>YES</t>
        </is>
      </c>
      <c r="S10" s="105" t="n">
        <v>1</v>
      </c>
      <c r="T10" s="107" t="n">
        <v>0.151649</v>
      </c>
      <c r="U10" s="130" t="inlineStr">
        <is>
          <t>w=[0.55,0.45,0,0] thr=(+0.25,-0.05), deployed default (risk-accepted, PSR=0.0/perm p=0.150 at N=161, not rechecked at N=268)</t>
        </is>
      </c>
      <c r="W10" t="inlineStr">
        <is>
          <t>release date + stated time in the document (rater worksheet)</t>
        </is>
      </c>
      <c r="X10" t="inlineStr">
        <is>
          <t>AMD</t>
        </is>
      </c>
      <c r="Y10" t="inlineStr">
        <is>
          <t>2026-05-05</t>
        </is>
      </c>
      <c r="Z10" t="n">
        <v>355.26</v>
      </c>
      <c r="AA10" t="inlineStr">
        <is>
          <t>2026-05-06</t>
        </is>
      </c>
      <c r="AB10" t="n">
        <v>409.49</v>
      </c>
      <c r="AC10" t="n">
        <v>0.1526487036916989</v>
      </c>
      <c r="AD10" t="inlineStr">
        <is>
          <t>UP</t>
        </is>
      </c>
      <c r="AE10" t="inlineStr">
        <is>
          <t>YES</t>
        </is>
      </c>
      <c r="AF10" t="n">
        <v>0.151649</v>
      </c>
      <c r="AG10">
        <f>IF($A10="","",IFERROR(INDEX(Company_List!$G$3:$G$207,MATCH($A10,Company_List!$A$3:$A$207,0)),"unassigned"))</f>
        <v/>
      </c>
      <c r="AH10" t="inlineStr">
        <is>
          <t>Phase 2/AMD/2026-Q1/AMD-2026-Q1-press-release-SEC-EX-99-1.htm</t>
        </is>
      </c>
      <c r="AI10" t="inlineStr">
        <is>
          <t>https://www.sec.gov/Archives/edgar/data/2488/000000248826000072/q12026991.htm</t>
        </is>
      </c>
      <c r="AJ10" t="inlineStr">
        <is>
          <t>manifest</t>
        </is>
      </c>
      <c r="AK10">
        <f>IF($A10="","",IF(COUNTIFS(Human_Data_Entry!$A$3:$A$525,$A10)&gt;0,"YES","NO"))</f>
        <v/>
      </c>
      <c r="AL10">
        <f>IF($A10="","",IF(AND($C10&amp;"-"&amp;$D10&gt;=Settings!$B$19,$C10&amp;"-"&amp;$D10&lt;=Settings!$B$20),"IN","OUT"))</f>
        <v/>
      </c>
      <c r="AM10">
        <f>IF(AND(OR($H10="BUY",$H10="SELL"),ISNUMBER($T10)),$T10,"")</f>
        <v/>
      </c>
      <c r="AN10">
        <f>IF(AND(OR($H10="BUY",$H10="SELL"),ISNUMBER($AF10)),$AF10,"")</f>
        <v/>
      </c>
      <c r="AO10">
        <f>IF(ISNUMBER($AM10),ABS(IF(ISNUMBER($G10),$G10,0)-Settings!$B$25),"")</f>
        <v/>
      </c>
      <c r="AP10">
        <f>IF(ISNUMBER($AO10),$AO10*$AM10,"")</f>
        <v/>
      </c>
      <c r="AQ10">
        <f>IF(ISNUMBER($AN10),ABS(IF(ISNUMBER($G10),$G10,0)-Settings!$B$25),"")</f>
        <v/>
      </c>
      <c r="AR10">
        <f>IF(ISNUMBER($AQ10),$AQ10*$AN10,"")</f>
        <v/>
      </c>
      <c r="AS10">
        <f>IF($A10="","",IFERROR(INDEX(Company_List!$H$3:$H$207,MATCH($A10,Company_List!$A$3:$A$207,0)),"unassigned"))</f>
        <v/>
      </c>
      <c r="AT10" t="inlineStr">
        <is>
          <t>re-read since v1</t>
        </is>
      </c>
      <c r="AU10" t="inlineStr">
        <is>
          <t>Phase 2/Master_Data_v1.xlsx</t>
        </is>
      </c>
      <c r="AV10" t="n">
        <v>1</v>
      </c>
      <c r="AW10" t="inlineStr">
        <is>
          <t>not publisher-identified</t>
        </is>
      </c>
      <c r="AX10" t="inlineStr">
        <is>
          <t>not publisher-identified</t>
        </is>
      </c>
      <c r="AY10" t="inlineStr">
        <is>
          <t>no</t>
        </is>
      </c>
      <c r="AZ10" t="inlineStr">
        <is>
          <t>yes</t>
        </is>
      </c>
    </row>
    <row r="11">
      <c r="A11" s="115" t="inlineStr">
        <is>
          <t>AMD</t>
        </is>
      </c>
      <c r="B11" s="117" t="inlineStr">
        <is>
          <t>AMD</t>
        </is>
      </c>
      <c r="C11" s="105" t="n">
        <v>2025</v>
      </c>
      <c r="D11" s="106" t="inlineStr">
        <is>
          <t>Q2</t>
        </is>
      </c>
      <c r="E11" s="109" t="inlineStr">
        <is>
          <t>Ben/DeepSeek</t>
        </is>
      </c>
      <c r="F11" s="106" t="inlineStr">
        <is>
          <t>LLM</t>
        </is>
      </c>
      <c r="G11" s="128" t="n">
        <v>0.21</v>
      </c>
      <c r="H11" s="106" t="inlineStr">
        <is>
          <t>HOLD</t>
        </is>
      </c>
      <c r="I11" s="128" t="n"/>
      <c r="J11" s="125" t="n">
        <v>45874</v>
      </c>
      <c r="K11" s="126" t="n">
        <v>45874</v>
      </c>
      <c r="L11" s="129" t="n">
        <v>174.31</v>
      </c>
      <c r="M11" s="126" t="n">
        <v>45875</v>
      </c>
      <c r="N11" s="129" t="n">
        <v>165.05</v>
      </c>
      <c r="O11" s="132" t="n">
        <v>0.00632</v>
      </c>
      <c r="P11" s="107" t="n">
        <v>-0.053124</v>
      </c>
      <c r="Q11" s="106" t="inlineStr">
        <is>
          <t>DOWN</t>
        </is>
      </c>
      <c r="R11" s="106" t="inlineStr">
        <is>
          <t>NO</t>
        </is>
      </c>
      <c r="S11" s="105" t="n">
        <v>0</v>
      </c>
      <c r="T11" s="107" t="n">
        <v>0</v>
      </c>
      <c r="U11" s="130" t="inlineStr">
        <is>
          <t>w=[0.55,0.45,0,0] thr=(+0.25,-0.05), deployed default (risk-accepted, PSR=0.0/perm p=0.150 at N=161, not rechecked at N=268)</t>
        </is>
      </c>
      <c r="W11" t="inlineStr">
        <is>
          <t>release date + stated time in the document (rater worksheet)</t>
        </is>
      </c>
      <c r="X11" t="inlineStr">
        <is>
          <t>AMD</t>
        </is>
      </c>
      <c r="Y11" t="inlineStr">
        <is>
          <t>2025-08-05</t>
        </is>
      </c>
      <c r="Z11" t="n">
        <v>174.31</v>
      </c>
      <c r="AA11" t="inlineStr">
        <is>
          <t>2025-08-06</t>
        </is>
      </c>
      <c r="AB11" t="n">
        <v>165.05</v>
      </c>
      <c r="AC11" t="n">
        <v>-0.05312371697692294</v>
      </c>
      <c r="AD11" t="inlineStr">
        <is>
          <t>DOWN</t>
        </is>
      </c>
      <c r="AE11" t="inlineStr">
        <is>
          <t>NO</t>
        </is>
      </c>
      <c r="AF11" t="n">
        <v>0</v>
      </c>
      <c r="AG11">
        <f>IF($A11="","",IFERROR(INDEX(Company_List!$G$3:$G$207,MATCH($A11,Company_List!$A$3:$A$207,0)),"unassigned"))</f>
        <v/>
      </c>
      <c r="AH11" t="inlineStr">
        <is>
          <t>Phase 2/AMD/2025-Q2/AMD-2025-Q2-press-release-SEC-EX-99-1.htm</t>
        </is>
      </c>
      <c r="AI11" t="inlineStr">
        <is>
          <t>https://www.sec.gov/Archives/edgar/data/2488/000000248825000106/q22025991.htm</t>
        </is>
      </c>
      <c r="AJ11" t="inlineStr">
        <is>
          <t>manifest</t>
        </is>
      </c>
      <c r="AK11">
        <f>IF($A11="","",IF(COUNTIFS(Human_Data_Entry!$A$3:$A$525,$A11)&gt;0,"YES","NO"))</f>
        <v/>
      </c>
      <c r="AL11">
        <f>IF($A11="","",IF(AND($C11&amp;"-"&amp;$D11&gt;=Settings!$B$19,$C11&amp;"-"&amp;$D11&lt;=Settings!$B$20),"IN","OUT"))</f>
        <v/>
      </c>
      <c r="AM11">
        <f>IF(AND(OR($H11="BUY",$H11="SELL"),ISNUMBER($T11)),$T11,"")</f>
        <v/>
      </c>
      <c r="AN11">
        <f>IF(AND(OR($H11="BUY",$H11="SELL"),ISNUMBER($AF11)),$AF11,"")</f>
        <v/>
      </c>
      <c r="AO11">
        <f>IF(ISNUMBER($AM11),ABS(IF(ISNUMBER($G11),$G11,0)-Settings!$B$25),"")</f>
        <v/>
      </c>
      <c r="AP11">
        <f>IF(ISNUMBER($AO11),$AO11*$AM11,"")</f>
        <v/>
      </c>
      <c r="AQ11">
        <f>IF(ISNUMBER($AN11),ABS(IF(ISNUMBER($G11),$G11,0)-Settings!$B$25),"")</f>
        <v/>
      </c>
      <c r="AR11">
        <f>IF(ISNUMBER($AQ11),$AQ11*$AN11,"")</f>
        <v/>
      </c>
      <c r="AS11">
        <f>IF($A11="","",IFERROR(INDEX(Company_List!$H$3:$H$207,MATCH($A11,Company_List!$A$3:$A$207,0)),"unassigned"))</f>
        <v/>
      </c>
      <c r="AT11" t="inlineStr">
        <is>
          <t>re-read since v1</t>
        </is>
      </c>
      <c r="AU11" t="inlineStr">
        <is>
          <t>Phase 2/Master_Data_v1.xlsx</t>
        </is>
      </c>
      <c r="AV11" t="n">
        <v>1</v>
      </c>
      <c r="AW11" t="inlineStr">
        <is>
          <t>not publisher-identified</t>
        </is>
      </c>
      <c r="AX11" t="inlineStr">
        <is>
          <t>not publisher-identified</t>
        </is>
      </c>
      <c r="AY11" t="inlineStr">
        <is>
          <t>no</t>
        </is>
      </c>
      <c r="AZ11" t="inlineStr">
        <is>
          <t>yes</t>
        </is>
      </c>
    </row>
    <row r="12">
      <c r="A12" s="115" t="inlineStr">
        <is>
          <t>AMD</t>
        </is>
      </c>
      <c r="B12" s="117" t="inlineStr">
        <is>
          <t>AMD</t>
        </is>
      </c>
      <c r="C12" s="105" t="n">
        <v>2025</v>
      </c>
      <c r="D12" s="106" t="inlineStr">
        <is>
          <t>Q4</t>
        </is>
      </c>
      <c r="E12" s="109" t="inlineStr">
        <is>
          <t>Ben/DeepSeek</t>
        </is>
      </c>
      <c r="F12" s="106" t="inlineStr">
        <is>
          <t>LLM</t>
        </is>
      </c>
      <c r="G12" s="128" t="n">
        <v>0.525</v>
      </c>
      <c r="H12" s="106" t="inlineStr">
        <is>
          <t>BUY</t>
        </is>
      </c>
      <c r="I12" s="128" t="n"/>
      <c r="J12" s="125" t="n">
        <v>46056</v>
      </c>
      <c r="K12" s="126" t="n">
        <v>46056</v>
      </c>
      <c r="L12" s="129" t="n">
        <v>242.11</v>
      </c>
      <c r="M12" s="126" t="n">
        <v>46057</v>
      </c>
      <c r="N12" s="129" t="n">
        <v>215</v>
      </c>
      <c r="O12" s="132" t="n">
        <v>0.006357</v>
      </c>
      <c r="P12" s="107" t="n">
        <v>-0.111974</v>
      </c>
      <c r="Q12" s="106" t="inlineStr">
        <is>
          <t>DOWN</t>
        </is>
      </c>
      <c r="R12" s="106" t="inlineStr">
        <is>
          <t>NO</t>
        </is>
      </c>
      <c r="S12" s="105" t="n">
        <v>1</v>
      </c>
      <c r="T12" s="107" t="n">
        <v>-0.112974</v>
      </c>
      <c r="U12" s="130" t="inlineStr">
        <is>
          <t>w=[0.55,0.45,0,0] thr=(+0.25,-0.05), deployed default (risk-accepted, PSR=0.0/perm p=0.150 at N=161, not rechecked at N=268)</t>
        </is>
      </c>
      <c r="W12" t="inlineStr">
        <is>
          <t>release date + stated time in the document (rater worksheet)</t>
        </is>
      </c>
      <c r="X12" t="inlineStr">
        <is>
          <t>AMD</t>
        </is>
      </c>
      <c r="Y12" t="inlineStr">
        <is>
          <t>2026-02-03</t>
        </is>
      </c>
      <c r="Z12" t="n">
        <v>242.11</v>
      </c>
      <c r="AA12" t="inlineStr">
        <is>
          <t>2026-02-04</t>
        </is>
      </c>
      <c r="AB12" t="n">
        <v>215</v>
      </c>
      <c r="AC12" t="n">
        <v>-0.1119738998307633</v>
      </c>
      <c r="AD12" t="inlineStr">
        <is>
          <t>DOWN</t>
        </is>
      </c>
      <c r="AE12" t="inlineStr">
        <is>
          <t>NO</t>
        </is>
      </c>
      <c r="AF12" t="n">
        <v>-0.112974</v>
      </c>
      <c r="AG12">
        <f>IF($A12="","",IFERROR(INDEX(Company_List!$G$3:$G$207,MATCH($A12,Company_List!$A$3:$A$207,0)),"unassigned"))</f>
        <v/>
      </c>
      <c r="AH12" t="inlineStr">
        <is>
          <t>Phase 2/AMD/2025-Q4/AMD-2025-Q4-press-release-SEC-EX-99-1.htm</t>
        </is>
      </c>
      <c r="AI12" t="inlineStr">
        <is>
          <t>https://www.sec.gov/Archives/edgar/data/2488/000000248826000014/q42025991.htm</t>
        </is>
      </c>
      <c r="AJ12" t="inlineStr">
        <is>
          <t>manifest</t>
        </is>
      </c>
      <c r="AK12">
        <f>IF($A12="","",IF(COUNTIFS(Human_Data_Entry!$A$3:$A$525,$A12)&gt;0,"YES","NO"))</f>
        <v/>
      </c>
      <c r="AL12">
        <f>IF($A12="","",IF(AND($C12&amp;"-"&amp;$D12&gt;=Settings!$B$19,$C12&amp;"-"&amp;$D12&lt;=Settings!$B$20),"IN","OUT"))</f>
        <v/>
      </c>
      <c r="AM12">
        <f>IF(AND(OR($H12="BUY",$H12="SELL"),ISNUMBER($T12)),$T12,"")</f>
        <v/>
      </c>
      <c r="AN12">
        <f>IF(AND(OR($H12="BUY",$H12="SELL"),ISNUMBER($AF12)),$AF12,"")</f>
        <v/>
      </c>
      <c r="AO12">
        <f>IF(ISNUMBER($AM12),ABS(IF(ISNUMBER($G12),$G12,0)-Settings!$B$25),"")</f>
        <v/>
      </c>
      <c r="AP12">
        <f>IF(ISNUMBER($AO12),$AO12*$AM12,"")</f>
        <v/>
      </c>
      <c r="AQ12">
        <f>IF(ISNUMBER($AN12),ABS(IF(ISNUMBER($G12),$G12,0)-Settings!$B$25),"")</f>
        <v/>
      </c>
      <c r="AR12">
        <f>IF(ISNUMBER($AQ12),$AQ12*$AN12,"")</f>
        <v/>
      </c>
      <c r="AS12">
        <f>IF($A12="","",IFERROR(INDEX(Company_List!$H$3:$H$207,MATCH($A12,Company_List!$A$3:$A$207,0)),"unassigned"))</f>
        <v/>
      </c>
      <c r="AT12" t="inlineStr">
        <is>
          <t>re-read since v1</t>
        </is>
      </c>
      <c r="AU12" t="inlineStr">
        <is>
          <t>Phase 2/Master_Data_v1.xlsx</t>
        </is>
      </c>
      <c r="AV12" t="n">
        <v>1</v>
      </c>
      <c r="AW12" t="inlineStr">
        <is>
          <t>not publisher-identified</t>
        </is>
      </c>
      <c r="AX12" t="inlineStr">
        <is>
          <t>not publisher-identified</t>
        </is>
      </c>
      <c r="AY12" t="inlineStr">
        <is>
          <t>no</t>
        </is>
      </c>
      <c r="AZ12" t="inlineStr">
        <is>
          <t>yes</t>
        </is>
      </c>
    </row>
    <row r="13">
      <c r="A13" s="115" t="inlineStr">
        <is>
          <t>Apple</t>
        </is>
      </c>
      <c r="B13" s="117" t="inlineStr">
        <is>
          <t>AAPL</t>
        </is>
      </c>
      <c r="C13" s="105" t="n">
        <v>2026</v>
      </c>
      <c r="D13" s="106" t="inlineStr">
        <is>
          <t>Q1</t>
        </is>
      </c>
      <c r="E13" s="109" t="inlineStr">
        <is>
          <t>Ben/DeepSeek</t>
        </is>
      </c>
      <c r="F13" s="106" t="inlineStr">
        <is>
          <t>LLM</t>
        </is>
      </c>
      <c r="G13" s="128" t="n">
        <v>0.2775</v>
      </c>
      <c r="H13" s="106" t="inlineStr">
        <is>
          <t>BUY</t>
        </is>
      </c>
      <c r="I13" s="128" t="n"/>
      <c r="J13" s="125" t="n">
        <v>46051</v>
      </c>
      <c r="K13" s="126" t="n">
        <v>46051</v>
      </c>
      <c r="L13" s="129" t="n">
        <v>258.28</v>
      </c>
      <c r="M13" s="126" t="n">
        <v>46052</v>
      </c>
      <c r="N13" s="129" t="n">
        <v>255.17</v>
      </c>
      <c r="O13" s="132" t="n">
        <v>0.007147</v>
      </c>
      <c r="P13" s="107" t="n">
        <v>-0.012041</v>
      </c>
      <c r="Q13" s="106" t="inlineStr">
        <is>
          <t>FLAT</t>
        </is>
      </c>
      <c r="R13" s="106" t="inlineStr">
        <is>
          <t>NO</t>
        </is>
      </c>
      <c r="S13" s="105" t="n">
        <v>1</v>
      </c>
      <c r="T13" s="107" t="n">
        <v>-0.013041</v>
      </c>
      <c r="U13" s="130" t="inlineStr">
        <is>
          <t>w=[0.55,0.45,0,0] thr=(+0.25,-0.05), deployed default (risk-accepted, PSR=0.0/perm p=0.150 at N=161, not rechecked at N=268)</t>
        </is>
      </c>
      <c r="W13" t="inlineStr">
        <is>
          <t>price signal — only this window shows an abnormal move</t>
        </is>
      </c>
      <c r="X13" t="inlineStr">
        <is>
          <t>AAPL</t>
        </is>
      </c>
      <c r="Y13" t="inlineStr">
        <is>
          <t>2026-01-29</t>
        </is>
      </c>
      <c r="Z13" t="n">
        <v>257.801</v>
      </c>
      <c r="AA13" t="inlineStr">
        <is>
          <t>2026-01-30</t>
        </is>
      </c>
      <c r="AB13" t="n">
        <v>254.6968</v>
      </c>
      <c r="AC13" t="n">
        <v>-0.01204109121342554</v>
      </c>
      <c r="AD13" t="inlineStr">
        <is>
          <t>FLAT</t>
        </is>
      </c>
      <c r="AE13" t="inlineStr">
        <is>
          <t>NO</t>
        </is>
      </c>
      <c r="AF13" t="n">
        <v>-0.013041</v>
      </c>
      <c r="AG13">
        <f>IF($A13="","",IFERROR(INDEX(Company_List!$G$3:$G$207,MATCH($A13,Company_List!$A$3:$A$207,0)),"unassigned"))</f>
        <v/>
      </c>
      <c r="AH13" t="inlineStr">
        <is>
          <t>Phase 2/Apple/Q1 2026 Earnings Call Transcript.pdf; Phase 2/Apple/FY26_Q1_Consolidated_Financial_Statements.pdf</t>
        </is>
      </c>
      <c r="AJ13" t="inlineStr">
        <is>
          <t>whole bundle (Document = All)</t>
        </is>
      </c>
      <c r="AK13">
        <f>IF($A13="","",IF(COUNTIFS(Human_Data_Entry!$A$3:$A$525,$A13)&gt;0,"YES","NO"))</f>
        <v/>
      </c>
      <c r="AL13">
        <f>IF($A13="","",IF(AND($C13&amp;"-"&amp;$D13&gt;=Settings!$B$19,$C13&amp;"-"&amp;$D13&lt;=Settings!$B$20),"IN","OUT"))</f>
        <v/>
      </c>
      <c r="AM13">
        <f>IF(AND(OR($H13="BUY",$H13="SELL"),ISNUMBER($T13)),$T13,"")</f>
        <v/>
      </c>
      <c r="AN13">
        <f>IF(AND(OR($H13="BUY",$H13="SELL"),ISNUMBER($AF13)),$AF13,"")</f>
        <v/>
      </c>
      <c r="AO13">
        <f>IF(ISNUMBER($AM13),ABS(IF(ISNUMBER($G13),$G13,0)-Settings!$B$25),"")</f>
        <v/>
      </c>
      <c r="AP13">
        <f>IF(ISNUMBER($AO13),$AO13*$AM13,"")</f>
        <v/>
      </c>
      <c r="AQ13">
        <f>IF(ISNUMBER($AN13),ABS(IF(ISNUMBER($G13),$G13,0)-Settings!$B$25),"")</f>
        <v/>
      </c>
      <c r="AR13">
        <f>IF(ISNUMBER($AQ13),$AQ13*$AN13,"")</f>
        <v/>
      </c>
      <c r="AS13">
        <f>IF($A13="","",IFERROR(INDEX(Company_List!$H$3:$H$207,MATCH($A13,Company_List!$A$3:$A$207,0)),"unassigned"))</f>
        <v/>
      </c>
      <c r="AT13" t="inlineStr">
        <is>
          <t>re-read since v1</t>
        </is>
      </c>
      <c r="AU13" t="inlineStr">
        <is>
          <t>Phase 2/Master_Data_v1.xlsx</t>
        </is>
      </c>
      <c r="AV13" t="n">
        <v>2</v>
      </c>
      <c r="AW13" t="inlineStr">
        <is>
          <t>The Motley Fool</t>
        </is>
      </c>
      <c r="AX13" t="inlineStr">
        <is>
          <t>free to read, copyright asserted</t>
        </is>
      </c>
      <c r="AY13" t="inlineStr">
        <is>
          <t>no</t>
        </is>
      </c>
      <c r="AZ13" t="inlineStr">
        <is>
          <t>no</t>
        </is>
      </c>
    </row>
    <row r="14">
      <c r="A14" s="115" t="inlineStr">
        <is>
          <t>Apple</t>
        </is>
      </c>
      <c r="B14" s="117" t="inlineStr">
        <is>
          <t>AAPL</t>
        </is>
      </c>
      <c r="C14" s="105" t="n">
        <v>2025</v>
      </c>
      <c r="D14" s="106" t="inlineStr">
        <is>
          <t>Q3</t>
        </is>
      </c>
      <c r="E14" s="109" t="inlineStr">
        <is>
          <t>Ben/DeepSeek</t>
        </is>
      </c>
      <c r="F14" s="106" t="inlineStr">
        <is>
          <t>LLM</t>
        </is>
      </c>
      <c r="G14" s="128" t="n">
        <v>0.1275</v>
      </c>
      <c r="H14" s="106" t="inlineStr">
        <is>
          <t>HOLD</t>
        </is>
      </c>
      <c r="I14" s="128" t="n"/>
      <c r="J14" s="125" t="n">
        <v>45869</v>
      </c>
      <c r="K14" s="126" t="n">
        <v>45869</v>
      </c>
      <c r="L14" s="129" t="n">
        <v>207.57</v>
      </c>
      <c r="M14" s="126" t="n">
        <v>45870</v>
      </c>
      <c r="N14" s="129" t="n">
        <v>210.87</v>
      </c>
      <c r="O14" s="132" t="n">
        <v>0.007011</v>
      </c>
      <c r="P14" s="107" t="n">
        <v>0.015898</v>
      </c>
      <c r="Q14" s="106" t="inlineStr">
        <is>
          <t>FLAT</t>
        </is>
      </c>
      <c r="R14" s="106" t="inlineStr">
        <is>
          <t>YES</t>
        </is>
      </c>
      <c r="S14" s="105" t="n">
        <v>0</v>
      </c>
      <c r="T14" s="107" t="n">
        <v>0</v>
      </c>
      <c r="U14" s="130" t="inlineStr">
        <is>
          <t>w=[0.55,0.45,0,0] thr=(+0.25,-0.05), deployed default (risk-accepted, PSR=0.0/perm p=0.150 at N=161, not rechecked at N=268)</t>
        </is>
      </c>
      <c r="W14" t="inlineStr">
        <is>
          <t>price signal — both moved; this one dominates</t>
        </is>
      </c>
      <c r="X14" t="inlineStr">
        <is>
          <t>AAPL</t>
        </is>
      </c>
      <c r="Y14" t="inlineStr">
        <is>
          <t>2025-07-31</t>
        </is>
      </c>
      <c r="Z14" t="n">
        <v>206.7498</v>
      </c>
      <c r="AA14" t="inlineStr">
        <is>
          <t>2025-08-01</t>
        </is>
      </c>
      <c r="AB14" t="n">
        <v>210.0367</v>
      </c>
      <c r="AC14" t="n">
        <v>0.01589826594045488</v>
      </c>
      <c r="AD14" t="inlineStr">
        <is>
          <t>FLAT</t>
        </is>
      </c>
      <c r="AE14" t="inlineStr">
        <is>
          <t>YES</t>
        </is>
      </c>
      <c r="AF14" t="n">
        <v>0</v>
      </c>
      <c r="AG14">
        <f>IF($A14="","",IFERROR(INDEX(Company_List!$G$3:$G$207,MATCH($A14,Company_List!$A$3:$A$207,0)),"unassigned"))</f>
        <v/>
      </c>
      <c r="AH14" t="inlineStr">
        <is>
          <t>Phase 2/Apple/Q3 2025 Earnings Call Transcript.pdf; Phase 2/Apple/FY25_Q3_Consolidated_Financial_Statements.pdf</t>
        </is>
      </c>
      <c r="AJ14" t="inlineStr">
        <is>
          <t>whole bundle (Document = All)</t>
        </is>
      </c>
      <c r="AK14">
        <f>IF($A14="","",IF(COUNTIFS(Human_Data_Entry!$A$3:$A$525,$A14)&gt;0,"YES","NO"))</f>
        <v/>
      </c>
      <c r="AL14">
        <f>IF($A14="","",IF(AND($C14&amp;"-"&amp;$D14&gt;=Settings!$B$19,$C14&amp;"-"&amp;$D14&lt;=Settings!$B$20),"IN","OUT"))</f>
        <v/>
      </c>
      <c r="AM14">
        <f>IF(AND(OR($H14="BUY",$H14="SELL"),ISNUMBER($T14)),$T14,"")</f>
        <v/>
      </c>
      <c r="AN14">
        <f>IF(AND(OR($H14="BUY",$H14="SELL"),ISNUMBER($AF14)),$AF14,"")</f>
        <v/>
      </c>
      <c r="AO14">
        <f>IF(ISNUMBER($AM14),ABS(IF(ISNUMBER($G14),$G14,0)-Settings!$B$25),"")</f>
        <v/>
      </c>
      <c r="AP14">
        <f>IF(ISNUMBER($AO14),$AO14*$AM14,"")</f>
        <v/>
      </c>
      <c r="AQ14">
        <f>IF(ISNUMBER($AN14),ABS(IF(ISNUMBER($G14),$G14,0)-Settings!$B$25),"")</f>
        <v/>
      </c>
      <c r="AR14">
        <f>IF(ISNUMBER($AQ14),$AQ14*$AN14,"")</f>
        <v/>
      </c>
      <c r="AS14">
        <f>IF($A14="","",IFERROR(INDEX(Company_List!$H$3:$H$207,MATCH($A14,Company_List!$A$3:$A$207,0)),"unassigned"))</f>
        <v/>
      </c>
      <c r="AT14" t="inlineStr">
        <is>
          <t>re-read since v1</t>
        </is>
      </c>
      <c r="AU14" t="inlineStr">
        <is>
          <t>Phase 2/Master_Data_v1.xlsx</t>
        </is>
      </c>
      <c r="AV14" t="n">
        <v>2</v>
      </c>
      <c r="AW14" t="inlineStr">
        <is>
          <t>The Motley Fool</t>
        </is>
      </c>
      <c r="AX14" t="inlineStr">
        <is>
          <t>free to read, copyright asserted</t>
        </is>
      </c>
      <c r="AY14" t="inlineStr">
        <is>
          <t>no</t>
        </is>
      </c>
      <c r="AZ14" t="inlineStr">
        <is>
          <t>no</t>
        </is>
      </c>
    </row>
    <row r="15">
      <c r="A15" s="115" t="inlineStr">
        <is>
          <t>Apple</t>
        </is>
      </c>
      <c r="B15" s="117" t="inlineStr">
        <is>
          <t>AAPL</t>
        </is>
      </c>
      <c r="C15" s="105" t="n">
        <v>2025</v>
      </c>
      <c r="D15" s="106" t="inlineStr">
        <is>
          <t>Q4</t>
        </is>
      </c>
      <c r="E15" s="109" t="inlineStr">
        <is>
          <t>Ben/DeepSeek</t>
        </is>
      </c>
      <c r="F15" s="106" t="inlineStr">
        <is>
          <t>LLM</t>
        </is>
      </c>
      <c r="G15" s="128" t="n">
        <v>0.3</v>
      </c>
      <c r="H15" s="106" t="inlineStr">
        <is>
          <t>BUY</t>
        </is>
      </c>
      <c r="I15" s="128" t="n"/>
      <c r="J15" s="125" t="n">
        <v>45960</v>
      </c>
      <c r="K15" s="126" t="n">
        <v>45960</v>
      </c>
      <c r="L15" s="129" t="n">
        <v>271.4</v>
      </c>
      <c r="M15" s="126" t="n">
        <v>45961</v>
      </c>
      <c r="N15" s="129" t="n">
        <v>276.99</v>
      </c>
      <c r="O15" s="132" t="n">
        <v>0.006683</v>
      </c>
      <c r="P15" s="107" t="n">
        <v>0.020597</v>
      </c>
      <c r="Q15" s="106" t="inlineStr">
        <is>
          <t>UP</t>
        </is>
      </c>
      <c r="R15" s="106" t="inlineStr">
        <is>
          <t>YES</t>
        </is>
      </c>
      <c r="S15" s="105" t="n">
        <v>1</v>
      </c>
      <c r="T15" s="107" t="n">
        <v>0.019597</v>
      </c>
      <c r="U15" s="130" t="inlineStr">
        <is>
          <t>w=[0.55,0.45,0,0] thr=(+0.25,-0.05), deployed default (risk-accepted, PSR=0.0/perm p=0.150 at N=161, not rechecked at N=268)</t>
        </is>
      </c>
      <c r="W15" t="inlineStr">
        <is>
          <t>earnings calendar, seconded independently (section C)</t>
        </is>
      </c>
      <c r="X15" t="inlineStr">
        <is>
          <t>AAPL</t>
        </is>
      </c>
      <c r="Y15" t="inlineStr">
        <is>
          <t>2025-10-30</t>
        </is>
      </c>
      <c r="Z15" t="n">
        <v>270.6343</v>
      </c>
      <c r="AA15" t="inlineStr">
        <is>
          <t>2025-10-31</t>
        </is>
      </c>
      <c r="AB15" t="n">
        <v>276.2086</v>
      </c>
      <c r="AC15" t="n">
        <v>0.02059686882660206</v>
      </c>
      <c r="AD15" t="inlineStr">
        <is>
          <t>UP</t>
        </is>
      </c>
      <c r="AE15" t="inlineStr">
        <is>
          <t>YES</t>
        </is>
      </c>
      <c r="AF15" t="n">
        <v>0.019597</v>
      </c>
      <c r="AG15">
        <f>IF($A15="","",IFERROR(INDEX(Company_List!$G$3:$G$207,MATCH($A15,Company_List!$A$3:$A$207,0)),"unassigned"))</f>
        <v/>
      </c>
      <c r="AH15" t="inlineStr">
        <is>
          <t>Phase 2/Apple/Q4 2025 Earnings Call Transcript.pdf; Phase 2/Apple/FY25_Q4_Consolidated_Financial_Statements.pdf</t>
        </is>
      </c>
      <c r="AJ15" t="inlineStr">
        <is>
          <t>whole bundle (Document = All)</t>
        </is>
      </c>
      <c r="AK15">
        <f>IF($A15="","",IF(COUNTIFS(Human_Data_Entry!$A$3:$A$525,$A15)&gt;0,"YES","NO"))</f>
        <v/>
      </c>
      <c r="AL15">
        <f>IF($A15="","",IF(AND($C15&amp;"-"&amp;$D15&gt;=Settings!$B$19,$C15&amp;"-"&amp;$D15&lt;=Settings!$B$20),"IN","OUT"))</f>
        <v/>
      </c>
      <c r="AM15">
        <f>IF(AND(OR($H15="BUY",$H15="SELL"),ISNUMBER($T15)),$T15,"")</f>
        <v/>
      </c>
      <c r="AN15">
        <f>IF(AND(OR($H15="BUY",$H15="SELL"),ISNUMBER($AF15)),$AF15,"")</f>
        <v/>
      </c>
      <c r="AO15">
        <f>IF(ISNUMBER($AM15),ABS(IF(ISNUMBER($G15),$G15,0)-Settings!$B$25),"")</f>
        <v/>
      </c>
      <c r="AP15">
        <f>IF(ISNUMBER($AO15),$AO15*$AM15,"")</f>
        <v/>
      </c>
      <c r="AQ15">
        <f>IF(ISNUMBER($AN15),ABS(IF(ISNUMBER($G15),$G15,0)-Settings!$B$25),"")</f>
        <v/>
      </c>
      <c r="AR15">
        <f>IF(ISNUMBER($AQ15),$AQ15*$AN15,"")</f>
        <v/>
      </c>
      <c r="AS15">
        <f>IF($A15="","",IFERROR(INDEX(Company_List!$H$3:$H$207,MATCH($A15,Company_List!$A$3:$A$207,0)),"unassigned"))</f>
        <v/>
      </c>
      <c r="AT15" t="inlineStr">
        <is>
          <t>re-read since v1</t>
        </is>
      </c>
      <c r="AU15" t="inlineStr">
        <is>
          <t>Phase 2/Master_Data_v1.xlsx</t>
        </is>
      </c>
      <c r="AV15" t="n">
        <v>2</v>
      </c>
      <c r="AW15" t="inlineStr">
        <is>
          <t>The Motley Fool</t>
        </is>
      </c>
      <c r="AX15" t="inlineStr">
        <is>
          <t>free to read, copyright asserted</t>
        </is>
      </c>
      <c r="AY15" t="inlineStr">
        <is>
          <t>no</t>
        </is>
      </c>
      <c r="AZ15" t="inlineStr">
        <is>
          <t>no</t>
        </is>
      </c>
    </row>
    <row r="16">
      <c r="A16" s="115" t="inlineStr">
        <is>
          <t>CVS Health</t>
        </is>
      </c>
      <c r="B16" s="117" t="inlineStr">
        <is>
          <t>CVS</t>
        </is>
      </c>
      <c r="C16" s="105" t="n">
        <v>2026</v>
      </c>
      <c r="D16" s="106" t="inlineStr">
        <is>
          <t>Q1</t>
        </is>
      </c>
      <c r="E16" s="109" t="inlineStr">
        <is>
          <t>Ben/DeepSeek</t>
        </is>
      </c>
      <c r="F16" s="106" t="inlineStr">
        <is>
          <t>LLM</t>
        </is>
      </c>
      <c r="G16" s="128" t="n">
        <v>0.14</v>
      </c>
      <c r="H16" s="106" t="inlineStr">
        <is>
          <t>HOLD</t>
        </is>
      </c>
      <c r="I16" s="128" t="n"/>
      <c r="J16" s="125" t="n">
        <v>46148</v>
      </c>
      <c r="K16" s="126" t="n">
        <v>46147</v>
      </c>
      <c r="L16" s="129" t="n">
        <v>80.69</v>
      </c>
      <c r="M16" s="126" t="n">
        <v>46148</v>
      </c>
      <c r="N16" s="129" t="n">
        <v>85.51000000000001</v>
      </c>
      <c r="O16" s="132" t="n">
        <v>0.007966000000000001</v>
      </c>
      <c r="P16" s="107" t="n">
        <v>0.059735</v>
      </c>
      <c r="Q16" s="106" t="inlineStr">
        <is>
          <t>UP</t>
        </is>
      </c>
      <c r="R16" s="106" t="inlineStr">
        <is>
          <t>NO</t>
        </is>
      </c>
      <c r="S16" s="105" t="n">
        <v>0</v>
      </c>
      <c r="T16" s="107" t="n">
        <v>0</v>
      </c>
      <c r="U16" s="130" t="inlineStr">
        <is>
          <t>w=[0.55,0.45,0,0] thr=(+0.25,-0.05), deployed default (risk-accepted, PSR=0.0/perm p=0.150 at N=161, not rechecked at N=268)</t>
        </is>
      </c>
      <c r="W16" t="inlineStr">
        <is>
          <t>recorded price identified against every pulled series</t>
        </is>
      </c>
      <c r="X16" t="inlineStr">
        <is>
          <t>CVS</t>
        </is>
      </c>
      <c r="Y16" t="inlineStr">
        <is>
          <t>2026-05-05</t>
        </is>
      </c>
      <c r="Z16" t="n">
        <v>80.1935</v>
      </c>
      <c r="AA16" t="inlineStr">
        <is>
          <t>2026-05-06</t>
        </is>
      </c>
      <c r="AB16" t="n">
        <v>84.98390000000001</v>
      </c>
      <c r="AC16" t="n">
        <v>0.05973477609127331</v>
      </c>
      <c r="AD16" t="inlineStr">
        <is>
          <t>UP</t>
        </is>
      </c>
      <c r="AE16" t="inlineStr">
        <is>
          <t>NO</t>
        </is>
      </c>
      <c r="AF16" t="n">
        <v>0</v>
      </c>
      <c r="AG16">
        <f>IF($A16="","",IFERROR(INDEX(Company_List!$G$3:$G$207,MATCH($A16,Company_List!$A$3:$A$207,0)),"unassigned"))</f>
        <v/>
      </c>
      <c r="AH16" t="inlineStr">
        <is>
          <t>Phase 2/CVS Health/CVS-Health-Q1-2026-Earnings-Transcript.pdf</t>
        </is>
      </c>
      <c r="AJ16" t="inlineStr">
        <is>
          <t>unique filename match</t>
        </is>
      </c>
      <c r="AK16">
        <f>IF($A16="","",IF(COUNTIFS(Human_Data_Entry!$A$3:$A$525,$A16)&gt;0,"YES","NO"))</f>
        <v/>
      </c>
      <c r="AL16">
        <f>IF($A16="","",IF(AND($C16&amp;"-"&amp;$D16&gt;=Settings!$B$19,$C16&amp;"-"&amp;$D16&lt;=Settings!$B$20),"IN","OUT"))</f>
        <v/>
      </c>
      <c r="AM16">
        <f>IF(AND(OR($H16="BUY",$H16="SELL"),ISNUMBER($T16)),$T16,"")</f>
        <v/>
      </c>
      <c r="AN16">
        <f>IF(AND(OR($H16="BUY",$H16="SELL"),ISNUMBER($AF16)),$AF16,"")</f>
        <v/>
      </c>
      <c r="AO16">
        <f>IF(ISNUMBER($AM16),ABS(IF(ISNUMBER($G16),$G16,0)-Settings!$B$25),"")</f>
        <v/>
      </c>
      <c r="AP16">
        <f>IF(ISNUMBER($AO16),$AO16*$AM16,"")</f>
        <v/>
      </c>
      <c r="AQ16">
        <f>IF(ISNUMBER($AN16),ABS(IF(ISNUMBER($G16),$G16,0)-Settings!$B$25),"")</f>
        <v/>
      </c>
      <c r="AR16">
        <f>IF(ISNUMBER($AQ16),$AQ16*$AN16,"")</f>
        <v/>
      </c>
      <c r="AS16">
        <f>IF($A16="","",IFERROR(INDEX(Company_List!$H$3:$H$207,MATCH($A16,Company_List!$A$3:$A$207,0)),"unassigned"))</f>
        <v/>
      </c>
      <c r="AT16" t="inlineStr">
        <is>
          <t>re-read since v1</t>
        </is>
      </c>
      <c r="AU16" t="inlineStr">
        <is>
          <t>Phase 2/Master_Data_v1.xlsx</t>
        </is>
      </c>
      <c r="AV16" t="n">
        <v>1</v>
      </c>
      <c r="AW16" t="inlineStr">
        <is>
          <t>FactSet CallStreet</t>
        </is>
      </c>
      <c r="AX16" t="inlineStr">
        <is>
          <t>licensed vendor</t>
        </is>
      </c>
      <c r="AY16" t="inlineStr">
        <is>
          <t>no</t>
        </is>
      </c>
      <c r="AZ16" t="inlineStr">
        <is>
          <t>no</t>
        </is>
      </c>
    </row>
    <row r="17">
      <c r="A17" s="115" t="inlineStr">
        <is>
          <t>CVS Health</t>
        </is>
      </c>
      <c r="B17" s="117" t="inlineStr">
        <is>
          <t>CVS</t>
        </is>
      </c>
      <c r="C17" s="105" t="n">
        <v>2025</v>
      </c>
      <c r="D17" s="106" t="inlineStr">
        <is>
          <t>Q2</t>
        </is>
      </c>
      <c r="E17" s="109" t="inlineStr">
        <is>
          <t>Ben/DeepSeek</t>
        </is>
      </c>
      <c r="F17" s="106" t="inlineStr">
        <is>
          <t>LLM</t>
        </is>
      </c>
      <c r="G17" s="128" t="n">
        <v>0.21</v>
      </c>
      <c r="H17" s="106" t="inlineStr">
        <is>
          <t>HOLD</t>
        </is>
      </c>
      <c r="I17" s="128" t="n"/>
      <c r="J17" s="125" t="n">
        <v>45869</v>
      </c>
      <c r="K17" s="126" t="n">
        <v>45868</v>
      </c>
      <c r="L17" s="129" t="n">
        <v>62.3</v>
      </c>
      <c r="M17" s="126" t="n">
        <v>45869</v>
      </c>
      <c r="N17" s="129" t="n">
        <v>65.51000000000001</v>
      </c>
      <c r="O17" s="132" t="n">
        <v>0.007279</v>
      </c>
      <c r="P17" s="107" t="n">
        <v>0.051525</v>
      </c>
      <c r="Q17" s="106" t="inlineStr">
        <is>
          <t>UP</t>
        </is>
      </c>
      <c r="R17" s="106" t="inlineStr">
        <is>
          <t>NO</t>
        </is>
      </c>
      <c r="S17" s="105" t="n">
        <v>0</v>
      </c>
      <c r="T17" s="107" t="n">
        <v>0</v>
      </c>
      <c r="U17" s="130" t="inlineStr">
        <is>
          <t>w=[0.55,0.45,0,0] thr=(+0.25,-0.05), deployed default (risk-accepted, PSR=0.0/perm p=0.150 at N=161, not rechecked at N=268)</t>
        </is>
      </c>
      <c r="W17" t="inlineStr">
        <is>
          <t>price signal</t>
        </is>
      </c>
      <c r="X17" t="inlineStr">
        <is>
          <t>CVS</t>
        </is>
      </c>
      <c r="Y17" t="inlineStr">
        <is>
          <t>2025-07-30</t>
        </is>
      </c>
      <c r="Z17" t="n">
        <v>60.3834</v>
      </c>
      <c r="AA17" t="inlineStr">
        <is>
          <t>2025-07-31</t>
        </is>
      </c>
      <c r="AB17" t="n">
        <v>63.4947</v>
      </c>
      <c r="AC17" t="n">
        <v>0.05152500323754339</v>
      </c>
      <c r="AD17" t="inlineStr">
        <is>
          <t>UP</t>
        </is>
      </c>
      <c r="AE17" t="inlineStr">
        <is>
          <t>NO</t>
        </is>
      </c>
      <c r="AF17" t="n">
        <v>0</v>
      </c>
      <c r="AG17">
        <f>IF($A17="","",IFERROR(INDEX(Company_List!$G$3:$G$207,MATCH($A17,Company_List!$A$3:$A$207,0)),"unassigned"))</f>
        <v/>
      </c>
      <c r="AH17" t="inlineStr">
        <is>
          <t>Phase 2/CVS Health/CVS-Health-Q2-2025-Earnings-Transcript.pdf</t>
        </is>
      </c>
      <c r="AJ17" t="inlineStr">
        <is>
          <t>unique filename match</t>
        </is>
      </c>
      <c r="AK17">
        <f>IF($A17="","",IF(COUNTIFS(Human_Data_Entry!$A$3:$A$525,$A17)&gt;0,"YES","NO"))</f>
        <v/>
      </c>
      <c r="AL17">
        <f>IF($A17="","",IF(AND($C17&amp;"-"&amp;$D17&gt;=Settings!$B$19,$C17&amp;"-"&amp;$D17&lt;=Settings!$B$20),"IN","OUT"))</f>
        <v/>
      </c>
      <c r="AM17">
        <f>IF(AND(OR($H17="BUY",$H17="SELL"),ISNUMBER($T17)),$T17,"")</f>
        <v/>
      </c>
      <c r="AN17">
        <f>IF(AND(OR($H17="BUY",$H17="SELL"),ISNUMBER($AF17)),$AF17,"")</f>
        <v/>
      </c>
      <c r="AO17">
        <f>IF(ISNUMBER($AM17),ABS(IF(ISNUMBER($G17),$G17,0)-Settings!$B$25),"")</f>
        <v/>
      </c>
      <c r="AP17">
        <f>IF(ISNUMBER($AO17),$AO17*$AM17,"")</f>
        <v/>
      </c>
      <c r="AQ17">
        <f>IF(ISNUMBER($AN17),ABS(IF(ISNUMBER($G17),$G17,0)-Settings!$B$25),"")</f>
        <v/>
      </c>
      <c r="AR17">
        <f>IF(ISNUMBER($AQ17),$AQ17*$AN17,"")</f>
        <v/>
      </c>
      <c r="AS17">
        <f>IF($A17="","",IFERROR(INDEX(Company_List!$H$3:$H$207,MATCH($A17,Company_List!$A$3:$A$207,0)),"unassigned"))</f>
        <v/>
      </c>
      <c r="AT17" t="inlineStr">
        <is>
          <t>not in v1</t>
        </is>
      </c>
      <c r="AU17" t="inlineStr">
        <is>
          <t>no earlier record</t>
        </is>
      </c>
      <c r="AV17" t="n">
        <v>1</v>
      </c>
      <c r="AW17" t="inlineStr">
        <is>
          <t>FactSet CallStreet</t>
        </is>
      </c>
      <c r="AX17" t="inlineStr">
        <is>
          <t>licensed vendor</t>
        </is>
      </c>
      <c r="AY17" t="inlineStr">
        <is>
          <t>no</t>
        </is>
      </c>
      <c r="AZ17" t="inlineStr">
        <is>
          <t>no</t>
        </is>
      </c>
    </row>
    <row r="18">
      <c r="A18" s="115" t="inlineStr">
        <is>
          <t>CVS Health</t>
        </is>
      </c>
      <c r="B18" s="117" t="inlineStr">
        <is>
          <t>CVS</t>
        </is>
      </c>
      <c r="C18" s="105" t="n">
        <v>2025</v>
      </c>
      <c r="D18" s="106" t="inlineStr">
        <is>
          <t>Q3</t>
        </is>
      </c>
      <c r="E18" s="109" t="inlineStr">
        <is>
          <t>Ben/DeepSeek</t>
        </is>
      </c>
      <c r="F18" s="106" t="inlineStr">
        <is>
          <t>LLM</t>
        </is>
      </c>
      <c r="G18" s="128" t="n">
        <v>0.3</v>
      </c>
      <c r="H18" s="106" t="inlineStr">
        <is>
          <t>BUY</t>
        </is>
      </c>
      <c r="I18" s="128" t="n"/>
      <c r="J18" s="125" t="n">
        <v>45959</v>
      </c>
      <c r="K18" s="126" t="n">
        <v>45958</v>
      </c>
      <c r="L18" s="129" t="n">
        <v>82.2</v>
      </c>
      <c r="M18" s="126" t="n">
        <v>45959</v>
      </c>
      <c r="N18" s="129" t="n">
        <v>82.5</v>
      </c>
      <c r="O18" s="132" t="n">
        <v>0.008588999999999999</v>
      </c>
      <c r="P18" s="107" t="n">
        <v>0.00365</v>
      </c>
      <c r="Q18" s="106" t="inlineStr">
        <is>
          <t>FLAT</t>
        </is>
      </c>
      <c r="R18" s="106" t="inlineStr">
        <is>
          <t>NO</t>
        </is>
      </c>
      <c r="S18" s="105" t="n">
        <v>1</v>
      </c>
      <c r="T18" s="107" t="n">
        <v>0.00265</v>
      </c>
      <c r="U18" s="130" t="inlineStr">
        <is>
          <t>w=[0.55,0.45,0,0] thr=(+0.25,-0.05), deployed default (risk-accepted, PSR=0.0/perm p=0.150 at N=161, not rechecked at N=268)</t>
        </is>
      </c>
      <c r="W18" t="inlineStr">
        <is>
          <t>price signal — only this window shows an abnormal move</t>
        </is>
      </c>
      <c r="X18" t="inlineStr">
        <is>
          <t>CVS</t>
        </is>
      </c>
      <c r="Y18" t="inlineStr">
        <is>
          <t>2025-10-29</t>
        </is>
      </c>
      <c r="Z18" t="n">
        <v>78.7591</v>
      </c>
      <c r="AA18" t="inlineStr">
        <is>
          <t>2025-10-30</t>
        </is>
      </c>
      <c r="AB18" t="n">
        <v>74.34229999999999</v>
      </c>
      <c r="AC18" t="n">
        <v>-0.05607938044933943</v>
      </c>
      <c r="AD18" t="inlineStr">
        <is>
          <t>DOWN</t>
        </is>
      </c>
      <c r="AE18" t="inlineStr">
        <is>
          <t>NO</t>
        </is>
      </c>
      <c r="AF18" t="n">
        <v>-0.057079</v>
      </c>
      <c r="AG18">
        <f>IF($A18="","",IFERROR(INDEX(Company_List!$G$3:$G$207,MATCH($A18,Company_List!$A$3:$A$207,0)),"unassigned"))</f>
        <v/>
      </c>
      <c r="AH18" t="inlineStr">
        <is>
          <t>Phase 2/CVS Health/CVS-Q3-2025-Earnings-Transcript.pdf</t>
        </is>
      </c>
      <c r="AJ18" t="inlineStr">
        <is>
          <t>unique filename match</t>
        </is>
      </c>
      <c r="AK18">
        <f>IF($A18="","",IF(COUNTIFS(Human_Data_Entry!$A$3:$A$525,$A18)&gt;0,"YES","NO"))</f>
        <v/>
      </c>
      <c r="AL18">
        <f>IF($A18="","",IF(AND($C18&amp;"-"&amp;$D18&gt;=Settings!$B$19,$C18&amp;"-"&amp;$D18&lt;=Settings!$B$20),"IN","OUT"))</f>
        <v/>
      </c>
      <c r="AM18">
        <f>IF(AND(OR($H18="BUY",$H18="SELL"),ISNUMBER($T18)),$T18,"")</f>
        <v/>
      </c>
      <c r="AN18">
        <f>IF(AND(OR($H18="BUY",$H18="SELL"),ISNUMBER($AF18)),$AF18,"")</f>
        <v/>
      </c>
      <c r="AO18">
        <f>IF(ISNUMBER($AM18),ABS(IF(ISNUMBER($G18),$G18,0)-Settings!$B$25),"")</f>
        <v/>
      </c>
      <c r="AP18">
        <f>IF(ISNUMBER($AO18),$AO18*$AM18,"")</f>
        <v/>
      </c>
      <c r="AQ18">
        <f>IF(ISNUMBER($AN18),ABS(IF(ISNUMBER($G18),$G18,0)-Settings!$B$25),"")</f>
        <v/>
      </c>
      <c r="AR18">
        <f>IF(ISNUMBER($AQ18),$AQ18*$AN18,"")</f>
        <v/>
      </c>
      <c r="AS18">
        <f>IF($A18="","",IFERROR(INDEX(Company_List!$H$3:$H$207,MATCH($A18,Company_List!$A$3:$A$207,0)),"unassigned"))</f>
        <v/>
      </c>
      <c r="AT18" t="inlineStr">
        <is>
          <t>not in v1</t>
        </is>
      </c>
      <c r="AU18" t="inlineStr">
        <is>
          <t>no earlier record</t>
        </is>
      </c>
      <c r="AV18" t="n">
        <v>1</v>
      </c>
      <c r="AW18" t="inlineStr">
        <is>
          <t>FactSet CallStreet</t>
        </is>
      </c>
      <c r="AX18" t="inlineStr">
        <is>
          <t>licensed vendor</t>
        </is>
      </c>
      <c r="AY18" t="inlineStr">
        <is>
          <t>no</t>
        </is>
      </c>
      <c r="AZ18" t="inlineStr">
        <is>
          <t>no</t>
        </is>
      </c>
    </row>
    <row r="19">
      <c r="A19" s="115" t="inlineStr">
        <is>
          <t>CVS Health</t>
        </is>
      </c>
      <c r="B19" s="117" t="inlineStr">
        <is>
          <t>CVS</t>
        </is>
      </c>
      <c r="C19" s="105" t="n">
        <v>2025</v>
      </c>
      <c r="D19" s="106" t="inlineStr">
        <is>
          <t>Q4</t>
        </is>
      </c>
      <c r="E19" s="109" t="inlineStr">
        <is>
          <t>Ben/DeepSeek</t>
        </is>
      </c>
      <c r="F19" s="106" t="inlineStr">
        <is>
          <t>LLM</t>
        </is>
      </c>
      <c r="G19" s="128" t="n">
        <v>0.195</v>
      </c>
      <c r="H19" s="106" t="inlineStr">
        <is>
          <t>HOLD</t>
        </is>
      </c>
      <c r="I19" s="128" t="n"/>
      <c r="J19" s="125" t="n">
        <v>46063</v>
      </c>
      <c r="K19" s="126" t="n">
        <v>46062</v>
      </c>
      <c r="L19" s="129" t="n">
        <v>75.77</v>
      </c>
      <c r="M19" s="126" t="n">
        <v>46063</v>
      </c>
      <c r="N19" s="129" t="n">
        <v>73.77</v>
      </c>
      <c r="O19" s="132" t="n">
        <v>0.007673</v>
      </c>
      <c r="P19" s="107" t="n">
        <v>-0.026396</v>
      </c>
      <c r="Q19" s="106" t="inlineStr">
        <is>
          <t>DOWN</t>
        </is>
      </c>
      <c r="R19" s="106" t="inlineStr">
        <is>
          <t>NO</t>
        </is>
      </c>
      <c r="S19" s="105" t="n">
        <v>0</v>
      </c>
      <c r="T19" s="107" t="n">
        <v>0</v>
      </c>
      <c r="U19" s="130" t="inlineStr">
        <is>
          <t>w=[0.55,0.45,0,0] thr=(+0.25,-0.05), deployed default (risk-accepted, PSR=0.0/perm p=0.150 at N=161, not rechecked at N=268)</t>
        </is>
      </c>
      <c r="W19" t="inlineStr">
        <is>
          <t>price signal</t>
        </is>
      </c>
      <c r="X19" t="inlineStr">
        <is>
          <t>CVS</t>
        </is>
      </c>
      <c r="Y19" t="inlineStr">
        <is>
          <t>2026-02-09</t>
        </is>
      </c>
      <c r="Z19" t="n">
        <v>74.6486</v>
      </c>
      <c r="AA19" t="inlineStr">
        <is>
          <t>2026-02-10</t>
        </is>
      </c>
      <c r="AB19" t="n">
        <v>72.6782</v>
      </c>
      <c r="AC19" t="n">
        <v>-0.02639575051911369</v>
      </c>
      <c r="AD19" t="inlineStr">
        <is>
          <t>DOWN</t>
        </is>
      </c>
      <c r="AE19" t="inlineStr">
        <is>
          <t>NO</t>
        </is>
      </c>
      <c r="AF19" t="n">
        <v>0</v>
      </c>
      <c r="AG19">
        <f>IF($A19="","",IFERROR(INDEX(Company_List!$G$3:$G$207,MATCH($A19,Company_List!$A$3:$A$207,0)),"unassigned"))</f>
        <v/>
      </c>
      <c r="AH19" t="inlineStr">
        <is>
          <t>Phase 2/CVS Health/CVS-Health-Q4-2025-Transcript.pdf</t>
        </is>
      </c>
      <c r="AJ19" t="inlineStr">
        <is>
          <t>unique filename match</t>
        </is>
      </c>
      <c r="AK19">
        <f>IF($A19="","",IF(COUNTIFS(Human_Data_Entry!$A$3:$A$525,$A19)&gt;0,"YES","NO"))</f>
        <v/>
      </c>
      <c r="AL19">
        <f>IF($A19="","",IF(AND($C19&amp;"-"&amp;$D19&gt;=Settings!$B$19,$C19&amp;"-"&amp;$D19&lt;=Settings!$B$20),"IN","OUT"))</f>
        <v/>
      </c>
      <c r="AM19">
        <f>IF(AND(OR($H19="BUY",$H19="SELL"),ISNUMBER($T19)),$T19,"")</f>
        <v/>
      </c>
      <c r="AN19">
        <f>IF(AND(OR($H19="BUY",$H19="SELL"),ISNUMBER($AF19)),$AF19,"")</f>
        <v/>
      </c>
      <c r="AO19">
        <f>IF(ISNUMBER($AM19),ABS(IF(ISNUMBER($G19),$G19,0)-Settings!$B$25),"")</f>
        <v/>
      </c>
      <c r="AP19">
        <f>IF(ISNUMBER($AO19),$AO19*$AM19,"")</f>
        <v/>
      </c>
      <c r="AQ19">
        <f>IF(ISNUMBER($AN19),ABS(IF(ISNUMBER($G19),$G19,0)-Settings!$B$25),"")</f>
        <v/>
      </c>
      <c r="AR19">
        <f>IF(ISNUMBER($AQ19),$AQ19*$AN19,"")</f>
        <v/>
      </c>
      <c r="AS19">
        <f>IF($A19="","",IFERROR(INDEX(Company_List!$H$3:$H$207,MATCH($A19,Company_List!$A$3:$A$207,0)),"unassigned"))</f>
        <v/>
      </c>
      <c r="AT19" t="inlineStr">
        <is>
          <t>not in v1</t>
        </is>
      </c>
      <c r="AU19" t="inlineStr">
        <is>
          <t>no earlier record</t>
        </is>
      </c>
      <c r="AV19" t="n">
        <v>1</v>
      </c>
      <c r="AW19" t="inlineStr">
        <is>
          <t>FactSet CallStreet</t>
        </is>
      </c>
      <c r="AX19" t="inlineStr">
        <is>
          <t>licensed vendor</t>
        </is>
      </c>
      <c r="AY19" t="inlineStr">
        <is>
          <t>no</t>
        </is>
      </c>
      <c r="AZ19" t="inlineStr">
        <is>
          <t>no</t>
        </is>
      </c>
    </row>
    <row r="20">
      <c r="A20" s="115" t="inlineStr">
        <is>
          <t>Charles Schwab</t>
        </is>
      </c>
      <c r="B20" s="117" t="inlineStr">
        <is>
          <t>SCHW</t>
        </is>
      </c>
      <c r="C20" s="105" t="n">
        <v>2025</v>
      </c>
      <c r="D20" s="106" t="inlineStr">
        <is>
          <t>Q1</t>
        </is>
      </c>
      <c r="E20" s="109" t="inlineStr">
        <is>
          <t>Ben/DeepSeek</t>
        </is>
      </c>
      <c r="F20" s="106" t="inlineStr">
        <is>
          <t>LLM</t>
        </is>
      </c>
      <c r="G20" s="128" t="n">
        <v>0.03</v>
      </c>
      <c r="H20" s="106" t="inlineStr">
        <is>
          <t>HOLD</t>
        </is>
      </c>
      <c r="I20" s="128" t="n"/>
      <c r="J20" s="125" t="n">
        <v>45764</v>
      </c>
      <c r="K20" s="126" t="n">
        <v>45764</v>
      </c>
      <c r="L20" s="129" t="n">
        <v>76.15000000000001</v>
      </c>
      <c r="M20" s="126" t="n">
        <v>45765</v>
      </c>
      <c r="N20" s="129" t="n">
        <v>75.64</v>
      </c>
      <c r="O20" s="132" t="n">
        <v>0.009676000000000001</v>
      </c>
      <c r="P20" s="107" t="n">
        <v>-0.006697</v>
      </c>
      <c r="Q20" s="106" t="inlineStr">
        <is>
          <t>FLAT</t>
        </is>
      </c>
      <c r="R20" s="106" t="inlineStr">
        <is>
          <t>YES</t>
        </is>
      </c>
      <c r="S20" s="105" t="n">
        <v>0</v>
      </c>
      <c r="T20" s="107" t="n">
        <v>0</v>
      </c>
      <c r="U20" s="130" t="inlineStr">
        <is>
          <t>w=[0.55,0.45,0,0] thr=(+0.25,-0.05), deployed default (risk-accepted, PSR=0.0/perm p=0.150 at N=161, not rechecked at N=268)</t>
        </is>
      </c>
      <c r="W20" t="inlineStr">
        <is>
          <t>price signal — only this window shows an abnormal move</t>
        </is>
      </c>
      <c r="X20" t="inlineStr">
        <is>
          <t>SCHW</t>
        </is>
      </c>
      <c r="Y20" t="inlineStr">
        <is>
          <t>2025-04-16</t>
        </is>
      </c>
      <c r="Z20" t="n">
        <v>74.5125</v>
      </c>
      <c r="AA20" t="inlineStr">
        <is>
          <t>2025-04-17</t>
        </is>
      </c>
      <c r="AB20" t="n">
        <v>76.4517</v>
      </c>
      <c r="AC20" t="n">
        <v>0.02602391441620634</v>
      </c>
      <c r="AD20" t="inlineStr">
        <is>
          <t>UP</t>
        </is>
      </c>
      <c r="AE20" t="inlineStr">
        <is>
          <t>NO</t>
        </is>
      </c>
      <c r="AF20" t="n">
        <v>0</v>
      </c>
      <c r="AG20">
        <f>IF($A20="","",IFERROR(INDEX(Company_List!$G$3:$G$207,MATCH($A20,Company_List!$A$3:$A$207,0)),"unassigned"))</f>
        <v/>
      </c>
      <c r="AH20" t="inlineStr">
        <is>
          <t>Phase 2/Charles Schwab/Q1 2025/SCHW-Q1-2025-press-release-SEC-EX99-1.htm; Phase 2/Charles Schwab/Q1 2025/SCHW-Q1-2025-earnings-call-transcript-InsiderMonkey.html</t>
        </is>
      </c>
      <c r="AI20" t="inlineStr">
        <is>
          <t>https://www.insidermonkey.com/blog/the-charles-schwab-corporation-nyseschw-q1-2025-earnings-call-transcript-1511418/; https://www.sec.gov/Archives/edgar/data/316709/000031670925000019/a1q25exhibit991.htm</t>
        </is>
      </c>
      <c r="AJ20" t="inlineStr">
        <is>
          <t>manifest (whole bundle)</t>
        </is>
      </c>
      <c r="AK20">
        <f>IF($A20="","",IF(COUNTIFS(Human_Data_Entry!$A$3:$A$525,$A20)&gt;0,"YES","NO"))</f>
        <v/>
      </c>
      <c r="AL20">
        <f>IF($A20="","",IF(AND($C20&amp;"-"&amp;$D20&gt;=Settings!$B$19,$C20&amp;"-"&amp;$D20&lt;=Settings!$B$20),"IN","OUT"))</f>
        <v/>
      </c>
      <c r="AM20">
        <f>IF(AND(OR($H20="BUY",$H20="SELL"),ISNUMBER($T20)),$T20,"")</f>
        <v/>
      </c>
      <c r="AN20">
        <f>IF(AND(OR($H20="BUY",$H20="SELL"),ISNUMBER($AF20)),$AF20,"")</f>
        <v/>
      </c>
      <c r="AO20">
        <f>IF(ISNUMBER($AM20),ABS(IF(ISNUMBER($G20),$G20,0)-Settings!$B$25),"")</f>
        <v/>
      </c>
      <c r="AP20">
        <f>IF(ISNUMBER($AO20),$AO20*$AM20,"")</f>
        <v/>
      </c>
      <c r="AQ20">
        <f>IF(ISNUMBER($AN20),ABS(IF(ISNUMBER($G20),$G20,0)-Settings!$B$25),"")</f>
        <v/>
      </c>
      <c r="AR20">
        <f>IF(ISNUMBER($AQ20),$AQ20*$AN20,"")</f>
        <v/>
      </c>
      <c r="AS20">
        <f>IF($A20="","",IFERROR(INDEX(Company_List!$H$3:$H$207,MATCH($A20,Company_List!$A$3:$A$207,0)),"unassigned"))</f>
        <v/>
      </c>
      <c r="AT20" t="inlineStr">
        <is>
          <t>re-read since v1</t>
        </is>
      </c>
      <c r="AU20" t="inlineStr">
        <is>
          <t>Phase 2/Master_Data_v1.xlsx</t>
        </is>
      </c>
      <c r="AV20" t="n">
        <v>2</v>
      </c>
      <c r="AW20" t="inlineStr">
        <is>
          <t>Insider Monkey (Koala Guide LLC)</t>
        </is>
      </c>
      <c r="AX20" t="inlineStr">
        <is>
          <t>free to read, copyright asserted</t>
        </is>
      </c>
      <c r="AY20" t="inlineStr">
        <is>
          <t>no</t>
        </is>
      </c>
      <c r="AZ20" t="inlineStr">
        <is>
          <t>yes</t>
        </is>
      </c>
    </row>
    <row r="21">
      <c r="A21" s="115" t="inlineStr">
        <is>
          <t>Charles Schwab</t>
        </is>
      </c>
      <c r="B21" s="117" t="inlineStr">
        <is>
          <t>SCHW</t>
        </is>
      </c>
      <c r="C21" s="105" t="n">
        <v>2026</v>
      </c>
      <c r="D21" s="106" t="inlineStr">
        <is>
          <t>Q1</t>
        </is>
      </c>
      <c r="E21" s="109" t="inlineStr">
        <is>
          <t>Ben/DeepSeek</t>
        </is>
      </c>
      <c r="F21" s="106" t="inlineStr">
        <is>
          <t>LLM</t>
        </is>
      </c>
      <c r="G21" s="128" t="n">
        <v>0.03</v>
      </c>
      <c r="H21" s="106" t="inlineStr">
        <is>
          <t>HOLD</t>
        </is>
      </c>
      <c r="I21" s="128" t="n"/>
      <c r="J21" s="125" t="n">
        <v>46128</v>
      </c>
      <c r="K21" s="126" t="n">
        <v>46128</v>
      </c>
      <c r="L21" s="129" t="n">
        <v>92.62</v>
      </c>
      <c r="M21" s="126" t="n">
        <v>46129</v>
      </c>
      <c r="N21" s="129" t="n">
        <v>93.34999999999999</v>
      </c>
      <c r="O21" s="132" t="n">
        <v>0.009292</v>
      </c>
      <c r="P21" s="107" t="n">
        <v>0.007882</v>
      </c>
      <c r="Q21" s="106" t="inlineStr">
        <is>
          <t>FLAT</t>
        </is>
      </c>
      <c r="R21" s="106" t="inlineStr">
        <is>
          <t>YES</t>
        </is>
      </c>
      <c r="S21" s="105" t="n">
        <v>0</v>
      </c>
      <c r="T21" s="107" t="n">
        <v>0</v>
      </c>
      <c r="U21" s="130" t="inlineStr">
        <is>
          <t>w=[0.55,0.45,0,0] thr=(+0.25,-0.05), deployed default (risk-accepted, PSR=0.0/perm p=0.150 at N=161, not rechecked at N=268)</t>
        </is>
      </c>
      <c r="W21" t="inlineStr">
        <is>
          <t>price signal — both moved; this one dominates</t>
        </is>
      </c>
      <c r="X21" t="inlineStr">
        <is>
          <t>SCHW</t>
        </is>
      </c>
      <c r="Y21" t="inlineStr">
        <is>
          <t>2026-04-15</t>
        </is>
      </c>
      <c r="Z21" t="n">
        <v>99.9115</v>
      </c>
      <c r="AA21" t="inlineStr">
        <is>
          <t>2026-04-16</t>
        </is>
      </c>
      <c r="AB21" t="n">
        <v>95.41759999999999</v>
      </c>
      <c r="AC21" t="n">
        <v>-0.04497844079049667</v>
      </c>
      <c r="AD21" t="inlineStr">
        <is>
          <t>DOWN</t>
        </is>
      </c>
      <c r="AE21" t="inlineStr">
        <is>
          <t>NO</t>
        </is>
      </c>
      <c r="AF21" t="n">
        <v>0</v>
      </c>
      <c r="AG21">
        <f>IF($A21="","",IFERROR(INDEX(Company_List!$G$3:$G$207,MATCH($A21,Company_List!$A$3:$A$207,0)),"unassigned"))</f>
        <v/>
      </c>
      <c r="AH21" t="inlineStr">
        <is>
          <t>Phase 2/Charles Schwab/Q1 2026/SCHW-Q1-2026-press-release-SEC-EX99-1.htm; Phase 2/Charles Schwab/Q1 2026/SCHW-Q1-2026-earnings-call-transcript-InsiderMonkey.html</t>
        </is>
      </c>
      <c r="AI21" t="inlineStr">
        <is>
          <t>https://www.insidermonkey.com/blog/the-charles-schwab-corporation-nyseschw-q1-2026-earnings-call-transcript-1740197/; https://www.sec.gov/Archives/edgar/data/316709/000031670926000016/a1q26exhibit991.htm</t>
        </is>
      </c>
      <c r="AJ21" t="inlineStr">
        <is>
          <t>manifest (whole bundle)</t>
        </is>
      </c>
      <c r="AK21">
        <f>IF($A21="","",IF(COUNTIFS(Human_Data_Entry!$A$3:$A$525,$A21)&gt;0,"YES","NO"))</f>
        <v/>
      </c>
      <c r="AL21">
        <f>IF($A21="","",IF(AND($C21&amp;"-"&amp;$D21&gt;=Settings!$B$19,$C21&amp;"-"&amp;$D21&lt;=Settings!$B$20),"IN","OUT"))</f>
        <v/>
      </c>
      <c r="AM21">
        <f>IF(AND(OR($H21="BUY",$H21="SELL"),ISNUMBER($T21)),$T21,"")</f>
        <v/>
      </c>
      <c r="AN21">
        <f>IF(AND(OR($H21="BUY",$H21="SELL"),ISNUMBER($AF21)),$AF21,"")</f>
        <v/>
      </c>
      <c r="AO21">
        <f>IF(ISNUMBER($AM21),ABS(IF(ISNUMBER($G21),$G21,0)-Settings!$B$25),"")</f>
        <v/>
      </c>
      <c r="AP21">
        <f>IF(ISNUMBER($AO21),$AO21*$AM21,"")</f>
        <v/>
      </c>
      <c r="AQ21">
        <f>IF(ISNUMBER($AN21),ABS(IF(ISNUMBER($G21),$G21,0)-Settings!$B$25),"")</f>
        <v/>
      </c>
      <c r="AR21">
        <f>IF(ISNUMBER($AQ21),$AQ21*$AN21,"")</f>
        <v/>
      </c>
      <c r="AS21">
        <f>IF($A21="","",IFERROR(INDEX(Company_List!$H$3:$H$207,MATCH($A21,Company_List!$A$3:$A$207,0)),"unassigned"))</f>
        <v/>
      </c>
      <c r="AT21" t="inlineStr">
        <is>
          <t>re-read since v1</t>
        </is>
      </c>
      <c r="AU21" t="inlineStr">
        <is>
          <t>Phase 2/Master_Data_v1.xlsx</t>
        </is>
      </c>
      <c r="AV21" t="n">
        <v>2</v>
      </c>
      <c r="AW21" t="inlineStr">
        <is>
          <t>Insider Monkey (Koala Guide LLC)</t>
        </is>
      </c>
      <c r="AX21" t="inlineStr">
        <is>
          <t>free to read, copyright asserted</t>
        </is>
      </c>
      <c r="AY21" t="inlineStr">
        <is>
          <t>no</t>
        </is>
      </c>
      <c r="AZ21" t="inlineStr">
        <is>
          <t>yes</t>
        </is>
      </c>
    </row>
    <row r="22">
      <c r="A22" s="115" t="inlineStr">
        <is>
          <t>Charles Schwab</t>
        </is>
      </c>
      <c r="B22" s="117" t="inlineStr">
        <is>
          <t>SCHW</t>
        </is>
      </c>
      <c r="C22" s="105" t="n">
        <v>2025</v>
      </c>
      <c r="D22" s="106" t="inlineStr">
        <is>
          <t>Q2</t>
        </is>
      </c>
      <c r="E22" s="109" t="inlineStr">
        <is>
          <t>Ben/DeepSeek</t>
        </is>
      </c>
      <c r="F22" s="106" t="inlineStr">
        <is>
          <t>LLM</t>
        </is>
      </c>
      <c r="G22" s="128" t="n">
        <v>0.21</v>
      </c>
      <c r="H22" s="106" t="inlineStr">
        <is>
          <t>HOLD</t>
        </is>
      </c>
      <c r="I22" s="128" t="n"/>
      <c r="J22" s="125" t="n">
        <v>45856</v>
      </c>
      <c r="K22" s="126" t="n">
        <v>45856</v>
      </c>
      <c r="L22" s="129" t="n">
        <v>95.8</v>
      </c>
      <c r="M22" s="126" t="n">
        <v>45859</v>
      </c>
      <c r="N22" s="129" t="n">
        <v>96.02</v>
      </c>
      <c r="O22" s="132" t="n">
        <v>0.009653</v>
      </c>
      <c r="P22" s="107" t="n">
        <v>0.002296</v>
      </c>
      <c r="Q22" s="106" t="inlineStr">
        <is>
          <t>FLAT</t>
        </is>
      </c>
      <c r="R22" s="106" t="inlineStr">
        <is>
          <t>YES</t>
        </is>
      </c>
      <c r="S22" s="105" t="n">
        <v>0</v>
      </c>
      <c r="T22" s="107" t="n">
        <v>0</v>
      </c>
      <c r="U22" s="130" t="inlineStr">
        <is>
          <t>w=[0.55,0.45,0,0] thr=(+0.25,-0.05), deployed default (risk-accepted, PSR=0.0/perm p=0.150 at N=161, not rechecked at N=268)</t>
        </is>
      </c>
      <c r="W22" t="inlineStr">
        <is>
          <t>price signal — only this window shows an abnormal move</t>
        </is>
      </c>
      <c r="X22" t="inlineStr">
        <is>
          <t>SCHW</t>
        </is>
      </c>
      <c r="Y22" t="inlineStr">
        <is>
          <t>2025-07-17</t>
        </is>
      </c>
      <c r="Z22" t="n">
        <v>91.93380000000001</v>
      </c>
      <c r="AA22" t="inlineStr">
        <is>
          <t>2025-07-18</t>
        </is>
      </c>
      <c r="AB22" t="n">
        <v>94.5012</v>
      </c>
      <c r="AC22" t="n">
        <v>0.02792702460304082</v>
      </c>
      <c r="AD22" t="inlineStr">
        <is>
          <t>UP</t>
        </is>
      </c>
      <c r="AE22" t="inlineStr">
        <is>
          <t>NO</t>
        </is>
      </c>
      <c r="AF22" t="n">
        <v>0</v>
      </c>
      <c r="AG22">
        <f>IF($A22="","",IFERROR(INDEX(Company_List!$G$3:$G$207,MATCH($A22,Company_List!$A$3:$A$207,0)),"unassigned"))</f>
        <v/>
      </c>
      <c r="AH22" t="inlineStr">
        <is>
          <t>Phase 2/Charles Schwab/Q2 2025/SCHW-Q2-2025-press-release-SEC-EX99-1.htm; Phase 2/Charles Schwab/Q2 2025/SCHW-Q2-2025-earnings-call-transcript-InsiderMonkey.html</t>
        </is>
      </c>
      <c r="AI22" t="inlineStr">
        <is>
          <t>https://www.insidermonkey.com/blog/the-charles-schwab-corporation-nyseschw-q2-2025-earnings-call-transcript-1573625/; https://www.sec.gov/Archives/edgar/data/316709/000031670925000033/a2q25exhibit991.htm</t>
        </is>
      </c>
      <c r="AJ22" t="inlineStr">
        <is>
          <t>manifest (whole bundle)</t>
        </is>
      </c>
      <c r="AK22">
        <f>IF($A22="","",IF(COUNTIFS(Human_Data_Entry!$A$3:$A$525,$A22)&gt;0,"YES","NO"))</f>
        <v/>
      </c>
      <c r="AL22">
        <f>IF($A22="","",IF(AND($C22&amp;"-"&amp;$D22&gt;=Settings!$B$19,$C22&amp;"-"&amp;$D22&lt;=Settings!$B$20),"IN","OUT"))</f>
        <v/>
      </c>
      <c r="AM22">
        <f>IF(AND(OR($H22="BUY",$H22="SELL"),ISNUMBER($T22)),$T22,"")</f>
        <v/>
      </c>
      <c r="AN22">
        <f>IF(AND(OR($H22="BUY",$H22="SELL"),ISNUMBER($AF22)),$AF22,"")</f>
        <v/>
      </c>
      <c r="AO22">
        <f>IF(ISNUMBER($AM22),ABS(IF(ISNUMBER($G22),$G22,0)-Settings!$B$25),"")</f>
        <v/>
      </c>
      <c r="AP22">
        <f>IF(ISNUMBER($AO22),$AO22*$AM22,"")</f>
        <v/>
      </c>
      <c r="AQ22">
        <f>IF(ISNUMBER($AN22),ABS(IF(ISNUMBER($G22),$G22,0)-Settings!$B$25),"")</f>
        <v/>
      </c>
      <c r="AR22">
        <f>IF(ISNUMBER($AQ22),$AQ22*$AN22,"")</f>
        <v/>
      </c>
      <c r="AS22">
        <f>IF($A22="","",IFERROR(INDEX(Company_List!$H$3:$H$207,MATCH($A22,Company_List!$A$3:$A$207,0)),"unassigned"))</f>
        <v/>
      </c>
      <c r="AT22" t="inlineStr">
        <is>
          <t>re-read since v1</t>
        </is>
      </c>
      <c r="AU22" t="inlineStr">
        <is>
          <t>Phase 2/Master_Data_v1.xlsx</t>
        </is>
      </c>
      <c r="AV22" t="n">
        <v>2</v>
      </c>
      <c r="AW22" t="inlineStr">
        <is>
          <t>Insider Monkey (Koala Guide LLC)</t>
        </is>
      </c>
      <c r="AX22" t="inlineStr">
        <is>
          <t>free to read, copyright asserted</t>
        </is>
      </c>
      <c r="AY22" t="inlineStr">
        <is>
          <t>no</t>
        </is>
      </c>
      <c r="AZ22" t="inlineStr">
        <is>
          <t>yes</t>
        </is>
      </c>
    </row>
    <row r="23">
      <c r="A23" s="115" t="inlineStr">
        <is>
          <t>Charles Schwab</t>
        </is>
      </c>
      <c r="B23" s="117" t="inlineStr">
        <is>
          <t>SCHW</t>
        </is>
      </c>
      <c r="C23" s="105" t="n">
        <v>2025</v>
      </c>
      <c r="D23" s="106" t="inlineStr">
        <is>
          <t>Q3</t>
        </is>
      </c>
      <c r="E23" s="109" t="inlineStr">
        <is>
          <t>Ben/DeepSeek</t>
        </is>
      </c>
      <c r="F23" s="106" t="inlineStr">
        <is>
          <t>LLM</t>
        </is>
      </c>
      <c r="G23" s="128" t="n">
        <v>0.3</v>
      </c>
      <c r="H23" s="106" t="inlineStr">
        <is>
          <t>BUY</t>
        </is>
      </c>
      <c r="I23" s="128" t="n"/>
      <c r="J23" s="125" t="n">
        <v>45946</v>
      </c>
      <c r="K23" s="126" t="n">
        <v>45946</v>
      </c>
      <c r="L23" s="129" t="n">
        <v>93.41</v>
      </c>
      <c r="M23" s="126" t="n">
        <v>45947</v>
      </c>
      <c r="N23" s="129" t="n">
        <v>94.72</v>
      </c>
      <c r="O23" s="132" t="n">
        <v>0.009339999999999999</v>
      </c>
      <c r="P23" s="107" t="n">
        <v>0.014024</v>
      </c>
      <c r="Q23" s="106" t="inlineStr">
        <is>
          <t>FLAT</t>
        </is>
      </c>
      <c r="R23" s="106" t="inlineStr">
        <is>
          <t>NO</t>
        </is>
      </c>
      <c r="S23" s="105" t="n">
        <v>1</v>
      </c>
      <c r="T23" s="107" t="n">
        <v>0.013024</v>
      </c>
      <c r="U23" s="130" t="inlineStr">
        <is>
          <t>w=[0.55,0.45,0,0] thr=(+0.25,-0.05), deployed default (risk-accepted, PSR=0.0/perm p=0.150 at N=161, not rechecked at N=268)</t>
        </is>
      </c>
      <c r="W23" t="inlineStr">
        <is>
          <t>earnings calendar, seconded independently</t>
        </is>
      </c>
      <c r="X23" t="inlineStr">
        <is>
          <t>SCHW</t>
        </is>
      </c>
      <c r="Y23" t="inlineStr">
        <is>
          <t>2025-10-15</t>
        </is>
      </c>
      <c r="Z23" t="n">
        <v>93.41119999999999</v>
      </c>
      <c r="AA23" t="inlineStr">
        <is>
          <t>2025-10-16</t>
        </is>
      </c>
      <c r="AB23" t="n">
        <v>93.84690000000001</v>
      </c>
      <c r="AC23" t="n">
        <v>0.004664287859232544</v>
      </c>
      <c r="AD23" t="inlineStr">
        <is>
          <t>FLAT</t>
        </is>
      </c>
      <c r="AE23" t="inlineStr">
        <is>
          <t>NO</t>
        </is>
      </c>
      <c r="AF23" t="n">
        <v>0.003664</v>
      </c>
      <c r="AG23">
        <f>IF($A23="","",IFERROR(INDEX(Company_List!$G$3:$G$207,MATCH($A23,Company_List!$A$3:$A$207,0)),"unassigned"))</f>
        <v/>
      </c>
      <c r="AH23" t="inlineStr">
        <is>
          <t>Phase 2/Charles Schwab/Q3 2025/SCHW-Q3-2025-press-release-SEC-EX99-1.htm; Phase 2/Charles Schwab/Q3 2025/SCHW-Q3-2025-earnings-call-transcript-InsiderMonkey.html</t>
        </is>
      </c>
      <c r="AI23" t="inlineStr">
        <is>
          <t>https://www.insidermonkey.com/blog/the-charles-schwab-corporation-nyseschw-q3-2025-earnings-call-transcript-1631368/; https://www.sec.gov/Archives/edgar/data/316709/000031670925000046/a3q25exhibit991.htm</t>
        </is>
      </c>
      <c r="AJ23" t="inlineStr">
        <is>
          <t>manifest (whole bundle)</t>
        </is>
      </c>
      <c r="AK23">
        <f>IF($A23="","",IF(COUNTIFS(Human_Data_Entry!$A$3:$A$525,$A23)&gt;0,"YES","NO"))</f>
        <v/>
      </c>
      <c r="AL23">
        <f>IF($A23="","",IF(AND($C23&amp;"-"&amp;$D23&gt;=Settings!$B$19,$C23&amp;"-"&amp;$D23&lt;=Settings!$B$20),"IN","OUT"))</f>
        <v/>
      </c>
      <c r="AM23">
        <f>IF(AND(OR($H23="BUY",$H23="SELL"),ISNUMBER($T23)),$T23,"")</f>
        <v/>
      </c>
      <c r="AN23">
        <f>IF(AND(OR($H23="BUY",$H23="SELL"),ISNUMBER($AF23)),$AF23,"")</f>
        <v/>
      </c>
      <c r="AO23">
        <f>IF(ISNUMBER($AM23),ABS(IF(ISNUMBER($G23),$G23,0)-Settings!$B$25),"")</f>
        <v/>
      </c>
      <c r="AP23">
        <f>IF(ISNUMBER($AO23),$AO23*$AM23,"")</f>
        <v/>
      </c>
      <c r="AQ23">
        <f>IF(ISNUMBER($AN23),ABS(IF(ISNUMBER($G23),$G23,0)-Settings!$B$25),"")</f>
        <v/>
      </c>
      <c r="AR23">
        <f>IF(ISNUMBER($AQ23),$AQ23*$AN23,"")</f>
        <v/>
      </c>
      <c r="AS23">
        <f>IF($A23="","",IFERROR(INDEX(Company_List!$H$3:$H$207,MATCH($A23,Company_List!$A$3:$A$207,0)),"unassigned"))</f>
        <v/>
      </c>
      <c r="AT23" t="inlineStr">
        <is>
          <t>re-read since v1</t>
        </is>
      </c>
      <c r="AU23" t="inlineStr">
        <is>
          <t>Phase 2/Master_Data_v1.xlsx</t>
        </is>
      </c>
      <c r="AV23" t="n">
        <v>2</v>
      </c>
      <c r="AW23" t="inlineStr">
        <is>
          <t>Insider Monkey (Koala Guide LLC)</t>
        </is>
      </c>
      <c r="AX23" t="inlineStr">
        <is>
          <t>free to read, copyright asserted</t>
        </is>
      </c>
      <c r="AY23" t="inlineStr">
        <is>
          <t>no</t>
        </is>
      </c>
      <c r="AZ23" t="inlineStr">
        <is>
          <t>yes</t>
        </is>
      </c>
    </row>
    <row r="24">
      <c r="A24" s="115" t="inlineStr">
        <is>
          <t>Charles Schwab</t>
        </is>
      </c>
      <c r="B24" s="117" t="inlineStr">
        <is>
          <t>SCHW</t>
        </is>
      </c>
      <c r="C24" s="105" t="n">
        <v>2025</v>
      </c>
      <c r="D24" s="106" t="inlineStr">
        <is>
          <t>Q4</t>
        </is>
      </c>
      <c r="E24" s="109" t="inlineStr">
        <is>
          <t>Ben/DeepSeek</t>
        </is>
      </c>
      <c r="F24" s="106" t="inlineStr">
        <is>
          <t>LLM</t>
        </is>
      </c>
      <c r="G24" s="128" t="n">
        <v>0.3875</v>
      </c>
      <c r="H24" s="106" t="inlineStr">
        <is>
          <t>BUY</t>
        </is>
      </c>
      <c r="I24" s="128" t="n"/>
      <c r="J24" s="125" t="n">
        <v>46043</v>
      </c>
      <c r="K24" s="126" t="n">
        <v>46043</v>
      </c>
      <c r="L24" s="129" t="n">
        <v>101.79</v>
      </c>
      <c r="M24" s="126" t="n">
        <v>46044</v>
      </c>
      <c r="N24" s="129" t="n">
        <v>103.07</v>
      </c>
      <c r="O24" s="132" t="n">
        <v>0.009849</v>
      </c>
      <c r="P24" s="107" t="n">
        <v>0.012575</v>
      </c>
      <c r="Q24" s="106" t="inlineStr">
        <is>
          <t>FLAT</t>
        </is>
      </c>
      <c r="R24" s="106" t="inlineStr">
        <is>
          <t>NO</t>
        </is>
      </c>
      <c r="S24" s="105" t="n">
        <v>1</v>
      </c>
      <c r="T24" s="107" t="n">
        <v>0.011575</v>
      </c>
      <c r="U24" s="130" t="inlineStr">
        <is>
          <t>w=[0.55,0.45,0,0] thr=(+0.25,-0.05), deployed default (risk-accepted, PSR=0.0/perm p=0.150 at N=161, not rechecked at N=268)</t>
        </is>
      </c>
      <c r="W24" t="inlineStr">
        <is>
          <t>earnings calendar, seconded independently</t>
        </is>
      </c>
      <c r="X24" t="inlineStr">
        <is>
          <t>SCHW</t>
        </is>
      </c>
      <c r="Y24" t="inlineStr">
        <is>
          <t>2026-01-20</t>
        </is>
      </c>
      <c r="Z24" t="n">
        <v>100.2902</v>
      </c>
      <c r="AA24" t="inlineStr">
        <is>
          <t>2026-01-21</t>
        </is>
      </c>
      <c r="AB24" t="n">
        <v>100.6279</v>
      </c>
      <c r="AC24" t="n">
        <v>0.003366761565933791</v>
      </c>
      <c r="AD24" t="inlineStr">
        <is>
          <t>FLAT</t>
        </is>
      </c>
      <c r="AE24" t="inlineStr">
        <is>
          <t>NO</t>
        </is>
      </c>
      <c r="AF24" t="n">
        <v>0.002367</v>
      </c>
      <c r="AG24">
        <f>IF($A24="","",IFERROR(INDEX(Company_List!$G$3:$G$207,MATCH($A24,Company_List!$A$3:$A$207,0)),"unassigned"))</f>
        <v/>
      </c>
      <c r="AH24" t="inlineStr">
        <is>
          <t>Phase 2/Charles Schwab/Q4 2025/SCHW-Q4-2025-press-release-SEC-EX99-1.htm; Phase 2/Charles Schwab/Q4 2025/SCHW-Q4-2025-earnings-call-transcript-MotleyFool.html</t>
        </is>
      </c>
      <c r="AI24" t="inlineStr">
        <is>
          <t>https://www.fool.com/earnings/call-transcripts/2026/03/24/schwab-schw-q4-2025-earnings-call-transcript/; https://www.sec.gov/Archives/edgar/data/316709/000031670926000004/a4q25exhibit991.htm</t>
        </is>
      </c>
      <c r="AJ24" t="inlineStr">
        <is>
          <t>manifest (whole bundle)</t>
        </is>
      </c>
      <c r="AK24">
        <f>IF($A24="","",IF(COUNTIFS(Human_Data_Entry!$A$3:$A$525,$A24)&gt;0,"YES","NO"))</f>
        <v/>
      </c>
      <c r="AL24">
        <f>IF($A24="","",IF(AND($C24&amp;"-"&amp;$D24&gt;=Settings!$B$19,$C24&amp;"-"&amp;$D24&lt;=Settings!$B$20),"IN","OUT"))</f>
        <v/>
      </c>
      <c r="AM24">
        <f>IF(AND(OR($H24="BUY",$H24="SELL"),ISNUMBER($T24)),$T24,"")</f>
        <v/>
      </c>
      <c r="AN24">
        <f>IF(AND(OR($H24="BUY",$H24="SELL"),ISNUMBER($AF24)),$AF24,"")</f>
        <v/>
      </c>
      <c r="AO24">
        <f>IF(ISNUMBER($AM24),ABS(IF(ISNUMBER($G24),$G24,0)-Settings!$B$25),"")</f>
        <v/>
      </c>
      <c r="AP24">
        <f>IF(ISNUMBER($AO24),$AO24*$AM24,"")</f>
        <v/>
      </c>
      <c r="AQ24">
        <f>IF(ISNUMBER($AN24),ABS(IF(ISNUMBER($G24),$G24,0)-Settings!$B$25),"")</f>
        <v/>
      </c>
      <c r="AR24">
        <f>IF(ISNUMBER($AQ24),$AQ24*$AN24,"")</f>
        <v/>
      </c>
      <c r="AS24">
        <f>IF($A24="","",IFERROR(INDEX(Company_List!$H$3:$H$207,MATCH($A24,Company_List!$A$3:$A$207,0)),"unassigned"))</f>
        <v/>
      </c>
      <c r="AT24" t="inlineStr">
        <is>
          <t>re-read since v1</t>
        </is>
      </c>
      <c r="AU24" t="inlineStr">
        <is>
          <t>Phase 2/Master_Data_v1.xlsx</t>
        </is>
      </c>
      <c r="AV24" t="n">
        <v>2</v>
      </c>
      <c r="AW24" t="inlineStr">
        <is>
          <t>The Motley Fool</t>
        </is>
      </c>
      <c r="AX24" t="inlineStr">
        <is>
          <t>free to read, copyright asserted</t>
        </is>
      </c>
      <c r="AY24" t="inlineStr">
        <is>
          <t>no</t>
        </is>
      </c>
      <c r="AZ24" t="inlineStr">
        <is>
          <t>yes</t>
        </is>
      </c>
    </row>
    <row r="25">
      <c r="A25" s="115" t="inlineStr">
        <is>
          <t>Citigroup</t>
        </is>
      </c>
      <c r="B25" s="117" t="inlineStr">
        <is>
          <t>C</t>
        </is>
      </c>
      <c r="C25" s="105" t="n">
        <v>2025</v>
      </c>
      <c r="D25" s="106" t="inlineStr">
        <is>
          <t>Q1</t>
        </is>
      </c>
      <c r="E25" s="109" t="inlineStr">
        <is>
          <t>Ben/DeepSeek</t>
        </is>
      </c>
      <c r="F25" s="106" t="inlineStr">
        <is>
          <t>LLM</t>
        </is>
      </c>
      <c r="G25" s="128" t="n">
        <v>-0.0525</v>
      </c>
      <c r="H25" s="106" t="inlineStr">
        <is>
          <t>SELL</t>
        </is>
      </c>
      <c r="I25" s="128" t="n"/>
      <c r="J25" s="125" t="n">
        <v>45762</v>
      </c>
      <c r="K25" s="126" t="n">
        <v>45761</v>
      </c>
      <c r="L25" s="129" t="n">
        <v>63.22</v>
      </c>
      <c r="M25" s="126" t="n">
        <v>45762</v>
      </c>
      <c r="N25" s="129" t="n">
        <v>64.19</v>
      </c>
      <c r="O25" s="132" t="n">
        <v>0.006537</v>
      </c>
      <c r="P25" s="107" t="n">
        <v>0.015343</v>
      </c>
      <c r="Q25" s="106" t="inlineStr">
        <is>
          <t>FLAT</t>
        </is>
      </c>
      <c r="R25" s="106" t="inlineStr">
        <is>
          <t>NO</t>
        </is>
      </c>
      <c r="S25" s="105" t="n">
        <v>-1</v>
      </c>
      <c r="T25" s="107" t="n">
        <v>-0.016343</v>
      </c>
      <c r="U25" s="130" t="inlineStr">
        <is>
          <t>w=[0.55,0.45,0,0] thr=(+0.25,-0.05), deployed default (risk-accepted, PSR=0.0/perm p=0.150 at N=161, not rechecked at N=268)</t>
        </is>
      </c>
      <c r="W25" t="inlineStr">
        <is>
          <t>earnings calendar, seconded by the issuer's habit</t>
        </is>
      </c>
      <c r="X25" t="inlineStr">
        <is>
          <t>C</t>
        </is>
      </c>
      <c r="Y25" t="inlineStr">
        <is>
          <t>2025-04-14</t>
        </is>
      </c>
      <c r="Z25" t="n">
        <v>61.0179</v>
      </c>
      <c r="AA25" t="inlineStr">
        <is>
          <t>2025-04-15</t>
        </is>
      </c>
      <c r="AB25" t="n">
        <v>61.9541</v>
      </c>
      <c r="AC25" t="n">
        <v>0.01534335565834782</v>
      </c>
      <c r="AD25" t="inlineStr">
        <is>
          <t>FLAT</t>
        </is>
      </c>
      <c r="AE25" t="inlineStr">
        <is>
          <t>NO</t>
        </is>
      </c>
      <c r="AF25" t="n">
        <v>-0.016343</v>
      </c>
      <c r="AG25">
        <f>IF($A25="","",IFERROR(INDEX(Company_List!$G$3:$G$207,MATCH($A25,Company_List!$A$3:$A$207,0)),"unassigned"))</f>
        <v/>
      </c>
      <c r="AH25" t="inlineStr">
        <is>
          <t>Phase 2/Citigroup/Q1/2025psqtr1rslt.pdf; Phase 2/Citigroup/Q1/2025prqtr1rslt.pdf; Phase 2/Citigroup/Q1/2025fsqtr1rslt.pdf</t>
        </is>
      </c>
      <c r="AJ25" t="inlineStr">
        <is>
          <t>whole bundle (Document = All)</t>
        </is>
      </c>
      <c r="AK25">
        <f>IF($A25="","",IF(COUNTIFS(Human_Data_Entry!$A$3:$A$525,$A25)&gt;0,"YES","NO"))</f>
        <v/>
      </c>
      <c r="AL25">
        <f>IF($A25="","",IF(AND($C25&amp;"-"&amp;$D25&gt;=Settings!$B$19,$C25&amp;"-"&amp;$D25&lt;=Settings!$B$20),"IN","OUT"))</f>
        <v/>
      </c>
      <c r="AM25">
        <f>IF(AND(OR($H25="BUY",$H25="SELL"),ISNUMBER($T25)),$T25,"")</f>
        <v/>
      </c>
      <c r="AN25">
        <f>IF(AND(OR($H25="BUY",$H25="SELL"),ISNUMBER($AF25)),$AF25,"")</f>
        <v/>
      </c>
      <c r="AO25">
        <f>IF(ISNUMBER($AM25),ABS(IF(ISNUMBER($G25),$G25,0)-Settings!$B$25),"")</f>
        <v/>
      </c>
      <c r="AP25">
        <f>IF(ISNUMBER($AO25),$AO25*$AM25,"")</f>
        <v/>
      </c>
      <c r="AQ25">
        <f>IF(ISNUMBER($AN25),ABS(IF(ISNUMBER($G25),$G25,0)-Settings!$B$25),"")</f>
        <v/>
      </c>
      <c r="AR25">
        <f>IF(ISNUMBER($AQ25),$AQ25*$AN25,"")</f>
        <v/>
      </c>
      <c r="AS25">
        <f>IF($A25="","",IFERROR(INDEX(Company_List!$H$3:$H$207,MATCH($A25,Company_List!$A$3:$A$207,0)),"unassigned"))</f>
        <v/>
      </c>
      <c r="AT25" t="inlineStr">
        <is>
          <t>re-read since v1</t>
        </is>
      </c>
      <c r="AU25" t="inlineStr">
        <is>
          <t>Phase 2/Master_Data_v1.xlsx</t>
        </is>
      </c>
      <c r="AV25" t="n">
        <v>3</v>
      </c>
      <c r="AW25" t="inlineStr">
        <is>
          <t>not publisher-identified</t>
        </is>
      </c>
      <c r="AX25" t="inlineStr">
        <is>
          <t>not publisher-identified</t>
        </is>
      </c>
      <c r="AY25" t="inlineStr">
        <is>
          <t>no</t>
        </is>
      </c>
      <c r="AZ25" t="inlineStr">
        <is>
          <t>no</t>
        </is>
      </c>
    </row>
    <row r="26">
      <c r="A26" s="115" t="inlineStr">
        <is>
          <t>Citigroup</t>
        </is>
      </c>
      <c r="B26" s="117" t="inlineStr">
        <is>
          <t>C</t>
        </is>
      </c>
      <c r="C26" s="105" t="n">
        <v>2025</v>
      </c>
      <c r="D26" s="106" t="inlineStr">
        <is>
          <t>Q2</t>
        </is>
      </c>
      <c r="E26" s="109" t="inlineStr">
        <is>
          <t>Ben/DeepSeek</t>
        </is>
      </c>
      <c r="F26" s="106" t="inlineStr">
        <is>
          <t>LLM</t>
        </is>
      </c>
      <c r="G26" s="128" t="n">
        <v>0.1275</v>
      </c>
      <c r="H26" s="106" t="inlineStr">
        <is>
          <t>HOLD</t>
        </is>
      </c>
      <c r="I26" s="128" t="n"/>
      <c r="J26" s="125" t="n">
        <v>45853</v>
      </c>
      <c r="K26" s="126" t="n">
        <v>45852</v>
      </c>
      <c r="L26" s="129" t="n">
        <v>87.5</v>
      </c>
      <c r="M26" s="126" t="n">
        <v>45853</v>
      </c>
      <c r="N26" s="129" t="n">
        <v>88.65000000000001</v>
      </c>
      <c r="O26" s="132" t="n">
        <v>0.007676</v>
      </c>
      <c r="P26" s="107" t="n">
        <v>0.013143</v>
      </c>
      <c r="Q26" s="106" t="inlineStr">
        <is>
          <t>FLAT</t>
        </is>
      </c>
      <c r="R26" s="106" t="inlineStr">
        <is>
          <t>YES</t>
        </is>
      </c>
      <c r="S26" s="105" t="n">
        <v>0</v>
      </c>
      <c r="T26" s="107" t="n">
        <v>0</v>
      </c>
      <c r="U26" s="130" t="inlineStr">
        <is>
          <t>w=[0.55,0.45,0,0] thr=(+0.25,-0.05), deployed default (risk-accepted, PSR=0.0/perm p=0.150 at N=161, not rechecked at N=268)</t>
        </is>
      </c>
      <c r="W26" t="inlineStr">
        <is>
          <t>document date + price signal</t>
        </is>
      </c>
      <c r="X26" t="inlineStr">
        <is>
          <t>C</t>
        </is>
      </c>
      <c r="Y26" t="inlineStr">
        <is>
          <t>2025-07-14</t>
        </is>
      </c>
      <c r="Z26" t="n">
        <v>85.12739999999999</v>
      </c>
      <c r="AA26" t="inlineStr">
        <is>
          <t>2025-07-15</t>
        </is>
      </c>
      <c r="AB26" t="n">
        <v>86.24630000000001</v>
      </c>
      <c r="AC26" t="n">
        <v>0.01314288227646826</v>
      </c>
      <c r="AD26" t="inlineStr">
        <is>
          <t>FLAT</t>
        </is>
      </c>
      <c r="AE26" t="inlineStr">
        <is>
          <t>YES</t>
        </is>
      </c>
      <c r="AF26" t="n">
        <v>0</v>
      </c>
      <c r="AG26">
        <f>IF($A26="","",IFERROR(INDEX(Company_List!$G$3:$G$207,MATCH($A26,Company_List!$A$3:$A$207,0)),"unassigned"))</f>
        <v/>
      </c>
      <c r="AH26" t="inlineStr">
        <is>
          <t>Phase 2/Citigroup/Q2/2025psqtr2rslt.pdf; Phase 2/Citigroup/Q2/2025prqtr2rslt.pdf; Phase 2/Citigroup/Q2/2025fsqtr2rslt.pdf</t>
        </is>
      </c>
      <c r="AJ26" t="inlineStr">
        <is>
          <t>whole bundle (Document = All)</t>
        </is>
      </c>
      <c r="AK26">
        <f>IF($A26="","",IF(COUNTIFS(Human_Data_Entry!$A$3:$A$525,$A26)&gt;0,"YES","NO"))</f>
        <v/>
      </c>
      <c r="AL26">
        <f>IF($A26="","",IF(AND($C26&amp;"-"&amp;$D26&gt;=Settings!$B$19,$C26&amp;"-"&amp;$D26&lt;=Settings!$B$20),"IN","OUT"))</f>
        <v/>
      </c>
      <c r="AM26">
        <f>IF(AND(OR($H26="BUY",$H26="SELL"),ISNUMBER($T26)),$T26,"")</f>
        <v/>
      </c>
      <c r="AN26">
        <f>IF(AND(OR($H26="BUY",$H26="SELL"),ISNUMBER($AF26)),$AF26,"")</f>
        <v/>
      </c>
      <c r="AO26">
        <f>IF(ISNUMBER($AM26),ABS(IF(ISNUMBER($G26),$G26,0)-Settings!$B$25),"")</f>
        <v/>
      </c>
      <c r="AP26">
        <f>IF(ISNUMBER($AO26),$AO26*$AM26,"")</f>
        <v/>
      </c>
      <c r="AQ26">
        <f>IF(ISNUMBER($AN26),ABS(IF(ISNUMBER($G26),$G26,0)-Settings!$B$25),"")</f>
        <v/>
      </c>
      <c r="AR26">
        <f>IF(ISNUMBER($AQ26),$AQ26*$AN26,"")</f>
        <v/>
      </c>
      <c r="AS26">
        <f>IF($A26="","",IFERROR(INDEX(Company_List!$H$3:$H$207,MATCH($A26,Company_List!$A$3:$A$207,0)),"unassigned"))</f>
        <v/>
      </c>
      <c r="AT26" t="inlineStr">
        <is>
          <t>re-read since v1</t>
        </is>
      </c>
      <c r="AU26" t="inlineStr">
        <is>
          <t>Phase 2/Master_Data_v1.xlsx</t>
        </is>
      </c>
      <c r="AV26" t="n">
        <v>3</v>
      </c>
      <c r="AW26" t="inlineStr">
        <is>
          <t>not publisher-identified</t>
        </is>
      </c>
      <c r="AX26" t="inlineStr">
        <is>
          <t>not publisher-identified</t>
        </is>
      </c>
      <c r="AY26" t="inlineStr">
        <is>
          <t>no</t>
        </is>
      </c>
      <c r="AZ26" t="inlineStr">
        <is>
          <t>no</t>
        </is>
      </c>
    </row>
    <row r="27">
      <c r="A27" s="115" t="inlineStr">
        <is>
          <t>Citigroup</t>
        </is>
      </c>
      <c r="B27" s="117" t="inlineStr">
        <is>
          <t>C</t>
        </is>
      </c>
      <c r="C27" s="105" t="n">
        <v>2025</v>
      </c>
      <c r="D27" s="106" t="inlineStr">
        <is>
          <t>Q3</t>
        </is>
      </c>
      <c r="E27" s="109" t="inlineStr">
        <is>
          <t>Ben/DeepSeek</t>
        </is>
      </c>
      <c r="F27" s="106" t="inlineStr">
        <is>
          <t>LLM</t>
        </is>
      </c>
      <c r="G27" s="128" t="n">
        <v>0.3</v>
      </c>
      <c r="H27" s="106" t="inlineStr">
        <is>
          <t>BUY</t>
        </is>
      </c>
      <c r="I27" s="128" t="n"/>
      <c r="J27" s="125" t="n">
        <v>45944</v>
      </c>
      <c r="K27" s="126" t="n">
        <v>45943</v>
      </c>
      <c r="L27" s="129" t="n">
        <v>96.09999999999999</v>
      </c>
      <c r="M27" s="126" t="n">
        <v>45944</v>
      </c>
      <c r="N27" s="129" t="n">
        <v>95.37</v>
      </c>
      <c r="O27" s="132" t="n">
        <v>0.009918</v>
      </c>
      <c r="P27" s="107" t="n">
        <v>-0.007596</v>
      </c>
      <c r="Q27" s="106" t="inlineStr">
        <is>
          <t>FLAT</t>
        </is>
      </c>
      <c r="R27" s="106" t="inlineStr">
        <is>
          <t>NO</t>
        </is>
      </c>
      <c r="S27" s="105" t="n">
        <v>1</v>
      </c>
      <c r="T27" s="107" t="n">
        <v>-0.008595999999999999</v>
      </c>
      <c r="U27" s="130" t="inlineStr">
        <is>
          <t>w=[0.55,0.45,0,0] thr=(+0.25,-0.05), deployed default (risk-accepted, PSR=0.0/perm p=0.150 at N=161, not rechecked at N=268)</t>
        </is>
      </c>
      <c r="W27" t="inlineStr">
        <is>
          <t>earnings calendar, seconded by the issuer's habit</t>
        </is>
      </c>
      <c r="X27" t="inlineStr">
        <is>
          <t>C</t>
        </is>
      </c>
      <c r="Y27" t="inlineStr">
        <is>
          <t>2025-10-13</t>
        </is>
      </c>
      <c r="Z27" t="n">
        <v>94.1091</v>
      </c>
      <c r="AA27" t="inlineStr">
        <is>
          <t>2025-10-14</t>
        </is>
      </c>
      <c r="AB27" t="n">
        <v>93.3943</v>
      </c>
      <c r="AC27" t="n">
        <v>-0.007596170444705547</v>
      </c>
      <c r="AD27" t="inlineStr">
        <is>
          <t>FLAT</t>
        </is>
      </c>
      <c r="AE27" t="inlineStr">
        <is>
          <t>NO</t>
        </is>
      </c>
      <c r="AF27" t="n">
        <v>-0.008595999999999999</v>
      </c>
      <c r="AG27">
        <f>IF($A27="","",IFERROR(INDEX(Company_List!$G$3:$G$207,MATCH($A27,Company_List!$A$3:$A$207,0)),"unassigned"))</f>
        <v/>
      </c>
      <c r="AH27" t="inlineStr">
        <is>
          <t>Phase 2/Citigroup/Q3/2025psqtr3rslt.pdf; Phase 2/Citigroup/Q3/2025psqtr3-transcript.pdf; Phase 2/Citigroup/Q3/2025prqtr3rslt.pdf; Phase 2/Citigroup/Q3/2025fsqtr3rslt.pdf</t>
        </is>
      </c>
      <c r="AJ27" t="inlineStr">
        <is>
          <t>whole bundle (Document = All)</t>
        </is>
      </c>
      <c r="AK27">
        <f>IF($A27="","",IF(COUNTIFS(Human_Data_Entry!$A$3:$A$525,$A27)&gt;0,"YES","NO"))</f>
        <v/>
      </c>
      <c r="AL27">
        <f>IF($A27="","",IF(AND($C27&amp;"-"&amp;$D27&gt;=Settings!$B$19,$C27&amp;"-"&amp;$D27&lt;=Settings!$B$20),"IN","OUT"))</f>
        <v/>
      </c>
      <c r="AM27">
        <f>IF(AND(OR($H27="BUY",$H27="SELL"),ISNUMBER($T27)),$T27,"")</f>
        <v/>
      </c>
      <c r="AN27">
        <f>IF(AND(OR($H27="BUY",$H27="SELL"),ISNUMBER($AF27)),$AF27,"")</f>
        <v/>
      </c>
      <c r="AO27">
        <f>IF(ISNUMBER($AM27),ABS(IF(ISNUMBER($G27),$G27,0)-Settings!$B$25),"")</f>
        <v/>
      </c>
      <c r="AP27">
        <f>IF(ISNUMBER($AO27),$AO27*$AM27,"")</f>
        <v/>
      </c>
      <c r="AQ27">
        <f>IF(ISNUMBER($AN27),ABS(IF(ISNUMBER($G27),$G27,0)-Settings!$B$25),"")</f>
        <v/>
      </c>
      <c r="AR27">
        <f>IF(ISNUMBER($AQ27),$AQ27*$AN27,"")</f>
        <v/>
      </c>
      <c r="AS27">
        <f>IF($A27="","",IFERROR(INDEX(Company_List!$H$3:$H$207,MATCH($A27,Company_List!$A$3:$A$207,0)),"unassigned"))</f>
        <v/>
      </c>
      <c r="AT27" t="inlineStr">
        <is>
          <t>re-read since v1</t>
        </is>
      </c>
      <c r="AU27" t="inlineStr">
        <is>
          <t>Phase 2/Master_Data_v1.xlsx</t>
        </is>
      </c>
      <c r="AV27" t="n">
        <v>4</v>
      </c>
      <c r="AW27" t="inlineStr">
        <is>
          <t>not publisher-identified</t>
        </is>
      </c>
      <c r="AX27" t="inlineStr">
        <is>
          <t>not publisher-identified</t>
        </is>
      </c>
      <c r="AY27" t="inlineStr">
        <is>
          <t>no</t>
        </is>
      </c>
      <c r="AZ27" t="inlineStr">
        <is>
          <t>no</t>
        </is>
      </c>
    </row>
    <row r="28">
      <c r="A28" s="115" t="inlineStr">
        <is>
          <t>Citigroup</t>
        </is>
      </c>
      <c r="B28" s="117" t="inlineStr">
        <is>
          <t>C</t>
        </is>
      </c>
      <c r="C28" s="105" t="n">
        <v>2025</v>
      </c>
      <c r="D28" s="106" t="inlineStr">
        <is>
          <t>Q4</t>
        </is>
      </c>
      <c r="E28" s="109" t="inlineStr">
        <is>
          <t>Ben/DeepSeek</t>
        </is>
      </c>
      <c r="F28" s="106" t="inlineStr">
        <is>
          <t>LLM</t>
        </is>
      </c>
      <c r="G28" s="128" t="n">
        <v>0.2775</v>
      </c>
      <c r="H28" s="106" t="inlineStr">
        <is>
          <t>BUY</t>
        </is>
      </c>
      <c r="I28" s="128" t="n"/>
      <c r="J28" s="125" t="n">
        <v>46036</v>
      </c>
      <c r="K28" s="126" t="n">
        <v>46035</v>
      </c>
      <c r="L28" s="129" t="n">
        <v>116.3</v>
      </c>
      <c r="M28" s="126" t="n">
        <v>46036</v>
      </c>
      <c r="N28" s="129" t="n">
        <v>117.91</v>
      </c>
      <c r="O28" s="132" t="n">
        <v>0.017345</v>
      </c>
      <c r="P28" s="107" t="n">
        <v>0.013844</v>
      </c>
      <c r="Q28" s="106" t="inlineStr">
        <is>
          <t>FLAT</t>
        </is>
      </c>
      <c r="R28" s="106" t="inlineStr">
        <is>
          <t>NO</t>
        </is>
      </c>
      <c r="S28" s="105" t="n">
        <v>1</v>
      </c>
      <c r="T28" s="107" t="n">
        <v>0.012844</v>
      </c>
      <c r="U28" s="130" t="inlineStr">
        <is>
          <t>w=[0.55,0.45,0,0] thr=(+0.25,-0.05), deployed default (risk-accepted, PSR=0.0/perm p=0.150 at N=161, not rechecked at N=268)</t>
        </is>
      </c>
      <c r="W28" t="inlineStr">
        <is>
          <t>price signal</t>
        </is>
      </c>
      <c r="X28" t="inlineStr">
        <is>
          <t>C</t>
        </is>
      </c>
      <c r="Y28" t="inlineStr">
        <is>
          <t>2026-01-13</t>
        </is>
      </c>
      <c r="Z28" t="n">
        <v>114.5697</v>
      </c>
      <c r="AA28" t="inlineStr">
        <is>
          <t>2026-01-14</t>
        </is>
      </c>
      <c r="AB28" t="n">
        <v>116.1558</v>
      </c>
      <c r="AC28" t="n">
        <v>0.01384353209791019</v>
      </c>
      <c r="AD28" t="inlineStr">
        <is>
          <t>FLAT</t>
        </is>
      </c>
      <c r="AE28" t="inlineStr">
        <is>
          <t>NO</t>
        </is>
      </c>
      <c r="AF28" t="n">
        <v>0.012844</v>
      </c>
      <c r="AG28">
        <f>IF($A28="","",IFERROR(INDEX(Company_List!$G$3:$G$207,MATCH($A28,Company_List!$A$3:$A$207,0)),"unassigned"))</f>
        <v/>
      </c>
      <c r="AH28" t="inlineStr">
        <is>
          <t>Phase 2/Citigroup/Q4/2025psqtr4rslt.pdf; Phase 2/Citigroup/Q4/2025psqtr4-transcript.pdf; Phase 2/Citigroup/Q4/2025prqtr4rslt.pdf; Phase 2/Citigroup/Q4/2025fsqtr4rslt.pdf</t>
        </is>
      </c>
      <c r="AJ28" t="inlineStr">
        <is>
          <t>whole bundle (Document = All)</t>
        </is>
      </c>
      <c r="AK28">
        <f>IF($A28="","",IF(COUNTIFS(Human_Data_Entry!$A$3:$A$525,$A28)&gt;0,"YES","NO"))</f>
        <v/>
      </c>
      <c r="AL28">
        <f>IF($A28="","",IF(AND($C28&amp;"-"&amp;$D28&gt;=Settings!$B$19,$C28&amp;"-"&amp;$D28&lt;=Settings!$B$20),"IN","OUT"))</f>
        <v/>
      </c>
      <c r="AM28">
        <f>IF(AND(OR($H28="BUY",$H28="SELL"),ISNUMBER($T28)),$T28,"")</f>
        <v/>
      </c>
      <c r="AN28">
        <f>IF(AND(OR($H28="BUY",$H28="SELL"),ISNUMBER($AF28)),$AF28,"")</f>
        <v/>
      </c>
      <c r="AO28">
        <f>IF(ISNUMBER($AM28),ABS(IF(ISNUMBER($G28),$G28,0)-Settings!$B$25),"")</f>
        <v/>
      </c>
      <c r="AP28">
        <f>IF(ISNUMBER($AO28),$AO28*$AM28,"")</f>
        <v/>
      </c>
      <c r="AQ28">
        <f>IF(ISNUMBER($AN28),ABS(IF(ISNUMBER($G28),$G28,0)-Settings!$B$25),"")</f>
        <v/>
      </c>
      <c r="AR28">
        <f>IF(ISNUMBER($AQ28),$AQ28*$AN28,"")</f>
        <v/>
      </c>
      <c r="AS28">
        <f>IF($A28="","",IFERROR(INDEX(Company_List!$H$3:$H$207,MATCH($A28,Company_List!$A$3:$A$207,0)),"unassigned"))</f>
        <v/>
      </c>
      <c r="AT28" t="inlineStr">
        <is>
          <t>re-read since v1</t>
        </is>
      </c>
      <c r="AU28" t="inlineStr">
        <is>
          <t>Phase 2/Master_Data_v1.xlsx</t>
        </is>
      </c>
      <c r="AV28" t="n">
        <v>4</v>
      </c>
      <c r="AW28" t="inlineStr">
        <is>
          <t>not publisher-identified</t>
        </is>
      </c>
      <c r="AX28" t="inlineStr">
        <is>
          <t>not publisher-identified</t>
        </is>
      </c>
      <c r="AY28" t="inlineStr">
        <is>
          <t>no</t>
        </is>
      </c>
      <c r="AZ28" t="inlineStr">
        <is>
          <t>no</t>
        </is>
      </c>
    </row>
    <row r="29">
      <c r="A29" s="115" t="inlineStr">
        <is>
          <t>Coca-Cola</t>
        </is>
      </c>
      <c r="B29" s="117" t="inlineStr">
        <is>
          <t>KO</t>
        </is>
      </c>
      <c r="C29" s="105" t="n">
        <v>2026</v>
      </c>
      <c r="D29" s="106" t="inlineStr">
        <is>
          <t>Q1</t>
        </is>
      </c>
      <c r="E29" s="109" t="inlineStr">
        <is>
          <t>Ben/DeepSeek</t>
        </is>
      </c>
      <c r="F29" s="106" t="inlineStr">
        <is>
          <t>LLM</t>
        </is>
      </c>
      <c r="G29" s="128" t="n">
        <v>0.03</v>
      </c>
      <c r="H29" s="106" t="inlineStr">
        <is>
          <t>HOLD</t>
        </is>
      </c>
      <c r="I29" s="128" t="n"/>
      <c r="J29" s="125" t="n">
        <v>46140</v>
      </c>
      <c r="K29" s="126" t="n">
        <v>46139</v>
      </c>
      <c r="L29" s="129" t="n">
        <v>75.44</v>
      </c>
      <c r="M29" s="126" t="n">
        <v>46140</v>
      </c>
      <c r="N29" s="129" t="n">
        <v>79.52</v>
      </c>
      <c r="O29" s="132" t="n">
        <v>0.006676</v>
      </c>
      <c r="P29" s="107" t="n">
        <v>0.054083</v>
      </c>
      <c r="Q29" s="106" t="inlineStr">
        <is>
          <t>UP</t>
        </is>
      </c>
      <c r="R29" s="106" t="inlineStr">
        <is>
          <t>NO</t>
        </is>
      </c>
      <c r="S29" s="105" t="n">
        <v>0</v>
      </c>
      <c r="T29" s="107" t="n">
        <v>0</v>
      </c>
      <c r="U29" s="130" t="inlineStr">
        <is>
          <t>w=[0.55,0.45,0,0] thr=(+0.25,-0.05), deployed default (risk-accepted, PSR=0.0/perm p=0.150 at N=161, not rechecked at N=268)</t>
        </is>
      </c>
      <c r="W29" t="inlineStr">
        <is>
          <t>release date + stated time</t>
        </is>
      </c>
      <c r="X29" t="inlineStr">
        <is>
          <t>KO</t>
        </is>
      </c>
      <c r="Y29" t="inlineStr">
        <is>
          <t>2026-04-27</t>
        </is>
      </c>
      <c r="Z29" t="n">
        <v>74.95610000000001</v>
      </c>
      <c r="AA29" t="inlineStr">
        <is>
          <t>2026-04-28</t>
        </is>
      </c>
      <c r="AB29" t="n">
        <v>79.0099</v>
      </c>
      <c r="AC29" t="n">
        <v>0.05408262442542064</v>
      </c>
      <c r="AD29" t="inlineStr">
        <is>
          <t>UP</t>
        </is>
      </c>
      <c r="AE29" t="inlineStr">
        <is>
          <t>NO</t>
        </is>
      </c>
      <c r="AF29" t="n">
        <v>0</v>
      </c>
      <c r="AG29">
        <f>IF($A29="","",IFERROR(INDEX(Company_List!$G$3:$G$207,MATCH($A29,Company_List!$A$3:$A$207,0)),"unassigned"))</f>
        <v/>
      </c>
      <c r="AH29" t="inlineStr">
        <is>
          <t>Phase 2/Coca-Cola/Q1 2026 Earnings Transcript.pdf</t>
        </is>
      </c>
      <c r="AJ29" t="inlineStr">
        <is>
          <t>unique filename match</t>
        </is>
      </c>
      <c r="AK29">
        <f>IF($A29="","",IF(COUNTIFS(Human_Data_Entry!$A$3:$A$525,$A29)&gt;0,"YES","NO"))</f>
        <v/>
      </c>
      <c r="AL29">
        <f>IF($A29="","",IF(AND($C29&amp;"-"&amp;$D29&gt;=Settings!$B$19,$C29&amp;"-"&amp;$D29&lt;=Settings!$B$20),"IN","OUT"))</f>
        <v/>
      </c>
      <c r="AM29">
        <f>IF(AND(OR($H29="BUY",$H29="SELL"),ISNUMBER($T29)),$T29,"")</f>
        <v/>
      </c>
      <c r="AN29">
        <f>IF(AND(OR($H29="BUY",$H29="SELL"),ISNUMBER($AF29)),$AF29,"")</f>
        <v/>
      </c>
      <c r="AO29">
        <f>IF(ISNUMBER($AM29),ABS(IF(ISNUMBER($G29),$G29,0)-Settings!$B$25),"")</f>
        <v/>
      </c>
      <c r="AP29">
        <f>IF(ISNUMBER($AO29),$AO29*$AM29,"")</f>
        <v/>
      </c>
      <c r="AQ29">
        <f>IF(ISNUMBER($AN29),ABS(IF(ISNUMBER($G29),$G29,0)-Settings!$B$25),"")</f>
        <v/>
      </c>
      <c r="AR29">
        <f>IF(ISNUMBER($AQ29),$AQ29*$AN29,"")</f>
        <v/>
      </c>
      <c r="AS29">
        <f>IF($A29="","",IFERROR(INDEX(Company_List!$H$3:$H$207,MATCH($A29,Company_List!$A$3:$A$207,0)),"unassigned"))</f>
        <v/>
      </c>
      <c r="AT29" t="inlineStr">
        <is>
          <t>re-read since v1</t>
        </is>
      </c>
      <c r="AU29" t="inlineStr">
        <is>
          <t>Phase 2/Master_Data_v1.xlsx</t>
        </is>
      </c>
      <c r="AV29" t="n">
        <v>1</v>
      </c>
      <c r="AW29" t="inlineStr">
        <is>
          <t>The Motley Fool</t>
        </is>
      </c>
      <c r="AX29" t="inlineStr">
        <is>
          <t>free to read, copyright asserted</t>
        </is>
      </c>
      <c r="AY29" t="inlineStr">
        <is>
          <t>no</t>
        </is>
      </c>
      <c r="AZ29" t="inlineStr">
        <is>
          <t>no</t>
        </is>
      </c>
    </row>
    <row r="30">
      <c r="A30" s="115" t="inlineStr">
        <is>
          <t>Coca-Cola</t>
        </is>
      </c>
      <c r="B30" s="117" t="inlineStr">
        <is>
          <t>KO</t>
        </is>
      </c>
      <c r="C30" s="105" t="n">
        <v>2025</v>
      </c>
      <c r="D30" s="106" t="inlineStr">
        <is>
          <t>Q2</t>
        </is>
      </c>
      <c r="E30" s="109" t="inlineStr">
        <is>
          <t>Ben/DeepSeek</t>
        </is>
      </c>
      <c r="F30" s="106" t="inlineStr">
        <is>
          <t>LLM</t>
        </is>
      </c>
      <c r="G30" s="128" t="n">
        <v>0.155</v>
      </c>
      <c r="H30" s="106" t="inlineStr">
        <is>
          <t>HOLD</t>
        </is>
      </c>
      <c r="I30" s="128" t="n"/>
      <c r="J30" s="125" t="n">
        <v>45860</v>
      </c>
      <c r="K30" s="126" t="n">
        <v>45859</v>
      </c>
      <c r="L30" s="129" t="n">
        <v>70.06999999999999</v>
      </c>
      <c r="M30" s="126" t="n">
        <v>45860</v>
      </c>
      <c r="N30" s="129" t="n">
        <v>69.45</v>
      </c>
      <c r="O30" s="132" t="n">
        <v>0.006623</v>
      </c>
      <c r="P30" s="107" t="n">
        <v>-0.008848</v>
      </c>
      <c r="Q30" s="106" t="inlineStr">
        <is>
          <t>FLAT</t>
        </is>
      </c>
      <c r="R30" s="106" t="inlineStr">
        <is>
          <t>YES</t>
        </is>
      </c>
      <c r="S30" s="105" t="n">
        <v>0</v>
      </c>
      <c r="T30" s="107" t="n">
        <v>0</v>
      </c>
      <c r="U30" s="130" t="inlineStr">
        <is>
          <t>w=[0.55,0.45,0,0] thr=(+0.25,-0.05), deployed default (risk-accepted, PSR=0.0/perm p=0.150 at N=161, not rechecked at N=268)</t>
        </is>
      </c>
      <c r="W30" t="inlineStr">
        <is>
          <t>release date + stated time</t>
        </is>
      </c>
      <c r="X30" t="inlineStr">
        <is>
          <t>KO</t>
        </is>
      </c>
      <c r="Y30" t="inlineStr">
        <is>
          <t>2025-07-21</t>
        </is>
      </c>
      <c r="Z30" t="n">
        <v>68.14019999999999</v>
      </c>
      <c r="AA30" t="inlineStr">
        <is>
          <t>2025-07-22</t>
        </is>
      </c>
      <c r="AB30" t="n">
        <v>67.5373</v>
      </c>
      <c r="AC30" t="n">
        <v>-0.008848346685875993</v>
      </c>
      <c r="AD30" t="inlineStr">
        <is>
          <t>FLAT</t>
        </is>
      </c>
      <c r="AE30" t="inlineStr">
        <is>
          <t>YES</t>
        </is>
      </c>
      <c r="AF30" t="n">
        <v>0</v>
      </c>
      <c r="AG30">
        <f>IF($A30="","",IFERROR(INDEX(Company_List!$G$3:$G$207,MATCH($A30,Company_List!$A$3:$A$207,0)),"unassigned"))</f>
        <v/>
      </c>
      <c r="AH30" t="inlineStr">
        <is>
          <t>Phase 2/Coca-Cola/Q2 2025 Earnings Call Transcript.pdf</t>
        </is>
      </c>
      <c r="AJ30" t="inlineStr">
        <is>
          <t>unique filename match</t>
        </is>
      </c>
      <c r="AK30">
        <f>IF($A30="","",IF(COUNTIFS(Human_Data_Entry!$A$3:$A$525,$A30)&gt;0,"YES","NO"))</f>
        <v/>
      </c>
      <c r="AL30">
        <f>IF($A30="","",IF(AND($C30&amp;"-"&amp;$D30&gt;=Settings!$B$19,$C30&amp;"-"&amp;$D30&lt;=Settings!$B$20),"IN","OUT"))</f>
        <v/>
      </c>
      <c r="AM30">
        <f>IF(AND(OR($H30="BUY",$H30="SELL"),ISNUMBER($T30)),$T30,"")</f>
        <v/>
      </c>
      <c r="AN30">
        <f>IF(AND(OR($H30="BUY",$H30="SELL"),ISNUMBER($AF30)),$AF30,"")</f>
        <v/>
      </c>
      <c r="AO30">
        <f>IF(ISNUMBER($AM30),ABS(IF(ISNUMBER($G30),$G30,0)-Settings!$B$25),"")</f>
        <v/>
      </c>
      <c r="AP30">
        <f>IF(ISNUMBER($AO30),$AO30*$AM30,"")</f>
        <v/>
      </c>
      <c r="AQ30">
        <f>IF(ISNUMBER($AN30),ABS(IF(ISNUMBER($G30),$G30,0)-Settings!$B$25),"")</f>
        <v/>
      </c>
      <c r="AR30">
        <f>IF(ISNUMBER($AQ30),$AQ30*$AN30,"")</f>
        <v/>
      </c>
      <c r="AS30">
        <f>IF($A30="","",IFERROR(INDEX(Company_List!$H$3:$H$207,MATCH($A30,Company_List!$A$3:$A$207,0)),"unassigned"))</f>
        <v/>
      </c>
      <c r="AT30" t="inlineStr">
        <is>
          <t>re-read since v1</t>
        </is>
      </c>
      <c r="AU30" t="inlineStr">
        <is>
          <t>Phase 2/Master_Data_v1.xlsx</t>
        </is>
      </c>
      <c r="AV30" t="n">
        <v>1</v>
      </c>
      <c r="AW30" t="inlineStr">
        <is>
          <t>The Motley Fool</t>
        </is>
      </c>
      <c r="AX30" t="inlineStr">
        <is>
          <t>free to read, copyright asserted</t>
        </is>
      </c>
      <c r="AY30" t="inlineStr">
        <is>
          <t>no</t>
        </is>
      </c>
      <c r="AZ30" t="inlineStr">
        <is>
          <t>no</t>
        </is>
      </c>
    </row>
    <row r="31">
      <c r="A31" s="115" t="inlineStr">
        <is>
          <t>Coca-Cola</t>
        </is>
      </c>
      <c r="B31" s="117" t="inlineStr">
        <is>
          <t>KO</t>
        </is>
      </c>
      <c r="C31" s="105" t="n">
        <v>2025</v>
      </c>
      <c r="D31" s="106" t="inlineStr">
        <is>
          <t>Q4</t>
        </is>
      </c>
      <c r="E31" s="109" t="inlineStr">
        <is>
          <t>Ben/DeepSeek</t>
        </is>
      </c>
      <c r="F31" s="106" t="inlineStr">
        <is>
          <t>LLM</t>
        </is>
      </c>
      <c r="G31" s="128" t="n">
        <v>0.195</v>
      </c>
      <c r="H31" s="106" t="inlineStr">
        <is>
          <t>HOLD</t>
        </is>
      </c>
      <c r="I31" s="128" t="n"/>
      <c r="J31" s="125" t="n">
        <v>46063</v>
      </c>
      <c r="K31" s="126" t="n">
        <v>46062</v>
      </c>
      <c r="L31" s="129" t="n">
        <v>77.97</v>
      </c>
      <c r="M31" s="126" t="n">
        <v>46063</v>
      </c>
      <c r="N31" s="129" t="n">
        <v>76.63</v>
      </c>
      <c r="O31" s="132" t="n">
        <v>0.007041</v>
      </c>
      <c r="P31" s="107" t="n">
        <v>-0.017186</v>
      </c>
      <c r="Q31" s="106" t="inlineStr">
        <is>
          <t>FLAT</t>
        </is>
      </c>
      <c r="R31" s="106" t="inlineStr">
        <is>
          <t>YES</t>
        </is>
      </c>
      <c r="S31" s="105" t="n">
        <v>0</v>
      </c>
      <c r="T31" s="107" t="n">
        <v>0</v>
      </c>
      <c r="U31" s="130" t="inlineStr">
        <is>
          <t>w=[0.55,0.45,0,0] thr=(+0.25,-0.05), deployed default (risk-accepted, PSR=0.0/perm p=0.150 at N=161, not rechecked at N=268)</t>
        </is>
      </c>
      <c r="W31" t="inlineStr">
        <is>
          <t>release date + stated time</t>
        </is>
      </c>
      <c r="X31" t="inlineStr">
        <is>
          <t>KO</t>
        </is>
      </c>
      <c r="Y31" t="inlineStr">
        <is>
          <t>2026-02-09</t>
        </is>
      </c>
      <c r="Z31" t="n">
        <v>76.9408</v>
      </c>
      <c r="AA31" t="inlineStr">
        <is>
          <t>2026-02-10</t>
        </is>
      </c>
      <c r="AB31" t="n">
        <v>75.6185</v>
      </c>
      <c r="AC31" t="n">
        <v>-0.01718625273446614</v>
      </c>
      <c r="AD31" t="inlineStr">
        <is>
          <t>FLAT</t>
        </is>
      </c>
      <c r="AE31" t="inlineStr">
        <is>
          <t>YES</t>
        </is>
      </c>
      <c r="AF31" t="n">
        <v>0</v>
      </c>
      <c r="AG31">
        <f>IF($A31="","",IFERROR(INDEX(Company_List!$G$3:$G$207,MATCH($A31,Company_List!$A$3:$A$207,0)),"unassigned"))</f>
        <v/>
      </c>
      <c r="AH31" t="inlineStr">
        <is>
          <t>Phase 2/Coca-Cola/Q4 2025 Earnings Call Transcript.pdf</t>
        </is>
      </c>
      <c r="AJ31" t="inlineStr">
        <is>
          <t>unique filename match</t>
        </is>
      </c>
      <c r="AK31">
        <f>IF($A31="","",IF(COUNTIFS(Human_Data_Entry!$A$3:$A$525,$A31)&gt;0,"YES","NO"))</f>
        <v/>
      </c>
      <c r="AL31">
        <f>IF($A31="","",IF(AND($C31&amp;"-"&amp;$D31&gt;=Settings!$B$19,$C31&amp;"-"&amp;$D31&lt;=Settings!$B$20),"IN","OUT"))</f>
        <v/>
      </c>
      <c r="AM31">
        <f>IF(AND(OR($H31="BUY",$H31="SELL"),ISNUMBER($T31)),$T31,"")</f>
        <v/>
      </c>
      <c r="AN31">
        <f>IF(AND(OR($H31="BUY",$H31="SELL"),ISNUMBER($AF31)),$AF31,"")</f>
        <v/>
      </c>
      <c r="AO31">
        <f>IF(ISNUMBER($AM31),ABS(IF(ISNUMBER($G31),$G31,0)-Settings!$B$25),"")</f>
        <v/>
      </c>
      <c r="AP31">
        <f>IF(ISNUMBER($AO31),$AO31*$AM31,"")</f>
        <v/>
      </c>
      <c r="AQ31">
        <f>IF(ISNUMBER($AN31),ABS(IF(ISNUMBER($G31),$G31,0)-Settings!$B$25),"")</f>
        <v/>
      </c>
      <c r="AR31">
        <f>IF(ISNUMBER($AQ31),$AQ31*$AN31,"")</f>
        <v/>
      </c>
      <c r="AS31">
        <f>IF($A31="","",IFERROR(INDEX(Company_List!$H$3:$H$207,MATCH($A31,Company_List!$A$3:$A$207,0)),"unassigned"))</f>
        <v/>
      </c>
      <c r="AT31" t="inlineStr">
        <is>
          <t>re-read since v1</t>
        </is>
      </c>
      <c r="AU31" t="inlineStr">
        <is>
          <t>Phase 2/Master_Data_v1.xlsx</t>
        </is>
      </c>
      <c r="AV31" t="n">
        <v>1</v>
      </c>
      <c r="AW31" t="inlineStr">
        <is>
          <t>The Motley Fool</t>
        </is>
      </c>
      <c r="AX31" t="inlineStr">
        <is>
          <t>free to read, copyright asserted</t>
        </is>
      </c>
      <c r="AY31" t="inlineStr">
        <is>
          <t>no</t>
        </is>
      </c>
      <c r="AZ31" t="inlineStr">
        <is>
          <t>no</t>
        </is>
      </c>
    </row>
    <row r="32">
      <c r="A32" s="115" t="inlineStr">
        <is>
          <t>Coinbase</t>
        </is>
      </c>
      <c r="B32" s="117" t="inlineStr">
        <is>
          <t>COIN</t>
        </is>
      </c>
      <c r="C32" s="105" t="n">
        <v>2026</v>
      </c>
      <c r="D32" s="106" t="inlineStr">
        <is>
          <t>Q1</t>
        </is>
      </c>
      <c r="E32" s="109" t="inlineStr">
        <is>
          <t>Ben/DeepSeek</t>
        </is>
      </c>
      <c r="F32" s="106" t="inlineStr">
        <is>
          <t>LLM</t>
        </is>
      </c>
      <c r="G32" s="128" t="n">
        <v>-0.3275</v>
      </c>
      <c r="H32" s="106" t="inlineStr">
        <is>
          <t>SELL</t>
        </is>
      </c>
      <c r="I32" s="128" t="n"/>
      <c r="J32" s="125" t="n">
        <v>46149</v>
      </c>
      <c r="K32" s="126" t="n">
        <v>46149</v>
      </c>
      <c r="L32" s="129" t="n">
        <v>192.96</v>
      </c>
      <c r="M32" s="126" t="n">
        <v>46150</v>
      </c>
      <c r="N32" s="129" t="n">
        <v>186.05</v>
      </c>
      <c r="O32" s="132" t="n">
        <v>0.007181</v>
      </c>
      <c r="P32" s="107" t="n">
        <v>-0.035811</v>
      </c>
      <c r="Q32" s="106" t="inlineStr">
        <is>
          <t>DOWN</t>
        </is>
      </c>
      <c r="R32" s="106" t="inlineStr">
        <is>
          <t>YES</t>
        </is>
      </c>
      <c r="S32" s="105" t="n">
        <v>-1</v>
      </c>
      <c r="T32" s="107" t="n">
        <v>0.034811</v>
      </c>
      <c r="U32" s="130" t="inlineStr">
        <is>
          <t>w=[0.55,0.45,0,0] thr=(+0.25,-0.05), deployed default (risk-accepted, PSR=0.0/perm p=0.150 at N=161, not rechecked at N=268)</t>
        </is>
      </c>
      <c r="W32" t="inlineStr">
        <is>
          <t>release date + stated time in the document (rater worksheet)</t>
        </is>
      </c>
      <c r="X32" t="inlineStr">
        <is>
          <t>COIN</t>
        </is>
      </c>
      <c r="Y32" t="inlineStr">
        <is>
          <t>2026-05-07</t>
        </is>
      </c>
      <c r="Z32" t="n">
        <v>192.96</v>
      </c>
      <c r="AA32" t="inlineStr">
        <is>
          <t>2026-05-08</t>
        </is>
      </c>
      <c r="AB32" t="n">
        <v>186.05</v>
      </c>
      <c r="AC32" t="n">
        <v>-0.03581055011052102</v>
      </c>
      <c r="AD32" t="inlineStr">
        <is>
          <t>DOWN</t>
        </is>
      </c>
      <c r="AE32" t="inlineStr">
        <is>
          <t>YES</t>
        </is>
      </c>
      <c r="AF32" t="n">
        <v>0.034811</v>
      </c>
      <c r="AG32">
        <f>IF($A32="","",IFERROR(INDEX(Company_List!$G$3:$G$207,MATCH($A32,Company_List!$A$3:$A$207,0)),"unassigned"))</f>
        <v/>
      </c>
      <c r="AH32" t="inlineStr">
        <is>
          <t>Phase 2/Coin Base/2026-Q1/COIN-2026-Q1-press-release-SEC-EX-99-1.htm</t>
        </is>
      </c>
      <c r="AI32" t="inlineStr">
        <is>
          <t>https://www.sec.gov/Archives/edgar/data/1679788/000167978826000053/q126earningsdeck-finalse.htm</t>
        </is>
      </c>
      <c r="AJ32" t="inlineStr">
        <is>
          <t>manifest</t>
        </is>
      </c>
      <c r="AK32">
        <f>IF($A32="","",IF(COUNTIFS(Human_Data_Entry!$A$3:$A$525,$A32)&gt;0,"YES","NO"))</f>
        <v/>
      </c>
      <c r="AL32">
        <f>IF($A32="","",IF(AND($C32&amp;"-"&amp;$D32&gt;=Settings!$B$19,$C32&amp;"-"&amp;$D32&lt;=Settings!$B$20),"IN","OUT"))</f>
        <v/>
      </c>
      <c r="AM32">
        <f>IF(AND(OR($H32="BUY",$H32="SELL"),ISNUMBER($T32)),$T32,"")</f>
        <v/>
      </c>
      <c r="AN32">
        <f>IF(AND(OR($H32="BUY",$H32="SELL"),ISNUMBER($AF32)),$AF32,"")</f>
        <v/>
      </c>
      <c r="AO32">
        <f>IF(ISNUMBER($AM32),ABS(IF(ISNUMBER($G32),$G32,0)-Settings!$B$25),"")</f>
        <v/>
      </c>
      <c r="AP32">
        <f>IF(ISNUMBER($AO32),$AO32*$AM32,"")</f>
        <v/>
      </c>
      <c r="AQ32">
        <f>IF(ISNUMBER($AN32),ABS(IF(ISNUMBER($G32),$G32,0)-Settings!$B$25),"")</f>
        <v/>
      </c>
      <c r="AR32">
        <f>IF(ISNUMBER($AQ32),$AQ32*$AN32,"")</f>
        <v/>
      </c>
      <c r="AS32">
        <f>IF($A32="","",IFERROR(INDEX(Company_List!$H$3:$H$207,MATCH($A32,Company_List!$A$3:$A$207,0)),"unassigned"))</f>
        <v/>
      </c>
      <c r="AT32" t="inlineStr">
        <is>
          <t>re-read since v1</t>
        </is>
      </c>
      <c r="AU32" t="inlineStr">
        <is>
          <t>Phase 2/Master_Data_v1.xlsx</t>
        </is>
      </c>
      <c r="AV32" t="n">
        <v>1</v>
      </c>
      <c r="AW32" t="inlineStr">
        <is>
          <t>not publisher-identified</t>
        </is>
      </c>
      <c r="AX32" t="inlineStr">
        <is>
          <t>not publisher-identified</t>
        </is>
      </c>
      <c r="AY32" t="inlineStr">
        <is>
          <t>no</t>
        </is>
      </c>
      <c r="AZ32" t="inlineStr">
        <is>
          <t>yes</t>
        </is>
      </c>
    </row>
    <row r="33">
      <c r="A33" s="115" t="inlineStr">
        <is>
          <t>Coinbase</t>
        </is>
      </c>
      <c r="B33" s="117" t="inlineStr">
        <is>
          <t>COIN</t>
        </is>
      </c>
      <c r="C33" s="105" t="n">
        <v>2025</v>
      </c>
      <c r="D33" s="106" t="inlineStr">
        <is>
          <t>Q3</t>
        </is>
      </c>
      <c r="E33" s="109" t="inlineStr">
        <is>
          <t>Ben/DeepSeek</t>
        </is>
      </c>
      <c r="F33" s="106" t="inlineStr">
        <is>
          <t>LLM</t>
        </is>
      </c>
      <c r="G33" s="128" t="n">
        <v>0.3</v>
      </c>
      <c r="H33" s="106" t="inlineStr">
        <is>
          <t>BUY</t>
        </is>
      </c>
      <c r="I33" s="128" t="n"/>
      <c r="J33" s="125" t="n">
        <v>45960</v>
      </c>
      <c r="K33" s="126" t="n">
        <v>45960</v>
      </c>
      <c r="L33" s="129" t="n">
        <v>328.51</v>
      </c>
      <c r="M33" s="126" t="n">
        <v>45961</v>
      </c>
      <c r="N33" s="129" t="n">
        <v>336</v>
      </c>
      <c r="O33" s="132" t="n">
        <v>0.007314</v>
      </c>
      <c r="P33" s="107" t="n">
        <v>0.0228</v>
      </c>
      <c r="Q33" s="106" t="inlineStr">
        <is>
          <t>UP</t>
        </is>
      </c>
      <c r="R33" s="106" t="inlineStr">
        <is>
          <t>YES</t>
        </is>
      </c>
      <c r="S33" s="105" t="n">
        <v>1</v>
      </c>
      <c r="T33" s="107" t="n">
        <v>0.0218</v>
      </c>
      <c r="U33" s="130" t="inlineStr">
        <is>
          <t>w=[0.55,0.45,0,0] thr=(+0.25,-0.05), deployed default (risk-accepted, PSR=0.0/perm p=0.150 at N=161, not rechecked at N=268)</t>
        </is>
      </c>
      <c r="W33" t="inlineStr">
        <is>
          <t>release date + stated time in the document (rater worksheet)</t>
        </is>
      </c>
      <c r="X33" t="inlineStr">
        <is>
          <t>COIN</t>
        </is>
      </c>
      <c r="Y33" t="inlineStr">
        <is>
          <t>2025-10-30</t>
        </is>
      </c>
      <c r="Z33" t="n">
        <v>328.51</v>
      </c>
      <c r="AA33" t="inlineStr">
        <is>
          <t>2025-10-31</t>
        </is>
      </c>
      <c r="AB33" t="n">
        <v>336</v>
      </c>
      <c r="AC33" t="n">
        <v>0.02279988363216079</v>
      </c>
      <c r="AD33" t="inlineStr">
        <is>
          <t>UP</t>
        </is>
      </c>
      <c r="AE33" t="inlineStr">
        <is>
          <t>YES</t>
        </is>
      </c>
      <c r="AF33" t="n">
        <v>0.0218</v>
      </c>
      <c r="AG33">
        <f>IF($A33="","",IFERROR(INDEX(Company_List!$G$3:$G$207,MATCH($A33,Company_List!$A$3:$A$207,0)),"unassigned"))</f>
        <v/>
      </c>
      <c r="AH33" t="inlineStr">
        <is>
          <t>Phase 2/Coin Base/2025-Q3/COIN-2025-Q3-press-release-SEC-EX-99-1.htm</t>
        </is>
      </c>
      <c r="AI33" t="inlineStr">
        <is>
          <t>https://www.sec.gov/Archives/edgar/data/1679788/000167978825000207/q325shareholderletter.htm</t>
        </is>
      </c>
      <c r="AJ33" t="inlineStr">
        <is>
          <t>manifest</t>
        </is>
      </c>
      <c r="AK33">
        <f>IF($A33="","",IF(COUNTIFS(Human_Data_Entry!$A$3:$A$525,$A33)&gt;0,"YES","NO"))</f>
        <v/>
      </c>
      <c r="AL33">
        <f>IF($A33="","",IF(AND($C33&amp;"-"&amp;$D33&gt;=Settings!$B$19,$C33&amp;"-"&amp;$D33&lt;=Settings!$B$20),"IN","OUT"))</f>
        <v/>
      </c>
      <c r="AM33">
        <f>IF(AND(OR($H33="BUY",$H33="SELL"),ISNUMBER($T33)),$T33,"")</f>
        <v/>
      </c>
      <c r="AN33">
        <f>IF(AND(OR($H33="BUY",$H33="SELL"),ISNUMBER($AF33)),$AF33,"")</f>
        <v/>
      </c>
      <c r="AO33">
        <f>IF(ISNUMBER($AM33),ABS(IF(ISNUMBER($G33),$G33,0)-Settings!$B$25),"")</f>
        <v/>
      </c>
      <c r="AP33">
        <f>IF(ISNUMBER($AO33),$AO33*$AM33,"")</f>
        <v/>
      </c>
      <c r="AQ33">
        <f>IF(ISNUMBER($AN33),ABS(IF(ISNUMBER($G33),$G33,0)-Settings!$B$25),"")</f>
        <v/>
      </c>
      <c r="AR33">
        <f>IF(ISNUMBER($AQ33),$AQ33*$AN33,"")</f>
        <v/>
      </c>
      <c r="AS33">
        <f>IF($A33="","",IFERROR(INDEX(Company_List!$H$3:$H$207,MATCH($A33,Company_List!$A$3:$A$207,0)),"unassigned"))</f>
        <v/>
      </c>
      <c r="AT33" t="inlineStr">
        <is>
          <t>re-read since v1</t>
        </is>
      </c>
      <c r="AU33" t="inlineStr">
        <is>
          <t>Phase 2/Master_Data_v1.xlsx</t>
        </is>
      </c>
      <c r="AV33" t="n">
        <v>1</v>
      </c>
      <c r="AW33" t="inlineStr">
        <is>
          <t>not publisher-identified</t>
        </is>
      </c>
      <c r="AX33" t="inlineStr">
        <is>
          <t>not publisher-identified</t>
        </is>
      </c>
      <c r="AY33" t="inlineStr">
        <is>
          <t>no</t>
        </is>
      </c>
      <c r="AZ33" t="inlineStr">
        <is>
          <t>yes</t>
        </is>
      </c>
    </row>
    <row r="34">
      <c r="A34" s="115" t="inlineStr">
        <is>
          <t>Coinbase</t>
        </is>
      </c>
      <c r="B34" s="117" t="inlineStr">
        <is>
          <t>COIN</t>
        </is>
      </c>
      <c r="C34" s="105" t="n">
        <v>2025</v>
      </c>
      <c r="D34" s="106" t="inlineStr">
        <is>
          <t>Q4</t>
        </is>
      </c>
      <c r="E34" s="109" t="inlineStr">
        <is>
          <t>Ben/DeepSeek</t>
        </is>
      </c>
      <c r="F34" s="106" t="inlineStr">
        <is>
          <t>LLM</t>
        </is>
      </c>
      <c r="G34" s="128" t="n">
        <v>0.0575</v>
      </c>
      <c r="H34" s="106" t="inlineStr">
        <is>
          <t>HOLD</t>
        </is>
      </c>
      <c r="I34" s="128" t="n"/>
      <c r="J34" s="125" t="n">
        <v>46065</v>
      </c>
      <c r="K34" s="126" t="n">
        <v>46065</v>
      </c>
      <c r="L34" s="129" t="n">
        <v>141.09</v>
      </c>
      <c r="M34" s="126" t="n">
        <v>46066</v>
      </c>
      <c r="N34" s="129" t="n">
        <v>153.7</v>
      </c>
      <c r="O34" s="132" t="n">
        <v>0.007531</v>
      </c>
      <c r="P34" s="107" t="n">
        <v>0.089376</v>
      </c>
      <c r="Q34" s="106" t="inlineStr">
        <is>
          <t>UP</t>
        </is>
      </c>
      <c r="R34" s="106" t="inlineStr">
        <is>
          <t>NO</t>
        </is>
      </c>
      <c r="S34" s="105" t="n">
        <v>0</v>
      </c>
      <c r="T34" s="107" t="n">
        <v>0</v>
      </c>
      <c r="U34" s="130" t="inlineStr">
        <is>
          <t>w=[0.55,0.45,0,0] thr=(+0.25,-0.05), deployed default (risk-accepted, PSR=0.0/perm p=0.150 at N=161, not rechecked at N=268)</t>
        </is>
      </c>
      <c r="W34" t="inlineStr">
        <is>
          <t>release date + stated time in the document (rater worksheet)</t>
        </is>
      </c>
      <c r="X34" t="inlineStr">
        <is>
          <t>COIN</t>
        </is>
      </c>
      <c r="Y34" t="inlineStr">
        <is>
          <t>2026-02-12</t>
        </is>
      </c>
      <c r="Z34" t="n">
        <v>141.09</v>
      </c>
      <c r="AA34" t="inlineStr">
        <is>
          <t>2026-02-13</t>
        </is>
      </c>
      <c r="AB34" t="n">
        <v>153.7</v>
      </c>
      <c r="AC34" t="n">
        <v>0.08937558549509053</v>
      </c>
      <c r="AD34" t="inlineStr">
        <is>
          <t>UP</t>
        </is>
      </c>
      <c r="AE34" t="inlineStr">
        <is>
          <t>NO</t>
        </is>
      </c>
      <c r="AF34" t="n">
        <v>0</v>
      </c>
      <c r="AG34">
        <f>IF($A34="","",IFERROR(INDEX(Company_List!$G$3:$G$207,MATCH($A34,Company_List!$A$3:$A$207,0)),"unassigned"))</f>
        <v/>
      </c>
      <c r="AH34" t="inlineStr">
        <is>
          <t>Phase 2/Coin Base/2025-Q4/COIN-2025-Q4-press-release-SEC-EX-99-1.htm</t>
        </is>
      </c>
      <c r="AI34" t="inlineStr">
        <is>
          <t>https://www.sec.gov/Archives/edgar/data/1679788/000167978826000011/q425shareholderletter.htm</t>
        </is>
      </c>
      <c r="AJ34" t="inlineStr">
        <is>
          <t>manifest</t>
        </is>
      </c>
      <c r="AK34">
        <f>IF($A34="","",IF(COUNTIFS(Human_Data_Entry!$A$3:$A$525,$A34)&gt;0,"YES","NO"))</f>
        <v/>
      </c>
      <c r="AL34">
        <f>IF($A34="","",IF(AND($C34&amp;"-"&amp;$D34&gt;=Settings!$B$19,$C34&amp;"-"&amp;$D34&lt;=Settings!$B$20),"IN","OUT"))</f>
        <v/>
      </c>
      <c r="AM34">
        <f>IF(AND(OR($H34="BUY",$H34="SELL"),ISNUMBER($T34)),$T34,"")</f>
        <v/>
      </c>
      <c r="AN34">
        <f>IF(AND(OR($H34="BUY",$H34="SELL"),ISNUMBER($AF34)),$AF34,"")</f>
        <v/>
      </c>
      <c r="AO34">
        <f>IF(ISNUMBER($AM34),ABS(IF(ISNUMBER($G34),$G34,0)-Settings!$B$25),"")</f>
        <v/>
      </c>
      <c r="AP34">
        <f>IF(ISNUMBER($AO34),$AO34*$AM34,"")</f>
        <v/>
      </c>
      <c r="AQ34">
        <f>IF(ISNUMBER($AN34),ABS(IF(ISNUMBER($G34),$G34,0)-Settings!$B$25),"")</f>
        <v/>
      </c>
      <c r="AR34">
        <f>IF(ISNUMBER($AQ34),$AQ34*$AN34,"")</f>
        <v/>
      </c>
      <c r="AS34">
        <f>IF($A34="","",IFERROR(INDEX(Company_List!$H$3:$H$207,MATCH($A34,Company_List!$A$3:$A$207,0)),"unassigned"))</f>
        <v/>
      </c>
      <c r="AT34" t="inlineStr">
        <is>
          <t>re-read since v1</t>
        </is>
      </c>
      <c r="AU34" t="inlineStr">
        <is>
          <t>Phase 2/Master_Data_v1.xlsx</t>
        </is>
      </c>
      <c r="AV34" t="n">
        <v>1</v>
      </c>
      <c r="AW34" t="inlineStr">
        <is>
          <t>not publisher-identified</t>
        </is>
      </c>
      <c r="AX34" t="inlineStr">
        <is>
          <t>not publisher-identified</t>
        </is>
      </c>
      <c r="AY34" t="inlineStr">
        <is>
          <t>no</t>
        </is>
      </c>
      <c r="AZ34" t="inlineStr">
        <is>
          <t>yes</t>
        </is>
      </c>
    </row>
    <row r="35">
      <c r="A35" s="115" t="inlineStr">
        <is>
          <t>Eli Lilly</t>
        </is>
      </c>
      <c r="B35" s="117" t="inlineStr">
        <is>
          <t>LLY</t>
        </is>
      </c>
      <c r="C35" s="105" t="n">
        <v>2026</v>
      </c>
      <c r="D35" s="106" t="inlineStr">
        <is>
          <t>Q1</t>
        </is>
      </c>
      <c r="E35" s="109" t="inlineStr">
        <is>
          <t>Ben/DeepSeek</t>
        </is>
      </c>
      <c r="F35" s="106" t="inlineStr">
        <is>
          <t>LLM</t>
        </is>
      </c>
      <c r="G35" s="128" t="n">
        <v>0.3325</v>
      </c>
      <c r="H35" s="106" t="inlineStr">
        <is>
          <t>BUY</t>
        </is>
      </c>
      <c r="I35" s="128" t="n"/>
      <c r="J35" s="125" t="n">
        <v>46142</v>
      </c>
      <c r="K35" s="126" t="n">
        <v>46141</v>
      </c>
      <c r="L35" s="129" t="n">
        <v>851.21</v>
      </c>
      <c r="M35" s="126" t="n">
        <v>46142</v>
      </c>
      <c r="N35" s="129" t="n">
        <v>898.78</v>
      </c>
      <c r="O35" s="132" t="n">
        <v>0.003456</v>
      </c>
      <c r="P35" s="107" t="n">
        <v>0.055885</v>
      </c>
      <c r="Q35" s="106" t="inlineStr">
        <is>
          <t>UP</t>
        </is>
      </c>
      <c r="R35" s="106" t="inlineStr">
        <is>
          <t>YES</t>
        </is>
      </c>
      <c r="S35" s="105" t="n">
        <v>1</v>
      </c>
      <c r="T35" s="107" t="n">
        <v>0.054885</v>
      </c>
      <c r="U35" s="130" t="inlineStr">
        <is>
          <t>w=[0.55,0.45,0,0] thr=(+0.25,-0.05), deployed default (risk-accepted, PSR=0.0/perm p=0.150 at N=161, not rechecked at N=268)</t>
        </is>
      </c>
      <c r="W35" t="inlineStr">
        <is>
          <t>release date + stated time in the document (rater worksheet)</t>
        </is>
      </c>
      <c r="X35" t="inlineStr">
        <is>
          <t>LLY</t>
        </is>
      </c>
      <c r="Y35" t="inlineStr">
        <is>
          <t>2026-04-29</t>
        </is>
      </c>
      <c r="Z35" t="n">
        <v>849.7473</v>
      </c>
      <c r="AA35" t="inlineStr">
        <is>
          <t>2026-04-30</t>
        </is>
      </c>
      <c r="AB35" t="n">
        <v>897.2355</v>
      </c>
      <c r="AC35" t="n">
        <v>0.05588514850647311</v>
      </c>
      <c r="AD35" t="inlineStr">
        <is>
          <t>UP</t>
        </is>
      </c>
      <c r="AE35" t="inlineStr">
        <is>
          <t>YES</t>
        </is>
      </c>
      <c r="AF35" t="n">
        <v>0.054885</v>
      </c>
      <c r="AG35">
        <f>IF($A35="","",IFERROR(INDEX(Company_List!$G$3:$G$207,MATCH($A35,Company_List!$A$3:$A$207,0)),"unassigned"))</f>
        <v/>
      </c>
      <c r="AH35" t="inlineStr">
        <is>
          <t>Phase 2/Eli Lilly/2026-Q1/LLY-2026-Q1-press-release-SEC-EX-99.htm</t>
        </is>
      </c>
      <c r="AI35" t="inlineStr">
        <is>
          <t>https://www.sec.gov/Archives/edgar/data/59478/000005947826000043/q126lillysalesandearningsp.htm</t>
        </is>
      </c>
      <c r="AJ35" t="inlineStr">
        <is>
          <t>manifest</t>
        </is>
      </c>
      <c r="AK35">
        <f>IF($A35="","",IF(COUNTIFS(Human_Data_Entry!$A$3:$A$525,$A35)&gt;0,"YES","NO"))</f>
        <v/>
      </c>
      <c r="AL35">
        <f>IF($A35="","",IF(AND($C35&amp;"-"&amp;$D35&gt;=Settings!$B$19,$C35&amp;"-"&amp;$D35&lt;=Settings!$B$20),"IN","OUT"))</f>
        <v/>
      </c>
      <c r="AM35">
        <f>IF(AND(OR($H35="BUY",$H35="SELL"),ISNUMBER($T35)),$T35,"")</f>
        <v/>
      </c>
      <c r="AN35">
        <f>IF(AND(OR($H35="BUY",$H35="SELL"),ISNUMBER($AF35)),$AF35,"")</f>
        <v/>
      </c>
      <c r="AO35">
        <f>IF(ISNUMBER($AM35),ABS(IF(ISNUMBER($G35),$G35,0)-Settings!$B$25),"")</f>
        <v/>
      </c>
      <c r="AP35">
        <f>IF(ISNUMBER($AO35),$AO35*$AM35,"")</f>
        <v/>
      </c>
      <c r="AQ35">
        <f>IF(ISNUMBER($AN35),ABS(IF(ISNUMBER($G35),$G35,0)-Settings!$B$25),"")</f>
        <v/>
      </c>
      <c r="AR35">
        <f>IF(ISNUMBER($AQ35),$AQ35*$AN35,"")</f>
        <v/>
      </c>
      <c r="AS35">
        <f>IF($A35="","",IFERROR(INDEX(Company_List!$H$3:$H$207,MATCH($A35,Company_List!$A$3:$A$207,0)),"unassigned"))</f>
        <v/>
      </c>
      <c r="AT35" t="inlineStr">
        <is>
          <t>re-read since v1</t>
        </is>
      </c>
      <c r="AU35" t="inlineStr">
        <is>
          <t>Phase 2/Master_Data_v1.xlsx</t>
        </is>
      </c>
      <c r="AV35" t="n">
        <v>1</v>
      </c>
      <c r="AW35" t="inlineStr">
        <is>
          <t>not publisher-identified</t>
        </is>
      </c>
      <c r="AX35" t="inlineStr">
        <is>
          <t>not publisher-identified</t>
        </is>
      </c>
      <c r="AY35" t="inlineStr">
        <is>
          <t>no</t>
        </is>
      </c>
      <c r="AZ35" t="inlineStr">
        <is>
          <t>yes</t>
        </is>
      </c>
    </row>
    <row r="36">
      <c r="A36" s="115" t="inlineStr">
        <is>
          <t>Eli Lilly</t>
        </is>
      </c>
      <c r="B36" s="117" t="inlineStr">
        <is>
          <t>LLY</t>
        </is>
      </c>
      <c r="C36" s="105" t="n">
        <v>2025</v>
      </c>
      <c r="D36" s="106" t="inlineStr">
        <is>
          <t>Q3</t>
        </is>
      </c>
      <c r="E36" s="109" t="inlineStr">
        <is>
          <t>Ben/DeepSeek</t>
        </is>
      </c>
      <c r="F36" s="106" t="inlineStr">
        <is>
          <t>LLM</t>
        </is>
      </c>
      <c r="G36" s="128" t="n">
        <v>0.41</v>
      </c>
      <c r="H36" s="106" t="inlineStr">
        <is>
          <t>BUY</t>
        </is>
      </c>
      <c r="I36" s="128" t="n"/>
      <c r="J36" s="125" t="n">
        <v>45960</v>
      </c>
      <c r="K36" s="126" t="n">
        <v>45959</v>
      </c>
      <c r="L36" s="129" t="n">
        <v>813.53</v>
      </c>
      <c r="M36" s="126" t="n">
        <v>45960</v>
      </c>
      <c r="N36" s="129" t="n">
        <v>837.5</v>
      </c>
      <c r="O36" s="132" t="n">
        <v>0.00343</v>
      </c>
      <c r="P36" s="107" t="n">
        <v>0.029464</v>
      </c>
      <c r="Q36" s="106" t="inlineStr">
        <is>
          <t>UP</t>
        </is>
      </c>
      <c r="R36" s="106" t="inlineStr">
        <is>
          <t>YES</t>
        </is>
      </c>
      <c r="S36" s="105" t="n">
        <v>1</v>
      </c>
      <c r="T36" s="107" t="n">
        <v>0.028464</v>
      </c>
      <c r="U36" s="130" t="inlineStr">
        <is>
          <t>w=[0.55,0.45,0,0] thr=(+0.25,-0.05), deployed default (risk-accepted, PSR=0.0/perm p=0.150 at N=161, not rechecked at N=268)</t>
        </is>
      </c>
      <c r="W36" t="inlineStr">
        <is>
          <t>release date + stated time in the document (rater worksheet)</t>
        </is>
      </c>
      <c r="X36" t="inlineStr">
        <is>
          <t>LLY</t>
        </is>
      </c>
      <c r="Y36" t="inlineStr">
        <is>
          <t>2025-10-29</t>
        </is>
      </c>
      <c r="Z36" t="n">
        <v>809.5898</v>
      </c>
      <c r="AA36" t="inlineStr">
        <is>
          <t>2025-10-30</t>
        </is>
      </c>
      <c r="AB36" t="n">
        <v>833.4437</v>
      </c>
      <c r="AC36" t="n">
        <v>0.02946411647138618</v>
      </c>
      <c r="AD36" t="inlineStr">
        <is>
          <t>UP</t>
        </is>
      </c>
      <c r="AE36" t="inlineStr">
        <is>
          <t>YES</t>
        </is>
      </c>
      <c r="AF36" t="n">
        <v>0.028464</v>
      </c>
      <c r="AG36">
        <f>IF($A36="","",IFERROR(INDEX(Company_List!$G$3:$G$207,MATCH($A36,Company_List!$A$3:$A$207,0)),"unassigned"))</f>
        <v/>
      </c>
      <c r="AH36" t="inlineStr">
        <is>
          <t>Phase 2/Eli Lilly/2025-Q3/LLY-2025-Q3-press-release-SEC-EX-99-1.htm</t>
        </is>
      </c>
      <c r="AI36" t="inlineStr">
        <is>
          <t>https://www.sec.gov/Archives/edgar/data/59478/000005947825000251/q325lillysalesandearningsp.htm</t>
        </is>
      </c>
      <c r="AJ36" t="inlineStr">
        <is>
          <t>manifest</t>
        </is>
      </c>
      <c r="AK36">
        <f>IF($A36="","",IF(COUNTIFS(Human_Data_Entry!$A$3:$A$525,$A36)&gt;0,"YES","NO"))</f>
        <v/>
      </c>
      <c r="AL36">
        <f>IF($A36="","",IF(AND($C36&amp;"-"&amp;$D36&gt;=Settings!$B$19,$C36&amp;"-"&amp;$D36&lt;=Settings!$B$20),"IN","OUT"))</f>
        <v/>
      </c>
      <c r="AM36">
        <f>IF(AND(OR($H36="BUY",$H36="SELL"),ISNUMBER($T36)),$T36,"")</f>
        <v/>
      </c>
      <c r="AN36">
        <f>IF(AND(OR($H36="BUY",$H36="SELL"),ISNUMBER($AF36)),$AF36,"")</f>
        <v/>
      </c>
      <c r="AO36">
        <f>IF(ISNUMBER($AM36),ABS(IF(ISNUMBER($G36),$G36,0)-Settings!$B$25),"")</f>
        <v/>
      </c>
      <c r="AP36">
        <f>IF(ISNUMBER($AO36),$AO36*$AM36,"")</f>
        <v/>
      </c>
      <c r="AQ36">
        <f>IF(ISNUMBER($AN36),ABS(IF(ISNUMBER($G36),$G36,0)-Settings!$B$25),"")</f>
        <v/>
      </c>
      <c r="AR36">
        <f>IF(ISNUMBER($AQ36),$AQ36*$AN36,"")</f>
        <v/>
      </c>
      <c r="AS36">
        <f>IF($A36="","",IFERROR(INDEX(Company_List!$H$3:$H$207,MATCH($A36,Company_List!$A$3:$A$207,0)),"unassigned"))</f>
        <v/>
      </c>
      <c r="AT36" t="inlineStr">
        <is>
          <t>re-read since v1</t>
        </is>
      </c>
      <c r="AU36" t="inlineStr">
        <is>
          <t>Phase 2/Master_Data_v1.xlsx</t>
        </is>
      </c>
      <c r="AV36" t="n">
        <v>1</v>
      </c>
      <c r="AW36" t="inlineStr">
        <is>
          <t>not publisher-identified</t>
        </is>
      </c>
      <c r="AX36" t="inlineStr">
        <is>
          <t>not publisher-identified</t>
        </is>
      </c>
      <c r="AY36" t="inlineStr">
        <is>
          <t>no</t>
        </is>
      </c>
      <c r="AZ36" t="inlineStr">
        <is>
          <t>yes</t>
        </is>
      </c>
    </row>
    <row r="37">
      <c r="A37" s="115" t="inlineStr">
        <is>
          <t>Eli Lilly</t>
        </is>
      </c>
      <c r="B37" s="117" t="inlineStr">
        <is>
          <t>LLY</t>
        </is>
      </c>
      <c r="C37" s="105" t="n">
        <v>2025</v>
      </c>
      <c r="D37" s="106" t="inlineStr">
        <is>
          <t>Q4</t>
        </is>
      </c>
      <c r="E37" s="109" t="inlineStr">
        <is>
          <t>Ben/DeepSeek</t>
        </is>
      </c>
      <c r="F37" s="106" t="inlineStr">
        <is>
          <t>LLM</t>
        </is>
      </c>
      <c r="G37" s="128" t="n">
        <v>0.3875</v>
      </c>
      <c r="H37" s="106" t="inlineStr">
        <is>
          <t>BUY</t>
        </is>
      </c>
      <c r="I37" s="128" t="n"/>
      <c r="J37" s="125" t="n">
        <v>46057</v>
      </c>
      <c r="K37" s="126" t="n">
        <v>46056</v>
      </c>
      <c r="L37" s="129" t="n">
        <v>1003.46</v>
      </c>
      <c r="M37" s="126" t="n">
        <v>46057</v>
      </c>
      <c r="N37" s="129" t="n">
        <v>1075.12</v>
      </c>
      <c r="O37" s="132" t="n">
        <v>0.003543</v>
      </c>
      <c r="P37" s="107" t="n">
        <v>0.071413</v>
      </c>
      <c r="Q37" s="106" t="inlineStr">
        <is>
          <t>UP</t>
        </is>
      </c>
      <c r="R37" s="106" t="inlineStr">
        <is>
          <t>YES</t>
        </is>
      </c>
      <c r="S37" s="105" t="n">
        <v>1</v>
      </c>
      <c r="T37" s="107" t="n">
        <v>0.070413</v>
      </c>
      <c r="U37" s="130" t="inlineStr">
        <is>
          <t>w=[0.55,0.45,0,0] thr=(+0.25,-0.05), deployed default (risk-accepted, PSR=0.0/perm p=0.150 at N=161, not rechecked at N=268)</t>
        </is>
      </c>
      <c r="W37" t="inlineStr">
        <is>
          <t>release date + stated time in the document (rater worksheet)</t>
        </is>
      </c>
      <c r="X37" t="inlineStr">
        <is>
          <t>LLY</t>
        </is>
      </c>
      <c r="Y37" t="inlineStr">
        <is>
          <t>2026-02-03</t>
        </is>
      </c>
      <c r="Z37" t="n">
        <v>1000.0665</v>
      </c>
      <c r="AA37" t="inlineStr">
        <is>
          <t>2026-02-04</t>
        </is>
      </c>
      <c r="AB37" t="n">
        <v>1071.4841</v>
      </c>
      <c r="AC37" t="n">
        <v>0.07141286038889046</v>
      </c>
      <c r="AD37" t="inlineStr">
        <is>
          <t>UP</t>
        </is>
      </c>
      <c r="AE37" t="inlineStr">
        <is>
          <t>YES</t>
        </is>
      </c>
      <c r="AF37" t="n">
        <v>0.070413</v>
      </c>
      <c r="AG37">
        <f>IF($A37="","",IFERROR(INDEX(Company_List!$G$3:$G$207,MATCH($A37,Company_List!$A$3:$A$207,0)),"unassigned"))</f>
        <v/>
      </c>
      <c r="AH37" t="inlineStr">
        <is>
          <t>Phase 2/Eli Lilly/2025-Q4/LLY-2025-Q4-press-release-SEC-EX-99-1.htm</t>
        </is>
      </c>
      <c r="AI37" t="inlineStr">
        <is>
          <t>https://www.sec.gov/Archives/edgar/data/59478/000005947826000008/q425lillysalesandearningsp.htm</t>
        </is>
      </c>
      <c r="AJ37" t="inlineStr">
        <is>
          <t>manifest</t>
        </is>
      </c>
      <c r="AK37">
        <f>IF($A37="","",IF(COUNTIFS(Human_Data_Entry!$A$3:$A$525,$A37)&gt;0,"YES","NO"))</f>
        <v/>
      </c>
      <c r="AL37">
        <f>IF($A37="","",IF(AND($C37&amp;"-"&amp;$D37&gt;=Settings!$B$19,$C37&amp;"-"&amp;$D37&lt;=Settings!$B$20),"IN","OUT"))</f>
        <v/>
      </c>
      <c r="AM37">
        <f>IF(AND(OR($H37="BUY",$H37="SELL"),ISNUMBER($T37)),$T37,"")</f>
        <v/>
      </c>
      <c r="AN37">
        <f>IF(AND(OR($H37="BUY",$H37="SELL"),ISNUMBER($AF37)),$AF37,"")</f>
        <v/>
      </c>
      <c r="AO37">
        <f>IF(ISNUMBER($AM37),ABS(IF(ISNUMBER($G37),$G37,0)-Settings!$B$25),"")</f>
        <v/>
      </c>
      <c r="AP37">
        <f>IF(ISNUMBER($AO37),$AO37*$AM37,"")</f>
        <v/>
      </c>
      <c r="AQ37">
        <f>IF(ISNUMBER($AN37),ABS(IF(ISNUMBER($G37),$G37,0)-Settings!$B$25),"")</f>
        <v/>
      </c>
      <c r="AR37">
        <f>IF(ISNUMBER($AQ37),$AQ37*$AN37,"")</f>
        <v/>
      </c>
      <c r="AS37">
        <f>IF($A37="","",IFERROR(INDEX(Company_List!$H$3:$H$207,MATCH($A37,Company_List!$A$3:$A$207,0)),"unassigned"))</f>
        <v/>
      </c>
      <c r="AT37" t="inlineStr">
        <is>
          <t>re-read since v1</t>
        </is>
      </c>
      <c r="AU37" t="inlineStr">
        <is>
          <t>Phase 2/Master_Data_v1.xlsx</t>
        </is>
      </c>
      <c r="AV37" t="n">
        <v>1</v>
      </c>
      <c r="AW37" t="inlineStr">
        <is>
          <t>not publisher-identified</t>
        </is>
      </c>
      <c r="AX37" t="inlineStr">
        <is>
          <t>not publisher-identified</t>
        </is>
      </c>
      <c r="AY37" t="inlineStr">
        <is>
          <t>no</t>
        </is>
      </c>
      <c r="AZ37" t="inlineStr">
        <is>
          <t>yes</t>
        </is>
      </c>
    </row>
    <row r="38">
      <c r="A38" s="115" t="inlineStr">
        <is>
          <t>Goldman Sachs</t>
        </is>
      </c>
      <c r="B38" s="117" t="inlineStr">
        <is>
          <t>GS</t>
        </is>
      </c>
      <c r="C38" s="105" t="n">
        <v>2025</v>
      </c>
      <c r="D38" s="106" t="inlineStr">
        <is>
          <t>Q1</t>
        </is>
      </c>
      <c r="E38" s="109" t="inlineStr">
        <is>
          <t>Ben/DeepSeek</t>
        </is>
      </c>
      <c r="F38" s="106" t="inlineStr">
        <is>
          <t>LLM</t>
        </is>
      </c>
      <c r="G38" s="128" t="n">
        <v>-0.135</v>
      </c>
      <c r="H38" s="106" t="inlineStr">
        <is>
          <t>SELL</t>
        </is>
      </c>
      <c r="I38" s="128" t="n"/>
      <c r="J38" s="125" t="n">
        <v>45761</v>
      </c>
      <c r="K38" s="126" t="n">
        <v>45758</v>
      </c>
      <c r="L38" s="129" t="n">
        <v>494.44</v>
      </c>
      <c r="M38" s="126" t="n">
        <v>45761</v>
      </c>
      <c r="N38" s="129" t="n">
        <v>510</v>
      </c>
      <c r="O38" s="132" t="n">
        <v>0.008151</v>
      </c>
      <c r="P38" s="107" t="n">
        <v>0.03147</v>
      </c>
      <c r="Q38" s="106" t="inlineStr">
        <is>
          <t>UP</t>
        </is>
      </c>
      <c r="R38" s="106" t="inlineStr">
        <is>
          <t>NO</t>
        </is>
      </c>
      <c r="S38" s="105" t="n">
        <v>-1</v>
      </c>
      <c r="T38" s="107" t="n">
        <v>-0.03247</v>
      </c>
      <c r="U38" s="130" t="inlineStr">
        <is>
          <t>w=[0.55,0.45,0,0] thr=(+0.25,-0.05), deployed default (risk-accepted, PSR=0.0/perm p=0.150 at N=161, not rechecked at N=268)</t>
        </is>
      </c>
      <c r="W38" t="inlineStr">
        <is>
          <t>price signal — only this window shows an abnormal move</t>
        </is>
      </c>
      <c r="X38" t="inlineStr">
        <is>
          <t>GS</t>
        </is>
      </c>
      <c r="Y38" t="inlineStr">
        <is>
          <t>2025-04-11</t>
        </is>
      </c>
      <c r="Z38" t="n">
        <v>482.2791</v>
      </c>
      <c r="AA38" t="inlineStr">
        <is>
          <t>2025-04-14</t>
        </is>
      </c>
      <c r="AB38" t="n">
        <v>497.4564</v>
      </c>
      <c r="AC38" t="n">
        <v>0.03146985469319141</v>
      </c>
      <c r="AD38" t="inlineStr">
        <is>
          <t>UP</t>
        </is>
      </c>
      <c r="AE38" t="inlineStr">
        <is>
          <t>NO</t>
        </is>
      </c>
      <c r="AF38" t="n">
        <v>-0.03247</v>
      </c>
      <c r="AG38">
        <f>IF($A38="","",IFERROR(INDEX(Company_List!$G$3:$G$207,MATCH($A38,Company_List!$A$3:$A$207,0)),"unassigned"))</f>
        <v/>
      </c>
      <c r="AH38" t="inlineStr">
        <is>
          <t>Phase 2/Goldman Sachs/Q1 2025/GS-Q1-2025-presentation-SEC-EX99-2.htm; Phase 2/Goldman Sachs/Q1 2025/GS-Q1-2025-press-release-SEC-EX99-1.htm; Phase 2/Goldman Sachs/Q1 2025/GS-Q1-2025-earnings-call-transcript-InsiderMonkey.html</t>
        </is>
      </c>
      <c r="AI38" t="inlineStr">
        <is>
          <t>https://www.insidermonkey.com/blog/the-goldman-sachs-group-inc-nysegs-q1-2025-earnings-call-transcript-1508363/; https://www.sec.gov/Archives/edgar/data/886982/000119312525079625/d750054dex991.htm; https://www.sec.gov/Archives/edgar/data/886982/000119312525079625/d750054dex992.htm</t>
        </is>
      </c>
      <c r="AJ38" t="inlineStr">
        <is>
          <t>manifest (whole bundle)</t>
        </is>
      </c>
      <c r="AK38">
        <f>IF($A38="","",IF(COUNTIFS(Human_Data_Entry!$A$3:$A$525,$A38)&gt;0,"YES","NO"))</f>
        <v/>
      </c>
      <c r="AL38">
        <f>IF($A38="","",IF(AND($C38&amp;"-"&amp;$D38&gt;=Settings!$B$19,$C38&amp;"-"&amp;$D38&lt;=Settings!$B$20),"IN","OUT"))</f>
        <v/>
      </c>
      <c r="AM38">
        <f>IF(AND(OR($H38="BUY",$H38="SELL"),ISNUMBER($T38)),$T38,"")</f>
        <v/>
      </c>
      <c r="AN38">
        <f>IF(AND(OR($H38="BUY",$H38="SELL"),ISNUMBER($AF38)),$AF38,"")</f>
        <v/>
      </c>
      <c r="AO38">
        <f>IF(ISNUMBER($AM38),ABS(IF(ISNUMBER($G38),$G38,0)-Settings!$B$25),"")</f>
        <v/>
      </c>
      <c r="AP38">
        <f>IF(ISNUMBER($AO38),$AO38*$AM38,"")</f>
        <v/>
      </c>
      <c r="AQ38">
        <f>IF(ISNUMBER($AN38),ABS(IF(ISNUMBER($G38),$G38,0)-Settings!$B$25),"")</f>
        <v/>
      </c>
      <c r="AR38">
        <f>IF(ISNUMBER($AQ38),$AQ38*$AN38,"")</f>
        <v/>
      </c>
      <c r="AS38">
        <f>IF($A38="","",IFERROR(INDEX(Company_List!$H$3:$H$207,MATCH($A38,Company_List!$A$3:$A$207,0)),"unassigned"))</f>
        <v/>
      </c>
      <c r="AT38" t="inlineStr">
        <is>
          <t>re-read since v1</t>
        </is>
      </c>
      <c r="AU38" t="inlineStr">
        <is>
          <t>Phase 2/Master_Data_v1.xlsx</t>
        </is>
      </c>
      <c r="AV38" t="n">
        <v>3</v>
      </c>
      <c r="AW38" t="inlineStr">
        <is>
          <t>Insider Monkey (Koala Guide LLC)</t>
        </is>
      </c>
      <c r="AX38" t="inlineStr">
        <is>
          <t>free to read, copyright asserted</t>
        </is>
      </c>
      <c r="AY38" t="inlineStr">
        <is>
          <t>no</t>
        </is>
      </c>
      <c r="AZ38" t="inlineStr">
        <is>
          <t>yes</t>
        </is>
      </c>
    </row>
    <row r="39">
      <c r="A39" s="115" t="inlineStr">
        <is>
          <t>Goldman Sachs</t>
        </is>
      </c>
      <c r="B39" s="117" t="inlineStr">
        <is>
          <t>GS</t>
        </is>
      </c>
      <c r="C39" s="105" t="n">
        <v>2026</v>
      </c>
      <c r="D39" s="106" t="inlineStr">
        <is>
          <t>Q1</t>
        </is>
      </c>
      <c r="E39" s="109" t="inlineStr">
        <is>
          <t>Ben/DeepSeek</t>
        </is>
      </c>
      <c r="F39" s="106" t="inlineStr">
        <is>
          <t>LLM</t>
        </is>
      </c>
      <c r="G39" s="128" t="n">
        <v>-0.0525</v>
      </c>
      <c r="H39" s="106" t="inlineStr">
        <is>
          <t>SELL</t>
        </is>
      </c>
      <c r="I39" s="128" t="n"/>
      <c r="J39" s="125" t="n">
        <v>46125</v>
      </c>
      <c r="K39" s="126" t="n">
        <v>46122</v>
      </c>
      <c r="L39" s="129" t="n">
        <v>907.8</v>
      </c>
      <c r="M39" s="126" t="n">
        <v>46125</v>
      </c>
      <c r="N39" s="129" t="n">
        <v>875.55</v>
      </c>
      <c r="O39" s="132" t="n">
        <v>0.008619</v>
      </c>
      <c r="P39" s="107" t="n">
        <v>-0.035525</v>
      </c>
      <c r="Q39" s="106" t="inlineStr">
        <is>
          <t>DOWN</t>
        </is>
      </c>
      <c r="R39" s="106" t="inlineStr">
        <is>
          <t>YES</t>
        </is>
      </c>
      <c r="S39" s="105" t="n">
        <v>-1</v>
      </c>
      <c r="T39" s="107" t="n">
        <v>0.034525</v>
      </c>
      <c r="U39" s="130" t="inlineStr">
        <is>
          <t>w=[0.55,0.45,0,0] thr=(+0.25,-0.05), deployed default (risk-accepted, PSR=0.0/perm p=0.150 at N=161, not rechecked at N=268)</t>
        </is>
      </c>
      <c r="W39" t="inlineStr">
        <is>
          <t>price signal — only this window shows an abnormal move</t>
        </is>
      </c>
      <c r="X39" t="inlineStr">
        <is>
          <t>GS</t>
        </is>
      </c>
      <c r="Y39" t="inlineStr">
        <is>
          <t>2026-04-10</t>
        </is>
      </c>
      <c r="Z39" t="n">
        <v>903.8167</v>
      </c>
      <c r="AA39" t="inlineStr">
        <is>
          <t>2026-04-13</t>
        </is>
      </c>
      <c r="AB39" t="n">
        <v>871.7082</v>
      </c>
      <c r="AC39" t="n">
        <v>-0.03552543586465621</v>
      </c>
      <c r="AD39" t="inlineStr">
        <is>
          <t>DOWN</t>
        </is>
      </c>
      <c r="AE39" t="inlineStr">
        <is>
          <t>YES</t>
        </is>
      </c>
      <c r="AF39" t="n">
        <v>0.034525</v>
      </c>
      <c r="AG39">
        <f>IF($A39="","",IFERROR(INDEX(Company_List!$G$3:$G$207,MATCH($A39,Company_List!$A$3:$A$207,0)),"unassigned"))</f>
        <v/>
      </c>
      <c r="AH39" t="inlineStr">
        <is>
          <t>Phase 2/Goldman Sachs/Q1 2026/GS-Q1-2026-presentation-SEC-EX99-2.htm; Phase 2/Goldman Sachs/Q1 2026/GS-Q1-2026-press-release-SEC-EX99-1.htm; Phase 2/Goldman Sachs/Q1 2026/GS-Q1-2026-earnings-call-transcript-MotleyFool.html</t>
        </is>
      </c>
      <c r="AI39" t="inlineStr">
        <is>
          <t>https://www.fool.com/earnings/call-transcripts/2026/04/13/goldman-sachs-gs-q1-2026-earnings-transcript/; https://www.sec.gov/Archives/edgar/data/886982/000088698226000096/a1q26gsearningsresults.htm; https://www.sec.gov/Archives/edgar/data/886982/000088698226000096/a1q26gsearningsresultspr.htm</t>
        </is>
      </c>
      <c r="AJ39" t="inlineStr">
        <is>
          <t>manifest (whole bundle)</t>
        </is>
      </c>
      <c r="AK39">
        <f>IF($A39="","",IF(COUNTIFS(Human_Data_Entry!$A$3:$A$525,$A39)&gt;0,"YES","NO"))</f>
        <v/>
      </c>
      <c r="AL39">
        <f>IF($A39="","",IF(AND($C39&amp;"-"&amp;$D39&gt;=Settings!$B$19,$C39&amp;"-"&amp;$D39&lt;=Settings!$B$20),"IN","OUT"))</f>
        <v/>
      </c>
      <c r="AM39">
        <f>IF(AND(OR($H39="BUY",$H39="SELL"),ISNUMBER($T39)),$T39,"")</f>
        <v/>
      </c>
      <c r="AN39">
        <f>IF(AND(OR($H39="BUY",$H39="SELL"),ISNUMBER($AF39)),$AF39,"")</f>
        <v/>
      </c>
      <c r="AO39">
        <f>IF(ISNUMBER($AM39),ABS(IF(ISNUMBER($G39),$G39,0)-Settings!$B$25),"")</f>
        <v/>
      </c>
      <c r="AP39">
        <f>IF(ISNUMBER($AO39),$AO39*$AM39,"")</f>
        <v/>
      </c>
      <c r="AQ39">
        <f>IF(ISNUMBER($AN39),ABS(IF(ISNUMBER($G39),$G39,0)-Settings!$B$25),"")</f>
        <v/>
      </c>
      <c r="AR39">
        <f>IF(ISNUMBER($AQ39),$AQ39*$AN39,"")</f>
        <v/>
      </c>
      <c r="AS39">
        <f>IF($A39="","",IFERROR(INDEX(Company_List!$H$3:$H$207,MATCH($A39,Company_List!$A$3:$A$207,0)),"unassigned"))</f>
        <v/>
      </c>
      <c r="AT39" t="inlineStr">
        <is>
          <t>re-read since v1</t>
        </is>
      </c>
      <c r="AU39" t="inlineStr">
        <is>
          <t>Phase 2/Master_Data_v1.xlsx</t>
        </is>
      </c>
      <c r="AV39" t="n">
        <v>3</v>
      </c>
      <c r="AW39" t="inlineStr">
        <is>
          <t>The Motley Fool</t>
        </is>
      </c>
      <c r="AX39" t="inlineStr">
        <is>
          <t>free to read, copyright asserted</t>
        </is>
      </c>
      <c r="AY39" t="inlineStr">
        <is>
          <t>no</t>
        </is>
      </c>
      <c r="AZ39" t="inlineStr">
        <is>
          <t>yes</t>
        </is>
      </c>
    </row>
    <row r="40">
      <c r="A40" s="115" t="inlineStr">
        <is>
          <t>Goldman Sachs</t>
        </is>
      </c>
      <c r="B40" s="117" t="inlineStr">
        <is>
          <t>GS</t>
        </is>
      </c>
      <c r="C40" s="105" t="n">
        <v>2025</v>
      </c>
      <c r="D40" s="106" t="inlineStr">
        <is>
          <t>Q2</t>
        </is>
      </c>
      <c r="E40" s="109" t="inlineStr">
        <is>
          <t>Ben/DeepSeek</t>
        </is>
      </c>
      <c r="F40" s="106" t="inlineStr">
        <is>
          <t>LLM</t>
        </is>
      </c>
      <c r="G40" s="128" t="n">
        <v>0.21</v>
      </c>
      <c r="H40" s="106" t="inlineStr">
        <is>
          <t>HOLD</t>
        </is>
      </c>
      <c r="I40" s="128" t="n"/>
      <c r="J40" s="125" t="n">
        <v>45854</v>
      </c>
      <c r="K40" s="126" t="n">
        <v>45853</v>
      </c>
      <c r="L40" s="129" t="n">
        <v>702.51</v>
      </c>
      <c r="M40" s="126" t="n">
        <v>45854</v>
      </c>
      <c r="N40" s="129" t="n">
        <v>708.5</v>
      </c>
      <c r="O40" s="132" t="n">
        <v>0.007993999999999999</v>
      </c>
      <c r="P40" s="107" t="n">
        <v>0.008527</v>
      </c>
      <c r="Q40" s="106" t="inlineStr">
        <is>
          <t>FLAT</t>
        </is>
      </c>
      <c r="R40" s="106" t="inlineStr">
        <is>
          <t>YES</t>
        </is>
      </c>
      <c r="S40" s="105" t="n">
        <v>0</v>
      </c>
      <c r="T40" s="107" t="n">
        <v>0</v>
      </c>
      <c r="U40" s="130" t="inlineStr">
        <is>
          <t>w=[0.55,0.45,0,0] thr=(+0.25,-0.05), deployed default (risk-accepted, PSR=0.0/perm p=0.150 at N=161, not rechecked at N=268)</t>
        </is>
      </c>
      <c r="W40" t="inlineStr">
        <is>
          <t>earnings calendar, seconded independently</t>
        </is>
      </c>
      <c r="X40" t="inlineStr">
        <is>
          <t>GS</t>
        </is>
      </c>
      <c r="Y40" t="inlineStr">
        <is>
          <t>2025-07-15</t>
        </is>
      </c>
      <c r="Z40" t="n">
        <v>688.6472</v>
      </c>
      <c r="AA40" t="inlineStr">
        <is>
          <t>2025-07-16</t>
        </is>
      </c>
      <c r="AB40" t="n">
        <v>694.5189</v>
      </c>
      <c r="AC40" t="n">
        <v>0.008526563634517781</v>
      </c>
      <c r="AD40" t="inlineStr">
        <is>
          <t>FLAT</t>
        </is>
      </c>
      <c r="AE40" t="inlineStr">
        <is>
          <t>YES</t>
        </is>
      </c>
      <c r="AF40" t="n">
        <v>0</v>
      </c>
      <c r="AG40">
        <f>IF($A40="","",IFERROR(INDEX(Company_List!$G$3:$G$207,MATCH($A40,Company_List!$A$3:$A$207,0)),"unassigned"))</f>
        <v/>
      </c>
      <c r="AH40" t="inlineStr">
        <is>
          <t>Phase 2/Goldman Sachs/Q2 2025/GS-Q2-2025-presentation-SEC-EX99-2.htm; Phase 2/Goldman Sachs/Q2 2025/GS-Q2-2025-press-release-SEC-EX99-1.htm; Phase 2/Goldman Sachs/Q2 2025/GS-Q2-2025-earnings-call-transcript-MotleyFool.html</t>
        </is>
      </c>
      <c r="AI40" t="inlineStr">
        <is>
          <t>https://www.fool.com/earnings/call-transcripts/2025/07/16/goldman-sachs-gs-q2-2025-earnings-call-transcript/; https://www.sec.gov/Archives/edgar/data/886982/000119312525159560/d41877dex991.htm; https://www.sec.gov/Archives/edgar/data/886982/000119312525159560/d41877dex992.htm</t>
        </is>
      </c>
      <c r="AJ40" t="inlineStr">
        <is>
          <t>manifest (whole bundle)</t>
        </is>
      </c>
      <c r="AK40">
        <f>IF($A40="","",IF(COUNTIFS(Human_Data_Entry!$A$3:$A$525,$A40)&gt;0,"YES","NO"))</f>
        <v/>
      </c>
      <c r="AL40">
        <f>IF($A40="","",IF(AND($C40&amp;"-"&amp;$D40&gt;=Settings!$B$19,$C40&amp;"-"&amp;$D40&lt;=Settings!$B$20),"IN","OUT"))</f>
        <v/>
      </c>
      <c r="AM40">
        <f>IF(AND(OR($H40="BUY",$H40="SELL"),ISNUMBER($T40)),$T40,"")</f>
        <v/>
      </c>
      <c r="AN40">
        <f>IF(AND(OR($H40="BUY",$H40="SELL"),ISNUMBER($AF40)),$AF40,"")</f>
        <v/>
      </c>
      <c r="AO40">
        <f>IF(ISNUMBER($AM40),ABS(IF(ISNUMBER($G40),$G40,0)-Settings!$B$25),"")</f>
        <v/>
      </c>
      <c r="AP40">
        <f>IF(ISNUMBER($AO40),$AO40*$AM40,"")</f>
        <v/>
      </c>
      <c r="AQ40">
        <f>IF(ISNUMBER($AN40),ABS(IF(ISNUMBER($G40),$G40,0)-Settings!$B$25),"")</f>
        <v/>
      </c>
      <c r="AR40">
        <f>IF(ISNUMBER($AQ40),$AQ40*$AN40,"")</f>
        <v/>
      </c>
      <c r="AS40">
        <f>IF($A40="","",IFERROR(INDEX(Company_List!$H$3:$H$207,MATCH($A40,Company_List!$A$3:$A$207,0)),"unassigned"))</f>
        <v/>
      </c>
      <c r="AT40" t="inlineStr">
        <is>
          <t>re-read since v1</t>
        </is>
      </c>
      <c r="AU40" t="inlineStr">
        <is>
          <t>Phase 2/Master_Data_v1.xlsx</t>
        </is>
      </c>
      <c r="AV40" t="n">
        <v>3</v>
      </c>
      <c r="AW40" t="inlineStr">
        <is>
          <t>The Motley Fool</t>
        </is>
      </c>
      <c r="AX40" t="inlineStr">
        <is>
          <t>free to read, copyright asserted</t>
        </is>
      </c>
      <c r="AY40" t="inlineStr">
        <is>
          <t>no</t>
        </is>
      </c>
      <c r="AZ40" t="inlineStr">
        <is>
          <t>yes</t>
        </is>
      </c>
    </row>
    <row r="41">
      <c r="A41" s="115" t="inlineStr">
        <is>
          <t>Goldman Sachs</t>
        </is>
      </c>
      <c r="B41" s="117" t="inlineStr">
        <is>
          <t>GS</t>
        </is>
      </c>
      <c r="C41" s="105" t="n">
        <v>2026</v>
      </c>
      <c r="D41" s="106" t="inlineStr">
        <is>
          <t>Q2</t>
        </is>
      </c>
      <c r="E41" s="109" t="inlineStr">
        <is>
          <t>Ben/DeepSeek</t>
        </is>
      </c>
      <c r="F41" s="106" t="inlineStr">
        <is>
          <t>LLM</t>
        </is>
      </c>
      <c r="G41" s="128" t="n">
        <v>0.03</v>
      </c>
      <c r="H41" s="106" t="inlineStr">
        <is>
          <t>HOLD</t>
        </is>
      </c>
      <c r="I41" s="128" t="n"/>
      <c r="J41" s="125" t="n">
        <v>46217</v>
      </c>
      <c r="K41" s="126" t="n">
        <v>46216</v>
      </c>
      <c r="L41" s="129" t="n">
        <v>1045.91</v>
      </c>
      <c r="M41" s="126" t="n">
        <v>46217</v>
      </c>
      <c r="N41" s="129" t="n">
        <v>1085</v>
      </c>
      <c r="O41" s="132" t="n">
        <v>0.007519</v>
      </c>
      <c r="P41" s="107" t="n">
        <v>0.037374</v>
      </c>
      <c r="Q41" s="106" t="inlineStr">
        <is>
          <t>UP</t>
        </is>
      </c>
      <c r="R41" s="106" t="inlineStr">
        <is>
          <t>NO</t>
        </is>
      </c>
      <c r="S41" s="105" t="n">
        <v>0</v>
      </c>
      <c r="T41" s="107" t="n">
        <v>0</v>
      </c>
      <c r="U41" s="130" t="inlineStr">
        <is>
          <t>w=[0.55,0.45,0,0] thr=(+0.25,-0.05), deployed default (risk-accepted, PSR=0.0/perm p=0.150 at N=161, not rechecked at N=268)</t>
        </is>
      </c>
      <c r="W41" t="inlineStr">
        <is>
          <t>price signal — only this window shows an abnormal move</t>
        </is>
      </c>
      <c r="X41" t="inlineStr">
        <is>
          <t>GS</t>
        </is>
      </c>
      <c r="Y41" t="inlineStr">
        <is>
          <t>2026-07-13</t>
        </is>
      </c>
      <c r="Z41" t="n">
        <v>1045.91</v>
      </c>
      <c r="AA41" t="inlineStr">
        <is>
          <t>2026-07-14</t>
        </is>
      </c>
      <c r="AB41" t="n">
        <v>1085</v>
      </c>
      <c r="AC41" t="n">
        <v>0.03737411892923861</v>
      </c>
      <c r="AD41" t="inlineStr">
        <is>
          <t>UP</t>
        </is>
      </c>
      <c r="AE41" t="inlineStr">
        <is>
          <t>NO</t>
        </is>
      </c>
      <c r="AF41" t="n">
        <v>0</v>
      </c>
      <c r="AG41">
        <f>IF($A41="","",IFERROR(INDEX(Company_List!$G$3:$G$207,MATCH($A41,Company_List!$A$3:$A$207,0)),"unassigned"))</f>
        <v/>
      </c>
      <c r="AH41" t="inlineStr">
        <is>
          <t>Phase 2/Goldman Sachs/Q2 2026/GS-Q2-2026-presentation-SEC-EX99-2.htm; Phase 2/Goldman Sachs/Q2 2026/GS-Q2-2026-press-release-SEC-EX99-1.htm; Phase 2/Goldman Sachs/Q2 2026/GS-Q2-2026-earnings-call-transcript-AlphaStreet.html</t>
        </is>
      </c>
      <c r="AI41" t="inlineStr">
        <is>
          <t>https://news.alphastreet.com/goldman-sachs-group-inc-gs-q2-2026-earnings-call-transcript/; https://www.sec.gov/Archives/edgar/data/886982/000088698226000294/a2q26gsearningsresults.htm; https://www.sec.gov/Archives/edgar/data/886982/000088698226000294/a2q26gsearningsresultspr.htm</t>
        </is>
      </c>
      <c r="AJ41" t="inlineStr">
        <is>
          <t>manifest (whole bundle)</t>
        </is>
      </c>
      <c r="AK41">
        <f>IF($A41="","",IF(COUNTIFS(Human_Data_Entry!$A$3:$A$525,$A41)&gt;0,"YES","NO"))</f>
        <v/>
      </c>
      <c r="AL41">
        <f>IF($A41="","",IF(AND($C41&amp;"-"&amp;$D41&gt;=Settings!$B$19,$C41&amp;"-"&amp;$D41&lt;=Settings!$B$20),"IN","OUT"))</f>
        <v/>
      </c>
      <c r="AM41">
        <f>IF(AND(OR($H41="BUY",$H41="SELL"),ISNUMBER($T41)),$T41,"")</f>
        <v/>
      </c>
      <c r="AN41">
        <f>IF(AND(OR($H41="BUY",$H41="SELL"),ISNUMBER($AF41)),$AF41,"")</f>
        <v/>
      </c>
      <c r="AO41">
        <f>IF(ISNUMBER($AM41),ABS(IF(ISNUMBER($G41),$G41,0)-Settings!$B$25),"")</f>
        <v/>
      </c>
      <c r="AP41">
        <f>IF(ISNUMBER($AO41),$AO41*$AM41,"")</f>
        <v/>
      </c>
      <c r="AQ41">
        <f>IF(ISNUMBER($AN41),ABS(IF(ISNUMBER($G41),$G41,0)-Settings!$B$25),"")</f>
        <v/>
      </c>
      <c r="AR41">
        <f>IF(ISNUMBER($AQ41),$AQ41*$AN41,"")</f>
        <v/>
      </c>
      <c r="AS41">
        <f>IF($A41="","",IFERROR(INDEX(Company_List!$H$3:$H$207,MATCH($A41,Company_List!$A$3:$A$207,0)),"unassigned"))</f>
        <v/>
      </c>
      <c r="AT41" t="inlineStr">
        <is>
          <t>re-read since v1</t>
        </is>
      </c>
      <c r="AU41" t="inlineStr">
        <is>
          <t>Phase 2/Master_Data_v1.xlsx</t>
        </is>
      </c>
      <c r="AV41" t="n">
        <v>3</v>
      </c>
      <c r="AW41" t="inlineStr">
        <is>
          <t>not publisher-identified</t>
        </is>
      </c>
      <c r="AX41" t="inlineStr">
        <is>
          <t>not publisher-identified</t>
        </is>
      </c>
      <c r="AY41" t="inlineStr">
        <is>
          <t>no</t>
        </is>
      </c>
      <c r="AZ41" t="inlineStr">
        <is>
          <t>yes</t>
        </is>
      </c>
    </row>
    <row r="42">
      <c r="A42" s="115" t="inlineStr">
        <is>
          <t>Goldman Sachs</t>
        </is>
      </c>
      <c r="B42" s="117" t="inlineStr">
        <is>
          <t>GS</t>
        </is>
      </c>
      <c r="C42" s="105" t="n">
        <v>2025</v>
      </c>
      <c r="D42" s="106" t="inlineStr">
        <is>
          <t>Q3</t>
        </is>
      </c>
      <c r="E42" s="109" t="inlineStr">
        <is>
          <t>Ben/DeepSeek</t>
        </is>
      </c>
      <c r="F42" s="106" t="inlineStr">
        <is>
          <t>LLM</t>
        </is>
      </c>
      <c r="G42" s="128" t="n">
        <v>0.3275</v>
      </c>
      <c r="H42" s="106" t="inlineStr">
        <is>
          <t>BUY</t>
        </is>
      </c>
      <c r="I42" s="128" t="n"/>
      <c r="J42" s="125" t="n">
        <v>45944</v>
      </c>
      <c r="K42" s="126" t="n">
        <v>45943</v>
      </c>
      <c r="L42" s="129" t="n">
        <v>786.78</v>
      </c>
      <c r="M42" s="126" t="n">
        <v>45944</v>
      </c>
      <c r="N42" s="129" t="n">
        <v>764.45</v>
      </c>
      <c r="O42" s="132" t="n">
        <v>0.007171</v>
      </c>
      <c r="P42" s="107" t="n">
        <v>-0.028382</v>
      </c>
      <c r="Q42" s="106" t="inlineStr">
        <is>
          <t>DOWN</t>
        </is>
      </c>
      <c r="R42" s="106" t="inlineStr">
        <is>
          <t>NO</t>
        </is>
      </c>
      <c r="S42" s="105" t="n">
        <v>1</v>
      </c>
      <c r="T42" s="107" t="n">
        <v>-0.029382</v>
      </c>
      <c r="U42" s="130" t="inlineStr">
        <is>
          <t>w=[0.55,0.45,0,0] thr=(+0.25,-0.05), deployed default (risk-accepted, PSR=0.0/perm p=0.150 at N=161, not rechecked at N=268)</t>
        </is>
      </c>
      <c r="W42" t="inlineStr">
        <is>
          <t>price signal — only this window shows an abnormal move</t>
        </is>
      </c>
      <c r="X42" t="inlineStr">
        <is>
          <t>GS</t>
        </is>
      </c>
      <c r="Y42" t="inlineStr">
        <is>
          <t>2025-10-13</t>
        </is>
      </c>
      <c r="Z42" t="n">
        <v>775.3828999999999</v>
      </c>
      <c r="AA42" t="inlineStr">
        <is>
          <t>2025-10-14</t>
        </is>
      </c>
      <c r="AB42" t="n">
        <v>753.3764</v>
      </c>
      <c r="AC42" t="n">
        <v>-0.02838145729871041</v>
      </c>
      <c r="AD42" t="inlineStr">
        <is>
          <t>DOWN</t>
        </is>
      </c>
      <c r="AE42" t="inlineStr">
        <is>
          <t>NO</t>
        </is>
      </c>
      <c r="AF42" t="n">
        <v>-0.029381</v>
      </c>
      <c r="AG42">
        <f>IF($A42="","",IFERROR(INDEX(Company_List!$G$3:$G$207,MATCH($A42,Company_List!$A$3:$A$207,0)),"unassigned"))</f>
        <v/>
      </c>
      <c r="AH42" t="inlineStr">
        <is>
          <t>Phase 2/Goldman Sachs/Q3 2025/GS-Q3-2025-presentation-SEC-EX99-2.htm; Phase 2/Goldman Sachs/Q3 2025/GS-Q3-2025-press-release-SEC-EX99-1.htm; Phase 2/Goldman Sachs/Q3 2025/GS-Q3-2025-earnings-call-transcript-InsiderMonkey.html</t>
        </is>
      </c>
      <c r="AI42" t="inlineStr">
        <is>
          <t>https://www.insidermonkey.com/blog/the-goldman-sachs-group-inc-nysegs-q3-2025-earnings-call-transcript-1628253/; https://www.sec.gov/Archives/edgar/data/886982/000119312525238058/d899312dex991.htm; https://www.sec.gov/Archives/edgar/data/886982/000119312525238058/d899312dex992.htm</t>
        </is>
      </c>
      <c r="AJ42" t="inlineStr">
        <is>
          <t>manifest (whole bundle)</t>
        </is>
      </c>
      <c r="AK42">
        <f>IF($A42="","",IF(COUNTIFS(Human_Data_Entry!$A$3:$A$525,$A42)&gt;0,"YES","NO"))</f>
        <v/>
      </c>
      <c r="AL42">
        <f>IF($A42="","",IF(AND($C42&amp;"-"&amp;$D42&gt;=Settings!$B$19,$C42&amp;"-"&amp;$D42&lt;=Settings!$B$20),"IN","OUT"))</f>
        <v/>
      </c>
      <c r="AM42">
        <f>IF(AND(OR($H42="BUY",$H42="SELL"),ISNUMBER($T42)),$T42,"")</f>
        <v/>
      </c>
      <c r="AN42">
        <f>IF(AND(OR($H42="BUY",$H42="SELL"),ISNUMBER($AF42)),$AF42,"")</f>
        <v/>
      </c>
      <c r="AO42">
        <f>IF(ISNUMBER($AM42),ABS(IF(ISNUMBER($G42),$G42,0)-Settings!$B$25),"")</f>
        <v/>
      </c>
      <c r="AP42">
        <f>IF(ISNUMBER($AO42),$AO42*$AM42,"")</f>
        <v/>
      </c>
      <c r="AQ42">
        <f>IF(ISNUMBER($AN42),ABS(IF(ISNUMBER($G42),$G42,0)-Settings!$B$25),"")</f>
        <v/>
      </c>
      <c r="AR42">
        <f>IF(ISNUMBER($AQ42),$AQ42*$AN42,"")</f>
        <v/>
      </c>
      <c r="AS42">
        <f>IF($A42="","",IFERROR(INDEX(Company_List!$H$3:$H$207,MATCH($A42,Company_List!$A$3:$A$207,0)),"unassigned"))</f>
        <v/>
      </c>
      <c r="AT42" t="inlineStr">
        <is>
          <t>re-read since v1</t>
        </is>
      </c>
      <c r="AU42" t="inlineStr">
        <is>
          <t>Phase 2/Master_Data_v1.xlsx</t>
        </is>
      </c>
      <c r="AV42" t="n">
        <v>3</v>
      </c>
      <c r="AW42" t="inlineStr">
        <is>
          <t>Insider Monkey (Koala Guide LLC)</t>
        </is>
      </c>
      <c r="AX42" t="inlineStr">
        <is>
          <t>free to read, copyright asserted</t>
        </is>
      </c>
      <c r="AY42" t="inlineStr">
        <is>
          <t>no</t>
        </is>
      </c>
      <c r="AZ42" t="inlineStr">
        <is>
          <t>yes</t>
        </is>
      </c>
    </row>
    <row r="43">
      <c r="A43" s="115" t="inlineStr">
        <is>
          <t>Goldman Sachs</t>
        </is>
      </c>
      <c r="B43" s="117" t="inlineStr">
        <is>
          <t>GS</t>
        </is>
      </c>
      <c r="C43" s="105" t="n">
        <v>2025</v>
      </c>
      <c r="D43" s="106" t="inlineStr">
        <is>
          <t>Q4</t>
        </is>
      </c>
      <c r="E43" s="109" t="inlineStr">
        <is>
          <t>Ben/DeepSeek</t>
        </is>
      </c>
      <c r="F43" s="106" t="inlineStr">
        <is>
          <t>LLM</t>
        </is>
      </c>
      <c r="G43" s="128" t="n">
        <v>0.2775</v>
      </c>
      <c r="H43" s="106" t="inlineStr">
        <is>
          <t>BUY</t>
        </is>
      </c>
      <c r="I43" s="128" t="n"/>
      <c r="J43" s="125" t="n">
        <v>46037</v>
      </c>
      <c r="K43" s="126" t="n">
        <v>46036</v>
      </c>
      <c r="L43" s="129" t="n">
        <v>932.67</v>
      </c>
      <c r="M43" s="126" t="n">
        <v>46037</v>
      </c>
      <c r="N43" s="129" t="n">
        <v>924.9</v>
      </c>
      <c r="O43" s="132" t="n">
        <v>0.008229</v>
      </c>
      <c r="P43" s="107" t="n">
        <v>-0.008331</v>
      </c>
      <c r="Q43" s="106" t="inlineStr">
        <is>
          <t>FLAT</t>
        </is>
      </c>
      <c r="R43" s="106" t="inlineStr">
        <is>
          <t>NO</t>
        </is>
      </c>
      <c r="S43" s="105" t="n">
        <v>1</v>
      </c>
      <c r="T43" s="107" t="n">
        <v>-0.009331000000000001</v>
      </c>
      <c r="U43" s="130" t="inlineStr">
        <is>
          <t>w=[0.55,0.45,0,0] thr=(+0.25,-0.05), deployed default (risk-accepted, PSR=0.0/perm p=0.150 at N=161, not rechecked at N=268)</t>
        </is>
      </c>
      <c r="W43" t="inlineStr">
        <is>
          <t>price signal — only this window shows an abnormal move</t>
        </is>
      </c>
      <c r="X43" t="inlineStr">
        <is>
          <t>GS</t>
        </is>
      </c>
      <c r="Y43" t="inlineStr">
        <is>
          <t>2026-01-14</t>
        </is>
      </c>
      <c r="Z43" t="n">
        <v>923.7163</v>
      </c>
      <c r="AA43" t="inlineStr">
        <is>
          <t>2026-01-15</t>
        </is>
      </c>
      <c r="AB43" t="n">
        <v>916.0209</v>
      </c>
      <c r="AC43" t="n">
        <v>-0.008330925349948315</v>
      </c>
      <c r="AD43" t="inlineStr">
        <is>
          <t>FLAT</t>
        </is>
      </c>
      <c r="AE43" t="inlineStr">
        <is>
          <t>NO</t>
        </is>
      </c>
      <c r="AF43" t="n">
        <v>-0.009331000000000001</v>
      </c>
      <c r="AG43">
        <f>IF($A43="","",IFERROR(INDEX(Company_List!$G$3:$G$207,MATCH($A43,Company_List!$A$3:$A$207,0)),"unassigned"))</f>
        <v/>
      </c>
      <c r="AH43" t="inlineStr">
        <is>
          <t>Phase 2/Goldman Sachs/Q4 2025/GS-Q4-2025-presentation-SEC-EX99-2.htm; Phase 2/Goldman Sachs/Q4 2025/GS-Q4-2025-press-release-SEC-EX99-1.htm; Phase 2/Goldman Sachs/Q4 2025/GS-Q4-2025-earnings-call-transcript-MotleyFool.html</t>
        </is>
      </c>
      <c r="AI43" t="inlineStr">
        <is>
          <t>https://www.fool.com/earnings/call-transcripts/2026/01/15/goldman-sachs-gs-q4-2025-earnings-transcript/; https://www.sec.gov/Archives/edgar/data/886982/000088698226000008/a4q25gsearningsresults.htm; https://www.sec.gov/Archives/edgar/data/886982/000088698226000008/a4q25gsearningsresultspr.htm</t>
        </is>
      </c>
      <c r="AJ43" t="inlineStr">
        <is>
          <t>manifest (whole bundle)</t>
        </is>
      </c>
      <c r="AK43">
        <f>IF($A43="","",IF(COUNTIFS(Human_Data_Entry!$A$3:$A$525,$A43)&gt;0,"YES","NO"))</f>
        <v/>
      </c>
      <c r="AL43">
        <f>IF($A43="","",IF(AND($C43&amp;"-"&amp;$D43&gt;=Settings!$B$19,$C43&amp;"-"&amp;$D43&lt;=Settings!$B$20),"IN","OUT"))</f>
        <v/>
      </c>
      <c r="AM43">
        <f>IF(AND(OR($H43="BUY",$H43="SELL"),ISNUMBER($T43)),$T43,"")</f>
        <v/>
      </c>
      <c r="AN43">
        <f>IF(AND(OR($H43="BUY",$H43="SELL"),ISNUMBER($AF43)),$AF43,"")</f>
        <v/>
      </c>
      <c r="AO43">
        <f>IF(ISNUMBER($AM43),ABS(IF(ISNUMBER($G43),$G43,0)-Settings!$B$25),"")</f>
        <v/>
      </c>
      <c r="AP43">
        <f>IF(ISNUMBER($AO43),$AO43*$AM43,"")</f>
        <v/>
      </c>
      <c r="AQ43">
        <f>IF(ISNUMBER($AN43),ABS(IF(ISNUMBER($G43),$G43,0)-Settings!$B$25),"")</f>
        <v/>
      </c>
      <c r="AR43">
        <f>IF(ISNUMBER($AQ43),$AQ43*$AN43,"")</f>
        <v/>
      </c>
      <c r="AS43">
        <f>IF($A43="","",IFERROR(INDEX(Company_List!$H$3:$H$207,MATCH($A43,Company_List!$A$3:$A$207,0)),"unassigned"))</f>
        <v/>
      </c>
      <c r="AT43" t="inlineStr">
        <is>
          <t>re-read since v1</t>
        </is>
      </c>
      <c r="AU43" t="inlineStr">
        <is>
          <t>Phase 2/Master_Data_v1.xlsx</t>
        </is>
      </c>
      <c r="AV43" t="n">
        <v>3</v>
      </c>
      <c r="AW43" t="inlineStr">
        <is>
          <t>The Motley Fool</t>
        </is>
      </c>
      <c r="AX43" t="inlineStr">
        <is>
          <t>free to read, copyright asserted</t>
        </is>
      </c>
      <c r="AY43" t="inlineStr">
        <is>
          <t>no</t>
        </is>
      </c>
      <c r="AZ43" t="inlineStr">
        <is>
          <t>yes</t>
        </is>
      </c>
    </row>
    <row r="44">
      <c r="A44" s="115" t="inlineStr">
        <is>
          <t>IBM</t>
        </is>
      </c>
      <c r="B44" s="117" t="inlineStr">
        <is>
          <t>IBM</t>
        </is>
      </c>
      <c r="C44" s="105" t="n">
        <v>2026</v>
      </c>
      <c r="D44" s="106" t="inlineStr">
        <is>
          <t>Q1</t>
        </is>
      </c>
      <c r="E44" s="109" t="inlineStr">
        <is>
          <t>Ben/DeepSeek</t>
        </is>
      </c>
      <c r="F44" s="106" t="inlineStr">
        <is>
          <t>LLM</t>
        </is>
      </c>
      <c r="G44" s="128" t="n">
        <v>0.03</v>
      </c>
      <c r="H44" s="106" t="inlineStr">
        <is>
          <t>HOLD</t>
        </is>
      </c>
      <c r="I44" s="128" t="n"/>
      <c r="J44" s="125" t="n">
        <v>46134</v>
      </c>
      <c r="K44" s="126" t="n">
        <v>46134</v>
      </c>
      <c r="L44" s="129" t="n">
        <v>251.86</v>
      </c>
      <c r="M44" s="126" t="n">
        <v>46135</v>
      </c>
      <c r="N44" s="129" t="n">
        <v>232.27</v>
      </c>
      <c r="O44" s="132" t="n">
        <v>0.004533</v>
      </c>
      <c r="P44" s="107" t="n">
        <v>-0.077781</v>
      </c>
      <c r="Q44" s="106" t="inlineStr">
        <is>
          <t>DOWN</t>
        </is>
      </c>
      <c r="R44" s="106" t="inlineStr">
        <is>
          <t>NO</t>
        </is>
      </c>
      <c r="S44" s="105" t="n">
        <v>0</v>
      </c>
      <c r="T44" s="107" t="n">
        <v>0</v>
      </c>
      <c r="U44" s="130" t="inlineStr">
        <is>
          <t>w=[0.55,0.45,0,0] thr=(+0.25,-0.05), deployed default (risk-accepted, PSR=0.0/perm p=0.150 at N=161, not rechecked at N=268)</t>
        </is>
      </c>
      <c r="W44" t="inlineStr">
        <is>
          <t>price signal — both moved; this one dominates</t>
        </is>
      </c>
      <c r="X44" t="inlineStr">
        <is>
          <t>IBM</t>
        </is>
      </c>
      <c r="Y44" t="inlineStr">
        <is>
          <t>2026-04-22</t>
        </is>
      </c>
      <c r="Z44" t="n">
        <v>250.0199</v>
      </c>
      <c r="AA44" t="inlineStr">
        <is>
          <t>2026-04-23</t>
        </is>
      </c>
      <c r="AB44" t="n">
        <v>230.573</v>
      </c>
      <c r="AC44" t="n">
        <v>-0.07778128926398546</v>
      </c>
      <c r="AD44" t="inlineStr">
        <is>
          <t>DOWN</t>
        </is>
      </c>
      <c r="AE44" t="inlineStr">
        <is>
          <t>NO</t>
        </is>
      </c>
      <c r="AF44" t="n">
        <v>0</v>
      </c>
      <c r="AG44">
        <f>IF($A44="","",IFERROR(INDEX(Company_List!$G$3:$G$207,MATCH($A44,Company_List!$A$3:$A$207,0)),"unassigned"))</f>
        <v/>
      </c>
      <c r="AH44" t="inlineStr">
        <is>
          <t>Phase 2/IBM/Q1 2026 Earnings Call Transcript.pdf; Phase 2/IBM/Q1 2026 0 numbers.pdf</t>
        </is>
      </c>
      <c r="AJ44" t="inlineStr">
        <is>
          <t>whole bundle (Document = All)</t>
        </is>
      </c>
      <c r="AK44">
        <f>IF($A44="","",IF(COUNTIFS(Human_Data_Entry!$A$3:$A$525,$A44)&gt;0,"YES","NO"))</f>
        <v/>
      </c>
      <c r="AL44">
        <f>IF($A44="","",IF(AND($C44&amp;"-"&amp;$D44&gt;=Settings!$B$19,$C44&amp;"-"&amp;$D44&lt;=Settings!$B$20),"IN","OUT"))</f>
        <v/>
      </c>
      <c r="AM44">
        <f>IF(AND(OR($H44="BUY",$H44="SELL"),ISNUMBER($T44)),$T44,"")</f>
        <v/>
      </c>
      <c r="AN44">
        <f>IF(AND(OR($H44="BUY",$H44="SELL"),ISNUMBER($AF44)),$AF44,"")</f>
        <v/>
      </c>
      <c r="AO44">
        <f>IF(ISNUMBER($AM44),ABS(IF(ISNUMBER($G44),$G44,0)-Settings!$B$25),"")</f>
        <v/>
      </c>
      <c r="AP44">
        <f>IF(ISNUMBER($AO44),$AO44*$AM44,"")</f>
        <v/>
      </c>
      <c r="AQ44">
        <f>IF(ISNUMBER($AN44),ABS(IF(ISNUMBER($G44),$G44,0)-Settings!$B$25),"")</f>
        <v/>
      </c>
      <c r="AR44">
        <f>IF(ISNUMBER($AQ44),$AQ44*$AN44,"")</f>
        <v/>
      </c>
      <c r="AS44">
        <f>IF($A44="","",IFERROR(INDEX(Company_List!$H$3:$H$207,MATCH($A44,Company_List!$A$3:$A$207,0)),"unassigned"))</f>
        <v/>
      </c>
      <c r="AT44" t="inlineStr">
        <is>
          <t>re-read since v1</t>
        </is>
      </c>
      <c r="AU44" t="inlineStr">
        <is>
          <t>Phase 2/Master_Data_v1.xlsx</t>
        </is>
      </c>
      <c r="AV44" t="n">
        <v>2</v>
      </c>
      <c r="AW44" t="inlineStr">
        <is>
          <t>The Motley Fool</t>
        </is>
      </c>
      <c r="AX44" t="inlineStr">
        <is>
          <t>free to read, copyright asserted</t>
        </is>
      </c>
      <c r="AY44" t="inlineStr">
        <is>
          <t>no</t>
        </is>
      </c>
      <c r="AZ44" t="inlineStr">
        <is>
          <t>no</t>
        </is>
      </c>
    </row>
    <row r="45">
      <c r="A45" s="115" t="inlineStr">
        <is>
          <t>IBM</t>
        </is>
      </c>
      <c r="B45" s="117" t="inlineStr">
        <is>
          <t>IBM</t>
        </is>
      </c>
      <c r="C45" s="105" t="n">
        <v>2025</v>
      </c>
      <c r="D45" s="106" t="inlineStr">
        <is>
          <t>Q2</t>
        </is>
      </c>
      <c r="E45" s="109" t="inlineStr">
        <is>
          <t>Ben/DeepSeek</t>
        </is>
      </c>
      <c r="F45" s="106" t="inlineStr">
        <is>
          <t>LLM</t>
        </is>
      </c>
      <c r="G45" s="128" t="n">
        <v>0.32</v>
      </c>
      <c r="H45" s="106" t="inlineStr">
        <is>
          <t>BUY</t>
        </is>
      </c>
      <c r="I45" s="128" t="n"/>
      <c r="J45" s="125" t="n">
        <v>45861</v>
      </c>
      <c r="K45" s="126" t="n">
        <v>45861</v>
      </c>
      <c r="L45" s="129" t="n">
        <v>282.01</v>
      </c>
      <c r="M45" s="126" t="n">
        <v>45862</v>
      </c>
      <c r="N45" s="129" t="n">
        <v>261.25</v>
      </c>
      <c r="O45" s="132" t="n">
        <v>0.005102</v>
      </c>
      <c r="P45" s="107" t="n">
        <v>-0.073614</v>
      </c>
      <c r="Q45" s="106" t="inlineStr">
        <is>
          <t>DOWN</t>
        </is>
      </c>
      <c r="R45" s="106" t="inlineStr">
        <is>
          <t>NO</t>
        </is>
      </c>
      <c r="S45" s="105" t="n">
        <v>1</v>
      </c>
      <c r="T45" s="107" t="n">
        <v>-0.074614</v>
      </c>
      <c r="U45" s="130" t="inlineStr">
        <is>
          <t>w=[0.55,0.45,0,0] thr=(+0.25,-0.05), deployed default (risk-accepted, PSR=0.0/perm p=0.150 at N=161, not rechecked at N=268)</t>
        </is>
      </c>
      <c r="W45" t="inlineStr">
        <is>
          <t>price signal — only this window shows an abnormal move</t>
        </is>
      </c>
      <c r="X45" t="inlineStr">
        <is>
          <t>IBM</t>
        </is>
      </c>
      <c r="Y45" t="inlineStr">
        <is>
          <t>2025-07-23</t>
        </is>
      </c>
      <c r="Z45" t="n">
        <v>274.977</v>
      </c>
      <c r="AA45" t="inlineStr">
        <is>
          <t>2025-07-24</t>
        </is>
      </c>
      <c r="AB45" t="n">
        <v>254.7347</v>
      </c>
      <c r="AC45" t="n">
        <v>-0.0736144742944667</v>
      </c>
      <c r="AD45" t="inlineStr">
        <is>
          <t>DOWN</t>
        </is>
      </c>
      <c r="AE45" t="inlineStr">
        <is>
          <t>NO</t>
        </is>
      </c>
      <c r="AF45" t="n">
        <v>-0.074614</v>
      </c>
      <c r="AG45">
        <f>IF($A45="","",IFERROR(INDEX(Company_List!$G$3:$G$207,MATCH($A45,Company_List!$A$3:$A$207,0)),"unassigned"))</f>
        <v/>
      </c>
      <c r="AH45" t="inlineStr">
        <is>
          <t>Phase 2/IBM/Q2 2025 Earnings Call Transcript.pdf; Phase 2/IBM/Q2 2025 - numbers.pdf</t>
        </is>
      </c>
      <c r="AJ45" t="inlineStr">
        <is>
          <t>whole bundle (Document = All)</t>
        </is>
      </c>
      <c r="AK45">
        <f>IF($A45="","",IF(COUNTIFS(Human_Data_Entry!$A$3:$A$525,$A45)&gt;0,"YES","NO"))</f>
        <v/>
      </c>
      <c r="AL45">
        <f>IF($A45="","",IF(AND($C45&amp;"-"&amp;$D45&gt;=Settings!$B$19,$C45&amp;"-"&amp;$D45&lt;=Settings!$B$20),"IN","OUT"))</f>
        <v/>
      </c>
      <c r="AM45">
        <f>IF(AND(OR($H45="BUY",$H45="SELL"),ISNUMBER($T45)),$T45,"")</f>
        <v/>
      </c>
      <c r="AN45">
        <f>IF(AND(OR($H45="BUY",$H45="SELL"),ISNUMBER($AF45)),$AF45,"")</f>
        <v/>
      </c>
      <c r="AO45">
        <f>IF(ISNUMBER($AM45),ABS(IF(ISNUMBER($G45),$G45,0)-Settings!$B$25),"")</f>
        <v/>
      </c>
      <c r="AP45">
        <f>IF(ISNUMBER($AO45),$AO45*$AM45,"")</f>
        <v/>
      </c>
      <c r="AQ45">
        <f>IF(ISNUMBER($AN45),ABS(IF(ISNUMBER($G45),$G45,0)-Settings!$B$25),"")</f>
        <v/>
      </c>
      <c r="AR45">
        <f>IF(ISNUMBER($AQ45),$AQ45*$AN45,"")</f>
        <v/>
      </c>
      <c r="AS45">
        <f>IF($A45="","",IFERROR(INDEX(Company_List!$H$3:$H$207,MATCH($A45,Company_List!$A$3:$A$207,0)),"unassigned"))</f>
        <v/>
      </c>
      <c r="AT45" t="inlineStr">
        <is>
          <t>re-read since v1</t>
        </is>
      </c>
      <c r="AU45" t="inlineStr">
        <is>
          <t>Phase 2/Master_Data_v1.xlsx</t>
        </is>
      </c>
      <c r="AV45" t="n">
        <v>2</v>
      </c>
      <c r="AW45" t="inlineStr">
        <is>
          <t>The Motley Fool</t>
        </is>
      </c>
      <c r="AX45" t="inlineStr">
        <is>
          <t>free to read, copyright asserted</t>
        </is>
      </c>
      <c r="AY45" t="inlineStr">
        <is>
          <t>no</t>
        </is>
      </c>
      <c r="AZ45" t="inlineStr">
        <is>
          <t>no</t>
        </is>
      </c>
    </row>
    <row r="46">
      <c r="A46" s="115" t="inlineStr">
        <is>
          <t>IBM</t>
        </is>
      </c>
      <c r="B46" s="117" t="inlineStr">
        <is>
          <t>IBM</t>
        </is>
      </c>
      <c r="C46" s="105" t="n">
        <v>2025</v>
      </c>
      <c r="D46" s="106" t="inlineStr">
        <is>
          <t>Q4</t>
        </is>
      </c>
      <c r="E46" s="109" t="inlineStr">
        <is>
          <t>Ben/DeepSeek</t>
        </is>
      </c>
      <c r="F46" s="106" t="inlineStr">
        <is>
          <t>LLM</t>
        </is>
      </c>
      <c r="G46" s="128" t="n">
        <v>0.305</v>
      </c>
      <c r="H46" s="106" t="inlineStr">
        <is>
          <t>BUY</t>
        </is>
      </c>
      <c r="I46" s="128" t="n"/>
      <c r="J46" s="125" t="n">
        <v>46050</v>
      </c>
      <c r="K46" s="126" t="n">
        <v>46050</v>
      </c>
      <c r="L46" s="129" t="n">
        <v>294.16</v>
      </c>
      <c r="M46" s="126" t="n">
        <v>46051</v>
      </c>
      <c r="N46" s="129" t="n">
        <v>317.86</v>
      </c>
      <c r="O46" s="132" t="n">
        <v>0.00499</v>
      </c>
      <c r="P46" s="107" t="n">
        <v>0.08056800000000001</v>
      </c>
      <c r="Q46" s="106" t="inlineStr">
        <is>
          <t>UP</t>
        </is>
      </c>
      <c r="R46" s="106" t="inlineStr">
        <is>
          <t>YES</t>
        </is>
      </c>
      <c r="S46" s="105" t="n">
        <v>1</v>
      </c>
      <c r="T46" s="107" t="n">
        <v>0.079568</v>
      </c>
      <c r="U46" s="130" t="inlineStr">
        <is>
          <t>w=[0.55,0.45,0,0] thr=(+0.25,-0.05), deployed default (risk-accepted, PSR=0.0/perm p=0.150 at N=161, not rechecked at N=268)</t>
        </is>
      </c>
      <c r="W46" t="inlineStr">
        <is>
          <t>price signal — only this window shows an abnormal move</t>
        </is>
      </c>
      <c r="X46" t="inlineStr">
        <is>
          <t>IBM</t>
        </is>
      </c>
      <c r="Y46" t="inlineStr">
        <is>
          <t>2026-01-28</t>
        </is>
      </c>
      <c r="Z46" t="n">
        <v>290.3553</v>
      </c>
      <c r="AA46" t="inlineStr">
        <is>
          <t>2026-01-29</t>
        </is>
      </c>
      <c r="AB46" t="n">
        <v>313.7488</v>
      </c>
      <c r="AC46" t="n">
        <v>0.08056835407148978</v>
      </c>
      <c r="AD46" t="inlineStr">
        <is>
          <t>UP</t>
        </is>
      </c>
      <c r="AE46" t="inlineStr">
        <is>
          <t>YES</t>
        </is>
      </c>
      <c r="AF46" t="n">
        <v>0.079568</v>
      </c>
      <c r="AG46">
        <f>IF($A46="","",IFERROR(INDEX(Company_List!$G$3:$G$207,MATCH($A46,Company_List!$A$3:$A$207,0)),"unassigned"))</f>
        <v/>
      </c>
      <c r="AH46" t="inlineStr">
        <is>
          <t>Phase 2/IBM/Q4 2025 Earnings Call Transcript.pdf; Phase 2/IBM/Q4 2025 - numbers.pdf</t>
        </is>
      </c>
      <c r="AJ46" t="inlineStr">
        <is>
          <t>whole bundle (Document = All)</t>
        </is>
      </c>
      <c r="AK46">
        <f>IF($A46="","",IF(COUNTIFS(Human_Data_Entry!$A$3:$A$525,$A46)&gt;0,"YES","NO"))</f>
        <v/>
      </c>
      <c r="AL46">
        <f>IF($A46="","",IF(AND($C46&amp;"-"&amp;$D46&gt;=Settings!$B$19,$C46&amp;"-"&amp;$D46&lt;=Settings!$B$20),"IN","OUT"))</f>
        <v/>
      </c>
      <c r="AM46">
        <f>IF(AND(OR($H46="BUY",$H46="SELL"),ISNUMBER($T46)),$T46,"")</f>
        <v/>
      </c>
      <c r="AN46">
        <f>IF(AND(OR($H46="BUY",$H46="SELL"),ISNUMBER($AF46)),$AF46,"")</f>
        <v/>
      </c>
      <c r="AO46">
        <f>IF(ISNUMBER($AM46),ABS(IF(ISNUMBER($G46),$G46,0)-Settings!$B$25),"")</f>
        <v/>
      </c>
      <c r="AP46">
        <f>IF(ISNUMBER($AO46),$AO46*$AM46,"")</f>
        <v/>
      </c>
      <c r="AQ46">
        <f>IF(ISNUMBER($AN46),ABS(IF(ISNUMBER($G46),$G46,0)-Settings!$B$25),"")</f>
        <v/>
      </c>
      <c r="AR46">
        <f>IF(ISNUMBER($AQ46),$AQ46*$AN46,"")</f>
        <v/>
      </c>
      <c r="AS46">
        <f>IF($A46="","",IFERROR(INDEX(Company_List!$H$3:$H$207,MATCH($A46,Company_List!$A$3:$A$207,0)),"unassigned"))</f>
        <v/>
      </c>
      <c r="AT46" t="inlineStr">
        <is>
          <t>re-read since v1</t>
        </is>
      </c>
      <c r="AU46" t="inlineStr">
        <is>
          <t>Phase 2/Master_Data_v1.xlsx</t>
        </is>
      </c>
      <c r="AV46" t="n">
        <v>2</v>
      </c>
      <c r="AW46" t="inlineStr">
        <is>
          <t>The Motley Fool</t>
        </is>
      </c>
      <c r="AX46" t="inlineStr">
        <is>
          <t>free to read, copyright asserted</t>
        </is>
      </c>
      <c r="AY46" t="inlineStr">
        <is>
          <t>no</t>
        </is>
      </c>
      <c r="AZ46" t="inlineStr">
        <is>
          <t>no</t>
        </is>
      </c>
    </row>
    <row r="47">
      <c r="A47" s="115" t="inlineStr">
        <is>
          <t>Lowe's</t>
        </is>
      </c>
      <c r="B47" s="117" t="inlineStr">
        <is>
          <t>LOW</t>
        </is>
      </c>
      <c r="C47" s="105" t="n">
        <v>2025</v>
      </c>
      <c r="D47" s="106" t="inlineStr">
        <is>
          <t>Q1</t>
        </is>
      </c>
      <c r="E47" s="109" t="inlineStr">
        <is>
          <t>Ben/DeepSeek</t>
        </is>
      </c>
      <c r="F47" s="106" t="inlineStr">
        <is>
          <t>LLM</t>
        </is>
      </c>
      <c r="G47" s="128" t="n">
        <v>-0.135</v>
      </c>
      <c r="H47" s="106" t="inlineStr">
        <is>
          <t>SELL</t>
        </is>
      </c>
      <c r="I47" s="128" t="n"/>
      <c r="J47" s="125" t="n">
        <v>46162</v>
      </c>
      <c r="K47" s="126" t="n">
        <v>46161</v>
      </c>
      <c r="L47" s="129" t="n">
        <v>218.37</v>
      </c>
      <c r="M47" s="126" t="n">
        <v>46162</v>
      </c>
      <c r="N47" s="129" t="n">
        <v>213.98</v>
      </c>
      <c r="O47" s="132" t="n">
        <v>0.006953</v>
      </c>
      <c r="P47" s="107" t="n">
        <v>-0.020103</v>
      </c>
      <c r="Q47" s="106" t="inlineStr">
        <is>
          <t>DOWN</t>
        </is>
      </c>
      <c r="R47" s="106" t="inlineStr">
        <is>
          <t>YES</t>
        </is>
      </c>
      <c r="S47" s="105" t="n">
        <v>-1</v>
      </c>
      <c r="T47" s="107" t="n">
        <v>0.019103</v>
      </c>
      <c r="U47" s="130" t="inlineStr">
        <is>
          <t>w=[0.55,0.45,0,0] thr=(+0.25,-0.05), deployed default (risk-accepted, PSR=0.0/perm p=0.150 at N=161, not rechecked at N=268)</t>
        </is>
      </c>
      <c r="W47" t="inlineStr">
        <is>
          <t>release date + stated time in the document (document)</t>
        </is>
      </c>
      <c r="X47" t="inlineStr">
        <is>
          <t>LOW</t>
        </is>
      </c>
      <c r="Y47" t="inlineStr">
        <is>
          <t>2026-05-19</t>
        </is>
      </c>
      <c r="Z47" t="n">
        <v>217.0287</v>
      </c>
      <c r="AA47" t="inlineStr">
        <is>
          <t>2026-05-20</t>
        </is>
      </c>
      <c r="AB47" t="n">
        <v>212.6657</v>
      </c>
      <c r="AC47" t="n">
        <v>-0.02010343546108412</v>
      </c>
      <c r="AD47" t="inlineStr">
        <is>
          <t>DOWN</t>
        </is>
      </c>
      <c r="AE47" t="inlineStr">
        <is>
          <t>YES</t>
        </is>
      </c>
      <c r="AF47" t="n">
        <v>0.019103</v>
      </c>
      <c r="AG47">
        <f>IF($A47="","",IFERROR(INDEX(Company_List!$G$3:$G$207,MATCH($A47,Company_List!$A$3:$A$207,0)),"unassigned"))</f>
        <v/>
      </c>
      <c r="AH47" t="inlineStr">
        <is>
          <t>Phase 2/Lowe's/low-usq-transcript-2026-05-20-1.pdf</t>
        </is>
      </c>
      <c r="AJ47" t="inlineStr">
        <is>
          <t>unique filename match</t>
        </is>
      </c>
      <c r="AK47">
        <f>IF($A47="","",IF(COUNTIFS(Human_Data_Entry!$A$3:$A$525,$A47)&gt;0,"YES","NO"))</f>
        <v/>
      </c>
      <c r="AL47">
        <f>IF($A47="","",IF(AND($C47&amp;"-"&amp;$D47&gt;=Settings!$B$19,$C47&amp;"-"&amp;$D47&lt;=Settings!$B$20),"IN","OUT"))</f>
        <v/>
      </c>
      <c r="AM47">
        <f>IF(AND(OR($H47="BUY",$H47="SELL"),ISNUMBER($T47)),$T47,"")</f>
        <v/>
      </c>
      <c r="AN47">
        <f>IF(AND(OR($H47="BUY",$H47="SELL"),ISNUMBER($AF47)),$AF47,"")</f>
        <v/>
      </c>
      <c r="AO47">
        <f>IF(ISNUMBER($AM47),ABS(IF(ISNUMBER($G47),$G47,0)-Settings!$B$25),"")</f>
        <v/>
      </c>
      <c r="AP47">
        <f>IF(ISNUMBER($AO47),$AO47*$AM47,"")</f>
        <v/>
      </c>
      <c r="AQ47">
        <f>IF(ISNUMBER($AN47),ABS(IF(ISNUMBER($G47),$G47,0)-Settings!$B$25),"")</f>
        <v/>
      </c>
      <c r="AR47">
        <f>IF(ISNUMBER($AQ47),$AQ47*$AN47,"")</f>
        <v/>
      </c>
      <c r="AS47">
        <f>IF($A47="","",IFERROR(INDEX(Company_List!$H$3:$H$207,MATCH($A47,Company_List!$A$3:$A$207,0)),"unassigned"))</f>
        <v/>
      </c>
      <c r="AT47" t="inlineStr">
        <is>
          <t>re-read since v1</t>
        </is>
      </c>
      <c r="AU47" t="inlineStr">
        <is>
          <t>Phase 2/Master_Data_v1.xlsx</t>
        </is>
      </c>
      <c r="AV47" t="n">
        <v>1</v>
      </c>
      <c r="AW47" t="inlineStr">
        <is>
          <t>Refinitiv / LSEG StreetEvents</t>
        </is>
      </c>
      <c r="AX47" t="inlineStr">
        <is>
          <t>licensed vendor</t>
        </is>
      </c>
      <c r="AY47" t="inlineStr">
        <is>
          <t>no</t>
        </is>
      </c>
      <c r="AZ47" t="inlineStr">
        <is>
          <t>no</t>
        </is>
      </c>
    </row>
    <row r="48">
      <c r="A48" s="115" t="inlineStr">
        <is>
          <t>Lowe's</t>
        </is>
      </c>
      <c r="B48" s="117" t="inlineStr">
        <is>
          <t>LOW</t>
        </is>
      </c>
      <c r="C48" s="105" t="n">
        <v>2026</v>
      </c>
      <c r="D48" s="106" t="inlineStr">
        <is>
          <t>Q1</t>
        </is>
      </c>
      <c r="E48" s="109" t="inlineStr">
        <is>
          <t>Ben/DeepSeek</t>
        </is>
      </c>
      <c r="F48" s="106" t="inlineStr">
        <is>
          <t>LLM</t>
        </is>
      </c>
      <c r="G48" s="128" t="n">
        <v>-0.135</v>
      </c>
      <c r="H48" s="106" t="inlineStr">
        <is>
          <t>SELL</t>
        </is>
      </c>
      <c r="I48" s="128" t="n"/>
      <c r="J48" s="125" t="n">
        <v>46162</v>
      </c>
      <c r="K48" s="126" t="n">
        <v>46161</v>
      </c>
      <c r="L48" s="129" t="n">
        <v>218.37</v>
      </c>
      <c r="M48" s="126" t="n">
        <v>46162</v>
      </c>
      <c r="N48" s="129" t="n">
        <v>213.98</v>
      </c>
      <c r="O48" s="132" t="n">
        <v>0.007282</v>
      </c>
      <c r="P48" s="107" t="n">
        <v>-0.020103</v>
      </c>
      <c r="Q48" s="106" t="inlineStr">
        <is>
          <t>DOWN</t>
        </is>
      </c>
      <c r="R48" s="106" t="inlineStr">
        <is>
          <t>YES</t>
        </is>
      </c>
      <c r="S48" s="105" t="n">
        <v>-1</v>
      </c>
      <c r="T48" s="107" t="n">
        <v>0.019103</v>
      </c>
      <c r="U48" s="130" t="inlineStr">
        <is>
          <t>w=[0.55,0.45,0,0] thr=(+0.25,-0.05), deployed default (risk-accepted, PSR=0.0/perm p=0.150 at N=161, not rechecked at N=268)</t>
        </is>
      </c>
      <c r="W48" t="inlineStr">
        <is>
          <t>price signal</t>
        </is>
      </c>
      <c r="X48" t="inlineStr">
        <is>
          <t>LOW</t>
        </is>
      </c>
      <c r="Y48" t="inlineStr">
        <is>
          <t>2025-05-20</t>
        </is>
      </c>
      <c r="Z48" t="n">
        <v>225.3962</v>
      </c>
      <c r="AA48" t="inlineStr">
        <is>
          <t>2025-05-21</t>
        </is>
      </c>
      <c r="AB48" t="n">
        <v>226.8095</v>
      </c>
      <c r="AC48" t="n">
        <v>0.006270270910386287</v>
      </c>
      <c r="AD48" t="inlineStr">
        <is>
          <t>FLAT</t>
        </is>
      </c>
      <c r="AE48" t="inlineStr">
        <is>
          <t>NO</t>
        </is>
      </c>
      <c r="AF48" t="n">
        <v>-0.00727</v>
      </c>
      <c r="AG48">
        <f>IF($A48="","",IFERROR(INDEX(Company_List!$G$3:$G$207,MATCH($A48,Company_List!$A$3:$A$207,0)),"unassigned"))</f>
        <v/>
      </c>
      <c r="AH48" t="inlineStr">
        <is>
          <t>Phase 2/Lowe's/2026-Q1/LOW-2026-Q1-press-release-SEC-EX-99-1.htm; Phase 2/Lowe's/2026-Q1/LOW-2026-Q1-earnings-call-transcript-corporate-lowes-com.pdf</t>
        </is>
      </c>
      <c r="AI48" t="inlineStr">
        <is>
          <t>https://corporate.lowes.com/sites/lowes-corp/files/low-usq-transcript-2026-05-20-1.pdf; https://www.sec.gov/Archives/edgar/data/60667/000006066725000094/exhibit991-05022025.htm</t>
        </is>
      </c>
      <c r="AJ48" t="inlineStr">
        <is>
          <t>manifest (whole bundle)</t>
        </is>
      </c>
      <c r="AK48">
        <f>IF($A48="","",IF(COUNTIFS(Human_Data_Entry!$A$3:$A$525,$A48)&gt;0,"YES","NO"))</f>
        <v/>
      </c>
      <c r="AL48">
        <f>IF($A48="","",IF(AND($C48&amp;"-"&amp;$D48&gt;=Settings!$B$19,$C48&amp;"-"&amp;$D48&lt;=Settings!$B$20),"IN","OUT"))</f>
        <v/>
      </c>
      <c r="AM48">
        <f>IF(AND(OR($H48="BUY",$H48="SELL"),ISNUMBER($T48)),$T48,"")</f>
        <v/>
      </c>
      <c r="AN48">
        <f>IF(AND(OR($H48="BUY",$H48="SELL"),ISNUMBER($AF48)),$AF48,"")</f>
        <v/>
      </c>
      <c r="AO48">
        <f>IF(ISNUMBER($AM48),ABS(IF(ISNUMBER($G48),$G48,0)-Settings!$B$25),"")</f>
        <v/>
      </c>
      <c r="AP48">
        <f>IF(ISNUMBER($AO48),$AO48*$AM48,"")</f>
        <v/>
      </c>
      <c r="AQ48">
        <f>IF(ISNUMBER($AN48),ABS(IF(ISNUMBER($G48),$G48,0)-Settings!$B$25),"")</f>
        <v/>
      </c>
      <c r="AR48">
        <f>IF(ISNUMBER($AQ48),$AQ48*$AN48,"")</f>
        <v/>
      </c>
      <c r="AS48">
        <f>IF($A48="","",IFERROR(INDEX(Company_List!$H$3:$H$207,MATCH($A48,Company_List!$A$3:$A$207,0)),"unassigned"))</f>
        <v/>
      </c>
      <c r="AT48" t="inlineStr">
        <is>
          <t>re-read since v1</t>
        </is>
      </c>
      <c r="AU48" t="inlineStr">
        <is>
          <t>Phase 2/Master_Data_v1.xlsx</t>
        </is>
      </c>
      <c r="AV48" t="n">
        <v>2</v>
      </c>
      <c r="AW48" t="inlineStr">
        <is>
          <t>Refinitiv / LSEG StreetEvents</t>
        </is>
      </c>
      <c r="AX48" t="inlineStr">
        <is>
          <t>licensed vendor</t>
        </is>
      </c>
      <c r="AY48" t="inlineStr">
        <is>
          <t>no</t>
        </is>
      </c>
      <c r="AZ48" t="inlineStr">
        <is>
          <t>yes</t>
        </is>
      </c>
    </row>
    <row r="49">
      <c r="A49" s="115" t="inlineStr">
        <is>
          <t>Lowe's</t>
        </is>
      </c>
      <c r="B49" s="117" t="inlineStr">
        <is>
          <t>LOW</t>
        </is>
      </c>
      <c r="C49" s="105" t="n">
        <v>2025</v>
      </c>
      <c r="D49" s="106" t="inlineStr">
        <is>
          <t>Q2</t>
        </is>
      </c>
      <c r="E49" s="109" t="inlineStr">
        <is>
          <t>Ben/DeepSeek</t>
        </is>
      </c>
      <c r="F49" s="106" t="inlineStr">
        <is>
          <t>LLM</t>
        </is>
      </c>
      <c r="G49" s="128" t="n">
        <v>0.0825</v>
      </c>
      <c r="H49" s="106" t="inlineStr">
        <is>
          <t>HOLD</t>
        </is>
      </c>
      <c r="I49" s="128" t="n"/>
      <c r="J49" s="125" t="n">
        <v>45889</v>
      </c>
      <c r="K49" s="126" t="n">
        <v>45888</v>
      </c>
      <c r="L49" s="129" t="n">
        <v>256.36</v>
      </c>
      <c r="M49" s="126" t="n">
        <v>45889</v>
      </c>
      <c r="N49" s="129" t="n">
        <v>265.4</v>
      </c>
      <c r="O49" s="132" t="n">
        <v>0.006741</v>
      </c>
      <c r="P49" s="107" t="n">
        <v>0.035263</v>
      </c>
      <c r="Q49" s="106" t="inlineStr">
        <is>
          <t>UP</t>
        </is>
      </c>
      <c r="R49" s="106" t="inlineStr">
        <is>
          <t>NO</t>
        </is>
      </c>
      <c r="S49" s="105" t="n">
        <v>0</v>
      </c>
      <c r="T49" s="107" t="n">
        <v>0</v>
      </c>
      <c r="U49" s="130" t="inlineStr">
        <is>
          <t>w=[0.55,0.45,0,0] thr=(+0.25,-0.05), deployed default (risk-accepted, PSR=0.0/perm p=0.150 at N=161, not rechecked at N=268)</t>
        </is>
      </c>
      <c r="W49" t="inlineStr">
        <is>
          <t>release date + stated time</t>
        </is>
      </c>
      <c r="X49" t="inlineStr">
        <is>
          <t>LOW</t>
        </is>
      </c>
      <c r="Y49" t="inlineStr">
        <is>
          <t>2025-08-19</t>
        </is>
      </c>
      <c r="Z49" t="n">
        <v>251.1994</v>
      </c>
      <c r="AA49" t="inlineStr">
        <is>
          <t>2025-08-20</t>
        </is>
      </c>
      <c r="AB49" t="n">
        <v>260.0575</v>
      </c>
      <c r="AC49" t="n">
        <v>0.03526301478860992</v>
      </c>
      <c r="AD49" t="inlineStr">
        <is>
          <t>UP</t>
        </is>
      </c>
      <c r="AE49" t="inlineStr">
        <is>
          <t>NO</t>
        </is>
      </c>
      <c r="AF49" t="n">
        <v>0</v>
      </c>
      <c r="AG49">
        <f>IF($A49="","",IFERROR(INDEX(Company_List!$G$3:$G$207,MATCH($A49,Company_List!$A$3:$A$207,0)),"unassigned"))</f>
        <v/>
      </c>
      <c r="AH49" t="inlineStr">
        <is>
          <t>Phase 2/Lowe's/low-usq-transcript-2025-08-20.pdf</t>
        </is>
      </c>
      <c r="AJ49" t="inlineStr">
        <is>
          <t>unique filename match</t>
        </is>
      </c>
      <c r="AK49">
        <f>IF($A49="","",IF(COUNTIFS(Human_Data_Entry!$A$3:$A$525,$A49)&gt;0,"YES","NO"))</f>
        <v/>
      </c>
      <c r="AL49">
        <f>IF($A49="","",IF(AND($C49&amp;"-"&amp;$D49&gt;=Settings!$B$19,$C49&amp;"-"&amp;$D49&lt;=Settings!$B$20),"IN","OUT"))</f>
        <v/>
      </c>
      <c r="AM49">
        <f>IF(AND(OR($H49="BUY",$H49="SELL"),ISNUMBER($T49)),$T49,"")</f>
        <v/>
      </c>
      <c r="AN49">
        <f>IF(AND(OR($H49="BUY",$H49="SELL"),ISNUMBER($AF49)),$AF49,"")</f>
        <v/>
      </c>
      <c r="AO49">
        <f>IF(ISNUMBER($AM49),ABS(IF(ISNUMBER($G49),$G49,0)-Settings!$B$25),"")</f>
        <v/>
      </c>
      <c r="AP49">
        <f>IF(ISNUMBER($AO49),$AO49*$AM49,"")</f>
        <v/>
      </c>
      <c r="AQ49">
        <f>IF(ISNUMBER($AN49),ABS(IF(ISNUMBER($G49),$G49,0)-Settings!$B$25),"")</f>
        <v/>
      </c>
      <c r="AR49">
        <f>IF(ISNUMBER($AQ49),$AQ49*$AN49,"")</f>
        <v/>
      </c>
      <c r="AS49">
        <f>IF($A49="","",IFERROR(INDEX(Company_List!$H$3:$H$207,MATCH($A49,Company_List!$A$3:$A$207,0)),"unassigned"))</f>
        <v/>
      </c>
      <c r="AT49" t="inlineStr">
        <is>
          <t>re-read since v1</t>
        </is>
      </c>
      <c r="AU49" t="inlineStr">
        <is>
          <t>Phase 2/Master_Data_v1.xlsx</t>
        </is>
      </c>
      <c r="AV49" t="n">
        <v>1</v>
      </c>
      <c r="AW49" t="inlineStr">
        <is>
          <t>Refinitiv / LSEG StreetEvents</t>
        </is>
      </c>
      <c r="AX49" t="inlineStr">
        <is>
          <t>licensed vendor</t>
        </is>
      </c>
      <c r="AY49" t="inlineStr">
        <is>
          <t>no</t>
        </is>
      </c>
      <c r="AZ49" t="inlineStr">
        <is>
          <t>no</t>
        </is>
      </c>
    </row>
    <row r="50">
      <c r="A50" s="115" t="inlineStr">
        <is>
          <t>Lowe's</t>
        </is>
      </c>
      <c r="B50" s="117" t="inlineStr">
        <is>
          <t>LOW</t>
        </is>
      </c>
      <c r="C50" s="105" t="n">
        <v>2025</v>
      </c>
      <c r="D50" s="106" t="inlineStr">
        <is>
          <t>Q3</t>
        </is>
      </c>
      <c r="E50" s="109" t="inlineStr">
        <is>
          <t>Ben/DeepSeek</t>
        </is>
      </c>
      <c r="F50" s="106" t="inlineStr">
        <is>
          <t>LLM</t>
        </is>
      </c>
      <c r="G50" s="128" t="n">
        <v>-0.23</v>
      </c>
      <c r="H50" s="106" t="inlineStr">
        <is>
          <t>SELL</t>
        </is>
      </c>
      <c r="I50" s="128" t="n"/>
      <c r="J50" s="125" t="n">
        <v>45980</v>
      </c>
      <c r="K50" s="126" t="n">
        <v>45979</v>
      </c>
      <c r="L50" s="129" t="n">
        <v>219.57</v>
      </c>
      <c r="M50" s="126" t="n">
        <v>45980</v>
      </c>
      <c r="N50" s="129" t="n">
        <v>230.01</v>
      </c>
      <c r="O50" s="132" t="n">
        <v>0.006449</v>
      </c>
      <c r="P50" s="107" t="n">
        <v>0.047547</v>
      </c>
      <c r="Q50" s="106" t="inlineStr">
        <is>
          <t>UP</t>
        </is>
      </c>
      <c r="R50" s="106" t="inlineStr">
        <is>
          <t>NO</t>
        </is>
      </c>
      <c r="S50" s="105" t="n">
        <v>-1</v>
      </c>
      <c r="T50" s="107" t="n">
        <v>-0.048547</v>
      </c>
      <c r="U50" s="130" t="inlineStr">
        <is>
          <t>w=[0.55,0.45,0,0] thr=(+0.25,-0.05), deployed default (risk-accepted, PSR=0.0/perm p=0.150 at N=161, not rechecked at N=268)</t>
        </is>
      </c>
      <c r="W50" t="inlineStr">
        <is>
          <t>document date + price signal</t>
        </is>
      </c>
      <c r="X50" t="inlineStr">
        <is>
          <t>LOW</t>
        </is>
      </c>
      <c r="Y50" t="inlineStr">
        <is>
          <t>2025-11-18</t>
        </is>
      </c>
      <c r="Z50" t="n">
        <v>216.2079</v>
      </c>
      <c r="AA50" t="inlineStr">
        <is>
          <t>2025-11-19</t>
        </is>
      </c>
      <c r="AB50" t="n">
        <v>226.488</v>
      </c>
      <c r="AC50" t="n">
        <v>0.04754749705677633</v>
      </c>
      <c r="AD50" t="inlineStr">
        <is>
          <t>UP</t>
        </is>
      </c>
      <c r="AE50" t="inlineStr">
        <is>
          <t>NO</t>
        </is>
      </c>
      <c r="AF50" t="n">
        <v>-0.048547</v>
      </c>
      <c r="AG50">
        <f>IF($A50="","",IFERROR(INDEX(Company_List!$G$3:$G$207,MATCH($A50,Company_List!$A$3:$A$207,0)),"unassigned"))</f>
        <v/>
      </c>
      <c r="AH50" t="inlineStr">
        <is>
          <t>Phase 2/Lowe's/low-usq-transcript-2025-11-19.pdf</t>
        </is>
      </c>
      <c r="AJ50" t="inlineStr">
        <is>
          <t>unique filename match</t>
        </is>
      </c>
      <c r="AK50">
        <f>IF($A50="","",IF(COUNTIFS(Human_Data_Entry!$A$3:$A$525,$A50)&gt;0,"YES","NO"))</f>
        <v/>
      </c>
      <c r="AL50">
        <f>IF($A50="","",IF(AND($C50&amp;"-"&amp;$D50&gt;=Settings!$B$19,$C50&amp;"-"&amp;$D50&lt;=Settings!$B$20),"IN","OUT"))</f>
        <v/>
      </c>
      <c r="AM50">
        <f>IF(AND(OR($H50="BUY",$H50="SELL"),ISNUMBER($T50)),$T50,"")</f>
        <v/>
      </c>
      <c r="AN50">
        <f>IF(AND(OR($H50="BUY",$H50="SELL"),ISNUMBER($AF50)),$AF50,"")</f>
        <v/>
      </c>
      <c r="AO50">
        <f>IF(ISNUMBER($AM50),ABS(IF(ISNUMBER($G50),$G50,0)-Settings!$B$25),"")</f>
        <v/>
      </c>
      <c r="AP50">
        <f>IF(ISNUMBER($AO50),$AO50*$AM50,"")</f>
        <v/>
      </c>
      <c r="AQ50">
        <f>IF(ISNUMBER($AN50),ABS(IF(ISNUMBER($G50),$G50,0)-Settings!$B$25),"")</f>
        <v/>
      </c>
      <c r="AR50">
        <f>IF(ISNUMBER($AQ50),$AQ50*$AN50,"")</f>
        <v/>
      </c>
      <c r="AS50">
        <f>IF($A50="","",IFERROR(INDEX(Company_List!$H$3:$H$207,MATCH($A50,Company_List!$A$3:$A$207,0)),"unassigned"))</f>
        <v/>
      </c>
      <c r="AT50" t="inlineStr">
        <is>
          <t>re-read since v1</t>
        </is>
      </c>
      <c r="AU50" t="inlineStr">
        <is>
          <t>Phase 2/Master_Data_v1.xlsx</t>
        </is>
      </c>
      <c r="AV50" t="n">
        <v>1</v>
      </c>
      <c r="AW50" t="inlineStr">
        <is>
          <t>Refinitiv / LSEG StreetEvents</t>
        </is>
      </c>
      <c r="AX50" t="inlineStr">
        <is>
          <t>licensed vendor</t>
        </is>
      </c>
      <c r="AY50" t="inlineStr">
        <is>
          <t>no</t>
        </is>
      </c>
      <c r="AZ50" t="inlineStr">
        <is>
          <t>no</t>
        </is>
      </c>
    </row>
    <row r="51">
      <c r="A51" s="115" t="inlineStr">
        <is>
          <t>Lowe's</t>
        </is>
      </c>
      <c r="B51" s="117" t="inlineStr">
        <is>
          <t>LOW</t>
        </is>
      </c>
      <c r="C51" s="105" t="n">
        <v>2025</v>
      </c>
      <c r="D51" s="106" t="inlineStr">
        <is>
          <t>Q4</t>
        </is>
      </c>
      <c r="E51" s="109" t="inlineStr">
        <is>
          <t>Ben/DeepSeek</t>
        </is>
      </c>
      <c r="F51" s="106" t="inlineStr">
        <is>
          <t>LLM</t>
        </is>
      </c>
      <c r="G51" s="128" t="n">
        <v>-0.1275</v>
      </c>
      <c r="H51" s="106" t="inlineStr">
        <is>
          <t>SELL</t>
        </is>
      </c>
      <c r="I51" s="128" t="n"/>
      <c r="J51" s="125" t="n">
        <v>46078</v>
      </c>
      <c r="K51" s="126" t="n">
        <v>46077</v>
      </c>
      <c r="L51" s="129" t="n">
        <v>278.59</v>
      </c>
      <c r="M51" s="126" t="n">
        <v>46078</v>
      </c>
      <c r="N51" s="129" t="n">
        <v>266.25</v>
      </c>
      <c r="O51" s="132" t="n">
        <v>0.007562</v>
      </c>
      <c r="P51" s="107" t="n">
        <v>-0.044294</v>
      </c>
      <c r="Q51" s="106" t="inlineStr">
        <is>
          <t>DOWN</t>
        </is>
      </c>
      <c r="R51" s="106" t="inlineStr">
        <is>
          <t>YES</t>
        </is>
      </c>
      <c r="S51" s="105" t="n">
        <v>-1</v>
      </c>
      <c r="T51" s="107" t="n">
        <v>0.043294</v>
      </c>
      <c r="U51" s="130" t="inlineStr">
        <is>
          <t>w=[0.55,0.45,0,0] thr=(+0.25,-0.05), deployed default (risk-accepted, PSR=0.0/perm p=0.150 at N=161, not rechecked at N=268)</t>
        </is>
      </c>
      <c r="W51" t="inlineStr">
        <is>
          <t>recorded price identified against every pulled series</t>
        </is>
      </c>
      <c r="X51" t="inlineStr">
        <is>
          <t>LOW</t>
        </is>
      </c>
      <c r="Y51" t="inlineStr">
        <is>
          <t>2026-02-24</t>
        </is>
      </c>
      <c r="Z51" t="n">
        <v>275.5561</v>
      </c>
      <c r="AA51" t="inlineStr">
        <is>
          <t>2026-02-25</t>
        </is>
      </c>
      <c r="AB51" t="n">
        <v>263.3505</v>
      </c>
      <c r="AC51" t="n">
        <v>-0.04429448388162475</v>
      </c>
      <c r="AD51" t="inlineStr">
        <is>
          <t>DOWN</t>
        </is>
      </c>
      <c r="AE51" t="inlineStr">
        <is>
          <t>YES</t>
        </is>
      </c>
      <c r="AF51" t="n">
        <v>0.043294</v>
      </c>
      <c r="AG51">
        <f>IF($A51="","",IFERROR(INDEX(Company_List!$G$3:$G$207,MATCH($A51,Company_List!$A$3:$A$207,0)),"unassigned"))</f>
        <v/>
      </c>
      <c r="AH51" t="inlineStr">
        <is>
          <t>Phase 2/Lowe's/low-usq-transcript_2026-02-25.pdf</t>
        </is>
      </c>
      <c r="AJ51" t="inlineStr">
        <is>
          <t>unique filename match</t>
        </is>
      </c>
      <c r="AK51">
        <f>IF($A51="","",IF(COUNTIFS(Human_Data_Entry!$A$3:$A$525,$A51)&gt;0,"YES","NO"))</f>
        <v/>
      </c>
      <c r="AL51">
        <f>IF($A51="","",IF(AND($C51&amp;"-"&amp;$D51&gt;=Settings!$B$19,$C51&amp;"-"&amp;$D51&lt;=Settings!$B$20),"IN","OUT"))</f>
        <v/>
      </c>
      <c r="AM51">
        <f>IF(AND(OR($H51="BUY",$H51="SELL"),ISNUMBER($T51)),$T51,"")</f>
        <v/>
      </c>
      <c r="AN51">
        <f>IF(AND(OR($H51="BUY",$H51="SELL"),ISNUMBER($AF51)),$AF51,"")</f>
        <v/>
      </c>
      <c r="AO51">
        <f>IF(ISNUMBER($AM51),ABS(IF(ISNUMBER($G51),$G51,0)-Settings!$B$25),"")</f>
        <v/>
      </c>
      <c r="AP51">
        <f>IF(ISNUMBER($AO51),$AO51*$AM51,"")</f>
        <v/>
      </c>
      <c r="AQ51">
        <f>IF(ISNUMBER($AN51),ABS(IF(ISNUMBER($G51),$G51,0)-Settings!$B$25),"")</f>
        <v/>
      </c>
      <c r="AR51">
        <f>IF(ISNUMBER($AQ51),$AQ51*$AN51,"")</f>
        <v/>
      </c>
      <c r="AS51">
        <f>IF($A51="","",IFERROR(INDEX(Company_List!$H$3:$H$207,MATCH($A51,Company_List!$A$3:$A$207,0)),"unassigned"))</f>
        <v/>
      </c>
      <c r="AT51" t="inlineStr">
        <is>
          <t>re-read since v1</t>
        </is>
      </c>
      <c r="AU51" t="inlineStr">
        <is>
          <t>Phase 2/Master_Data_v1.xlsx</t>
        </is>
      </c>
      <c r="AV51" t="n">
        <v>1</v>
      </c>
      <c r="AW51" t="inlineStr">
        <is>
          <t>Refinitiv / LSEG StreetEvents</t>
        </is>
      </c>
      <c r="AX51" t="inlineStr">
        <is>
          <t>licensed vendor</t>
        </is>
      </c>
      <c r="AY51" t="inlineStr">
        <is>
          <t>no</t>
        </is>
      </c>
      <c r="AZ51" t="inlineStr">
        <is>
          <t>no</t>
        </is>
      </c>
    </row>
    <row r="52">
      <c r="A52" s="115" t="inlineStr">
        <is>
          <t>Lululemon</t>
        </is>
      </c>
      <c r="B52" s="117" t="inlineStr">
        <is>
          <t>LULU</t>
        </is>
      </c>
      <c r="C52" s="105" t="n">
        <v>2026</v>
      </c>
      <c r="D52" s="106" t="inlineStr">
        <is>
          <t>Q1</t>
        </is>
      </c>
      <c r="E52" s="109" t="inlineStr">
        <is>
          <t>Ben/DeepSeek</t>
        </is>
      </c>
      <c r="F52" s="106" t="inlineStr">
        <is>
          <t>LLM</t>
        </is>
      </c>
      <c r="G52" s="128" t="n">
        <v>-0.41</v>
      </c>
      <c r="H52" s="106" t="inlineStr">
        <is>
          <t>SELL</t>
        </is>
      </c>
      <c r="I52" s="128" t="n"/>
      <c r="J52" s="125" t="n">
        <v>46177</v>
      </c>
      <c r="K52" s="126" t="n">
        <v>46177</v>
      </c>
      <c r="L52" s="129" t="n">
        <v>124.92</v>
      </c>
      <c r="M52" s="126" t="n">
        <v>46178</v>
      </c>
      <c r="N52" s="129" t="n">
        <v>110.43</v>
      </c>
      <c r="O52" s="132" t="n">
        <v>0.006916</v>
      </c>
      <c r="P52" s="107" t="n">
        <v>-0.115994</v>
      </c>
      <c r="Q52" s="106" t="inlineStr">
        <is>
          <t>DOWN</t>
        </is>
      </c>
      <c r="R52" s="106" t="inlineStr">
        <is>
          <t>YES</t>
        </is>
      </c>
      <c r="S52" s="105" t="n">
        <v>-1</v>
      </c>
      <c r="T52" s="107" t="n">
        <v>0.114994</v>
      </c>
      <c r="U52" s="130" t="inlineStr">
        <is>
          <t>w=[0.55,0.45,0,0] thr=(+0.25,-0.05), deployed default (risk-accepted, PSR=0.0/perm p=0.150 at N=161, not rechecked at N=268)</t>
        </is>
      </c>
      <c r="W52" t="inlineStr">
        <is>
          <t>price signal — both moved; this one dominates</t>
        </is>
      </c>
      <c r="X52" t="inlineStr">
        <is>
          <t>LULU</t>
        </is>
      </c>
      <c r="Y52" t="inlineStr">
        <is>
          <t>2026-06-04</t>
        </is>
      </c>
      <c r="Z52" t="n">
        <v>124.92</v>
      </c>
      <c r="AA52" t="inlineStr">
        <is>
          <t>2026-06-05</t>
        </is>
      </c>
      <c r="AB52" t="n">
        <v>110.43</v>
      </c>
      <c r="AC52" t="n">
        <v>-0.1159942221580888</v>
      </c>
      <c r="AD52" t="inlineStr">
        <is>
          <t>DOWN</t>
        </is>
      </c>
      <c r="AE52" t="inlineStr">
        <is>
          <t>YES</t>
        </is>
      </c>
      <c r="AF52" t="n">
        <v>0.114994</v>
      </c>
      <c r="AG52">
        <f>IF($A52="","",IFERROR(INDEX(Company_List!$G$3:$G$207,MATCH($A52,Company_List!$A$3:$A$207,0)),"unassigned"))</f>
        <v/>
      </c>
      <c r="AH52" t="inlineStr">
        <is>
          <t>Phase 2/Lululemon/Q1 2026 Earnings Transcript.pdf</t>
        </is>
      </c>
      <c r="AJ52" t="inlineStr">
        <is>
          <t>unique filename match</t>
        </is>
      </c>
      <c r="AK52">
        <f>IF($A52="","",IF(COUNTIFS(Human_Data_Entry!$A$3:$A$525,$A52)&gt;0,"YES","NO"))</f>
        <v/>
      </c>
      <c r="AL52">
        <f>IF($A52="","",IF(AND($C52&amp;"-"&amp;$D52&gt;=Settings!$B$19,$C52&amp;"-"&amp;$D52&lt;=Settings!$B$20),"IN","OUT"))</f>
        <v/>
      </c>
      <c r="AM52">
        <f>IF(AND(OR($H52="BUY",$H52="SELL"),ISNUMBER($T52)),$T52,"")</f>
        <v/>
      </c>
      <c r="AN52">
        <f>IF(AND(OR($H52="BUY",$H52="SELL"),ISNUMBER($AF52)),$AF52,"")</f>
        <v/>
      </c>
      <c r="AO52">
        <f>IF(ISNUMBER($AM52),ABS(IF(ISNUMBER($G52),$G52,0)-Settings!$B$25),"")</f>
        <v/>
      </c>
      <c r="AP52">
        <f>IF(ISNUMBER($AO52),$AO52*$AM52,"")</f>
        <v/>
      </c>
      <c r="AQ52">
        <f>IF(ISNUMBER($AN52),ABS(IF(ISNUMBER($G52),$G52,0)-Settings!$B$25),"")</f>
        <v/>
      </c>
      <c r="AR52">
        <f>IF(ISNUMBER($AQ52),$AQ52*$AN52,"")</f>
        <v/>
      </c>
      <c r="AS52">
        <f>IF($A52="","",IFERROR(INDEX(Company_List!$H$3:$H$207,MATCH($A52,Company_List!$A$3:$A$207,0)),"unassigned"))</f>
        <v/>
      </c>
      <c r="AT52" t="inlineStr">
        <is>
          <t>re-read since v1</t>
        </is>
      </c>
      <c r="AU52" t="inlineStr">
        <is>
          <t>Phase 2/Master_Data_v1.xlsx</t>
        </is>
      </c>
      <c r="AV52" t="n">
        <v>1</v>
      </c>
      <c r="AW52" t="inlineStr">
        <is>
          <t>The Motley Fool</t>
        </is>
      </c>
      <c r="AX52" t="inlineStr">
        <is>
          <t>free to read, copyright asserted</t>
        </is>
      </c>
      <c r="AY52" t="inlineStr">
        <is>
          <t>no</t>
        </is>
      </c>
      <c r="AZ52" t="inlineStr">
        <is>
          <t>no</t>
        </is>
      </c>
    </row>
    <row r="53">
      <c r="A53" s="115" t="inlineStr">
        <is>
          <t>Lululemon</t>
        </is>
      </c>
      <c r="B53" s="117" t="inlineStr">
        <is>
          <t>LULU</t>
        </is>
      </c>
      <c r="C53" s="105" t="n">
        <v>2025</v>
      </c>
      <c r="D53" s="106" t="inlineStr">
        <is>
          <t>Q3</t>
        </is>
      </c>
      <c r="E53" s="109" t="inlineStr">
        <is>
          <t>Ben/DeepSeek</t>
        </is>
      </c>
      <c r="F53" s="106" t="inlineStr">
        <is>
          <t>LLM</t>
        </is>
      </c>
      <c r="G53" s="128" t="n">
        <v>-0.23</v>
      </c>
      <c r="H53" s="106" t="inlineStr">
        <is>
          <t>SELL</t>
        </is>
      </c>
      <c r="I53" s="128" t="n"/>
      <c r="J53" s="125" t="n">
        <v>46002</v>
      </c>
      <c r="K53" s="126" t="n">
        <v>46002</v>
      </c>
      <c r="L53" s="129" t="n">
        <v>187.01</v>
      </c>
      <c r="M53" s="126" t="n">
        <v>46003</v>
      </c>
      <c r="N53" s="129" t="n">
        <v>204.58</v>
      </c>
      <c r="O53" s="132" t="n">
        <v>0.008574</v>
      </c>
      <c r="P53" s="107" t="n">
        <v>0.09395200000000001</v>
      </c>
      <c r="Q53" s="106" t="inlineStr">
        <is>
          <t>UP</t>
        </is>
      </c>
      <c r="R53" s="106" t="inlineStr">
        <is>
          <t>NO</t>
        </is>
      </c>
      <c r="S53" s="105" t="n">
        <v>-1</v>
      </c>
      <c r="T53" s="107" t="n">
        <v>-0.09495199999999999</v>
      </c>
      <c r="U53" s="130" t="inlineStr">
        <is>
          <t>w=[0.55,0.45,0,0] thr=(+0.25,-0.05), deployed default (risk-accepted, PSR=0.0/perm p=0.150 at N=161, not rechecked at N=268)</t>
        </is>
      </c>
      <c r="W53" t="inlineStr">
        <is>
          <t>price signal — both moved; this one dominates</t>
        </is>
      </c>
      <c r="X53" t="inlineStr">
        <is>
          <t>LULU</t>
        </is>
      </c>
      <c r="Y53" t="inlineStr">
        <is>
          <t>2025-12-11</t>
        </is>
      </c>
      <c r="Z53" t="n">
        <v>187.01</v>
      </c>
      <c r="AA53" t="inlineStr">
        <is>
          <t>2025-12-12</t>
        </is>
      </c>
      <c r="AB53" t="n">
        <v>204.58</v>
      </c>
      <c r="AC53" t="n">
        <v>0.09395223501289332</v>
      </c>
      <c r="AD53" t="inlineStr">
        <is>
          <t>UP</t>
        </is>
      </c>
      <c r="AE53" t="inlineStr">
        <is>
          <t>NO</t>
        </is>
      </c>
      <c r="AF53" t="n">
        <v>-0.09495199999999999</v>
      </c>
      <c r="AG53">
        <f>IF($A53="","",IFERROR(INDEX(Company_List!$G$3:$G$207,MATCH($A53,Company_List!$A$3:$A$207,0)),"unassigned"))</f>
        <v/>
      </c>
      <c r="AH53" t="inlineStr">
        <is>
          <t>Phase 2/Lululemon/Q3 2025 Earnings Call Transcript.pdf</t>
        </is>
      </c>
      <c r="AJ53" t="inlineStr">
        <is>
          <t>unique filename match</t>
        </is>
      </c>
      <c r="AK53">
        <f>IF($A53="","",IF(COUNTIFS(Human_Data_Entry!$A$3:$A$525,$A53)&gt;0,"YES","NO"))</f>
        <v/>
      </c>
      <c r="AL53">
        <f>IF($A53="","",IF(AND($C53&amp;"-"&amp;$D53&gt;=Settings!$B$19,$C53&amp;"-"&amp;$D53&lt;=Settings!$B$20),"IN","OUT"))</f>
        <v/>
      </c>
      <c r="AM53">
        <f>IF(AND(OR($H53="BUY",$H53="SELL"),ISNUMBER($T53)),$T53,"")</f>
        <v/>
      </c>
      <c r="AN53">
        <f>IF(AND(OR($H53="BUY",$H53="SELL"),ISNUMBER($AF53)),$AF53,"")</f>
        <v/>
      </c>
      <c r="AO53">
        <f>IF(ISNUMBER($AM53),ABS(IF(ISNUMBER($G53),$G53,0)-Settings!$B$25),"")</f>
        <v/>
      </c>
      <c r="AP53">
        <f>IF(ISNUMBER($AO53),$AO53*$AM53,"")</f>
        <v/>
      </c>
      <c r="AQ53">
        <f>IF(ISNUMBER($AN53),ABS(IF(ISNUMBER($G53),$G53,0)-Settings!$B$25),"")</f>
        <v/>
      </c>
      <c r="AR53">
        <f>IF(ISNUMBER($AQ53),$AQ53*$AN53,"")</f>
        <v/>
      </c>
      <c r="AS53">
        <f>IF($A53="","",IFERROR(INDEX(Company_List!$H$3:$H$207,MATCH($A53,Company_List!$A$3:$A$207,0)),"unassigned"))</f>
        <v/>
      </c>
      <c r="AT53" t="inlineStr">
        <is>
          <t>re-read since v1</t>
        </is>
      </c>
      <c r="AU53" t="inlineStr">
        <is>
          <t>Phase 2/Master_Data_v1.xlsx</t>
        </is>
      </c>
      <c r="AV53" t="n">
        <v>1</v>
      </c>
      <c r="AW53" t="inlineStr">
        <is>
          <t>The Motley Fool</t>
        </is>
      </c>
      <c r="AX53" t="inlineStr">
        <is>
          <t>free to read, copyright asserted</t>
        </is>
      </c>
      <c r="AY53" t="inlineStr">
        <is>
          <t>no</t>
        </is>
      </c>
      <c r="AZ53" t="inlineStr">
        <is>
          <t>no</t>
        </is>
      </c>
    </row>
    <row r="54">
      <c r="A54" s="115" t="inlineStr">
        <is>
          <t>Lululemon</t>
        </is>
      </c>
      <c r="B54" s="117" t="inlineStr">
        <is>
          <t>LULU</t>
        </is>
      </c>
      <c r="C54" s="105" t="n">
        <v>2025</v>
      </c>
      <c r="D54" s="106" t="inlineStr">
        <is>
          <t>Q4</t>
        </is>
      </c>
      <c r="E54" s="109" t="inlineStr">
        <is>
          <t>Ben/DeepSeek</t>
        </is>
      </c>
      <c r="F54" s="106" t="inlineStr">
        <is>
          <t>LLM</t>
        </is>
      </c>
      <c r="G54" s="128" t="n">
        <v>-0.32</v>
      </c>
      <c r="H54" s="106" t="inlineStr">
        <is>
          <t>SELL</t>
        </is>
      </c>
      <c r="I54" s="128" t="n"/>
      <c r="J54" s="125" t="n">
        <v>46098</v>
      </c>
      <c r="K54" s="126" t="n">
        <v>46098</v>
      </c>
      <c r="L54" s="129" t="n">
        <v>159.27</v>
      </c>
      <c r="M54" s="126" t="n">
        <v>46099</v>
      </c>
      <c r="N54" s="129" t="n">
        <v>158.04</v>
      </c>
      <c r="O54" s="132" t="n">
        <v>0.008551</v>
      </c>
      <c r="P54" s="107" t="n">
        <v>-0.007723</v>
      </c>
      <c r="Q54" s="106" t="inlineStr">
        <is>
          <t>FLAT</t>
        </is>
      </c>
      <c r="R54" s="106" t="inlineStr">
        <is>
          <t>NO</t>
        </is>
      </c>
      <c r="S54" s="105" t="n">
        <v>-1</v>
      </c>
      <c r="T54" s="107" t="n">
        <v>0.006723</v>
      </c>
      <c r="U54" s="130" t="inlineStr">
        <is>
          <t>w=[0.55,0.45,0,0] thr=(+0.25,-0.05), deployed default (risk-accepted, PSR=0.0/perm p=0.150 at N=161, not rechecked at N=268)</t>
        </is>
      </c>
      <c r="W54" t="inlineStr">
        <is>
          <t>earnings calendar, seconded independently (section C)</t>
        </is>
      </c>
      <c r="X54" t="inlineStr">
        <is>
          <t>LULU</t>
        </is>
      </c>
      <c r="Y54" t="inlineStr">
        <is>
          <t>2026-03-17</t>
        </is>
      </c>
      <c r="Z54" t="n">
        <v>159.27</v>
      </c>
      <c r="AA54" t="inlineStr">
        <is>
          <t>2026-03-18</t>
        </is>
      </c>
      <c r="AB54" t="n">
        <v>158.04</v>
      </c>
      <c r="AC54" t="n">
        <v>-0.007722803849493157</v>
      </c>
      <c r="AD54" t="inlineStr">
        <is>
          <t>FLAT</t>
        </is>
      </c>
      <c r="AE54" t="inlineStr">
        <is>
          <t>NO</t>
        </is>
      </c>
      <c r="AF54" t="n">
        <v>0.006723</v>
      </c>
      <c r="AG54">
        <f>IF($A54="","",IFERROR(INDEX(Company_List!$G$3:$G$207,MATCH($A54,Company_List!$A$3:$A$207,0)),"unassigned"))</f>
        <v/>
      </c>
      <c r="AH54" t="inlineStr">
        <is>
          <t>Phase 2/Lululemon/Q4 2025 Earnings Call Transcript.pdf</t>
        </is>
      </c>
      <c r="AJ54" t="inlineStr">
        <is>
          <t>unique filename match</t>
        </is>
      </c>
      <c r="AK54">
        <f>IF($A54="","",IF(COUNTIFS(Human_Data_Entry!$A$3:$A$525,$A54)&gt;0,"YES","NO"))</f>
        <v/>
      </c>
      <c r="AL54">
        <f>IF($A54="","",IF(AND($C54&amp;"-"&amp;$D54&gt;=Settings!$B$19,$C54&amp;"-"&amp;$D54&lt;=Settings!$B$20),"IN","OUT"))</f>
        <v/>
      </c>
      <c r="AM54">
        <f>IF(AND(OR($H54="BUY",$H54="SELL"),ISNUMBER($T54)),$T54,"")</f>
        <v/>
      </c>
      <c r="AN54">
        <f>IF(AND(OR($H54="BUY",$H54="SELL"),ISNUMBER($AF54)),$AF54,"")</f>
        <v/>
      </c>
      <c r="AO54">
        <f>IF(ISNUMBER($AM54),ABS(IF(ISNUMBER($G54),$G54,0)-Settings!$B$25),"")</f>
        <v/>
      </c>
      <c r="AP54">
        <f>IF(ISNUMBER($AO54),$AO54*$AM54,"")</f>
        <v/>
      </c>
      <c r="AQ54">
        <f>IF(ISNUMBER($AN54),ABS(IF(ISNUMBER($G54),$G54,0)-Settings!$B$25),"")</f>
        <v/>
      </c>
      <c r="AR54">
        <f>IF(ISNUMBER($AQ54),$AQ54*$AN54,"")</f>
        <v/>
      </c>
      <c r="AS54">
        <f>IF($A54="","",IFERROR(INDEX(Company_List!$H$3:$H$207,MATCH($A54,Company_List!$A$3:$A$207,0)),"unassigned"))</f>
        <v/>
      </c>
      <c r="AT54" t="inlineStr">
        <is>
          <t>re-read since v1</t>
        </is>
      </c>
      <c r="AU54" t="inlineStr">
        <is>
          <t>Phase 2/Master_Data_v1.xlsx</t>
        </is>
      </c>
      <c r="AV54" t="n">
        <v>1</v>
      </c>
      <c r="AW54" t="inlineStr">
        <is>
          <t>The Motley Fool</t>
        </is>
      </c>
      <c r="AX54" t="inlineStr">
        <is>
          <t>free to read, copyright asserted</t>
        </is>
      </c>
      <c r="AY54" t="inlineStr">
        <is>
          <t>no</t>
        </is>
      </c>
      <c r="AZ54" t="inlineStr">
        <is>
          <t>no</t>
        </is>
      </c>
    </row>
    <row r="55">
      <c r="A55" s="115" t="inlineStr">
        <is>
          <t>Maersk</t>
        </is>
      </c>
      <c r="B55" s="117" t="inlineStr">
        <is>
          <t>AMKBY</t>
        </is>
      </c>
      <c r="C55" s="105" t="n">
        <v>2025</v>
      </c>
      <c r="D55" s="106" t="inlineStr">
        <is>
          <t>Q1</t>
        </is>
      </c>
      <c r="E55" s="109" t="inlineStr">
        <is>
          <t>Ben/DeepSeek</t>
        </is>
      </c>
      <c r="F55" s="106" t="inlineStr">
        <is>
          <t>LLM</t>
        </is>
      </c>
      <c r="G55" s="128" t="n">
        <v>-0.135</v>
      </c>
      <c r="H55" s="106" t="inlineStr">
        <is>
          <t>SELL</t>
        </is>
      </c>
      <c r="I55" s="128" t="n"/>
      <c r="J55" s="125" t="n">
        <v>45784</v>
      </c>
      <c r="K55" s="126" t="n">
        <v>45784</v>
      </c>
      <c r="L55" s="129" t="n">
        <v>8.58</v>
      </c>
      <c r="M55" s="126" t="n">
        <v>45785</v>
      </c>
      <c r="N55" s="129" t="n">
        <v>8.720000000000001</v>
      </c>
      <c r="O55" s="132" t="n">
        <v>0.005196</v>
      </c>
      <c r="P55" s="107" t="n">
        <v>0.016317</v>
      </c>
      <c r="Q55" s="106" t="inlineStr">
        <is>
          <t>FLAT</t>
        </is>
      </c>
      <c r="R55" s="106" t="inlineStr">
        <is>
          <t>NO</t>
        </is>
      </c>
      <c r="S55" s="105" t="n">
        <v>-1</v>
      </c>
      <c r="T55" s="107" t="n">
        <v>-0.017317</v>
      </c>
      <c r="U55" s="130" t="inlineStr">
        <is>
          <t>w=[0.55,0.45,0,0] thr=(+0.25,-0.05), deployed default (risk-accepted, PSR=0.0/perm p=0.150 at N=161, not rechecked at N=268)</t>
        </is>
      </c>
      <c r="W55" t="inlineStr">
        <is>
          <t>repriced on the issuer's primary listing</t>
        </is>
      </c>
      <c r="X55" t="inlineStr">
        <is>
          <t>AMKBY</t>
        </is>
      </c>
      <c r="Y55" t="inlineStr">
        <is>
          <t>2025-02-06</t>
        </is>
      </c>
      <c r="Z55" t="n">
        <v>7.0573</v>
      </c>
      <c r="AA55" t="inlineStr">
        <is>
          <t>2025-02-07</t>
        </is>
      </c>
      <c r="AB55" t="n">
        <v>6.9505</v>
      </c>
      <c r="AC55" t="n">
        <v>-0.01513250280934686</v>
      </c>
      <c r="AD55" t="inlineStr">
        <is>
          <t>FLAT</t>
        </is>
      </c>
      <c r="AE55" t="inlineStr">
        <is>
          <t>NO</t>
        </is>
      </c>
      <c r="AF55" t="n">
        <v>0.014133</v>
      </c>
      <c r="AG55">
        <f>IF($A55="","",IFERROR(INDEX(Company_List!$G$3:$G$207,MATCH($A55,Company_List!$A$3:$A$207,0)),"unassigned"))</f>
        <v/>
      </c>
      <c r="AH55" t="inlineStr">
        <is>
          <t>Phase 2/Maersk/Q1/Q1 2025 AP Moeller - Maersk A:S Earnings Call Transcript.pdf; Phase 2/Maersk/Q1/Maersk Q1 2025 Investor Presentation.pdf; Phase 2/Maersk/Q1/Maersk Q1 2025 Interim Report.pdf</t>
        </is>
      </c>
      <c r="AJ55" t="inlineStr">
        <is>
          <t>whole bundle (Document = All)</t>
        </is>
      </c>
      <c r="AK55">
        <f>IF($A55="","",IF(COUNTIFS(Human_Data_Entry!$A$3:$A$525,$A55)&gt;0,"YES","NO"))</f>
        <v/>
      </c>
      <c r="AL55">
        <f>IF($A55="","",IF(AND($C55&amp;"-"&amp;$D55&gt;=Settings!$B$19,$C55&amp;"-"&amp;$D55&lt;=Settings!$B$20),"IN","OUT"))</f>
        <v/>
      </c>
      <c r="AM55">
        <f>IF(AND(OR($H55="BUY",$H55="SELL"),ISNUMBER($T55)),$T55,"")</f>
        <v/>
      </c>
      <c r="AN55">
        <f>IF(AND(OR($H55="BUY",$H55="SELL"),ISNUMBER($AF55)),$AF55,"")</f>
        <v/>
      </c>
      <c r="AO55">
        <f>IF(ISNUMBER($AM55),ABS(IF(ISNUMBER($G55),$G55,0)-Settings!$B$25),"")</f>
        <v/>
      </c>
      <c r="AP55">
        <f>IF(ISNUMBER($AO55),$AO55*$AM55,"")</f>
        <v/>
      </c>
      <c r="AQ55">
        <f>IF(ISNUMBER($AN55),ABS(IF(ISNUMBER($G55),$G55,0)-Settings!$B$25),"")</f>
        <v/>
      </c>
      <c r="AR55">
        <f>IF(ISNUMBER($AQ55),$AQ55*$AN55,"")</f>
        <v/>
      </c>
      <c r="AS55">
        <f>IF($A55="","",IFERROR(INDEX(Company_List!$H$3:$H$207,MATCH($A55,Company_List!$A$3:$A$207,0)),"unassigned"))</f>
        <v/>
      </c>
      <c r="AT55" t="inlineStr">
        <is>
          <t>re-read since v1</t>
        </is>
      </c>
      <c r="AU55" t="inlineStr">
        <is>
          <t>Phase 2/Master_Data_v1.xlsx</t>
        </is>
      </c>
      <c r="AV55" t="n">
        <v>3</v>
      </c>
      <c r="AW55" t="inlineStr">
        <is>
          <t>not publisher-identified</t>
        </is>
      </c>
      <c r="AX55" t="inlineStr">
        <is>
          <t>not publisher-identified</t>
        </is>
      </c>
      <c r="AY55" t="inlineStr">
        <is>
          <t>no</t>
        </is>
      </c>
      <c r="AZ55" t="inlineStr">
        <is>
          <t>no</t>
        </is>
      </c>
    </row>
    <row r="56">
      <c r="A56" s="115" t="inlineStr">
        <is>
          <t>Maersk</t>
        </is>
      </c>
      <c r="B56" s="117" t="inlineStr">
        <is>
          <t>AMKBY</t>
        </is>
      </c>
      <c r="C56" s="105" t="n">
        <v>2025</v>
      </c>
      <c r="D56" s="106" t="inlineStr">
        <is>
          <t>Q2</t>
        </is>
      </c>
      <c r="E56" s="109" t="inlineStr">
        <is>
          <t>Ben/DeepSeek</t>
        </is>
      </c>
      <c r="F56" s="106" t="inlineStr">
        <is>
          <t>LLM</t>
        </is>
      </c>
      <c r="G56" s="128" t="n">
        <v>0.32</v>
      </c>
      <c r="H56" s="106" t="inlineStr">
        <is>
          <t>BUY</t>
        </is>
      </c>
      <c r="I56" s="128" t="n"/>
      <c r="J56" s="125" t="n">
        <v>45876</v>
      </c>
      <c r="K56" s="126" t="n">
        <v>45876</v>
      </c>
      <c r="L56" s="129" t="n">
        <v>10.71</v>
      </c>
      <c r="M56" s="126" t="n">
        <v>45877</v>
      </c>
      <c r="N56" s="129" t="n">
        <v>10.8</v>
      </c>
      <c r="O56" s="132" t="n">
        <v>0.005273</v>
      </c>
      <c r="P56" s="107" t="n">
        <v>0.008403000000000001</v>
      </c>
      <c r="Q56" s="106" t="inlineStr">
        <is>
          <t>FLAT</t>
        </is>
      </c>
      <c r="R56" s="106" t="inlineStr">
        <is>
          <t>NO</t>
        </is>
      </c>
      <c r="S56" s="105" t="n">
        <v>1</v>
      </c>
      <c r="T56" s="107" t="n">
        <v>0.007403</v>
      </c>
      <c r="U56" s="130" t="inlineStr">
        <is>
          <t>w=[0.55,0.45,0,0] thr=(+0.25,-0.05), deployed default (risk-accepted, PSR=0.0/perm p=0.150 at N=161, not rechecked at N=268)</t>
        </is>
      </c>
      <c r="W56" t="inlineStr">
        <is>
          <t>repriced on the issuer's primary listing</t>
        </is>
      </c>
      <c r="X56" t="inlineStr">
        <is>
          <t>MAERSK-B.CO</t>
        </is>
      </c>
      <c r="Y56" t="inlineStr">
        <is>
          <t>2025-08-06</t>
        </is>
      </c>
      <c r="Z56" t="n">
        <v>12753.9619</v>
      </c>
      <c r="AA56" t="inlineStr">
        <is>
          <t>2025-08-07</t>
        </is>
      </c>
      <c r="AB56" t="n">
        <v>13453.3411</v>
      </c>
      <c r="AC56" t="n">
        <v>0.05483622973668197</v>
      </c>
      <c r="AD56" t="inlineStr">
        <is>
          <t>UP</t>
        </is>
      </c>
      <c r="AE56" t="inlineStr">
        <is>
          <t>YES</t>
        </is>
      </c>
      <c r="AF56" t="n">
        <v>0.053836</v>
      </c>
      <c r="AG56">
        <f>IF($A56="","",IFERROR(INDEX(Company_List!$G$3:$G$207,MATCH($A56,Company_List!$A$3:$A$207,0)),"unassigned"))</f>
        <v/>
      </c>
      <c r="AH56" t="inlineStr">
        <is>
          <t>Phase 2/Maersk/Q2/Q2 2025 AP Moeller - Maersk A:S Earnings Call Transcript.pdf; Phase 2/Maersk/Q2/Maersk Q2 2025 Investor Presentation.pdf; Phase 2/Maersk/Q2/Maersk Q2 2025 Interim Report.pdf</t>
        </is>
      </c>
      <c r="AJ56" t="inlineStr">
        <is>
          <t>whole bundle (Document = All)</t>
        </is>
      </c>
      <c r="AK56">
        <f>IF($A56="","",IF(COUNTIFS(Human_Data_Entry!$A$3:$A$525,$A56)&gt;0,"YES","NO"))</f>
        <v/>
      </c>
      <c r="AL56">
        <f>IF($A56="","",IF(AND($C56&amp;"-"&amp;$D56&gt;=Settings!$B$19,$C56&amp;"-"&amp;$D56&lt;=Settings!$B$20),"IN","OUT"))</f>
        <v/>
      </c>
      <c r="AM56">
        <f>IF(AND(OR($H56="BUY",$H56="SELL"),ISNUMBER($T56)),$T56,"")</f>
        <v/>
      </c>
      <c r="AN56">
        <f>IF(AND(OR($H56="BUY",$H56="SELL"),ISNUMBER($AF56)),$AF56,"")</f>
        <v/>
      </c>
      <c r="AO56">
        <f>IF(ISNUMBER($AM56),ABS(IF(ISNUMBER($G56),$G56,0)-Settings!$B$25),"")</f>
        <v/>
      </c>
      <c r="AP56">
        <f>IF(ISNUMBER($AO56),$AO56*$AM56,"")</f>
        <v/>
      </c>
      <c r="AQ56">
        <f>IF(ISNUMBER($AN56),ABS(IF(ISNUMBER($G56),$G56,0)-Settings!$B$25),"")</f>
        <v/>
      </c>
      <c r="AR56">
        <f>IF(ISNUMBER($AQ56),$AQ56*$AN56,"")</f>
        <v/>
      </c>
      <c r="AS56">
        <f>IF($A56="","",IFERROR(INDEX(Company_List!$H$3:$H$207,MATCH($A56,Company_List!$A$3:$A$207,0)),"unassigned"))</f>
        <v/>
      </c>
      <c r="AT56" t="inlineStr">
        <is>
          <t>re-read since v1</t>
        </is>
      </c>
      <c r="AU56" t="inlineStr">
        <is>
          <t>Phase 2/Master_Data_v1.xlsx</t>
        </is>
      </c>
      <c r="AV56" t="n">
        <v>3</v>
      </c>
      <c r="AW56" t="inlineStr">
        <is>
          <t>not publisher-identified</t>
        </is>
      </c>
      <c r="AX56" t="inlineStr">
        <is>
          <t>not publisher-identified</t>
        </is>
      </c>
      <c r="AY56" t="inlineStr">
        <is>
          <t>no</t>
        </is>
      </c>
      <c r="AZ56" t="inlineStr">
        <is>
          <t>no</t>
        </is>
      </c>
    </row>
    <row r="57">
      <c r="A57" s="115" t="inlineStr">
        <is>
          <t>Maersk</t>
        </is>
      </c>
      <c r="B57" s="117" t="inlineStr">
        <is>
          <t>AMKBY</t>
        </is>
      </c>
      <c r="C57" s="105" t="n">
        <v>2025</v>
      </c>
      <c r="D57" s="106" t="inlineStr">
        <is>
          <t>Q3</t>
        </is>
      </c>
      <c r="E57" s="109" t="inlineStr">
        <is>
          <t>Ben/DeepSeek</t>
        </is>
      </c>
      <c r="F57" s="106" t="inlineStr">
        <is>
          <t>LLM</t>
        </is>
      </c>
      <c r="G57" s="128" t="n">
        <v>0.3275</v>
      </c>
      <c r="H57" s="106" t="inlineStr">
        <is>
          <t>BUY</t>
        </is>
      </c>
      <c r="I57" s="128" t="n"/>
      <c r="J57" s="125" t="n">
        <v>45966</v>
      </c>
      <c r="K57" s="126" t="n">
        <v>45966</v>
      </c>
      <c r="L57" s="129" t="n">
        <v>10.38</v>
      </c>
      <c r="M57" s="126" t="n">
        <v>45967</v>
      </c>
      <c r="N57" s="129" t="n">
        <v>9.800000000000001</v>
      </c>
      <c r="O57" s="132" t="n">
        <v>0.005012</v>
      </c>
      <c r="P57" s="107" t="n">
        <v>-0.055877</v>
      </c>
      <c r="Q57" s="106" t="inlineStr">
        <is>
          <t>DOWN</t>
        </is>
      </c>
      <c r="R57" s="106" t="inlineStr">
        <is>
          <t>NO</t>
        </is>
      </c>
      <c r="S57" s="105" t="n">
        <v>1</v>
      </c>
      <c r="T57" s="107" t="n">
        <v>-0.056877</v>
      </c>
      <c r="U57" s="130" t="inlineStr">
        <is>
          <t>w=[0.55,0.45,0,0] thr=(+0.25,-0.05), deployed default (risk-accepted, PSR=0.0/perm p=0.150 at N=161, not rechecked at N=268)</t>
        </is>
      </c>
      <c r="W57" t="inlineStr">
        <is>
          <t>repriced on the issuer's primary listing</t>
        </is>
      </c>
      <c r="X57" t="inlineStr">
        <is>
          <t>MAERSK-B.CO</t>
        </is>
      </c>
      <c r="Y57" t="inlineStr">
        <is>
          <t>2025-11-05</t>
        </is>
      </c>
      <c r="Z57" t="n">
        <v>13181.3604</v>
      </c>
      <c r="AA57" t="inlineStr">
        <is>
          <t>2025-11-06</t>
        </is>
      </c>
      <c r="AB57" t="n">
        <v>12627.6849</v>
      </c>
      <c r="AC57" t="n">
        <v>-0.04200442564466281</v>
      </c>
      <c r="AD57" t="inlineStr">
        <is>
          <t>DOWN</t>
        </is>
      </c>
      <c r="AE57" t="inlineStr">
        <is>
          <t>NO</t>
        </is>
      </c>
      <c r="AF57" t="n">
        <v>-0.043004</v>
      </c>
      <c r="AG57">
        <f>IF($A57="","",IFERROR(INDEX(Company_List!$G$3:$G$207,MATCH($A57,Company_List!$A$3:$A$207,0)),"unassigned"))</f>
        <v/>
      </c>
      <c r="AH57" t="inlineStr">
        <is>
          <t>Phase 2/Maersk/Q3/Q3 2025 AP Moeller - Maersk A:S Earnings Call Transcript.pdf; Phase 2/Maersk/Q3/Maersk Q3 2025 Investor Presentation.pdf; Phase 2/Maersk/Q3/Maersk Q3 2025 Interim Report.pdf</t>
        </is>
      </c>
      <c r="AJ57" t="inlineStr">
        <is>
          <t>whole bundle (Document = All)</t>
        </is>
      </c>
      <c r="AK57">
        <f>IF($A57="","",IF(COUNTIFS(Human_Data_Entry!$A$3:$A$525,$A57)&gt;0,"YES","NO"))</f>
        <v/>
      </c>
      <c r="AL57">
        <f>IF($A57="","",IF(AND($C57&amp;"-"&amp;$D57&gt;=Settings!$B$19,$C57&amp;"-"&amp;$D57&lt;=Settings!$B$20),"IN","OUT"))</f>
        <v/>
      </c>
      <c r="AM57">
        <f>IF(AND(OR($H57="BUY",$H57="SELL"),ISNUMBER($T57)),$T57,"")</f>
        <v/>
      </c>
      <c r="AN57">
        <f>IF(AND(OR($H57="BUY",$H57="SELL"),ISNUMBER($AF57)),$AF57,"")</f>
        <v/>
      </c>
      <c r="AO57">
        <f>IF(ISNUMBER($AM57),ABS(IF(ISNUMBER($G57),$G57,0)-Settings!$B$25),"")</f>
        <v/>
      </c>
      <c r="AP57">
        <f>IF(ISNUMBER($AO57),$AO57*$AM57,"")</f>
        <v/>
      </c>
      <c r="AQ57">
        <f>IF(ISNUMBER($AN57),ABS(IF(ISNUMBER($G57),$G57,0)-Settings!$B$25),"")</f>
        <v/>
      </c>
      <c r="AR57">
        <f>IF(ISNUMBER($AQ57),$AQ57*$AN57,"")</f>
        <v/>
      </c>
      <c r="AS57">
        <f>IF($A57="","",IFERROR(INDEX(Company_List!$H$3:$H$207,MATCH($A57,Company_List!$A$3:$A$207,0)),"unassigned"))</f>
        <v/>
      </c>
      <c r="AT57" t="inlineStr">
        <is>
          <t>re-read since v1</t>
        </is>
      </c>
      <c r="AU57" t="inlineStr">
        <is>
          <t>Phase 2/Master_Data_v1.xlsx</t>
        </is>
      </c>
      <c r="AV57" t="n">
        <v>3</v>
      </c>
      <c r="AW57" t="inlineStr">
        <is>
          <t>not publisher-identified</t>
        </is>
      </c>
      <c r="AX57" t="inlineStr">
        <is>
          <t>not publisher-identified</t>
        </is>
      </c>
      <c r="AY57" t="inlineStr">
        <is>
          <t>no</t>
        </is>
      </c>
      <c r="AZ57" t="inlineStr">
        <is>
          <t>no</t>
        </is>
      </c>
    </row>
    <row r="58">
      <c r="A58" s="115" t="inlineStr">
        <is>
          <t>Maersk</t>
        </is>
      </c>
      <c r="B58" s="117" t="inlineStr">
        <is>
          <t>AMKBY</t>
        </is>
      </c>
      <c r="C58" s="105" t="n">
        <v>2025</v>
      </c>
      <c r="D58" s="106" t="inlineStr">
        <is>
          <t>Q4</t>
        </is>
      </c>
      <c r="E58" s="109" t="inlineStr">
        <is>
          <t>Ben/DeepSeek</t>
        </is>
      </c>
      <c r="F58" s="106" t="inlineStr">
        <is>
          <t>LLM</t>
        </is>
      </c>
      <c r="G58" s="128" t="n">
        <v>-0.5</v>
      </c>
      <c r="H58" s="106" t="inlineStr">
        <is>
          <t>SELL</t>
        </is>
      </c>
      <c r="I58" s="128" t="n"/>
      <c r="J58" s="125" t="n">
        <v>46058</v>
      </c>
      <c r="K58" s="126" t="n">
        <v>46058</v>
      </c>
      <c r="L58" s="129" t="n">
        <v>12.09</v>
      </c>
      <c r="M58" s="126" t="n">
        <v>46059</v>
      </c>
      <c r="N58" s="129" t="n">
        <v>11.93</v>
      </c>
      <c r="O58" s="132" t="n">
        <v>0.004087</v>
      </c>
      <c r="P58" s="107" t="n">
        <v>-0.013234</v>
      </c>
      <c r="Q58" s="106" t="inlineStr">
        <is>
          <t>FLAT</t>
        </is>
      </c>
      <c r="R58" s="106" t="inlineStr">
        <is>
          <t>NO</t>
        </is>
      </c>
      <c r="S58" s="105" t="n">
        <v>-1</v>
      </c>
      <c r="T58" s="107" t="n">
        <v>0.012234</v>
      </c>
      <c r="U58" s="130" t="inlineStr">
        <is>
          <t>w=[0.55,0.45,0,0] thr=(+0.25,-0.05), deployed default (risk-accepted, PSR=0.0/perm p=0.150 at N=161, not rechecked at N=268)</t>
        </is>
      </c>
      <c r="W58" t="inlineStr">
        <is>
          <t>repriced on the issuer's primary listing</t>
        </is>
      </c>
      <c r="X58" t="inlineStr">
        <is>
          <t>MAERSK-B.CO</t>
        </is>
      </c>
      <c r="Y58" t="inlineStr">
        <is>
          <t>2026-02-04</t>
        </is>
      </c>
      <c r="Z58" t="n">
        <v>15522.3389</v>
      </c>
      <c r="AA58" t="inlineStr">
        <is>
          <t>2026-02-05</t>
        </is>
      </c>
      <c r="AB58" t="n">
        <v>14570.4061</v>
      </c>
      <c r="AC58" t="n">
        <v>-0.0613266305667326</v>
      </c>
      <c r="AD58" t="inlineStr">
        <is>
          <t>DOWN</t>
        </is>
      </c>
      <c r="AE58" t="inlineStr">
        <is>
          <t>YES</t>
        </is>
      </c>
      <c r="AF58" t="n">
        <v>0.060327</v>
      </c>
      <c r="AG58">
        <f>IF($A58="","",IFERROR(INDEX(Company_List!$G$3:$G$207,MATCH($A58,Company_List!$A$3:$A$207,0)),"unassigned"))</f>
        <v/>
      </c>
      <c r="AH58" t="inlineStr">
        <is>
          <t>Phase 2/Maersk/Q4/maersk_annual_report_2025_press_release.pdf; Phase 2/Maersk/Q4/apmm-ar-2025-70-final-no-tags.pdf; Phase 2/Maersk/Q4/Q4 2025 AP Moeller - Maersk A:S Earnings Call Transcript.pdf</t>
        </is>
      </c>
      <c r="AJ58" t="inlineStr">
        <is>
          <t>whole bundle (Document = All)</t>
        </is>
      </c>
      <c r="AK58">
        <f>IF($A58="","",IF(COUNTIFS(Human_Data_Entry!$A$3:$A$525,$A58)&gt;0,"YES","NO"))</f>
        <v/>
      </c>
      <c r="AL58">
        <f>IF($A58="","",IF(AND($C58&amp;"-"&amp;$D58&gt;=Settings!$B$19,$C58&amp;"-"&amp;$D58&lt;=Settings!$B$20),"IN","OUT"))</f>
        <v/>
      </c>
      <c r="AM58">
        <f>IF(AND(OR($H58="BUY",$H58="SELL"),ISNUMBER($T58)),$T58,"")</f>
        <v/>
      </c>
      <c r="AN58">
        <f>IF(AND(OR($H58="BUY",$H58="SELL"),ISNUMBER($AF58)),$AF58,"")</f>
        <v/>
      </c>
      <c r="AO58">
        <f>IF(ISNUMBER($AM58),ABS(IF(ISNUMBER($G58),$G58,0)-Settings!$B$25),"")</f>
        <v/>
      </c>
      <c r="AP58">
        <f>IF(ISNUMBER($AO58),$AO58*$AM58,"")</f>
        <v/>
      </c>
      <c r="AQ58">
        <f>IF(ISNUMBER($AN58),ABS(IF(ISNUMBER($G58),$G58,0)-Settings!$B$25),"")</f>
        <v/>
      </c>
      <c r="AR58">
        <f>IF(ISNUMBER($AQ58),$AQ58*$AN58,"")</f>
        <v/>
      </c>
      <c r="AS58">
        <f>IF($A58="","",IFERROR(INDEX(Company_List!$H$3:$H$207,MATCH($A58,Company_List!$A$3:$A$207,0)),"unassigned"))</f>
        <v/>
      </c>
      <c r="AT58" t="inlineStr">
        <is>
          <t>re-read since v1</t>
        </is>
      </c>
      <c r="AU58" t="inlineStr">
        <is>
          <t>Phase 2/Master_Data_v1.xlsx</t>
        </is>
      </c>
      <c r="AV58" t="n">
        <v>3</v>
      </c>
      <c r="AW58" t="inlineStr">
        <is>
          <t>not publisher-identified</t>
        </is>
      </c>
      <c r="AX58" t="inlineStr">
        <is>
          <t>not publisher-identified</t>
        </is>
      </c>
      <c r="AY58" t="inlineStr">
        <is>
          <t>no</t>
        </is>
      </c>
      <c r="AZ58" t="inlineStr">
        <is>
          <t>no</t>
        </is>
      </c>
    </row>
    <row r="59">
      <c r="A59" s="115" t="inlineStr">
        <is>
          <t>McDonald's</t>
        </is>
      </c>
      <c r="B59" s="117" t="inlineStr">
        <is>
          <t>MCD</t>
        </is>
      </c>
      <c r="C59" s="105" t="n">
        <v>2026</v>
      </c>
      <c r="D59" s="106" t="inlineStr">
        <is>
          <t>Q1</t>
        </is>
      </c>
      <c r="E59" s="109" t="inlineStr">
        <is>
          <t>Ben/DeepSeek</t>
        </is>
      </c>
      <c r="F59" s="106" t="inlineStr">
        <is>
          <t>LLM</t>
        </is>
      </c>
      <c r="G59" s="128" t="n">
        <v>-0.19</v>
      </c>
      <c r="H59" s="106" t="inlineStr">
        <is>
          <t>SELL</t>
        </is>
      </c>
      <c r="I59" s="128" t="n"/>
      <c r="J59" s="125" t="n">
        <v>46149</v>
      </c>
      <c r="K59" s="126" t="n">
        <v>46148</v>
      </c>
      <c r="L59" s="129" t="n">
        <v>284.1</v>
      </c>
      <c r="M59" s="126" t="n">
        <v>46149</v>
      </c>
      <c r="N59" s="129" t="n">
        <v>287.83</v>
      </c>
      <c r="O59" s="132" t="n">
        <v>0.003727</v>
      </c>
      <c r="P59" s="107" t="n">
        <v>0.013129</v>
      </c>
      <c r="Q59" s="106" t="inlineStr">
        <is>
          <t>FLAT</t>
        </is>
      </c>
      <c r="R59" s="106" t="inlineStr">
        <is>
          <t>NO</t>
        </is>
      </c>
      <c r="S59" s="105" t="n">
        <v>-1</v>
      </c>
      <c r="T59" s="107" t="n">
        <v>-0.014129</v>
      </c>
      <c r="U59" s="130" t="inlineStr">
        <is>
          <t>w=[0.55,0.45,0,0] thr=(+0.25,-0.05), deployed default (risk-accepted, PSR=0.0/perm p=0.150 at N=161, not rechecked at N=268)</t>
        </is>
      </c>
      <c r="W59" t="inlineStr">
        <is>
          <t>release date + stated time</t>
        </is>
      </c>
      <c r="X59" t="inlineStr">
        <is>
          <t>MCD</t>
        </is>
      </c>
      <c r="Y59" t="inlineStr">
        <is>
          <t>2026-05-06</t>
        </is>
      </c>
      <c r="Z59" t="n">
        <v>282.1862</v>
      </c>
      <c r="AA59" t="inlineStr">
        <is>
          <t>2026-05-07</t>
        </is>
      </c>
      <c r="AB59" t="n">
        <v>285.891</v>
      </c>
      <c r="AC59" t="n">
        <v>0.0131290784508832</v>
      </c>
      <c r="AD59" t="inlineStr">
        <is>
          <t>FLAT</t>
        </is>
      </c>
      <c r="AE59" t="inlineStr">
        <is>
          <t>NO</t>
        </is>
      </c>
      <c r="AF59" t="n">
        <v>-0.014129</v>
      </c>
      <c r="AG59">
        <f>IF($A59="","",IFERROR(INDEX(Company_List!$G$3:$G$207,MATCH($A59,Company_List!$A$3:$A$207,0)),"unassigned"))</f>
        <v/>
      </c>
      <c r="AH59" t="inlineStr">
        <is>
          <t>Phase 2/McDonald's/Q1 2026- numbers.pdf; Phase 2/McDonald's/Q1 2026 Earnings Transcript.pdf</t>
        </is>
      </c>
      <c r="AJ59" t="inlineStr">
        <is>
          <t>whole bundle (Document = All)</t>
        </is>
      </c>
      <c r="AK59">
        <f>IF($A59="","",IF(COUNTIFS(Human_Data_Entry!$A$3:$A$525,$A59)&gt;0,"YES","NO"))</f>
        <v/>
      </c>
      <c r="AL59">
        <f>IF($A59="","",IF(AND($C59&amp;"-"&amp;$D59&gt;=Settings!$B$19,$C59&amp;"-"&amp;$D59&lt;=Settings!$B$20),"IN","OUT"))</f>
        <v/>
      </c>
      <c r="AM59">
        <f>IF(AND(OR($H59="BUY",$H59="SELL"),ISNUMBER($T59)),$T59,"")</f>
        <v/>
      </c>
      <c r="AN59">
        <f>IF(AND(OR($H59="BUY",$H59="SELL"),ISNUMBER($AF59)),$AF59,"")</f>
        <v/>
      </c>
      <c r="AO59">
        <f>IF(ISNUMBER($AM59),ABS(IF(ISNUMBER($G59),$G59,0)-Settings!$B$25),"")</f>
        <v/>
      </c>
      <c r="AP59">
        <f>IF(ISNUMBER($AO59),$AO59*$AM59,"")</f>
        <v/>
      </c>
      <c r="AQ59">
        <f>IF(ISNUMBER($AN59),ABS(IF(ISNUMBER($G59),$G59,0)-Settings!$B$25),"")</f>
        <v/>
      </c>
      <c r="AR59">
        <f>IF(ISNUMBER($AQ59),$AQ59*$AN59,"")</f>
        <v/>
      </c>
      <c r="AS59">
        <f>IF($A59="","",IFERROR(INDEX(Company_List!$H$3:$H$207,MATCH($A59,Company_List!$A$3:$A$207,0)),"unassigned"))</f>
        <v/>
      </c>
      <c r="AT59" t="inlineStr">
        <is>
          <t>re-read since v1</t>
        </is>
      </c>
      <c r="AU59" t="inlineStr">
        <is>
          <t>Phase 2/Master_Data_v1.xlsx</t>
        </is>
      </c>
      <c r="AV59" t="n">
        <v>2</v>
      </c>
      <c r="AW59" t="inlineStr">
        <is>
          <t>The Motley Fool</t>
        </is>
      </c>
      <c r="AX59" t="inlineStr">
        <is>
          <t>free to read, copyright asserted</t>
        </is>
      </c>
      <c r="AY59" t="inlineStr">
        <is>
          <t>no</t>
        </is>
      </c>
      <c r="AZ59" t="inlineStr">
        <is>
          <t>no</t>
        </is>
      </c>
    </row>
    <row r="60">
      <c r="A60" s="115" t="inlineStr">
        <is>
          <t>McDonald's</t>
        </is>
      </c>
      <c r="B60" s="117" t="inlineStr">
        <is>
          <t>MCD</t>
        </is>
      </c>
      <c r="C60" s="105" t="n">
        <v>2024</v>
      </c>
      <c r="D60" s="106" t="inlineStr">
        <is>
          <t>Q4</t>
        </is>
      </c>
      <c r="E60" s="109" t="inlineStr">
        <is>
          <t>Ben/DeepSeek</t>
        </is>
      </c>
      <c r="F60" s="106" t="inlineStr">
        <is>
          <t>LLM</t>
        </is>
      </c>
      <c r="G60" s="128" t="n">
        <v>-0.1</v>
      </c>
      <c r="H60" s="106" t="inlineStr">
        <is>
          <t>SELL</t>
        </is>
      </c>
      <c r="I60" s="128" t="n"/>
      <c r="J60" s="125" t="n">
        <v>45698</v>
      </c>
      <c r="K60" s="126" t="n">
        <v>45695</v>
      </c>
      <c r="L60" s="129" t="n">
        <v>294.3</v>
      </c>
      <c r="M60" s="126" t="n">
        <v>45698</v>
      </c>
      <c r="N60" s="129" t="n">
        <v>302.27</v>
      </c>
      <c r="O60" s="132" t="n">
        <v>0.005491</v>
      </c>
      <c r="P60" s="107" t="n">
        <v>0.027081</v>
      </c>
      <c r="Q60" s="106" t="inlineStr">
        <is>
          <t>UP</t>
        </is>
      </c>
      <c r="R60" s="106" t="inlineStr">
        <is>
          <t>NO</t>
        </is>
      </c>
      <c r="S60" s="105" t="n">
        <v>-1</v>
      </c>
      <c r="T60" s="107" t="n">
        <v>-0.028081</v>
      </c>
      <c r="U60" s="130" t="inlineStr">
        <is>
          <t>w=[0.55,0.45,0,0] thr=(+0.25,-0.05), deployed default (risk-accepted, PSR=0.0/perm p=0.150 at N=161, not rechecked at N=268)</t>
        </is>
      </c>
      <c r="W60" t="inlineStr">
        <is>
          <t>price signal — only this window shows an abnormal move</t>
        </is>
      </c>
      <c r="X60" t="inlineStr">
        <is>
          <t>MCD</t>
        </is>
      </c>
      <c r="Y60" t="inlineStr">
        <is>
          <t>2025-02-07</t>
        </is>
      </c>
      <c r="Z60" t="n">
        <v>284.0678</v>
      </c>
      <c r="AA60" t="inlineStr">
        <is>
          <t>2025-02-10</t>
        </is>
      </c>
      <c r="AB60" t="n">
        <v>291.7607</v>
      </c>
      <c r="AC60" t="n">
        <v>0.02708116902143613</v>
      </c>
      <c r="AD60" t="inlineStr">
        <is>
          <t>UP</t>
        </is>
      </c>
      <c r="AE60" t="inlineStr">
        <is>
          <t>NO</t>
        </is>
      </c>
      <c r="AF60" t="n">
        <v>-0.028081</v>
      </c>
      <c r="AG60">
        <f>IF($A60="","",IFERROR(INDEX(Company_List!$G$3:$G$207,MATCH($A60,Company_List!$A$3:$A$207,0)),"unassigned"))</f>
        <v/>
      </c>
      <c r="AH60" t="inlineStr">
        <is>
          <t>Phase 2/McDonald's/Q4 2024-numbers.pdf; Phase 2/McDonald's/Q4 2024 Earnings Call Transcript.pdf</t>
        </is>
      </c>
      <c r="AJ60" t="inlineStr">
        <is>
          <t>whole bundle (Document = All)</t>
        </is>
      </c>
      <c r="AK60">
        <f>IF($A60="","",IF(COUNTIFS(Human_Data_Entry!$A$3:$A$525,$A60)&gt;0,"YES","NO"))</f>
        <v/>
      </c>
      <c r="AL60">
        <f>IF($A60="","",IF(AND($C60&amp;"-"&amp;$D60&gt;=Settings!$B$19,$C60&amp;"-"&amp;$D60&lt;=Settings!$B$20),"IN","OUT"))</f>
        <v/>
      </c>
      <c r="AM60">
        <f>IF(AND(OR($H60="BUY",$H60="SELL"),ISNUMBER($T60)),$T60,"")</f>
        <v/>
      </c>
      <c r="AN60">
        <f>IF(AND(OR($H60="BUY",$H60="SELL"),ISNUMBER($AF60)),$AF60,"")</f>
        <v/>
      </c>
      <c r="AO60">
        <f>IF(ISNUMBER($AM60),ABS(IF(ISNUMBER($G60),$G60,0)-Settings!$B$25),"")</f>
        <v/>
      </c>
      <c r="AP60">
        <f>IF(ISNUMBER($AO60),$AO60*$AM60,"")</f>
        <v/>
      </c>
      <c r="AQ60">
        <f>IF(ISNUMBER($AN60),ABS(IF(ISNUMBER($G60),$G60,0)-Settings!$B$25),"")</f>
        <v/>
      </c>
      <c r="AR60">
        <f>IF(ISNUMBER($AQ60),$AQ60*$AN60,"")</f>
        <v/>
      </c>
      <c r="AS60">
        <f>IF($A60="","",IFERROR(INDEX(Company_List!$H$3:$H$207,MATCH($A60,Company_List!$A$3:$A$207,0)),"unassigned"))</f>
        <v/>
      </c>
      <c r="AT60" t="inlineStr">
        <is>
          <t>re-read since v1</t>
        </is>
      </c>
      <c r="AU60" t="inlineStr">
        <is>
          <t>Phase 2/Master_Data_v1.xlsx</t>
        </is>
      </c>
      <c r="AV60" t="n">
        <v>2</v>
      </c>
      <c r="AW60" t="inlineStr">
        <is>
          <t>The Motley Fool</t>
        </is>
      </c>
      <c r="AX60" t="inlineStr">
        <is>
          <t>free to read, copyright asserted</t>
        </is>
      </c>
      <c r="AY60" t="inlineStr">
        <is>
          <t>no</t>
        </is>
      </c>
      <c r="AZ60" t="inlineStr">
        <is>
          <t>no</t>
        </is>
      </c>
    </row>
    <row r="61">
      <c r="A61" s="115" t="inlineStr">
        <is>
          <t>McDonald's</t>
        </is>
      </c>
      <c r="B61" s="117" t="inlineStr">
        <is>
          <t>MCD</t>
        </is>
      </c>
      <c r="C61" s="105" t="n">
        <v>2025</v>
      </c>
      <c r="D61" s="106" t="inlineStr">
        <is>
          <t>Q4</t>
        </is>
      </c>
      <c r="E61" s="109" t="inlineStr">
        <is>
          <t>Ben/DeepSeek</t>
        </is>
      </c>
      <c r="F61" s="106" t="inlineStr">
        <is>
          <t>LLM</t>
        </is>
      </c>
      <c r="G61" s="128" t="n">
        <v>0.25</v>
      </c>
      <c r="H61" s="106" t="inlineStr">
        <is>
          <t>HOLD</t>
        </is>
      </c>
      <c r="I61" s="128" t="n"/>
      <c r="J61" s="125" t="n">
        <v>46064</v>
      </c>
      <c r="K61" s="126" t="n">
        <v>46063</v>
      </c>
      <c r="L61" s="129" t="n">
        <v>325.97</v>
      </c>
      <c r="M61" s="126" t="n">
        <v>46064</v>
      </c>
      <c r="N61" s="129" t="n">
        <v>323.58</v>
      </c>
      <c r="O61" s="132" t="n">
        <v>0.004915</v>
      </c>
      <c r="P61" s="107" t="n">
        <v>-0.007332</v>
      </c>
      <c r="Q61" s="106" t="inlineStr">
        <is>
          <t>FLAT</t>
        </is>
      </c>
      <c r="R61" s="106" t="inlineStr">
        <is>
          <t>YES</t>
        </is>
      </c>
      <c r="S61" s="105" t="n">
        <v>0</v>
      </c>
      <c r="T61" s="107" t="n">
        <v>0</v>
      </c>
      <c r="U61" s="130" t="inlineStr">
        <is>
          <t>w=[0.55,0.45,0,0] thr=(+0.25,-0.05), deployed default (risk-accepted, PSR=0.0/perm p=0.150 at N=161, not rechecked at N=268)</t>
        </is>
      </c>
      <c r="W61" t="inlineStr">
        <is>
          <t>EDGAR acceptance timestamp on the Item 2.02 8-K</t>
        </is>
      </c>
      <c r="X61" t="inlineStr">
        <is>
          <t>MCD</t>
        </is>
      </c>
      <c r="Y61" t="inlineStr">
        <is>
          <t>2026-02-11</t>
        </is>
      </c>
      <c r="Z61" t="n">
        <v>319.2493</v>
      </c>
      <c r="AA61" t="inlineStr">
        <is>
          <t>2026-02-12</t>
        </is>
      </c>
      <c r="AB61" t="n">
        <v>325.7882</v>
      </c>
      <c r="AC61" t="n">
        <v>0.02048199993826937</v>
      </c>
      <c r="AD61" t="inlineStr">
        <is>
          <t>UP</t>
        </is>
      </c>
      <c r="AE61" t="inlineStr">
        <is>
          <t>NO</t>
        </is>
      </c>
      <c r="AF61" t="n">
        <v>0</v>
      </c>
      <c r="AG61">
        <f>IF($A61="","",IFERROR(INDEX(Company_List!$G$3:$G$207,MATCH($A61,Company_List!$A$3:$A$207,0)),"unassigned"))</f>
        <v/>
      </c>
      <c r="AH61" t="inlineStr">
        <is>
          <t>Phase 2/McDonald's/Q4 2025 Earnings Call Transcript.pdf; Phase 2/McDonald's/Q4 2025 - numbers.pdf</t>
        </is>
      </c>
      <c r="AJ61" t="inlineStr">
        <is>
          <t>whole bundle (Document = All)</t>
        </is>
      </c>
      <c r="AK61">
        <f>IF($A61="","",IF(COUNTIFS(Human_Data_Entry!$A$3:$A$525,$A61)&gt;0,"YES","NO"))</f>
        <v/>
      </c>
      <c r="AL61">
        <f>IF($A61="","",IF(AND($C61&amp;"-"&amp;$D61&gt;=Settings!$B$19,$C61&amp;"-"&amp;$D61&lt;=Settings!$B$20),"IN","OUT"))</f>
        <v/>
      </c>
      <c r="AM61">
        <f>IF(AND(OR($H61="BUY",$H61="SELL"),ISNUMBER($T61)),$T61,"")</f>
        <v/>
      </c>
      <c r="AN61">
        <f>IF(AND(OR($H61="BUY",$H61="SELL"),ISNUMBER($AF61)),$AF61,"")</f>
        <v/>
      </c>
      <c r="AO61">
        <f>IF(ISNUMBER($AM61),ABS(IF(ISNUMBER($G61),$G61,0)-Settings!$B$25),"")</f>
        <v/>
      </c>
      <c r="AP61">
        <f>IF(ISNUMBER($AO61),$AO61*$AM61,"")</f>
        <v/>
      </c>
      <c r="AQ61">
        <f>IF(ISNUMBER($AN61),ABS(IF(ISNUMBER($G61),$G61,0)-Settings!$B$25),"")</f>
        <v/>
      </c>
      <c r="AR61">
        <f>IF(ISNUMBER($AQ61),$AQ61*$AN61,"")</f>
        <v/>
      </c>
      <c r="AS61">
        <f>IF($A61="","",IFERROR(INDEX(Company_List!$H$3:$H$207,MATCH($A61,Company_List!$A$3:$A$207,0)),"unassigned"))</f>
        <v/>
      </c>
      <c r="AT61" t="inlineStr">
        <is>
          <t>re-read since v1</t>
        </is>
      </c>
      <c r="AU61" t="inlineStr">
        <is>
          <t>Phase 2/Master_Data_v1.xlsx</t>
        </is>
      </c>
      <c r="AV61" t="n">
        <v>2</v>
      </c>
      <c r="AW61" t="inlineStr">
        <is>
          <t>The Motley Fool</t>
        </is>
      </c>
      <c r="AX61" t="inlineStr">
        <is>
          <t>free to read, copyright asserted</t>
        </is>
      </c>
      <c r="AY61" t="inlineStr">
        <is>
          <t>no</t>
        </is>
      </c>
      <c r="AZ61" t="inlineStr">
        <is>
          <t>no</t>
        </is>
      </c>
    </row>
    <row r="62">
      <c r="A62" s="115" t="inlineStr">
        <is>
          <t>Meta</t>
        </is>
      </c>
      <c r="B62" s="117" t="inlineStr">
        <is>
          <t>META</t>
        </is>
      </c>
      <c r="C62" s="105" t="n">
        <v>2026</v>
      </c>
      <c r="D62" s="106" t="inlineStr">
        <is>
          <t>Q1</t>
        </is>
      </c>
      <c r="E62" s="109" t="inlineStr">
        <is>
          <t>Ben/DeepSeek</t>
        </is>
      </c>
      <c r="F62" s="106" t="inlineStr">
        <is>
          <t>LLM</t>
        </is>
      </c>
      <c r="G62" s="128" t="n">
        <v>-0.41</v>
      </c>
      <c r="H62" s="106" t="inlineStr">
        <is>
          <t>SELL</t>
        </is>
      </c>
      <c r="I62" s="128" t="n"/>
      <c r="J62" s="125" t="n">
        <v>46141</v>
      </c>
      <c r="K62" s="126" t="n">
        <v>46141</v>
      </c>
      <c r="L62" s="129" t="n">
        <v>669.12</v>
      </c>
      <c r="M62" s="126" t="n">
        <v>46142</v>
      </c>
      <c r="N62" s="129" t="n">
        <v>619.3200000000001</v>
      </c>
      <c r="O62" s="132" t="n">
        <v>0.006727</v>
      </c>
      <c r="P62" s="107" t="n">
        <v>-0.07442599999999999</v>
      </c>
      <c r="Q62" s="106" t="inlineStr">
        <is>
          <t>DOWN</t>
        </is>
      </c>
      <c r="R62" s="106" t="inlineStr">
        <is>
          <t>YES</t>
        </is>
      </c>
      <c r="S62" s="105" t="n">
        <v>-1</v>
      </c>
      <c r="T62" s="107" t="n">
        <v>0.07342600000000001</v>
      </c>
      <c r="U62" s="130" t="inlineStr">
        <is>
          <t>w=[0.55,0.45,0,0] thr=(+0.25,-0.05), deployed default (risk-accepted, PSR=0.0/perm p=0.150 at N=161, not rechecked at N=268)</t>
        </is>
      </c>
      <c r="W62" t="inlineStr">
        <is>
          <t>release date + stated time in the document (rater worksheet)</t>
        </is>
      </c>
      <c r="X62" t="inlineStr">
        <is>
          <t>META</t>
        </is>
      </c>
      <c r="Y62" t="inlineStr">
        <is>
          <t>2026-04-29</t>
        </is>
      </c>
      <c r="Z62" t="n">
        <v>668.5004</v>
      </c>
      <c r="AA62" t="inlineStr">
        <is>
          <t>2026-04-30</t>
        </is>
      </c>
      <c r="AB62" t="n">
        <v>618.7465999999999</v>
      </c>
      <c r="AC62" t="n">
        <v>-0.07442608591111155</v>
      </c>
      <c r="AD62" t="inlineStr">
        <is>
          <t>DOWN</t>
        </is>
      </c>
      <c r="AE62" t="inlineStr">
        <is>
          <t>YES</t>
        </is>
      </c>
      <c r="AF62" t="n">
        <v>0.07342600000000001</v>
      </c>
      <c r="AG62">
        <f>IF($A62="","",IFERROR(INDEX(Company_List!$G$3:$G$207,MATCH($A62,Company_List!$A$3:$A$207,0)),"unassigned"))</f>
        <v/>
      </c>
      <c r="AH62" t="inlineStr">
        <is>
          <t>Phase 2/META/2026-Q1/META-2026-Q1-press-release-SEC-EX-99-1.htm</t>
        </is>
      </c>
      <c r="AI62" t="inlineStr">
        <is>
          <t>https://www.sec.gov/Archives/edgar/data/1326801/000162828026028364/meta-03312026xexhibit991.htm</t>
        </is>
      </c>
      <c r="AJ62" t="inlineStr">
        <is>
          <t>manifest</t>
        </is>
      </c>
      <c r="AK62">
        <f>IF($A62="","",IF(COUNTIFS(Human_Data_Entry!$A$3:$A$525,$A62)&gt;0,"YES","NO"))</f>
        <v/>
      </c>
      <c r="AL62">
        <f>IF($A62="","",IF(AND($C62&amp;"-"&amp;$D62&gt;=Settings!$B$19,$C62&amp;"-"&amp;$D62&lt;=Settings!$B$20),"IN","OUT"))</f>
        <v/>
      </c>
      <c r="AM62">
        <f>IF(AND(OR($H62="BUY",$H62="SELL"),ISNUMBER($T62)),$T62,"")</f>
        <v/>
      </c>
      <c r="AN62">
        <f>IF(AND(OR($H62="BUY",$H62="SELL"),ISNUMBER($AF62)),$AF62,"")</f>
        <v/>
      </c>
      <c r="AO62">
        <f>IF(ISNUMBER($AM62),ABS(IF(ISNUMBER($G62),$G62,0)-Settings!$B$25),"")</f>
        <v/>
      </c>
      <c r="AP62">
        <f>IF(ISNUMBER($AO62),$AO62*$AM62,"")</f>
        <v/>
      </c>
      <c r="AQ62">
        <f>IF(ISNUMBER($AN62),ABS(IF(ISNUMBER($G62),$G62,0)-Settings!$B$25),"")</f>
        <v/>
      </c>
      <c r="AR62">
        <f>IF(ISNUMBER($AQ62),$AQ62*$AN62,"")</f>
        <v/>
      </c>
      <c r="AS62">
        <f>IF($A62="","",IFERROR(INDEX(Company_List!$H$3:$H$207,MATCH($A62,Company_List!$A$3:$A$207,0)),"unassigned"))</f>
        <v/>
      </c>
      <c r="AT62" t="inlineStr">
        <is>
          <t>re-read since v1</t>
        </is>
      </c>
      <c r="AU62" t="inlineStr">
        <is>
          <t>Phase 2/Master_Data_v1.xlsx</t>
        </is>
      </c>
      <c r="AV62" t="n">
        <v>1</v>
      </c>
      <c r="AW62" t="inlineStr">
        <is>
          <t>not publisher-identified</t>
        </is>
      </c>
      <c r="AX62" t="inlineStr">
        <is>
          <t>not publisher-identified</t>
        </is>
      </c>
      <c r="AY62" t="inlineStr">
        <is>
          <t>no</t>
        </is>
      </c>
      <c r="AZ62" t="inlineStr">
        <is>
          <t>yes</t>
        </is>
      </c>
    </row>
    <row r="63">
      <c r="A63" s="115" t="inlineStr">
        <is>
          <t>Meta</t>
        </is>
      </c>
      <c r="B63" s="117" t="inlineStr">
        <is>
          <t>META</t>
        </is>
      </c>
      <c r="C63" s="105" t="n">
        <v>2025</v>
      </c>
      <c r="D63" s="106" t="inlineStr">
        <is>
          <t>Q3</t>
        </is>
      </c>
      <c r="E63" s="109" t="inlineStr">
        <is>
          <t>Ben/DeepSeek</t>
        </is>
      </c>
      <c r="F63" s="106" t="inlineStr">
        <is>
          <t>LLM</t>
        </is>
      </c>
      <c r="G63" s="128" t="n">
        <v>-0.1125</v>
      </c>
      <c r="H63" s="106" t="inlineStr">
        <is>
          <t>SELL</t>
        </is>
      </c>
      <c r="I63" s="128" t="n"/>
      <c r="J63" s="125" t="n">
        <v>45959</v>
      </c>
      <c r="K63" s="126" t="n">
        <v>45959</v>
      </c>
      <c r="L63" s="129" t="n">
        <v>751.67</v>
      </c>
      <c r="M63" s="126" t="n">
        <v>45960</v>
      </c>
      <c r="N63" s="129" t="n">
        <v>669.15</v>
      </c>
      <c r="O63" s="132" t="n">
        <v>0.006683</v>
      </c>
      <c r="P63" s="107" t="n">
        <v>-0.109782</v>
      </c>
      <c r="Q63" s="106" t="inlineStr">
        <is>
          <t>DOWN</t>
        </is>
      </c>
      <c r="R63" s="106" t="inlineStr">
        <is>
          <t>YES</t>
        </is>
      </c>
      <c r="S63" s="105" t="n">
        <v>-1</v>
      </c>
      <c r="T63" s="107" t="n">
        <v>0.108782</v>
      </c>
      <c r="U63" s="130" t="inlineStr">
        <is>
          <t>w=[0.55,0.45,0,0] thr=(+0.25,-0.05), deployed default (risk-accepted, PSR=0.0/perm p=0.150 at N=161, not rechecked at N=268)</t>
        </is>
      </c>
      <c r="W63" t="inlineStr">
        <is>
          <t>release date + stated time in the document (rater worksheet)</t>
        </is>
      </c>
      <c r="X63" t="inlineStr">
        <is>
          <t>META</t>
        </is>
      </c>
      <c r="Y63" t="inlineStr">
        <is>
          <t>2025-10-29</t>
        </is>
      </c>
      <c r="Z63" t="n">
        <v>749.7201</v>
      </c>
      <c r="AA63" t="inlineStr">
        <is>
          <t>2025-10-30</t>
        </is>
      </c>
      <c r="AB63" t="n">
        <v>667.4142000000001</v>
      </c>
      <c r="AC63" t="n">
        <v>-0.1097821761251839</v>
      </c>
      <c r="AD63" t="inlineStr">
        <is>
          <t>DOWN</t>
        </is>
      </c>
      <c r="AE63" t="inlineStr">
        <is>
          <t>YES</t>
        </is>
      </c>
      <c r="AF63" t="n">
        <v>0.108782</v>
      </c>
      <c r="AG63">
        <f>IF($A63="","",IFERROR(INDEX(Company_List!$G$3:$G$207,MATCH($A63,Company_List!$A$3:$A$207,0)),"unassigned"))</f>
        <v/>
      </c>
      <c r="AH63" t="inlineStr">
        <is>
          <t>Phase 2/META/2025-Q3/META-2025-Q3-press-release-SEC-EX-99-1.htm</t>
        </is>
      </c>
      <c r="AI63" t="inlineStr">
        <is>
          <t>https://www.sec.gov/Archives/edgar/data/1326801/000162828025047114/meta-09302025xexhibit991.htm</t>
        </is>
      </c>
      <c r="AJ63" t="inlineStr">
        <is>
          <t>manifest</t>
        </is>
      </c>
      <c r="AK63">
        <f>IF($A63="","",IF(COUNTIFS(Human_Data_Entry!$A$3:$A$525,$A63)&gt;0,"YES","NO"))</f>
        <v/>
      </c>
      <c r="AL63">
        <f>IF($A63="","",IF(AND($C63&amp;"-"&amp;$D63&gt;=Settings!$B$19,$C63&amp;"-"&amp;$D63&lt;=Settings!$B$20),"IN","OUT"))</f>
        <v/>
      </c>
      <c r="AM63">
        <f>IF(AND(OR($H63="BUY",$H63="SELL"),ISNUMBER($T63)),$T63,"")</f>
        <v/>
      </c>
      <c r="AN63">
        <f>IF(AND(OR($H63="BUY",$H63="SELL"),ISNUMBER($AF63)),$AF63,"")</f>
        <v/>
      </c>
      <c r="AO63">
        <f>IF(ISNUMBER($AM63),ABS(IF(ISNUMBER($G63),$G63,0)-Settings!$B$25),"")</f>
        <v/>
      </c>
      <c r="AP63">
        <f>IF(ISNUMBER($AO63),$AO63*$AM63,"")</f>
        <v/>
      </c>
      <c r="AQ63">
        <f>IF(ISNUMBER($AN63),ABS(IF(ISNUMBER($G63),$G63,0)-Settings!$B$25),"")</f>
        <v/>
      </c>
      <c r="AR63">
        <f>IF(ISNUMBER($AQ63),$AQ63*$AN63,"")</f>
        <v/>
      </c>
      <c r="AS63">
        <f>IF($A63="","",IFERROR(INDEX(Company_List!$H$3:$H$207,MATCH($A63,Company_List!$A$3:$A$207,0)),"unassigned"))</f>
        <v/>
      </c>
      <c r="AT63" t="inlineStr">
        <is>
          <t>re-read since v1</t>
        </is>
      </c>
      <c r="AU63" t="inlineStr">
        <is>
          <t>Phase 2/Master_Data_v1.xlsx</t>
        </is>
      </c>
      <c r="AV63" t="n">
        <v>1</v>
      </c>
      <c r="AW63" t="inlineStr">
        <is>
          <t>not publisher-identified</t>
        </is>
      </c>
      <c r="AX63" t="inlineStr">
        <is>
          <t>not publisher-identified</t>
        </is>
      </c>
      <c r="AY63" t="inlineStr">
        <is>
          <t>no</t>
        </is>
      </c>
      <c r="AZ63" t="inlineStr">
        <is>
          <t>yes</t>
        </is>
      </c>
    </row>
    <row r="64">
      <c r="A64" s="115" t="inlineStr">
        <is>
          <t>Meta</t>
        </is>
      </c>
      <c r="B64" s="117" t="inlineStr">
        <is>
          <t>META</t>
        </is>
      </c>
      <c r="C64" s="105" t="n">
        <v>2025</v>
      </c>
      <c r="D64" s="106" t="inlineStr">
        <is>
          <t>Q4</t>
        </is>
      </c>
      <c r="E64" s="109" t="inlineStr">
        <is>
          <t>Ben/DeepSeek</t>
        </is>
      </c>
      <c r="F64" s="106" t="inlineStr">
        <is>
          <t>LLM</t>
        </is>
      </c>
      <c r="G64" s="128" t="n">
        <v>0.3875</v>
      </c>
      <c r="H64" s="106" t="inlineStr">
        <is>
          <t>BUY</t>
        </is>
      </c>
      <c r="I64" s="128" t="n"/>
      <c r="J64" s="125" t="n">
        <v>46050</v>
      </c>
      <c r="K64" s="126" t="n">
        <v>46050</v>
      </c>
      <c r="L64" s="129" t="n">
        <v>668.73</v>
      </c>
      <c r="M64" s="126" t="n">
        <v>46051</v>
      </c>
      <c r="N64" s="129" t="n">
        <v>737.4299999999999</v>
      </c>
      <c r="O64" s="132" t="n">
        <v>0.006905</v>
      </c>
      <c r="P64" s="107" t="n">
        <v>0.102732</v>
      </c>
      <c r="Q64" s="106" t="inlineStr">
        <is>
          <t>UP</t>
        </is>
      </c>
      <c r="R64" s="106" t="inlineStr">
        <is>
          <t>YES</t>
        </is>
      </c>
      <c r="S64" s="105" t="n">
        <v>1</v>
      </c>
      <c r="T64" s="107" t="n">
        <v>0.101732</v>
      </c>
      <c r="U64" s="130" t="inlineStr">
        <is>
          <t>w=[0.55,0.45,0,0] thr=(+0.25,-0.05), deployed default (risk-accepted, PSR=0.0/perm p=0.150 at N=161, not rechecked at N=268)</t>
        </is>
      </c>
      <c r="W64" t="inlineStr">
        <is>
          <t>release date + stated time in the document (rater worksheet)</t>
        </is>
      </c>
      <c r="X64" t="inlineStr">
        <is>
          <t>META</t>
        </is>
      </c>
      <c r="Y64" t="inlineStr">
        <is>
          <t>2026-01-28</t>
        </is>
      </c>
      <c r="Z64" t="n">
        <v>667.5392000000001</v>
      </c>
      <c r="AA64" t="inlineStr">
        <is>
          <t>2026-01-29</t>
        </is>
      </c>
      <c r="AB64" t="n">
        <v>736.1169</v>
      </c>
      <c r="AC64" t="n">
        <v>0.102732153378451</v>
      </c>
      <c r="AD64" t="inlineStr">
        <is>
          <t>UP</t>
        </is>
      </c>
      <c r="AE64" t="inlineStr">
        <is>
          <t>YES</t>
        </is>
      </c>
      <c r="AF64" t="n">
        <v>0.101732</v>
      </c>
      <c r="AG64">
        <f>IF($A64="","",IFERROR(INDEX(Company_List!$G$3:$G$207,MATCH($A64,Company_List!$A$3:$A$207,0)),"unassigned"))</f>
        <v/>
      </c>
      <c r="AH64" t="inlineStr">
        <is>
          <t>Phase 2/META/2025-Q4/META-2025-Q4-press-release-SEC-EX-99-1.htm</t>
        </is>
      </c>
      <c r="AI64" t="inlineStr">
        <is>
          <t>https://www.sec.gov/Archives/edgar/data/1326801/000162828026003832/meta-12312025xexhibit991.htm</t>
        </is>
      </c>
      <c r="AJ64" t="inlineStr">
        <is>
          <t>manifest</t>
        </is>
      </c>
      <c r="AK64">
        <f>IF($A64="","",IF(COUNTIFS(Human_Data_Entry!$A$3:$A$525,$A64)&gt;0,"YES","NO"))</f>
        <v/>
      </c>
      <c r="AL64">
        <f>IF($A64="","",IF(AND($C64&amp;"-"&amp;$D64&gt;=Settings!$B$19,$C64&amp;"-"&amp;$D64&lt;=Settings!$B$20),"IN","OUT"))</f>
        <v/>
      </c>
      <c r="AM64">
        <f>IF(AND(OR($H64="BUY",$H64="SELL"),ISNUMBER($T64)),$T64,"")</f>
        <v/>
      </c>
      <c r="AN64">
        <f>IF(AND(OR($H64="BUY",$H64="SELL"),ISNUMBER($AF64)),$AF64,"")</f>
        <v/>
      </c>
      <c r="AO64">
        <f>IF(ISNUMBER($AM64),ABS(IF(ISNUMBER($G64),$G64,0)-Settings!$B$25),"")</f>
        <v/>
      </c>
      <c r="AP64">
        <f>IF(ISNUMBER($AO64),$AO64*$AM64,"")</f>
        <v/>
      </c>
      <c r="AQ64">
        <f>IF(ISNUMBER($AN64),ABS(IF(ISNUMBER($G64),$G64,0)-Settings!$B$25),"")</f>
        <v/>
      </c>
      <c r="AR64">
        <f>IF(ISNUMBER($AQ64),$AQ64*$AN64,"")</f>
        <v/>
      </c>
      <c r="AS64">
        <f>IF($A64="","",IFERROR(INDEX(Company_List!$H$3:$H$207,MATCH($A64,Company_List!$A$3:$A$207,0)),"unassigned"))</f>
        <v/>
      </c>
      <c r="AT64" t="inlineStr">
        <is>
          <t>re-read since v1</t>
        </is>
      </c>
      <c r="AU64" t="inlineStr">
        <is>
          <t>Phase 2/Master_Data_v1.xlsx</t>
        </is>
      </c>
      <c r="AV64" t="n">
        <v>1</v>
      </c>
      <c r="AW64" t="inlineStr">
        <is>
          <t>not publisher-identified</t>
        </is>
      </c>
      <c r="AX64" t="inlineStr">
        <is>
          <t>not publisher-identified</t>
        </is>
      </c>
      <c r="AY64" t="inlineStr">
        <is>
          <t>no</t>
        </is>
      </c>
      <c r="AZ64" t="inlineStr">
        <is>
          <t>yes</t>
        </is>
      </c>
    </row>
    <row r="65">
      <c r="A65" s="115" t="inlineStr">
        <is>
          <t>Nike</t>
        </is>
      </c>
      <c r="B65" s="117" t="inlineStr">
        <is>
          <t>NKE</t>
        </is>
      </c>
      <c r="C65" s="105" t="n">
        <v>2025</v>
      </c>
      <c r="D65" s="106" t="inlineStr">
        <is>
          <t>Q1</t>
        </is>
      </c>
      <c r="E65" s="109" t="inlineStr">
        <is>
          <t>Ben/DeepSeek</t>
        </is>
      </c>
      <c r="F65" s="106" t="inlineStr">
        <is>
          <t>LLM</t>
        </is>
      </c>
      <c r="G65" s="128" t="n">
        <v>-0.5</v>
      </c>
      <c r="H65" s="106" t="inlineStr">
        <is>
          <t>SELL</t>
        </is>
      </c>
      <c r="I65" s="128" t="n"/>
      <c r="J65" s="125" t="n">
        <v>45566</v>
      </c>
      <c r="K65" s="126" t="n">
        <v>45566</v>
      </c>
      <c r="L65" s="129" t="n">
        <v>89.13</v>
      </c>
      <c r="M65" s="126" t="n">
        <v>45567</v>
      </c>
      <c r="N65" s="129" t="n">
        <v>82.89</v>
      </c>
      <c r="O65" s="132" t="n">
        <v>0.003236</v>
      </c>
      <c r="P65" s="107" t="n">
        <v>-0.07001</v>
      </c>
      <c r="Q65" s="106" t="inlineStr">
        <is>
          <t>DOWN</t>
        </is>
      </c>
      <c r="R65" s="106" t="inlineStr">
        <is>
          <t>YES</t>
        </is>
      </c>
      <c r="S65" s="105" t="n">
        <v>-1</v>
      </c>
      <c r="T65" s="107" t="n">
        <v>0.06901</v>
      </c>
      <c r="U65" s="130" t="inlineStr">
        <is>
          <t>w=[0.55,0.45,0,0] thr=(+0.25,-0.05), deployed default (risk-accepted, PSR=0.0/perm p=0.150 at N=161, not rechecked at N=268)</t>
        </is>
      </c>
      <c r="W65" t="inlineStr">
        <is>
          <t>price signal — only this window shows an abnormal move</t>
        </is>
      </c>
      <c r="X65" t="inlineStr">
        <is>
          <t>NKE</t>
        </is>
      </c>
      <c r="Y65" t="inlineStr">
        <is>
          <t>2024-10-01</t>
        </is>
      </c>
      <c r="Z65" t="n">
        <v>85.3074</v>
      </c>
      <c r="AA65" t="inlineStr">
        <is>
          <t>2024-10-02</t>
        </is>
      </c>
      <c r="AB65" t="n">
        <v>79.33499999999999</v>
      </c>
      <c r="AC65" t="n">
        <v>-0.07001015486395322</v>
      </c>
      <c r="AD65" t="inlineStr">
        <is>
          <t>DOWN</t>
        </is>
      </c>
      <c r="AE65" t="inlineStr">
        <is>
          <t>YES</t>
        </is>
      </c>
      <c r="AF65" t="n">
        <v>0.06901</v>
      </c>
      <c r="AG65">
        <f>IF($A65="","",IFERROR(INDEX(Company_List!$G$3:$G$207,MATCH($A65,Company_List!$A$3:$A$207,0)),"unassigned"))</f>
        <v/>
      </c>
      <c r="AH65" t="inlineStr">
        <is>
          <t>Phase 2/Nike/Q1 2025 Earnings Call Transcript.pdf; Phase 2/Nike/Q1 2025 - numbers.pdf</t>
        </is>
      </c>
      <c r="AJ65" t="inlineStr">
        <is>
          <t>whole bundle (Document = All)</t>
        </is>
      </c>
      <c r="AK65">
        <f>IF($A65="","",IF(COUNTIFS(Human_Data_Entry!$A$3:$A$525,$A65)&gt;0,"YES","NO"))</f>
        <v/>
      </c>
      <c r="AL65">
        <f>IF($A65="","",IF(AND($C65&amp;"-"&amp;$D65&gt;=Settings!$B$19,$C65&amp;"-"&amp;$D65&lt;=Settings!$B$20),"IN","OUT"))</f>
        <v/>
      </c>
      <c r="AM65">
        <f>IF(AND(OR($H65="BUY",$H65="SELL"),ISNUMBER($T65)),$T65,"")</f>
        <v/>
      </c>
      <c r="AN65">
        <f>IF(AND(OR($H65="BUY",$H65="SELL"),ISNUMBER($AF65)),$AF65,"")</f>
        <v/>
      </c>
      <c r="AO65">
        <f>IF(ISNUMBER($AM65),ABS(IF(ISNUMBER($G65),$G65,0)-Settings!$B$25),"")</f>
        <v/>
      </c>
      <c r="AP65">
        <f>IF(ISNUMBER($AO65),$AO65*$AM65,"")</f>
        <v/>
      </c>
      <c r="AQ65">
        <f>IF(ISNUMBER($AN65),ABS(IF(ISNUMBER($G65),$G65,0)-Settings!$B$25),"")</f>
        <v/>
      </c>
      <c r="AR65">
        <f>IF(ISNUMBER($AQ65),$AQ65*$AN65,"")</f>
        <v/>
      </c>
      <c r="AS65">
        <f>IF($A65="","",IFERROR(INDEX(Company_List!$H$3:$H$207,MATCH($A65,Company_List!$A$3:$A$207,0)),"unassigned"))</f>
        <v/>
      </c>
      <c r="AT65" t="inlineStr">
        <is>
          <t>re-read since v1</t>
        </is>
      </c>
      <c r="AU65" t="inlineStr">
        <is>
          <t>Phase 2/Master_Data_v1.xlsx</t>
        </is>
      </c>
      <c r="AV65" t="n">
        <v>2</v>
      </c>
      <c r="AW65" t="inlineStr">
        <is>
          <t>The Motley Fool</t>
        </is>
      </c>
      <c r="AX65" t="inlineStr">
        <is>
          <t>free to read, copyright asserted</t>
        </is>
      </c>
      <c r="AY65" t="inlineStr">
        <is>
          <t>no</t>
        </is>
      </c>
      <c r="AZ65" t="inlineStr">
        <is>
          <t>no</t>
        </is>
      </c>
    </row>
    <row r="66">
      <c r="A66" s="115" t="inlineStr">
        <is>
          <t>Nike</t>
        </is>
      </c>
      <c r="B66" s="117" t="inlineStr">
        <is>
          <t>NKE</t>
        </is>
      </c>
      <c r="C66" s="105" t="n">
        <v>2025</v>
      </c>
      <c r="D66" s="106" t="inlineStr">
        <is>
          <t>Q2</t>
        </is>
      </c>
      <c r="E66" s="109" t="inlineStr">
        <is>
          <t>Ben/DeepSeek</t>
        </is>
      </c>
      <c r="F66" s="106" t="inlineStr">
        <is>
          <t>LLM</t>
        </is>
      </c>
      <c r="G66" s="128" t="n">
        <v>-0.5</v>
      </c>
      <c r="H66" s="106" t="inlineStr">
        <is>
          <t>SELL</t>
        </is>
      </c>
      <c r="I66" s="128" t="n"/>
      <c r="J66" s="125" t="n">
        <v>45645</v>
      </c>
      <c r="K66" s="126" t="n">
        <v>45645</v>
      </c>
      <c r="L66" s="129" t="n">
        <v>77.09999999999999</v>
      </c>
      <c r="M66" s="126" t="n">
        <v>45646</v>
      </c>
      <c r="N66" s="129" t="n">
        <v>75.95999999999999</v>
      </c>
      <c r="O66" s="132" t="n">
        <v>0.003382</v>
      </c>
      <c r="P66" s="107" t="n">
        <v>-0.014786</v>
      </c>
      <c r="Q66" s="106" t="inlineStr">
        <is>
          <t>FLAT</t>
        </is>
      </c>
      <c r="R66" s="106" t="inlineStr">
        <is>
          <t>NO</t>
        </is>
      </c>
      <c r="S66" s="105" t="n">
        <v>-1</v>
      </c>
      <c r="T66" s="107" t="n">
        <v>0.013786</v>
      </c>
      <c r="U66" s="130" t="inlineStr">
        <is>
          <t>w=[0.55,0.45,0,0] thr=(+0.25,-0.05), deployed default (risk-accepted, PSR=0.0/perm p=0.150 at N=161, not rechecked at N=268)</t>
        </is>
      </c>
      <c r="W66" t="inlineStr">
        <is>
          <t>earnings calendar, seconded independently</t>
        </is>
      </c>
      <c r="X66" t="inlineStr">
        <is>
          <t>NKE</t>
        </is>
      </c>
      <c r="Y66" t="inlineStr">
        <is>
          <t>2024-12-19</t>
        </is>
      </c>
      <c r="Z66" t="n">
        <v>74.17</v>
      </c>
      <c r="AA66" t="inlineStr">
        <is>
          <t>2024-12-20</t>
        </is>
      </c>
      <c r="AB66" t="n">
        <v>73.0733</v>
      </c>
      <c r="AC66" t="n">
        <v>-0.014786076089275</v>
      </c>
      <c r="AD66" t="inlineStr">
        <is>
          <t>FLAT</t>
        </is>
      </c>
      <c r="AE66" t="inlineStr">
        <is>
          <t>NO</t>
        </is>
      </c>
      <c r="AF66" t="n">
        <v>0.013786</v>
      </c>
      <c r="AG66">
        <f>IF($A66="","",IFERROR(INDEX(Company_List!$G$3:$G$207,MATCH($A66,Company_List!$A$3:$A$207,0)),"unassigned"))</f>
        <v/>
      </c>
      <c r="AH66" t="inlineStr">
        <is>
          <t>Phase 2/Nike/Q2 2025 Earnings Call Transcript.pdf; Phase 2/Nike/Q2 2025 - numbers.pdf</t>
        </is>
      </c>
      <c r="AJ66" t="inlineStr">
        <is>
          <t>whole bundle (Document = All)</t>
        </is>
      </c>
      <c r="AK66">
        <f>IF($A66="","",IF(COUNTIFS(Human_Data_Entry!$A$3:$A$525,$A66)&gt;0,"YES","NO"))</f>
        <v/>
      </c>
      <c r="AL66">
        <f>IF($A66="","",IF(AND($C66&amp;"-"&amp;$D66&gt;=Settings!$B$19,$C66&amp;"-"&amp;$D66&lt;=Settings!$B$20),"IN","OUT"))</f>
        <v/>
      </c>
      <c r="AM66">
        <f>IF(AND(OR($H66="BUY",$H66="SELL"),ISNUMBER($T66)),$T66,"")</f>
        <v/>
      </c>
      <c r="AN66">
        <f>IF(AND(OR($H66="BUY",$H66="SELL"),ISNUMBER($AF66)),$AF66,"")</f>
        <v/>
      </c>
      <c r="AO66">
        <f>IF(ISNUMBER($AM66),ABS(IF(ISNUMBER($G66),$G66,0)-Settings!$B$25),"")</f>
        <v/>
      </c>
      <c r="AP66">
        <f>IF(ISNUMBER($AO66),$AO66*$AM66,"")</f>
        <v/>
      </c>
      <c r="AQ66">
        <f>IF(ISNUMBER($AN66),ABS(IF(ISNUMBER($G66),$G66,0)-Settings!$B$25),"")</f>
        <v/>
      </c>
      <c r="AR66">
        <f>IF(ISNUMBER($AQ66),$AQ66*$AN66,"")</f>
        <v/>
      </c>
      <c r="AS66">
        <f>IF($A66="","",IFERROR(INDEX(Company_List!$H$3:$H$207,MATCH($A66,Company_List!$A$3:$A$207,0)),"unassigned"))</f>
        <v/>
      </c>
      <c r="AT66" t="inlineStr">
        <is>
          <t>re-read since v1</t>
        </is>
      </c>
      <c r="AU66" t="inlineStr">
        <is>
          <t>Phase 2/Master_Data_v1.xlsx</t>
        </is>
      </c>
      <c r="AV66" t="n">
        <v>2</v>
      </c>
      <c r="AW66" t="inlineStr">
        <is>
          <t>The Motley Fool</t>
        </is>
      </c>
      <c r="AX66" t="inlineStr">
        <is>
          <t>free to read, copyright asserted</t>
        </is>
      </c>
      <c r="AY66" t="inlineStr">
        <is>
          <t>no</t>
        </is>
      </c>
      <c r="AZ66" t="inlineStr">
        <is>
          <t>no</t>
        </is>
      </c>
    </row>
    <row r="67">
      <c r="A67" s="115" t="inlineStr">
        <is>
          <t>Nike</t>
        </is>
      </c>
      <c r="B67" s="117" t="inlineStr">
        <is>
          <t>NKE</t>
        </is>
      </c>
      <c r="C67" s="105" t="n">
        <v>2025</v>
      </c>
      <c r="D67" s="106" t="inlineStr">
        <is>
          <t>Q3</t>
        </is>
      </c>
      <c r="E67" s="109" t="inlineStr">
        <is>
          <t>Ben/DeepSeek</t>
        </is>
      </c>
      <c r="F67" s="106" t="inlineStr">
        <is>
          <t>LLM</t>
        </is>
      </c>
      <c r="G67" s="128" t="n">
        <v>-0.275</v>
      </c>
      <c r="H67" s="106" t="inlineStr">
        <is>
          <t>SELL</t>
        </is>
      </c>
      <c r="I67" s="128" t="n"/>
      <c r="J67" s="125" t="n">
        <v>45736</v>
      </c>
      <c r="K67" s="126" t="n">
        <v>45736</v>
      </c>
      <c r="L67" s="129" t="n">
        <v>71.86</v>
      </c>
      <c r="M67" s="126" t="n">
        <v>45737</v>
      </c>
      <c r="N67" s="129" t="n">
        <v>66.59</v>
      </c>
      <c r="O67" s="132" t="n">
        <v>0.003508</v>
      </c>
      <c r="P67" s="107" t="n">
        <v>-0.073337</v>
      </c>
      <c r="Q67" s="106" t="inlineStr">
        <is>
          <t>DOWN</t>
        </is>
      </c>
      <c r="R67" s="106" t="inlineStr">
        <is>
          <t>YES</t>
        </is>
      </c>
      <c r="S67" s="105" t="n">
        <v>-1</v>
      </c>
      <c r="T67" s="107" t="n">
        <v>0.072337</v>
      </c>
      <c r="U67" s="130" t="inlineStr">
        <is>
          <t>w=[0.55,0.45,0,0] thr=(+0.25,-0.05), deployed default (risk-accepted, PSR=0.0/perm p=0.150 at N=161, not rechecked at N=268)</t>
        </is>
      </c>
      <c r="W67" t="inlineStr">
        <is>
          <t>price signal — only this window shows an abnormal move</t>
        </is>
      </c>
      <c r="X67" t="inlineStr">
        <is>
          <t>NKE</t>
        </is>
      </c>
      <c r="Y67" t="inlineStr">
        <is>
          <t>2025-03-20</t>
        </is>
      </c>
      <c r="Z67" t="n">
        <v>69.479</v>
      </c>
      <c r="AA67" t="inlineStr">
        <is>
          <t>2025-03-21</t>
        </is>
      </c>
      <c r="AB67" t="n">
        <v>64.3836</v>
      </c>
      <c r="AC67" t="n">
        <v>-0.0733371094135996</v>
      </c>
      <c r="AD67" t="inlineStr">
        <is>
          <t>DOWN</t>
        </is>
      </c>
      <c r="AE67" t="inlineStr">
        <is>
          <t>YES</t>
        </is>
      </c>
      <c r="AF67" t="n">
        <v>0.072337</v>
      </c>
      <c r="AG67">
        <f>IF($A67="","",IFERROR(INDEX(Company_List!$G$3:$G$207,MATCH($A67,Company_List!$A$3:$A$207,0)),"unassigned"))</f>
        <v/>
      </c>
      <c r="AH67" t="inlineStr">
        <is>
          <t>Phase 2/Nike/Q3 2025 Earnings Call Transcript.pdf; Phase 2/Nike/Q3 2025 - numbers.pdf</t>
        </is>
      </c>
      <c r="AJ67" t="inlineStr">
        <is>
          <t>whole bundle (Document = All)</t>
        </is>
      </c>
      <c r="AK67">
        <f>IF($A67="","",IF(COUNTIFS(Human_Data_Entry!$A$3:$A$525,$A67)&gt;0,"YES","NO"))</f>
        <v/>
      </c>
      <c r="AL67">
        <f>IF($A67="","",IF(AND($C67&amp;"-"&amp;$D67&gt;=Settings!$B$19,$C67&amp;"-"&amp;$D67&lt;=Settings!$B$20),"IN","OUT"))</f>
        <v/>
      </c>
      <c r="AM67">
        <f>IF(AND(OR($H67="BUY",$H67="SELL"),ISNUMBER($T67)),$T67,"")</f>
        <v/>
      </c>
      <c r="AN67">
        <f>IF(AND(OR($H67="BUY",$H67="SELL"),ISNUMBER($AF67)),$AF67,"")</f>
        <v/>
      </c>
      <c r="AO67">
        <f>IF(ISNUMBER($AM67),ABS(IF(ISNUMBER($G67),$G67,0)-Settings!$B$25),"")</f>
        <v/>
      </c>
      <c r="AP67">
        <f>IF(ISNUMBER($AO67),$AO67*$AM67,"")</f>
        <v/>
      </c>
      <c r="AQ67">
        <f>IF(ISNUMBER($AN67),ABS(IF(ISNUMBER($G67),$G67,0)-Settings!$B$25),"")</f>
        <v/>
      </c>
      <c r="AR67">
        <f>IF(ISNUMBER($AQ67),$AQ67*$AN67,"")</f>
        <v/>
      </c>
      <c r="AS67">
        <f>IF($A67="","",IFERROR(INDEX(Company_List!$H$3:$H$207,MATCH($A67,Company_List!$A$3:$A$207,0)),"unassigned"))</f>
        <v/>
      </c>
      <c r="AT67" t="inlineStr">
        <is>
          <t>re-read since v1</t>
        </is>
      </c>
      <c r="AU67" t="inlineStr">
        <is>
          <t>Phase 2/Master_Data_v1.xlsx</t>
        </is>
      </c>
      <c r="AV67" t="n">
        <v>2</v>
      </c>
      <c r="AW67" t="inlineStr">
        <is>
          <t>The Motley Fool</t>
        </is>
      </c>
      <c r="AX67" t="inlineStr">
        <is>
          <t>free to read, copyright asserted</t>
        </is>
      </c>
      <c r="AY67" t="inlineStr">
        <is>
          <t>no</t>
        </is>
      </c>
      <c r="AZ67" t="inlineStr">
        <is>
          <t>no</t>
        </is>
      </c>
    </row>
    <row r="68">
      <c r="A68" s="115" t="inlineStr">
        <is>
          <t>Nvidia</t>
        </is>
      </c>
      <c r="B68" s="117" t="inlineStr">
        <is>
          <t>NVDA</t>
        </is>
      </c>
      <c r="C68" s="105" t="n">
        <v>2025</v>
      </c>
      <c r="D68" s="106" t="inlineStr">
        <is>
          <t>Q1</t>
        </is>
      </c>
      <c r="E68" s="109" t="inlineStr">
        <is>
          <t>Ben/DeepSeek</t>
        </is>
      </c>
      <c r="F68" s="106" t="inlineStr">
        <is>
          <t>LLM</t>
        </is>
      </c>
      <c r="G68" s="128" t="n">
        <v>-0.275</v>
      </c>
      <c r="H68" s="106" t="inlineStr">
        <is>
          <t>SELL</t>
        </is>
      </c>
      <c r="I68" s="128" t="n"/>
      <c r="J68" s="125" t="n">
        <v>45714</v>
      </c>
      <c r="K68" s="126" t="n">
        <v>45714</v>
      </c>
      <c r="L68" s="129" t="n">
        <v>131.28</v>
      </c>
      <c r="M68" s="126" t="n">
        <v>45715</v>
      </c>
      <c r="N68" s="129" t="n">
        <v>135</v>
      </c>
      <c r="O68" s="132" t="n">
        <v>0.003276</v>
      </c>
      <c r="P68" s="107" t="n">
        <v>0.028336</v>
      </c>
      <c r="Q68" s="106" t="inlineStr">
        <is>
          <t>UP</t>
        </is>
      </c>
      <c r="R68" s="106" t="inlineStr">
        <is>
          <t>NO</t>
        </is>
      </c>
      <c r="S68" s="105" t="n">
        <v>-1</v>
      </c>
      <c r="T68" s="107" t="n">
        <v>-0.029336</v>
      </c>
      <c r="U68" s="130" t="inlineStr">
        <is>
          <t>w=[0.55,0.45,0,0] thr=(+0.25,-0.05), deployed default (risk-accepted, PSR=0.0/perm p=0.150 at N=161, not rechecked at N=268)</t>
        </is>
      </c>
      <c r="W68" t="inlineStr">
        <is>
          <t>release date + stated time in the document (rater worksheet)</t>
        </is>
      </c>
      <c r="X68" t="inlineStr">
        <is>
          <t>NVDA</t>
        </is>
      </c>
      <c r="Y68" t="inlineStr">
        <is>
          <t>2025-02-26</t>
        </is>
      </c>
      <c r="Z68" t="n">
        <v>131.0842</v>
      </c>
      <c r="AA68" t="inlineStr">
        <is>
          <t>2025-02-27</t>
        </is>
      </c>
      <c r="AB68" t="n">
        <v>134.7987</v>
      </c>
      <c r="AC68" t="n">
        <v>0.0283364750524236</v>
      </c>
      <c r="AD68" t="inlineStr">
        <is>
          <t>UP</t>
        </is>
      </c>
      <c r="AE68" t="inlineStr">
        <is>
          <t>NO</t>
        </is>
      </c>
      <c r="AF68" t="n">
        <v>-0.029336</v>
      </c>
      <c r="AG68">
        <f>IF($A68="","",IFERROR(INDEX(Company_List!$G$3:$G$207,MATCH($A68,Company_List!$A$3:$A$207,0)),"unassigned"))</f>
        <v/>
      </c>
      <c r="AH68"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J68" t="inlineStr">
        <is>
          <t>whole bundle (Document = All)</t>
        </is>
      </c>
      <c r="AK68">
        <f>IF($A68="","",IF(COUNTIFS(Human_Data_Entry!$A$3:$A$525,$A68)&gt;0,"YES","NO"))</f>
        <v/>
      </c>
      <c r="AL68">
        <f>IF($A68="","",IF(AND($C68&amp;"-"&amp;$D68&gt;=Settings!$B$19,$C68&amp;"-"&amp;$D68&lt;=Settings!$B$20),"IN","OUT"))</f>
        <v/>
      </c>
      <c r="AM68">
        <f>IF(AND(OR($H68="BUY",$H68="SELL"),ISNUMBER($T68)),$T68,"")</f>
        <v/>
      </c>
      <c r="AN68">
        <f>IF(AND(OR($H68="BUY",$H68="SELL"),ISNUMBER($AF68)),$AF68,"")</f>
        <v/>
      </c>
      <c r="AO68">
        <f>IF(ISNUMBER($AM68),ABS(IF(ISNUMBER($G68),$G68,0)-Settings!$B$25),"")</f>
        <v/>
      </c>
      <c r="AP68">
        <f>IF(ISNUMBER($AO68),$AO68*$AM68,"")</f>
        <v/>
      </c>
      <c r="AQ68">
        <f>IF(ISNUMBER($AN68),ABS(IF(ISNUMBER($G68),$G68,0)-Settings!$B$25),"")</f>
        <v/>
      </c>
      <c r="AR68">
        <f>IF(ISNUMBER($AQ68),$AQ68*$AN68,"")</f>
        <v/>
      </c>
      <c r="AS68">
        <f>IF($A68="","",IFERROR(INDEX(Company_List!$H$3:$H$207,MATCH($A68,Company_List!$A$3:$A$207,0)),"unassigned"))</f>
        <v/>
      </c>
      <c r="AT68" t="inlineStr">
        <is>
          <t>re-read since v1</t>
        </is>
      </c>
      <c r="AU68" t="inlineStr">
        <is>
          <t>Phase 2/Master_Data_v1.xlsx</t>
        </is>
      </c>
      <c r="AV68" t="n">
        <v>6</v>
      </c>
      <c r="AW68" t="inlineStr">
        <is>
          <t>The Motley Fool</t>
        </is>
      </c>
      <c r="AX68" t="inlineStr">
        <is>
          <t>free to read, copyright asserted</t>
        </is>
      </c>
      <c r="AY68" t="inlineStr">
        <is>
          <t>no</t>
        </is>
      </c>
      <c r="AZ68" t="inlineStr">
        <is>
          <t>yes</t>
        </is>
      </c>
    </row>
    <row r="69">
      <c r="A69" s="115" t="inlineStr">
        <is>
          <t>Nvidia</t>
        </is>
      </c>
      <c r="B69" s="117" t="inlineStr">
        <is>
          <t>NVDA</t>
        </is>
      </c>
      <c r="C69" s="105" t="n">
        <v>2025</v>
      </c>
      <c r="D69" s="106" t="inlineStr">
        <is>
          <t>Q2</t>
        </is>
      </c>
      <c r="E69" s="109" t="inlineStr">
        <is>
          <t>Ben/DeepSeek</t>
        </is>
      </c>
      <c r="F69" s="106" t="inlineStr">
        <is>
          <t>LLM</t>
        </is>
      </c>
      <c r="G69" s="128" t="n">
        <v>-0.0325</v>
      </c>
      <c r="H69" s="106" t="inlineStr">
        <is>
          <t>HOLD</t>
        </is>
      </c>
      <c r="I69" s="128" t="n"/>
      <c r="J69" s="125" t="n">
        <v>45805</v>
      </c>
      <c r="K69" s="126" t="n">
        <v>45805</v>
      </c>
      <c r="L69" s="129" t="n">
        <v>134.81</v>
      </c>
      <c r="M69" s="126" t="n">
        <v>45806</v>
      </c>
      <c r="N69" s="129" t="n">
        <v>142.25</v>
      </c>
      <c r="O69" s="132" t="n">
        <v>0.003677</v>
      </c>
      <c r="P69" s="107" t="n">
        <v>0.055189</v>
      </c>
      <c r="Q69" s="106" t="inlineStr">
        <is>
          <t>UP</t>
        </is>
      </c>
      <c r="R69" s="106" t="inlineStr">
        <is>
          <t>NO</t>
        </is>
      </c>
      <c r="S69" s="105" t="n">
        <v>0</v>
      </c>
      <c r="T69" s="107" t="n">
        <v>0</v>
      </c>
      <c r="U69" s="130" t="inlineStr">
        <is>
          <t>w=[0.55,0.45,0,0] thr=(+0.25,-0.05), deployed default (risk-accepted, PSR=0.0/perm p=0.150 at N=161, not rechecked at N=268)</t>
        </is>
      </c>
      <c r="W69" t="inlineStr">
        <is>
          <t>release date + stated time in the document (rater worksheet)</t>
        </is>
      </c>
      <c r="X69" t="inlineStr">
        <is>
          <t>NVDA</t>
        </is>
      </c>
      <c r="Y69" t="inlineStr">
        <is>
          <t>2025-05-28</t>
        </is>
      </c>
      <c r="Z69" t="n">
        <v>134.6213</v>
      </c>
      <c r="AA69" t="inlineStr">
        <is>
          <t>2025-05-29</t>
        </is>
      </c>
      <c r="AB69" t="n">
        <v>142.0509</v>
      </c>
      <c r="AC69" t="n">
        <v>0.05518877406876717</v>
      </c>
      <c r="AD69" t="inlineStr">
        <is>
          <t>UP</t>
        </is>
      </c>
      <c r="AE69" t="inlineStr">
        <is>
          <t>NO</t>
        </is>
      </c>
      <c r="AF69" t="n">
        <v>0</v>
      </c>
      <c r="AG69">
        <f>IF($A69="","",IFERROR(INDEX(Company_List!$G$3:$G$207,MATCH($A69,Company_List!$A$3:$A$207,0)),"unassigned"))</f>
        <v/>
      </c>
      <c r="AH69"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J69" t="inlineStr">
        <is>
          <t>whole bundle (Document = All)</t>
        </is>
      </c>
      <c r="AK69">
        <f>IF($A69="","",IF(COUNTIFS(Human_Data_Entry!$A$3:$A$525,$A69)&gt;0,"YES","NO"))</f>
        <v/>
      </c>
      <c r="AL69">
        <f>IF($A69="","",IF(AND($C69&amp;"-"&amp;$D69&gt;=Settings!$B$19,$C69&amp;"-"&amp;$D69&lt;=Settings!$B$20),"IN","OUT"))</f>
        <v/>
      </c>
      <c r="AM69">
        <f>IF(AND(OR($H69="BUY",$H69="SELL"),ISNUMBER($T69)),$T69,"")</f>
        <v/>
      </c>
      <c r="AN69">
        <f>IF(AND(OR($H69="BUY",$H69="SELL"),ISNUMBER($AF69)),$AF69,"")</f>
        <v/>
      </c>
      <c r="AO69">
        <f>IF(ISNUMBER($AM69),ABS(IF(ISNUMBER($G69),$G69,0)-Settings!$B$25),"")</f>
        <v/>
      </c>
      <c r="AP69">
        <f>IF(ISNUMBER($AO69),$AO69*$AM69,"")</f>
        <v/>
      </c>
      <c r="AQ69">
        <f>IF(ISNUMBER($AN69),ABS(IF(ISNUMBER($G69),$G69,0)-Settings!$B$25),"")</f>
        <v/>
      </c>
      <c r="AR69">
        <f>IF(ISNUMBER($AQ69),$AQ69*$AN69,"")</f>
        <v/>
      </c>
      <c r="AS69">
        <f>IF($A69="","",IFERROR(INDEX(Company_List!$H$3:$H$207,MATCH($A69,Company_List!$A$3:$A$207,0)),"unassigned"))</f>
        <v/>
      </c>
      <c r="AT69" t="inlineStr">
        <is>
          <t>re-read since v1</t>
        </is>
      </c>
      <c r="AU69" t="inlineStr">
        <is>
          <t>Phase 2/Master_Data_v1.xlsx</t>
        </is>
      </c>
      <c r="AV69" t="n">
        <v>6</v>
      </c>
      <c r="AW69" t="inlineStr">
        <is>
          <t>not publisher-identified</t>
        </is>
      </c>
      <c r="AX69" t="inlineStr">
        <is>
          <t>not publisher-identified</t>
        </is>
      </c>
      <c r="AY69" t="inlineStr">
        <is>
          <t>no</t>
        </is>
      </c>
      <c r="AZ69" t="inlineStr">
        <is>
          <t>yes</t>
        </is>
      </c>
    </row>
    <row r="70">
      <c r="A70" s="115" t="inlineStr">
        <is>
          <t>Nvidia</t>
        </is>
      </c>
      <c r="B70" s="117" t="inlineStr">
        <is>
          <t>NVDA</t>
        </is>
      </c>
      <c r="C70" s="105" t="n">
        <v>2025</v>
      </c>
      <c r="D70" s="106" t="inlineStr">
        <is>
          <t>Q3</t>
        </is>
      </c>
      <c r="E70" s="109" t="inlineStr">
        <is>
          <t>Ben/DeepSeek</t>
        </is>
      </c>
      <c r="F70" s="106" t="inlineStr">
        <is>
          <t>LLM</t>
        </is>
      </c>
      <c r="G70" s="128" t="n">
        <v>0.33</v>
      </c>
      <c r="H70" s="106" t="inlineStr">
        <is>
          <t>BUY</t>
        </is>
      </c>
      <c r="I70" s="128" t="n"/>
      <c r="J70" s="125" t="n">
        <v>45896</v>
      </c>
      <c r="K70" s="126" t="n">
        <v>45896</v>
      </c>
      <c r="L70" s="129" t="n">
        <v>181.6</v>
      </c>
      <c r="M70" s="126" t="n">
        <v>45897</v>
      </c>
      <c r="N70" s="129" t="n">
        <v>180.82</v>
      </c>
      <c r="O70" s="132" t="n">
        <v>0.004084</v>
      </c>
      <c r="P70" s="107" t="n">
        <v>-0.004295</v>
      </c>
      <c r="Q70" s="106" t="inlineStr">
        <is>
          <t>FLAT</t>
        </is>
      </c>
      <c r="R70" s="106" t="inlineStr">
        <is>
          <t>NO</t>
        </is>
      </c>
      <c r="S70" s="105" t="n">
        <v>1</v>
      </c>
      <c r="T70" s="107" t="n">
        <v>-0.005295</v>
      </c>
      <c r="U70" s="130" t="inlineStr">
        <is>
          <t>w=[0.55,0.45,0,0] thr=(+0.25,-0.05), deployed default (risk-accepted, PSR=0.0/perm p=0.150 at N=161, not rechecked at N=268)</t>
        </is>
      </c>
      <c r="W70" t="inlineStr">
        <is>
          <t>release date + stated time in the document (rater worksheet)</t>
        </is>
      </c>
      <c r="X70" t="inlineStr">
        <is>
          <t>NVDA</t>
        </is>
      </c>
      <c r="Y70" t="inlineStr">
        <is>
          <t>2025-08-27</t>
        </is>
      </c>
      <c r="Z70" t="n">
        <v>181.3585</v>
      </c>
      <c r="AA70" t="inlineStr">
        <is>
          <t>2025-08-28</t>
        </is>
      </c>
      <c r="AB70" t="n">
        <v>180.5795</v>
      </c>
      <c r="AC70" t="n">
        <v>-0.004295198674112745</v>
      </c>
      <c r="AD70" t="inlineStr">
        <is>
          <t>FLAT</t>
        </is>
      </c>
      <c r="AE70" t="inlineStr">
        <is>
          <t>NO</t>
        </is>
      </c>
      <c r="AF70" t="n">
        <v>-0.005295</v>
      </c>
      <c r="AG70">
        <f>IF($A70="","",IFERROR(INDEX(Company_List!$G$3:$G$207,MATCH($A70,Company_List!$A$3:$A$207,0)),"unassigned"))</f>
        <v/>
      </c>
      <c r="AH70"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J70" t="inlineStr">
        <is>
          <t>whole bundle (Document = All)</t>
        </is>
      </c>
      <c r="AK70">
        <f>IF($A70="","",IF(COUNTIFS(Human_Data_Entry!$A$3:$A$525,$A70)&gt;0,"YES","NO"))</f>
        <v/>
      </c>
      <c r="AL70">
        <f>IF($A70="","",IF(AND($C70&amp;"-"&amp;$D70&gt;=Settings!$B$19,$C70&amp;"-"&amp;$D70&lt;=Settings!$B$20),"IN","OUT"))</f>
        <v/>
      </c>
      <c r="AM70">
        <f>IF(AND(OR($H70="BUY",$H70="SELL"),ISNUMBER($T70)),$T70,"")</f>
        <v/>
      </c>
      <c r="AN70">
        <f>IF(AND(OR($H70="BUY",$H70="SELL"),ISNUMBER($AF70)),$AF70,"")</f>
        <v/>
      </c>
      <c r="AO70">
        <f>IF(ISNUMBER($AM70),ABS(IF(ISNUMBER($G70),$G70,0)-Settings!$B$25),"")</f>
        <v/>
      </c>
      <c r="AP70">
        <f>IF(ISNUMBER($AO70),$AO70*$AM70,"")</f>
        <v/>
      </c>
      <c r="AQ70">
        <f>IF(ISNUMBER($AN70),ABS(IF(ISNUMBER($G70),$G70,0)-Settings!$B$25),"")</f>
        <v/>
      </c>
      <c r="AR70">
        <f>IF(ISNUMBER($AQ70),$AQ70*$AN70,"")</f>
        <v/>
      </c>
      <c r="AS70">
        <f>IF($A70="","",IFERROR(INDEX(Company_List!$H$3:$H$207,MATCH($A70,Company_List!$A$3:$A$207,0)),"unassigned"))</f>
        <v/>
      </c>
      <c r="AT70" t="inlineStr">
        <is>
          <t>re-read since v1</t>
        </is>
      </c>
      <c r="AU70" t="inlineStr">
        <is>
          <t>Phase 2/Master_Data_v1.xlsx</t>
        </is>
      </c>
      <c r="AV70" t="n">
        <v>6</v>
      </c>
      <c r="AW70" t="inlineStr">
        <is>
          <t>The Motley Fool</t>
        </is>
      </c>
      <c r="AX70" t="inlineStr">
        <is>
          <t>free to read, copyright asserted</t>
        </is>
      </c>
      <c r="AY70" t="inlineStr">
        <is>
          <t>no</t>
        </is>
      </c>
      <c r="AZ70" t="inlineStr">
        <is>
          <t>yes</t>
        </is>
      </c>
    </row>
    <row r="71">
      <c r="A71" s="115" t="inlineStr">
        <is>
          <t>Nvidia</t>
        </is>
      </c>
      <c r="B71" s="117" t="inlineStr">
        <is>
          <t>NVDA</t>
        </is>
      </c>
      <c r="C71" s="105" t="n">
        <v>2025</v>
      </c>
      <c r="D71" s="106" t="inlineStr">
        <is>
          <t>Q4</t>
        </is>
      </c>
      <c r="E71" s="109" t="inlineStr">
        <is>
          <t>Ben/DeepSeek</t>
        </is>
      </c>
      <c r="F71" s="106" t="inlineStr">
        <is>
          <t>LLM</t>
        </is>
      </c>
      <c r="G71" s="128" t="n">
        <v>0.4575</v>
      </c>
      <c r="H71" s="106" t="inlineStr">
        <is>
          <t>BUY</t>
        </is>
      </c>
      <c r="I71" s="128" t="n"/>
      <c r="J71" s="125" t="n">
        <v>45980</v>
      </c>
      <c r="K71" s="126" t="n">
        <v>45980</v>
      </c>
      <c r="L71" s="129" t="n">
        <v>186.52</v>
      </c>
      <c r="M71" s="126" t="n">
        <v>45981</v>
      </c>
      <c r="N71" s="129" t="n">
        <v>195.95</v>
      </c>
      <c r="O71" s="132" t="n">
        <v>0.003756</v>
      </c>
      <c r="P71" s="107" t="n">
        <v>0.050558</v>
      </c>
      <c r="Q71" s="106" t="inlineStr">
        <is>
          <t>UP</t>
        </is>
      </c>
      <c r="R71" s="106" t="inlineStr">
        <is>
          <t>YES</t>
        </is>
      </c>
      <c r="S71" s="105" t="n">
        <v>1</v>
      </c>
      <c r="T71" s="107" t="n">
        <v>0.049558</v>
      </c>
      <c r="U71" s="130" t="inlineStr">
        <is>
          <t>w=[0.55,0.45,0,0] thr=(+0.25,-0.05), deployed default (risk-accepted, PSR=0.0/perm p=0.150 at N=161, not rechecked at N=268)</t>
        </is>
      </c>
      <c r="W71" t="inlineStr">
        <is>
          <t>release date + stated time in the document (rater worksheet)</t>
        </is>
      </c>
      <c r="X71" t="inlineStr">
        <is>
          <t>NVDA</t>
        </is>
      </c>
      <c r="Y71" t="inlineStr">
        <is>
          <t>2025-11-19</t>
        </is>
      </c>
      <c r="Z71" t="n">
        <v>186.2824</v>
      </c>
      <c r="AA71" t="inlineStr">
        <is>
          <t>2025-11-20</t>
        </is>
      </c>
      <c r="AB71" t="n">
        <v>195.7004</v>
      </c>
      <c r="AC71" t="n">
        <v>0.0505575533934741</v>
      </c>
      <c r="AD71" t="inlineStr">
        <is>
          <t>UP</t>
        </is>
      </c>
      <c r="AE71" t="inlineStr">
        <is>
          <t>YES</t>
        </is>
      </c>
      <c r="AF71" t="n">
        <v>0.049558</v>
      </c>
      <c r="AG71">
        <f>IF($A71="","",IFERROR(INDEX(Company_List!$G$3:$G$207,MATCH($A71,Company_List!$A$3:$A$207,0)),"unassigned"))</f>
        <v/>
      </c>
      <c r="AH71"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J71" t="inlineStr">
        <is>
          <t>whole bundle (Document = All)</t>
        </is>
      </c>
      <c r="AK71">
        <f>IF($A71="","",IF(COUNTIFS(Human_Data_Entry!$A$3:$A$525,$A71)&gt;0,"YES","NO"))</f>
        <v/>
      </c>
      <c r="AL71">
        <f>IF($A71="","",IF(AND($C71&amp;"-"&amp;$D71&gt;=Settings!$B$19,$C71&amp;"-"&amp;$D71&lt;=Settings!$B$20),"IN","OUT"))</f>
        <v/>
      </c>
      <c r="AM71">
        <f>IF(AND(OR($H71="BUY",$H71="SELL"),ISNUMBER($T71)),$T71,"")</f>
        <v/>
      </c>
      <c r="AN71">
        <f>IF(AND(OR($H71="BUY",$H71="SELL"),ISNUMBER($AF71)),$AF71,"")</f>
        <v/>
      </c>
      <c r="AO71">
        <f>IF(ISNUMBER($AM71),ABS(IF(ISNUMBER($G71),$G71,0)-Settings!$B$25),"")</f>
        <v/>
      </c>
      <c r="AP71">
        <f>IF(ISNUMBER($AO71),$AO71*$AM71,"")</f>
        <v/>
      </c>
      <c r="AQ71">
        <f>IF(ISNUMBER($AN71),ABS(IF(ISNUMBER($G71),$G71,0)-Settings!$B$25),"")</f>
        <v/>
      </c>
      <c r="AR71">
        <f>IF(ISNUMBER($AQ71),$AQ71*$AN71,"")</f>
        <v/>
      </c>
      <c r="AS71">
        <f>IF($A71="","",IFERROR(INDEX(Company_List!$H$3:$H$207,MATCH($A71,Company_List!$A$3:$A$207,0)),"unassigned"))</f>
        <v/>
      </c>
      <c r="AT71" t="inlineStr">
        <is>
          <t>re-read since v1</t>
        </is>
      </c>
      <c r="AU71" t="inlineStr">
        <is>
          <t>Phase 2/Master_Data_v1.xlsx</t>
        </is>
      </c>
      <c r="AV71" t="n">
        <v>6</v>
      </c>
      <c r="AW71" t="inlineStr">
        <is>
          <t>The Motley Fool</t>
        </is>
      </c>
      <c r="AX71" t="inlineStr">
        <is>
          <t>free to read, copyright asserted</t>
        </is>
      </c>
      <c r="AY71" t="inlineStr">
        <is>
          <t>no</t>
        </is>
      </c>
      <c r="AZ71" t="inlineStr">
        <is>
          <t>yes</t>
        </is>
      </c>
    </row>
    <row r="72">
      <c r="A72" s="115" t="inlineStr">
        <is>
          <t>Tesla</t>
        </is>
      </c>
      <c r="B72" s="117" t="inlineStr">
        <is>
          <t>TSLA</t>
        </is>
      </c>
      <c r="C72" s="105" t="n">
        <v>2026</v>
      </c>
      <c r="D72" s="106" t="inlineStr">
        <is>
          <t>Q1</t>
        </is>
      </c>
      <c r="E72" s="109" t="inlineStr">
        <is>
          <t>Ben/DeepSeek</t>
        </is>
      </c>
      <c r="F72" s="106" t="inlineStr">
        <is>
          <t>LLM</t>
        </is>
      </c>
      <c r="G72" s="128" t="n">
        <v>-0.08</v>
      </c>
      <c r="H72" s="106" t="inlineStr">
        <is>
          <t>SELL</t>
        </is>
      </c>
      <c r="I72" s="128" t="n"/>
      <c r="J72" s="125" t="n">
        <v>46134</v>
      </c>
      <c r="K72" s="126" t="n">
        <v>46134</v>
      </c>
      <c r="L72" s="129" t="n">
        <v>387.51</v>
      </c>
      <c r="M72" s="126" t="n">
        <v>46135</v>
      </c>
      <c r="N72" s="129" t="n">
        <v>375.28</v>
      </c>
      <c r="O72" s="132" t="n">
        <v>0.005918</v>
      </c>
      <c r="P72" s="107" t="n">
        <v>-0.031561</v>
      </c>
      <c r="Q72" s="106" t="inlineStr">
        <is>
          <t>DOWN</t>
        </is>
      </c>
      <c r="R72" s="106" t="inlineStr">
        <is>
          <t>YES</t>
        </is>
      </c>
      <c r="S72" s="105" t="n">
        <v>-1</v>
      </c>
      <c r="T72" s="107" t="n">
        <v>0.030561</v>
      </c>
      <c r="U72" s="130" t="inlineStr">
        <is>
          <t>w=[0.55,0.45,0,0] thr=(+0.25,-0.05), deployed default (risk-accepted, PSR=0.0/perm p=0.150 at N=161, not rechecked at N=268)</t>
        </is>
      </c>
      <c r="W72" t="inlineStr">
        <is>
          <t>release date + stated time in the document (rater worksheet)</t>
        </is>
      </c>
      <c r="X72" t="inlineStr">
        <is>
          <t>TSLA</t>
        </is>
      </c>
      <c r="Y72" t="inlineStr">
        <is>
          <t>2026-04-22</t>
        </is>
      </c>
      <c r="Z72" t="n">
        <v>387.51</v>
      </c>
      <c r="AA72" t="inlineStr">
        <is>
          <t>2026-04-23</t>
        </is>
      </c>
      <c r="AB72" t="n">
        <v>375.28</v>
      </c>
      <c r="AC72" t="n">
        <v>-0.03156050343060827</v>
      </c>
      <c r="AD72" t="inlineStr">
        <is>
          <t>DOWN</t>
        </is>
      </c>
      <c r="AE72" t="inlineStr">
        <is>
          <t>YES</t>
        </is>
      </c>
      <c r="AF72" t="n">
        <v>0.030561</v>
      </c>
      <c r="AG72">
        <f>IF($A72="","",IFERROR(INDEX(Company_List!$G$3:$G$207,MATCH($A72,Company_List!$A$3:$A$207,0)),"unassigned"))</f>
        <v/>
      </c>
      <c r="AH72" t="inlineStr">
        <is>
          <t>Phase 2/Tesla/2026-Q1/TSLA-2026-Q1-press-release-SEC-EX-99-1.htm</t>
        </is>
      </c>
      <c r="AI72" t="inlineStr">
        <is>
          <t>https://www.sec.gov/Archives/edgar/data/1318605/000162828026026551/exhibit991.htm</t>
        </is>
      </c>
      <c r="AJ72" t="inlineStr">
        <is>
          <t>manifest</t>
        </is>
      </c>
      <c r="AK72">
        <f>IF($A72="","",IF(COUNTIFS(Human_Data_Entry!$A$3:$A$525,$A72)&gt;0,"YES","NO"))</f>
        <v/>
      </c>
      <c r="AL72">
        <f>IF($A72="","",IF(AND($C72&amp;"-"&amp;$D72&gt;=Settings!$B$19,$C72&amp;"-"&amp;$D72&lt;=Settings!$B$20),"IN","OUT"))</f>
        <v/>
      </c>
      <c r="AM72">
        <f>IF(AND(OR($H72="BUY",$H72="SELL"),ISNUMBER($T72)),$T72,"")</f>
        <v/>
      </c>
      <c r="AN72">
        <f>IF(AND(OR($H72="BUY",$H72="SELL"),ISNUMBER($AF72)),$AF72,"")</f>
        <v/>
      </c>
      <c r="AO72">
        <f>IF(ISNUMBER($AM72),ABS(IF(ISNUMBER($G72),$G72,0)-Settings!$B$25),"")</f>
        <v/>
      </c>
      <c r="AP72">
        <f>IF(ISNUMBER($AO72),$AO72*$AM72,"")</f>
        <v/>
      </c>
      <c r="AQ72">
        <f>IF(ISNUMBER($AN72),ABS(IF(ISNUMBER($G72),$G72,0)-Settings!$B$25),"")</f>
        <v/>
      </c>
      <c r="AR72">
        <f>IF(ISNUMBER($AQ72),$AQ72*$AN72,"")</f>
        <v/>
      </c>
      <c r="AS72">
        <f>IF($A72="","",IFERROR(INDEX(Company_List!$H$3:$H$207,MATCH($A72,Company_List!$A$3:$A$207,0)),"unassigned"))</f>
        <v/>
      </c>
      <c r="AT72" t="inlineStr">
        <is>
          <t>re-read since v1</t>
        </is>
      </c>
      <c r="AU72" t="inlineStr">
        <is>
          <t>Phase 2/Master_Data_v1.xlsx</t>
        </is>
      </c>
      <c r="AV72" t="n">
        <v>1</v>
      </c>
      <c r="AW72" t="inlineStr">
        <is>
          <t>not publisher-identified</t>
        </is>
      </c>
      <c r="AX72" t="inlineStr">
        <is>
          <t>not publisher-identified</t>
        </is>
      </c>
      <c r="AY72" t="inlineStr">
        <is>
          <t>no</t>
        </is>
      </c>
      <c r="AZ72" t="inlineStr">
        <is>
          <t>yes</t>
        </is>
      </c>
    </row>
    <row r="73">
      <c r="A73" s="115" t="inlineStr">
        <is>
          <t>Tesla</t>
        </is>
      </c>
      <c r="B73" s="117" t="inlineStr">
        <is>
          <t>TSLA</t>
        </is>
      </c>
      <c r="C73" s="105" t="n">
        <v>2025</v>
      </c>
      <c r="D73" s="106" t="inlineStr">
        <is>
          <t>Q3</t>
        </is>
      </c>
      <c r="E73" s="109" t="inlineStr">
        <is>
          <t>Ben/DeepSeek</t>
        </is>
      </c>
      <c r="F73" s="106" t="inlineStr">
        <is>
          <t>LLM</t>
        </is>
      </c>
      <c r="G73" s="128" t="n">
        <v>0.245</v>
      </c>
      <c r="H73" s="106" t="inlineStr">
        <is>
          <t>HOLD</t>
        </is>
      </c>
      <c r="I73" s="128" t="n"/>
      <c r="J73" s="125" t="n">
        <v>45952</v>
      </c>
      <c r="K73" s="126" t="n">
        <v>45952</v>
      </c>
      <c r="L73" s="129" t="n">
        <v>438.97</v>
      </c>
      <c r="M73" s="126" t="n">
        <v>45953</v>
      </c>
      <c r="N73" s="129" t="n">
        <v>420</v>
      </c>
      <c r="O73" s="132" t="n">
        <v>0.006623</v>
      </c>
      <c r="P73" s="107" t="n">
        <v>-0.043215</v>
      </c>
      <c r="Q73" s="106" t="inlineStr">
        <is>
          <t>DOWN</t>
        </is>
      </c>
      <c r="R73" s="106" t="inlineStr">
        <is>
          <t>NO</t>
        </is>
      </c>
      <c r="S73" s="105" t="n">
        <v>0</v>
      </c>
      <c r="T73" s="107" t="n">
        <v>0</v>
      </c>
      <c r="U73" s="130" t="inlineStr">
        <is>
          <t>w=[0.55,0.45,0,0] thr=(+0.25,-0.05), deployed default (risk-accepted, PSR=0.0/perm p=0.150 at N=161, not rechecked at N=268)</t>
        </is>
      </c>
      <c r="W73" t="inlineStr">
        <is>
          <t>release date + stated time in the document (rater worksheet)</t>
        </is>
      </c>
      <c r="X73" t="inlineStr">
        <is>
          <t>TSLA</t>
        </is>
      </c>
      <c r="Y73" t="inlineStr">
        <is>
          <t>2025-10-22</t>
        </is>
      </c>
      <c r="Z73" t="n">
        <v>438.97</v>
      </c>
      <c r="AA73" t="inlineStr">
        <is>
          <t>2025-10-23</t>
        </is>
      </c>
      <c r="AB73" t="n">
        <v>420</v>
      </c>
      <c r="AC73" t="n">
        <v>-0.04321480045740079</v>
      </c>
      <c r="AD73" t="inlineStr">
        <is>
          <t>DOWN</t>
        </is>
      </c>
      <c r="AE73" t="inlineStr">
        <is>
          <t>NO</t>
        </is>
      </c>
      <c r="AF73" t="n">
        <v>0</v>
      </c>
      <c r="AG73">
        <f>IF($A73="","",IFERROR(INDEX(Company_List!$G$3:$G$207,MATCH($A73,Company_List!$A$3:$A$207,0)),"unassigned"))</f>
        <v/>
      </c>
      <c r="AH73" t="inlineStr">
        <is>
          <t>Phase 2/Tesla/2025-Q3/TSLA-2025-Q3-press-release-SEC-EX-99-1.htm</t>
        </is>
      </c>
      <c r="AI73" t="inlineStr">
        <is>
          <t>https://www.sec.gov/Archives/edgar/data/1318605/000162828025045861/exhibit991.htm</t>
        </is>
      </c>
      <c r="AJ73" t="inlineStr">
        <is>
          <t>manifest</t>
        </is>
      </c>
      <c r="AK73">
        <f>IF($A73="","",IF(COUNTIFS(Human_Data_Entry!$A$3:$A$525,$A73)&gt;0,"YES","NO"))</f>
        <v/>
      </c>
      <c r="AL73">
        <f>IF($A73="","",IF(AND($C73&amp;"-"&amp;$D73&gt;=Settings!$B$19,$C73&amp;"-"&amp;$D73&lt;=Settings!$B$20),"IN","OUT"))</f>
        <v/>
      </c>
      <c r="AM73">
        <f>IF(AND(OR($H73="BUY",$H73="SELL"),ISNUMBER($T73)),$T73,"")</f>
        <v/>
      </c>
      <c r="AN73">
        <f>IF(AND(OR($H73="BUY",$H73="SELL"),ISNUMBER($AF73)),$AF73,"")</f>
        <v/>
      </c>
      <c r="AO73">
        <f>IF(ISNUMBER($AM73),ABS(IF(ISNUMBER($G73),$G73,0)-Settings!$B$25),"")</f>
        <v/>
      </c>
      <c r="AP73">
        <f>IF(ISNUMBER($AO73),$AO73*$AM73,"")</f>
        <v/>
      </c>
      <c r="AQ73">
        <f>IF(ISNUMBER($AN73),ABS(IF(ISNUMBER($G73),$G73,0)-Settings!$B$25),"")</f>
        <v/>
      </c>
      <c r="AR73">
        <f>IF(ISNUMBER($AQ73),$AQ73*$AN73,"")</f>
        <v/>
      </c>
      <c r="AS73">
        <f>IF($A73="","",IFERROR(INDEX(Company_List!$H$3:$H$207,MATCH($A73,Company_List!$A$3:$A$207,0)),"unassigned"))</f>
        <v/>
      </c>
      <c r="AT73" t="inlineStr">
        <is>
          <t>re-read since v1</t>
        </is>
      </c>
      <c r="AU73" t="inlineStr">
        <is>
          <t>Phase 2/Master_Data_v1.xlsx</t>
        </is>
      </c>
      <c r="AV73" t="n">
        <v>1</v>
      </c>
      <c r="AW73" t="inlineStr">
        <is>
          <t>not publisher-identified</t>
        </is>
      </c>
      <c r="AX73" t="inlineStr">
        <is>
          <t>not publisher-identified</t>
        </is>
      </c>
      <c r="AY73" t="inlineStr">
        <is>
          <t>no</t>
        </is>
      </c>
      <c r="AZ73" t="inlineStr">
        <is>
          <t>yes</t>
        </is>
      </c>
    </row>
    <row r="74">
      <c r="A74" s="115" t="inlineStr">
        <is>
          <t>Tesla</t>
        </is>
      </c>
      <c r="B74" s="117" t="inlineStr">
        <is>
          <t>TSLA</t>
        </is>
      </c>
      <c r="C74" s="105" t="n">
        <v>2025</v>
      </c>
      <c r="D74" s="106" t="inlineStr">
        <is>
          <t>Q4</t>
        </is>
      </c>
      <c r="E74" s="109" t="inlineStr">
        <is>
          <t>Ben/DeepSeek</t>
        </is>
      </c>
      <c r="F74" s="106" t="inlineStr">
        <is>
          <t>LLM</t>
        </is>
      </c>
      <c r="G74" s="128" t="n">
        <v>0.4425</v>
      </c>
      <c r="H74" s="106" t="inlineStr">
        <is>
          <t>BUY</t>
        </is>
      </c>
      <c r="I74" s="128" t="n"/>
      <c r="J74" s="125" t="n">
        <v>46050</v>
      </c>
      <c r="K74" s="126" t="n">
        <v>46050</v>
      </c>
      <c r="L74" s="129" t="n">
        <v>431.46</v>
      </c>
      <c r="M74" s="126" t="n">
        <v>46051</v>
      </c>
      <c r="N74" s="129" t="n">
        <v>437.8</v>
      </c>
      <c r="O74" s="132" t="n">
        <v>0.006869</v>
      </c>
      <c r="P74" s="107" t="n">
        <v>0.014694</v>
      </c>
      <c r="Q74" s="106" t="inlineStr">
        <is>
          <t>FLAT</t>
        </is>
      </c>
      <c r="R74" s="106" t="inlineStr">
        <is>
          <t>NO</t>
        </is>
      </c>
      <c r="S74" s="105" t="n">
        <v>1</v>
      </c>
      <c r="T74" s="107" t="n">
        <v>0.013694</v>
      </c>
      <c r="U74" s="130" t="inlineStr">
        <is>
          <t>w=[0.55,0.45,0,0] thr=(+0.25,-0.05), deployed default (risk-accepted, PSR=0.0/perm p=0.150 at N=161, not rechecked at N=268)</t>
        </is>
      </c>
      <c r="W74" t="inlineStr">
        <is>
          <t>release date + stated time in the document (rater worksheet)</t>
        </is>
      </c>
      <c r="X74" t="inlineStr">
        <is>
          <t>TSLA</t>
        </is>
      </c>
      <c r="Y74" t="inlineStr">
        <is>
          <t>2026-01-28</t>
        </is>
      </c>
      <c r="Z74" t="n">
        <v>431.46</v>
      </c>
      <c r="AA74" t="inlineStr">
        <is>
          <t>2026-01-29</t>
        </is>
      </c>
      <c r="AB74" t="n">
        <v>437.8</v>
      </c>
      <c r="AC74" t="n">
        <v>0.01469428714654561</v>
      </c>
      <c r="AD74" t="inlineStr">
        <is>
          <t>FLAT</t>
        </is>
      </c>
      <c r="AE74" t="inlineStr">
        <is>
          <t>NO</t>
        </is>
      </c>
      <c r="AF74" t="n">
        <v>0.013694</v>
      </c>
      <c r="AG74">
        <f>IF($A74="","",IFERROR(INDEX(Company_List!$G$3:$G$207,MATCH($A74,Company_List!$A$3:$A$207,0)),"unassigned"))</f>
        <v/>
      </c>
      <c r="AH74" t="inlineStr">
        <is>
          <t>Phase 2/Tesla/2025-Q4/TSLA-2025-Q4-press-release-SEC-EX-99-1.htm</t>
        </is>
      </c>
      <c r="AI74" t="inlineStr">
        <is>
          <t>https://www.sec.gov/Archives/edgar/data/1318605/000162828026003837/exhibit991.htm</t>
        </is>
      </c>
      <c r="AJ74" t="inlineStr">
        <is>
          <t>manifest</t>
        </is>
      </c>
      <c r="AK74">
        <f>IF($A74="","",IF(COUNTIFS(Human_Data_Entry!$A$3:$A$525,$A74)&gt;0,"YES","NO"))</f>
        <v/>
      </c>
      <c r="AL74">
        <f>IF($A74="","",IF(AND($C74&amp;"-"&amp;$D74&gt;=Settings!$B$19,$C74&amp;"-"&amp;$D74&lt;=Settings!$B$20),"IN","OUT"))</f>
        <v/>
      </c>
      <c r="AM74">
        <f>IF(AND(OR($H74="BUY",$H74="SELL"),ISNUMBER($T74)),$T74,"")</f>
        <v/>
      </c>
      <c r="AN74">
        <f>IF(AND(OR($H74="BUY",$H74="SELL"),ISNUMBER($AF74)),$AF74,"")</f>
        <v/>
      </c>
      <c r="AO74">
        <f>IF(ISNUMBER($AM74),ABS(IF(ISNUMBER($G74),$G74,0)-Settings!$B$25),"")</f>
        <v/>
      </c>
      <c r="AP74">
        <f>IF(ISNUMBER($AO74),$AO74*$AM74,"")</f>
        <v/>
      </c>
      <c r="AQ74">
        <f>IF(ISNUMBER($AN74),ABS(IF(ISNUMBER($G74),$G74,0)-Settings!$B$25),"")</f>
        <v/>
      </c>
      <c r="AR74">
        <f>IF(ISNUMBER($AQ74),$AQ74*$AN74,"")</f>
        <v/>
      </c>
      <c r="AS74">
        <f>IF($A74="","",IFERROR(INDEX(Company_List!$H$3:$H$207,MATCH($A74,Company_List!$A$3:$A$207,0)),"unassigned"))</f>
        <v/>
      </c>
      <c r="AT74" t="inlineStr">
        <is>
          <t>re-read since v1</t>
        </is>
      </c>
      <c r="AU74" t="inlineStr">
        <is>
          <t>Phase 2/Master_Data_v1.xlsx</t>
        </is>
      </c>
      <c r="AV74" t="n">
        <v>1</v>
      </c>
      <c r="AW74" t="inlineStr">
        <is>
          <t>not publisher-identified</t>
        </is>
      </c>
      <c r="AX74" t="inlineStr">
        <is>
          <t>not publisher-identified</t>
        </is>
      </c>
      <c r="AY74" t="inlineStr">
        <is>
          <t>no</t>
        </is>
      </c>
      <c r="AZ74" t="inlineStr">
        <is>
          <t>yes</t>
        </is>
      </c>
    </row>
    <row r="75">
      <c r="A75" s="115" t="inlineStr">
        <is>
          <t>Uber</t>
        </is>
      </c>
      <c r="B75" s="117" t="inlineStr">
        <is>
          <t>UBER</t>
        </is>
      </c>
      <c r="C75" s="105" t="n">
        <v>2025</v>
      </c>
      <c r="D75" s="106" t="inlineStr">
        <is>
          <t>Q1</t>
        </is>
      </c>
      <c r="E75" s="109" t="inlineStr">
        <is>
          <t>Ben/DeepSeek</t>
        </is>
      </c>
      <c r="F75" s="106" t="inlineStr">
        <is>
          <t>LLM</t>
        </is>
      </c>
      <c r="G75" s="128" t="n">
        <v>0.03</v>
      </c>
      <c r="H75" s="106" t="inlineStr">
        <is>
          <t>HOLD</t>
        </is>
      </c>
      <c r="I75" s="128" t="n"/>
      <c r="J75" s="125" t="n">
        <v>45784</v>
      </c>
      <c r="K75" s="126" t="n">
        <v>45783</v>
      </c>
      <c r="L75" s="129" t="n">
        <v>85.83</v>
      </c>
      <c r="M75" s="126" t="n">
        <v>45784</v>
      </c>
      <c r="N75" s="129" t="n">
        <v>83.13</v>
      </c>
      <c r="O75" s="132" t="n">
        <v>0.007658</v>
      </c>
      <c r="P75" s="107" t="n">
        <v>-0.031458</v>
      </c>
      <c r="Q75" s="106" t="inlineStr">
        <is>
          <t>DOWN</t>
        </is>
      </c>
      <c r="R75" s="106" t="inlineStr">
        <is>
          <t>NO</t>
        </is>
      </c>
      <c r="S75" s="105" t="n">
        <v>0</v>
      </c>
      <c r="T75" s="107" t="n">
        <v>0</v>
      </c>
      <c r="U75" s="130" t="inlineStr">
        <is>
          <t>w=[0.55,0.45,0,0] thr=(+0.25,-0.05), deployed default (risk-accepted, PSR=0.0/perm p=0.150 at N=161, not rechecked at N=268)</t>
        </is>
      </c>
      <c r="W75" t="inlineStr">
        <is>
          <t>price signal — both moved; this one dominates</t>
        </is>
      </c>
      <c r="X75" t="inlineStr">
        <is>
          <t>UBER</t>
        </is>
      </c>
      <c r="Y75" t="inlineStr">
        <is>
          <t>2025-05-06</t>
        </is>
      </c>
      <c r="Z75" t="n">
        <v>85.83</v>
      </c>
      <c r="AA75" t="inlineStr">
        <is>
          <t>2025-05-07</t>
        </is>
      </c>
      <c r="AB75" t="n">
        <v>83.13</v>
      </c>
      <c r="AC75" t="n">
        <v>-0.03145758985302121</v>
      </c>
      <c r="AD75" t="inlineStr">
        <is>
          <t>DOWN</t>
        </is>
      </c>
      <c r="AE75" t="inlineStr">
        <is>
          <t>NO</t>
        </is>
      </c>
      <c r="AF75" t="n">
        <v>0</v>
      </c>
      <c r="AG75">
        <f>IF($A75="","",IFERROR(INDEX(Company_List!$G$3:$G$207,MATCH($A75,Company_List!$A$3:$A$207,0)),"unassigned"))</f>
        <v/>
      </c>
      <c r="AH75" t="inlineStr">
        <is>
          <t>Phase 2/Uber/2025-Q1/UBER-2025-Q1-press-release-SEC-EX-99-1.htm</t>
        </is>
      </c>
      <c r="AI75" t="inlineStr">
        <is>
          <t>https://www.sec.gov/Archives/edgar/data/1543151/000154315125000012/uberq125earningspressrelea.htm</t>
        </is>
      </c>
      <c r="AJ75" t="inlineStr">
        <is>
          <t>manifest</t>
        </is>
      </c>
      <c r="AK75">
        <f>IF($A75="","",IF(COUNTIFS(Human_Data_Entry!$A$3:$A$525,$A75)&gt;0,"YES","NO"))</f>
        <v/>
      </c>
      <c r="AL75">
        <f>IF($A75="","",IF(AND($C75&amp;"-"&amp;$D75&gt;=Settings!$B$19,$C75&amp;"-"&amp;$D75&lt;=Settings!$B$20),"IN","OUT"))</f>
        <v/>
      </c>
      <c r="AM75">
        <f>IF(AND(OR($H75="BUY",$H75="SELL"),ISNUMBER($T75)),$T75,"")</f>
        <v/>
      </c>
      <c r="AN75">
        <f>IF(AND(OR($H75="BUY",$H75="SELL"),ISNUMBER($AF75)),$AF75,"")</f>
        <v/>
      </c>
      <c r="AO75">
        <f>IF(ISNUMBER($AM75),ABS(IF(ISNUMBER($G75),$G75,0)-Settings!$B$25),"")</f>
        <v/>
      </c>
      <c r="AP75">
        <f>IF(ISNUMBER($AO75),$AO75*$AM75,"")</f>
        <v/>
      </c>
      <c r="AQ75">
        <f>IF(ISNUMBER($AN75),ABS(IF(ISNUMBER($G75),$G75,0)-Settings!$B$25),"")</f>
        <v/>
      </c>
      <c r="AR75">
        <f>IF(ISNUMBER($AQ75),$AQ75*$AN75,"")</f>
        <v/>
      </c>
      <c r="AS75">
        <f>IF($A75="","",IFERROR(INDEX(Company_List!$H$3:$H$207,MATCH($A75,Company_List!$A$3:$A$207,0)),"unassigned"))</f>
        <v/>
      </c>
      <c r="AT75" t="inlineStr">
        <is>
          <t>re-read since v1</t>
        </is>
      </c>
      <c r="AU75" t="inlineStr">
        <is>
          <t>Phase 2/Master_Data_v1.xlsx</t>
        </is>
      </c>
      <c r="AV75" t="n">
        <v>1</v>
      </c>
      <c r="AW75" t="inlineStr">
        <is>
          <t>not publisher-identified</t>
        </is>
      </c>
      <c r="AX75" t="inlineStr">
        <is>
          <t>not publisher-identified</t>
        </is>
      </c>
      <c r="AY75" t="inlineStr">
        <is>
          <t>no</t>
        </is>
      </c>
      <c r="AZ75" t="inlineStr">
        <is>
          <t>yes</t>
        </is>
      </c>
    </row>
    <row r="76">
      <c r="A76" s="115" t="inlineStr">
        <is>
          <t>Uber</t>
        </is>
      </c>
      <c r="B76" s="117" t="inlineStr">
        <is>
          <t>UBER</t>
        </is>
      </c>
      <c r="C76" s="105" t="n">
        <v>2026</v>
      </c>
      <c r="D76" s="106" t="inlineStr">
        <is>
          <t>Q1</t>
        </is>
      </c>
      <c r="E76" s="109" t="inlineStr">
        <is>
          <t>Ben/DeepSeek</t>
        </is>
      </c>
      <c r="F76" s="106" t="inlineStr">
        <is>
          <t>LLM</t>
        </is>
      </c>
      <c r="G76" s="128" t="n">
        <v>0.03</v>
      </c>
      <c r="H76" s="106" t="inlineStr">
        <is>
          <t>HOLD</t>
        </is>
      </c>
      <c r="I76" s="128" t="n"/>
      <c r="J76" s="125" t="n">
        <v>46148</v>
      </c>
      <c r="K76" s="126" t="n">
        <v>46147</v>
      </c>
      <c r="L76" s="129" t="n">
        <v>72.95</v>
      </c>
      <c r="M76" s="126" t="n">
        <v>46148</v>
      </c>
      <c r="N76" s="129" t="n">
        <v>77.45999999999999</v>
      </c>
      <c r="O76" s="132" t="n">
        <v>0.007912000000000001</v>
      </c>
      <c r="P76" s="107" t="n">
        <v>0.061823</v>
      </c>
      <c r="Q76" s="106" t="inlineStr">
        <is>
          <t>UP</t>
        </is>
      </c>
      <c r="R76" s="106" t="inlineStr">
        <is>
          <t>NO</t>
        </is>
      </c>
      <c r="S76" s="105" t="n">
        <v>0</v>
      </c>
      <c r="T76" s="107" t="n">
        <v>0</v>
      </c>
      <c r="U76" s="130" t="inlineStr">
        <is>
          <t>w=[0.55,0.45,0,0] thr=(+0.25,-0.05), deployed default (risk-accepted, PSR=0.0/perm p=0.150 at N=161, not rechecked at N=268)</t>
        </is>
      </c>
      <c r="W76" t="inlineStr">
        <is>
          <t>price signal — only this window shows an abnormal move</t>
        </is>
      </c>
      <c r="X76" t="inlineStr">
        <is>
          <t>UBER</t>
        </is>
      </c>
      <c r="Y76" t="inlineStr">
        <is>
          <t>2026-05-05</t>
        </is>
      </c>
      <c r="Z76" t="n">
        <v>72.95</v>
      </c>
      <c r="AA76" t="inlineStr">
        <is>
          <t>2026-05-06</t>
        </is>
      </c>
      <c r="AB76" t="n">
        <v>77.45999999999999</v>
      </c>
      <c r="AC76" t="n">
        <v>0.06182319651089226</v>
      </c>
      <c r="AD76" t="inlineStr">
        <is>
          <t>UP</t>
        </is>
      </c>
      <c r="AE76" t="inlineStr">
        <is>
          <t>NO</t>
        </is>
      </c>
      <c r="AF76" t="n">
        <v>0</v>
      </c>
      <c r="AG76">
        <f>IF($A76="","",IFERROR(INDEX(Company_List!$G$3:$G$207,MATCH($A76,Company_List!$A$3:$A$207,0)),"unassigned"))</f>
        <v/>
      </c>
      <c r="AH76" t="inlineStr">
        <is>
          <t>Phase 2/Uber/2026-Q1/UBER-2026-Q1-press-release-SEC-EX-99-1.htm</t>
        </is>
      </c>
      <c r="AI76" t="inlineStr">
        <is>
          <t>https://www.sec.gov/Archives/edgar/data/1543151/000154315126000019/uberq126earningspressrelea.htm</t>
        </is>
      </c>
      <c r="AJ76" t="inlineStr">
        <is>
          <t>manifest</t>
        </is>
      </c>
      <c r="AK76">
        <f>IF($A76="","",IF(COUNTIFS(Human_Data_Entry!$A$3:$A$525,$A76)&gt;0,"YES","NO"))</f>
        <v/>
      </c>
      <c r="AL76">
        <f>IF($A76="","",IF(AND($C76&amp;"-"&amp;$D76&gt;=Settings!$B$19,$C76&amp;"-"&amp;$D76&lt;=Settings!$B$20),"IN","OUT"))</f>
        <v/>
      </c>
      <c r="AM76">
        <f>IF(AND(OR($H76="BUY",$H76="SELL"),ISNUMBER($T76)),$T76,"")</f>
        <v/>
      </c>
      <c r="AN76">
        <f>IF(AND(OR($H76="BUY",$H76="SELL"),ISNUMBER($AF76)),$AF76,"")</f>
        <v/>
      </c>
      <c r="AO76">
        <f>IF(ISNUMBER($AM76),ABS(IF(ISNUMBER($G76),$G76,0)-Settings!$B$25),"")</f>
        <v/>
      </c>
      <c r="AP76">
        <f>IF(ISNUMBER($AO76),$AO76*$AM76,"")</f>
        <v/>
      </c>
      <c r="AQ76">
        <f>IF(ISNUMBER($AN76),ABS(IF(ISNUMBER($G76),$G76,0)-Settings!$B$25),"")</f>
        <v/>
      </c>
      <c r="AR76">
        <f>IF(ISNUMBER($AQ76),$AQ76*$AN76,"")</f>
        <v/>
      </c>
      <c r="AS76">
        <f>IF($A76="","",IFERROR(INDEX(Company_List!$H$3:$H$207,MATCH($A76,Company_List!$A$3:$A$207,0)),"unassigned"))</f>
        <v/>
      </c>
      <c r="AT76" t="inlineStr">
        <is>
          <t>re-read since v1</t>
        </is>
      </c>
      <c r="AU76" t="inlineStr">
        <is>
          <t>Phase 2/Master_Data_v1.xlsx</t>
        </is>
      </c>
      <c r="AV76" t="n">
        <v>1</v>
      </c>
      <c r="AW76" t="inlineStr">
        <is>
          <t>not publisher-identified</t>
        </is>
      </c>
      <c r="AX76" t="inlineStr">
        <is>
          <t>not publisher-identified</t>
        </is>
      </c>
      <c r="AY76" t="inlineStr">
        <is>
          <t>no</t>
        </is>
      </c>
      <c r="AZ76" t="inlineStr">
        <is>
          <t>yes</t>
        </is>
      </c>
    </row>
    <row r="77">
      <c r="A77" s="115" t="inlineStr">
        <is>
          <t>Uber</t>
        </is>
      </c>
      <c r="B77" s="117" t="inlineStr">
        <is>
          <t>UBER</t>
        </is>
      </c>
      <c r="C77" s="105" t="n">
        <v>2025</v>
      </c>
      <c r="D77" s="106" t="inlineStr">
        <is>
          <t>Q2</t>
        </is>
      </c>
      <c r="E77" s="109" t="inlineStr">
        <is>
          <t>Ben/DeepSeek</t>
        </is>
      </c>
      <c r="F77" s="106" t="inlineStr">
        <is>
          <t>LLM</t>
        </is>
      </c>
      <c r="G77" s="128" t="n">
        <v>0.21</v>
      </c>
      <c r="H77" s="106" t="inlineStr">
        <is>
          <t>HOLD</t>
        </is>
      </c>
      <c r="I77" s="128" t="n"/>
      <c r="J77" s="125" t="n">
        <v>45875</v>
      </c>
      <c r="K77" s="126" t="n">
        <v>45874</v>
      </c>
      <c r="L77" s="129" t="n">
        <v>89.39</v>
      </c>
      <c r="M77" s="126" t="n">
        <v>45875</v>
      </c>
      <c r="N77" s="129" t="n">
        <v>90.95</v>
      </c>
      <c r="O77" s="132" t="n">
        <v>0.007644</v>
      </c>
      <c r="P77" s="107" t="n">
        <v>0.017452</v>
      </c>
      <c r="Q77" s="106" t="inlineStr">
        <is>
          <t>FLAT</t>
        </is>
      </c>
      <c r="R77" s="106" t="inlineStr">
        <is>
          <t>YES</t>
        </is>
      </c>
      <c r="S77" s="105" t="n">
        <v>0</v>
      </c>
      <c r="T77" s="107" t="n">
        <v>0</v>
      </c>
      <c r="U77" s="130" t="inlineStr">
        <is>
          <t>w=[0.55,0.45,0,0] thr=(+0.25,-0.05), deployed default (risk-accepted, PSR=0.0/perm p=0.150 at N=161, not rechecked at N=268)</t>
        </is>
      </c>
      <c r="W77" t="inlineStr">
        <is>
          <t>price signal — only this window shows an abnormal move</t>
        </is>
      </c>
      <c r="X77" t="inlineStr">
        <is>
          <t>UBER</t>
        </is>
      </c>
      <c r="Y77" t="inlineStr">
        <is>
          <t>2025-08-05</t>
        </is>
      </c>
      <c r="Z77" t="n">
        <v>89.39</v>
      </c>
      <c r="AA77" t="inlineStr">
        <is>
          <t>2025-08-06</t>
        </is>
      </c>
      <c r="AB77" t="n">
        <v>90.95</v>
      </c>
      <c r="AC77" t="n">
        <v>0.01745159433327651</v>
      </c>
      <c r="AD77" t="inlineStr">
        <is>
          <t>FLAT</t>
        </is>
      </c>
      <c r="AE77" t="inlineStr">
        <is>
          <t>YES</t>
        </is>
      </c>
      <c r="AF77" t="n">
        <v>0</v>
      </c>
      <c r="AG77">
        <f>IF($A77="","",IFERROR(INDEX(Company_List!$G$3:$G$207,MATCH($A77,Company_List!$A$3:$A$207,0)),"unassigned"))</f>
        <v/>
      </c>
      <c r="AH77" t="inlineStr">
        <is>
          <t>Phase 2/Uber/2025-Q2/UBER-2025-Q2-press-release-SEC-EX-99-1.htm</t>
        </is>
      </c>
      <c r="AI77" t="inlineStr">
        <is>
          <t>https://www.sec.gov/Archives/edgar/data/1543151/000154315125000020/uberq225earningspressrelea.htm</t>
        </is>
      </c>
      <c r="AJ77" t="inlineStr">
        <is>
          <t>manifest</t>
        </is>
      </c>
      <c r="AK77">
        <f>IF($A77="","",IF(COUNTIFS(Human_Data_Entry!$A$3:$A$525,$A77)&gt;0,"YES","NO"))</f>
        <v/>
      </c>
      <c r="AL77">
        <f>IF($A77="","",IF(AND($C77&amp;"-"&amp;$D77&gt;=Settings!$B$19,$C77&amp;"-"&amp;$D77&lt;=Settings!$B$20),"IN","OUT"))</f>
        <v/>
      </c>
      <c r="AM77">
        <f>IF(AND(OR($H77="BUY",$H77="SELL"),ISNUMBER($T77)),$T77,"")</f>
        <v/>
      </c>
      <c r="AN77">
        <f>IF(AND(OR($H77="BUY",$H77="SELL"),ISNUMBER($AF77)),$AF77,"")</f>
        <v/>
      </c>
      <c r="AO77">
        <f>IF(ISNUMBER($AM77),ABS(IF(ISNUMBER($G77),$G77,0)-Settings!$B$25),"")</f>
        <v/>
      </c>
      <c r="AP77">
        <f>IF(ISNUMBER($AO77),$AO77*$AM77,"")</f>
        <v/>
      </c>
      <c r="AQ77">
        <f>IF(ISNUMBER($AN77),ABS(IF(ISNUMBER($G77),$G77,0)-Settings!$B$25),"")</f>
        <v/>
      </c>
      <c r="AR77">
        <f>IF(ISNUMBER($AQ77),$AQ77*$AN77,"")</f>
        <v/>
      </c>
      <c r="AS77">
        <f>IF($A77="","",IFERROR(INDEX(Company_List!$H$3:$H$207,MATCH($A77,Company_List!$A$3:$A$207,0)),"unassigned"))</f>
        <v/>
      </c>
      <c r="AT77" t="inlineStr">
        <is>
          <t>re-read since v1</t>
        </is>
      </c>
      <c r="AU77" t="inlineStr">
        <is>
          <t>Phase 2/Master_Data_v1.xlsx</t>
        </is>
      </c>
      <c r="AV77" t="n">
        <v>1</v>
      </c>
      <c r="AW77" t="inlineStr">
        <is>
          <t>not publisher-identified</t>
        </is>
      </c>
      <c r="AX77" t="inlineStr">
        <is>
          <t>not publisher-identified</t>
        </is>
      </c>
      <c r="AY77" t="inlineStr">
        <is>
          <t>no</t>
        </is>
      </c>
      <c r="AZ77" t="inlineStr">
        <is>
          <t>yes</t>
        </is>
      </c>
    </row>
    <row r="78">
      <c r="A78" s="115" t="inlineStr">
        <is>
          <t>Uber</t>
        </is>
      </c>
      <c r="B78" s="117" t="inlineStr">
        <is>
          <t>UBER</t>
        </is>
      </c>
      <c r="C78" s="105" t="n">
        <v>2025</v>
      </c>
      <c r="D78" s="106" t="inlineStr">
        <is>
          <t>Q4</t>
        </is>
      </c>
      <c r="E78" s="109" t="inlineStr">
        <is>
          <t>Ben/DeepSeek</t>
        </is>
      </c>
      <c r="F78" s="106" t="inlineStr">
        <is>
          <t>LLM</t>
        </is>
      </c>
      <c r="G78" s="128" t="n">
        <v>0.2775</v>
      </c>
      <c r="H78" s="106" t="inlineStr">
        <is>
          <t>BUY</t>
        </is>
      </c>
      <c r="I78" s="128" t="n"/>
      <c r="J78" s="125" t="n">
        <v>46057</v>
      </c>
      <c r="K78" s="126" t="n">
        <v>46056</v>
      </c>
      <c r="L78" s="129" t="n">
        <v>77.93000000000001</v>
      </c>
      <c r="M78" s="126" t="n">
        <v>46057</v>
      </c>
      <c r="N78" s="129" t="n">
        <v>75.62</v>
      </c>
      <c r="O78" s="132" t="n">
        <v>0.008668</v>
      </c>
      <c r="P78" s="107" t="n">
        <v>-0.029578</v>
      </c>
      <c r="Q78" s="106" t="inlineStr">
        <is>
          <t>DOWN</t>
        </is>
      </c>
      <c r="R78" s="106" t="inlineStr">
        <is>
          <t>NO</t>
        </is>
      </c>
      <c r="S78" s="105" t="n">
        <v>1</v>
      </c>
      <c r="T78" s="107" t="n">
        <v>-0.030578</v>
      </c>
      <c r="U78" s="130" t="inlineStr">
        <is>
          <t>w=[0.55,0.45,0,0] thr=(+0.25,-0.05), deployed default (risk-accepted, PSR=0.0/perm p=0.150 at N=161, not rechecked at N=268)</t>
        </is>
      </c>
      <c r="W78" t="inlineStr">
        <is>
          <t>price signal — only this window shows an abnormal move</t>
        </is>
      </c>
      <c r="X78" t="inlineStr">
        <is>
          <t>UBER</t>
        </is>
      </c>
      <c r="Y78" t="inlineStr">
        <is>
          <t>2026-02-03</t>
        </is>
      </c>
      <c r="Z78" t="n">
        <v>77.93000000000001</v>
      </c>
      <c r="AA78" t="inlineStr">
        <is>
          <t>2026-02-04</t>
        </is>
      </c>
      <c r="AB78" t="n">
        <v>75.625</v>
      </c>
      <c r="AC78" t="n">
        <v>-0.02957782625433089</v>
      </c>
      <c r="AD78" t="inlineStr">
        <is>
          <t>DOWN</t>
        </is>
      </c>
      <c r="AE78" t="inlineStr">
        <is>
          <t>NO</t>
        </is>
      </c>
      <c r="AF78" t="n">
        <v>-0.030578</v>
      </c>
      <c r="AG78">
        <f>IF($A78="","",IFERROR(INDEX(Company_List!$G$3:$G$207,MATCH($A78,Company_List!$A$3:$A$207,0)),"unassigned"))</f>
        <v/>
      </c>
      <c r="AH78" t="inlineStr">
        <is>
          <t>Phase 2/Uber/2025-Q4/UBER-2025-Q4-press-release-SEC-EX-99-1.htm</t>
        </is>
      </c>
      <c r="AI78" t="inlineStr">
        <is>
          <t>https://www.sec.gov/Archives/edgar/data/1543151/000154315126000011/uberq425earningspressrelea.htm</t>
        </is>
      </c>
      <c r="AJ78" t="inlineStr">
        <is>
          <t>manifest</t>
        </is>
      </c>
      <c r="AK78">
        <f>IF($A78="","",IF(COUNTIFS(Human_Data_Entry!$A$3:$A$525,$A78)&gt;0,"YES","NO"))</f>
        <v/>
      </c>
      <c r="AL78">
        <f>IF($A78="","",IF(AND($C78&amp;"-"&amp;$D78&gt;=Settings!$B$19,$C78&amp;"-"&amp;$D78&lt;=Settings!$B$20),"IN","OUT"))</f>
        <v/>
      </c>
      <c r="AM78">
        <f>IF(AND(OR($H78="BUY",$H78="SELL"),ISNUMBER($T78)),$T78,"")</f>
        <v/>
      </c>
      <c r="AN78">
        <f>IF(AND(OR($H78="BUY",$H78="SELL"),ISNUMBER($AF78)),$AF78,"")</f>
        <v/>
      </c>
      <c r="AO78">
        <f>IF(ISNUMBER($AM78),ABS(IF(ISNUMBER($G78),$G78,0)-Settings!$B$25),"")</f>
        <v/>
      </c>
      <c r="AP78">
        <f>IF(ISNUMBER($AO78),$AO78*$AM78,"")</f>
        <v/>
      </c>
      <c r="AQ78">
        <f>IF(ISNUMBER($AN78),ABS(IF(ISNUMBER($G78),$G78,0)-Settings!$B$25),"")</f>
        <v/>
      </c>
      <c r="AR78">
        <f>IF(ISNUMBER($AQ78),$AQ78*$AN78,"")</f>
        <v/>
      </c>
      <c r="AS78">
        <f>IF($A78="","",IFERROR(INDEX(Company_List!$H$3:$H$207,MATCH($A78,Company_List!$A$3:$A$207,0)),"unassigned"))</f>
        <v/>
      </c>
      <c r="AT78" t="inlineStr">
        <is>
          <t>re-read since v1</t>
        </is>
      </c>
      <c r="AU78" t="inlineStr">
        <is>
          <t>Phase 2/Master_Data_v1.xlsx</t>
        </is>
      </c>
      <c r="AV78" t="n">
        <v>1</v>
      </c>
      <c r="AW78" t="inlineStr">
        <is>
          <t>not publisher-identified</t>
        </is>
      </c>
      <c r="AX78" t="inlineStr">
        <is>
          <t>not publisher-identified</t>
        </is>
      </c>
      <c r="AY78" t="inlineStr">
        <is>
          <t>no</t>
        </is>
      </c>
      <c r="AZ78" t="inlineStr">
        <is>
          <t>yes</t>
        </is>
      </c>
    </row>
    <row r="79">
      <c r="A79" s="115" t="inlineStr">
        <is>
          <t>Walmart</t>
        </is>
      </c>
      <c r="B79" s="117" t="inlineStr">
        <is>
          <t>WMT</t>
        </is>
      </c>
      <c r="C79" s="105" t="n">
        <v>2025</v>
      </c>
      <c r="D79" s="106" t="inlineStr">
        <is>
          <t>Q1</t>
        </is>
      </c>
      <c r="E79" s="109" t="inlineStr">
        <is>
          <t>Ben/DeepSeek</t>
        </is>
      </c>
      <c r="F79" s="106" t="inlineStr">
        <is>
          <t>LLM</t>
        </is>
      </c>
      <c r="G79" s="128" t="n">
        <v>-0.08</v>
      </c>
      <c r="H79" s="106" t="inlineStr">
        <is>
          <t>SELL</t>
        </is>
      </c>
      <c r="I79" s="128" t="n"/>
      <c r="J79" s="125" t="n">
        <v>45792</v>
      </c>
      <c r="K79" s="126" t="n">
        <v>45791</v>
      </c>
      <c r="L79" s="129" t="n">
        <v>96.83</v>
      </c>
      <c r="M79" s="126" t="n">
        <v>45792</v>
      </c>
      <c r="N79" s="129" t="n">
        <v>94.3</v>
      </c>
      <c r="O79" s="132" t="n">
        <v>0.005478</v>
      </c>
      <c r="P79" s="107" t="n">
        <v>-0.026128</v>
      </c>
      <c r="Q79" s="106" t="inlineStr">
        <is>
          <t>DOWN</t>
        </is>
      </c>
      <c r="R79" s="106" t="inlineStr">
        <is>
          <t>YES</t>
        </is>
      </c>
      <c r="S79" s="105" t="n">
        <v>-1</v>
      </c>
      <c r="T79" s="107" t="n">
        <v>0.025128</v>
      </c>
      <c r="U79" s="130" t="inlineStr">
        <is>
          <t>w=[0.55,0.45,0,0] thr=(+0.25,-0.05), deployed default (risk-accepted, PSR=0.0/perm p=0.150 at N=161, not rechecked at N=268)</t>
        </is>
      </c>
      <c r="W79" t="inlineStr">
        <is>
          <t>price signal — only this window shows an abnormal move</t>
        </is>
      </c>
      <c r="X79" t="inlineStr">
        <is>
          <t>WMT</t>
        </is>
      </c>
      <c r="Y79" t="inlineStr">
        <is>
          <t>2025-05-14</t>
        </is>
      </c>
      <c r="Z79" t="n">
        <v>96.0271</v>
      </c>
      <c r="AA79" t="inlineStr">
        <is>
          <t>2025-05-15</t>
        </is>
      </c>
      <c r="AB79" t="n">
        <v>93.5181</v>
      </c>
      <c r="AC79" t="n">
        <v>-0.02612822401329185</v>
      </c>
      <c r="AD79" t="inlineStr">
        <is>
          <t>DOWN</t>
        </is>
      </c>
      <c r="AE79" t="inlineStr">
        <is>
          <t>YES</t>
        </is>
      </c>
      <c r="AF79" t="n">
        <v>0.025128</v>
      </c>
      <c r="AG79">
        <f>IF($A79="","",IFERROR(INDEX(Company_List!$G$3:$G$207,MATCH($A79,Company_List!$A$3:$A$207,0)),"unassigned"))</f>
        <v/>
      </c>
      <c r="AH79" t="inlineStr">
        <is>
          <t>Phase 2/Walmart/Q1 2025/q1-fy26-earnings-release.pdf; Phase 2/Walmart/Q1 2025/q1-fy26-earnings-presentation.pdf; Phase 2/Walmart/Q1 2025/q1-fy26-earnings-call-transcript.pdf</t>
        </is>
      </c>
      <c r="AJ79" t="inlineStr">
        <is>
          <t>whole bundle (Document = All)</t>
        </is>
      </c>
      <c r="AK79">
        <f>IF($A79="","",IF(COUNTIFS(Human_Data_Entry!$A$3:$A$525,$A79)&gt;0,"YES","NO"))</f>
        <v/>
      </c>
      <c r="AL79">
        <f>IF($A79="","",IF(AND($C79&amp;"-"&amp;$D79&gt;=Settings!$B$19,$C79&amp;"-"&amp;$D79&lt;=Settings!$B$20),"IN","OUT"))</f>
        <v/>
      </c>
      <c r="AM79">
        <f>IF(AND(OR($H79="BUY",$H79="SELL"),ISNUMBER($T79)),$T79,"")</f>
        <v/>
      </c>
      <c r="AN79">
        <f>IF(AND(OR($H79="BUY",$H79="SELL"),ISNUMBER($AF79)),$AF79,"")</f>
        <v/>
      </c>
      <c r="AO79">
        <f>IF(ISNUMBER($AM79),ABS(IF(ISNUMBER($G79),$G79,0)-Settings!$B$25),"")</f>
        <v/>
      </c>
      <c r="AP79">
        <f>IF(ISNUMBER($AO79),$AO79*$AM79,"")</f>
        <v/>
      </c>
      <c r="AQ79">
        <f>IF(ISNUMBER($AN79),ABS(IF(ISNUMBER($G79),$G79,0)-Settings!$B$25),"")</f>
        <v/>
      </c>
      <c r="AR79">
        <f>IF(ISNUMBER($AQ79),$AQ79*$AN79,"")</f>
        <v/>
      </c>
      <c r="AS79">
        <f>IF($A79="","",IFERROR(INDEX(Company_List!$H$3:$H$207,MATCH($A79,Company_List!$A$3:$A$207,0)),"unassigned"))</f>
        <v/>
      </c>
      <c r="AT79" t="inlineStr">
        <is>
          <t>re-read since v1</t>
        </is>
      </c>
      <c r="AU79" t="inlineStr">
        <is>
          <t>Phase 2/Master_Data_v1.xlsx</t>
        </is>
      </c>
      <c r="AV79" t="n">
        <v>3</v>
      </c>
      <c r="AW79" t="inlineStr">
        <is>
          <t>FactSet CallStreet</t>
        </is>
      </c>
      <c r="AX79" t="inlineStr">
        <is>
          <t>licensed vendor</t>
        </is>
      </c>
      <c r="AY79" t="inlineStr">
        <is>
          <t>no</t>
        </is>
      </c>
      <c r="AZ79" t="inlineStr">
        <is>
          <t>no</t>
        </is>
      </c>
    </row>
    <row r="80">
      <c r="A80" s="115" t="inlineStr">
        <is>
          <t>Walmart</t>
        </is>
      </c>
      <c r="B80" s="117" t="inlineStr">
        <is>
          <t>WMT</t>
        </is>
      </c>
      <c r="C80" s="105" t="n">
        <v>2026</v>
      </c>
      <c r="D80" s="106" t="inlineStr">
        <is>
          <t>Q1</t>
        </is>
      </c>
      <c r="E80" s="109" t="inlineStr">
        <is>
          <t>Ben/DeepSeek</t>
        </is>
      </c>
      <c r="F80" s="106" t="inlineStr">
        <is>
          <t>LLM</t>
        </is>
      </c>
      <c r="G80" s="128" t="n">
        <v>-0.0525</v>
      </c>
      <c r="H80" s="106" t="inlineStr">
        <is>
          <t>SELL</t>
        </is>
      </c>
      <c r="I80" s="128" t="n"/>
      <c r="J80" s="125" t="n">
        <v>46163</v>
      </c>
      <c r="K80" s="126" t="n">
        <v>46162</v>
      </c>
      <c r="L80" s="129" t="n">
        <v>130.85</v>
      </c>
      <c r="M80" s="126" t="n">
        <v>46163</v>
      </c>
      <c r="N80" s="129" t="n">
        <v>124.41</v>
      </c>
      <c r="O80" s="132" t="n">
        <v>0.005744</v>
      </c>
      <c r="P80" s="107" t="n">
        <v>-0.049217</v>
      </c>
      <c r="Q80" s="106" t="inlineStr">
        <is>
          <t>DOWN</t>
        </is>
      </c>
      <c r="R80" s="106" t="inlineStr">
        <is>
          <t>YES</t>
        </is>
      </c>
      <c r="S80" s="105" t="n">
        <v>-1</v>
      </c>
      <c r="T80" s="107" t="n">
        <v>0.048217</v>
      </c>
      <c r="U80" s="130" t="inlineStr">
        <is>
          <t>w=[0.55,0.45,0,0] thr=(+0.25,-0.05), deployed default (risk-accepted, PSR=0.0/perm p=0.150 at N=161, not rechecked at N=268)</t>
        </is>
      </c>
      <c r="W80" t="inlineStr">
        <is>
          <t>price signal — both moved; this one dominates</t>
        </is>
      </c>
      <c r="X80" t="inlineStr">
        <is>
          <t>WMT</t>
        </is>
      </c>
      <c r="Y80" t="inlineStr">
        <is>
          <t>2026-05-20</t>
        </is>
      </c>
      <c r="Z80" t="n">
        <v>130.85</v>
      </c>
      <c r="AA80" t="inlineStr">
        <is>
          <t>2026-05-21</t>
        </is>
      </c>
      <c r="AB80" t="n">
        <v>124.41</v>
      </c>
      <c r="AC80" t="n">
        <v>-0.04921667332594548</v>
      </c>
      <c r="AD80" t="inlineStr">
        <is>
          <t>DOWN</t>
        </is>
      </c>
      <c r="AE80" t="inlineStr">
        <is>
          <t>YES</t>
        </is>
      </c>
      <c r="AF80" t="n">
        <v>0.048217</v>
      </c>
      <c r="AG80">
        <f>IF($A80="","",IFERROR(INDEX(Company_List!$G$3:$G$207,MATCH($A80,Company_List!$A$3:$A$207,0)),"unassigned"))</f>
        <v/>
      </c>
      <c r="AH80" t="inlineStr">
        <is>
          <t>Phase 2/Walmart/Q1 2026/q1-fy27-earnings-release.pdf; Phase 2/Walmart/Q1 2026/q1-fy27-earnings-presentation.pdf; Phase 2/Walmart/Q1 2026/q1-fy27-earnings-call-transcript.pdf</t>
        </is>
      </c>
      <c r="AJ80" t="inlineStr">
        <is>
          <t>whole bundle (Document = All)</t>
        </is>
      </c>
      <c r="AK80">
        <f>IF($A80="","",IF(COUNTIFS(Human_Data_Entry!$A$3:$A$525,$A80)&gt;0,"YES","NO"))</f>
        <v/>
      </c>
      <c r="AL80">
        <f>IF($A80="","",IF(AND($C80&amp;"-"&amp;$D80&gt;=Settings!$B$19,$C80&amp;"-"&amp;$D80&lt;=Settings!$B$20),"IN","OUT"))</f>
        <v/>
      </c>
      <c r="AM80">
        <f>IF(AND(OR($H80="BUY",$H80="SELL"),ISNUMBER($T80)),$T80,"")</f>
        <v/>
      </c>
      <c r="AN80">
        <f>IF(AND(OR($H80="BUY",$H80="SELL"),ISNUMBER($AF80)),$AF80,"")</f>
        <v/>
      </c>
      <c r="AO80">
        <f>IF(ISNUMBER($AM80),ABS(IF(ISNUMBER($G80),$G80,0)-Settings!$B$25),"")</f>
        <v/>
      </c>
      <c r="AP80">
        <f>IF(ISNUMBER($AO80),$AO80*$AM80,"")</f>
        <v/>
      </c>
      <c r="AQ80">
        <f>IF(ISNUMBER($AN80),ABS(IF(ISNUMBER($G80),$G80,0)-Settings!$B$25),"")</f>
        <v/>
      </c>
      <c r="AR80">
        <f>IF(ISNUMBER($AQ80),$AQ80*$AN80,"")</f>
        <v/>
      </c>
      <c r="AS80">
        <f>IF($A80="","",IFERROR(INDEX(Company_List!$H$3:$H$207,MATCH($A80,Company_List!$A$3:$A$207,0)),"unassigned"))</f>
        <v/>
      </c>
      <c r="AT80" t="inlineStr">
        <is>
          <t>re-read since v1</t>
        </is>
      </c>
      <c r="AU80" t="inlineStr">
        <is>
          <t>Phase 2/Master_Data_v1.xlsx</t>
        </is>
      </c>
      <c r="AV80" t="n">
        <v>3</v>
      </c>
      <c r="AW80" t="inlineStr">
        <is>
          <t>FactSet CallStreet</t>
        </is>
      </c>
      <c r="AX80" t="inlineStr">
        <is>
          <t>licensed vendor</t>
        </is>
      </c>
      <c r="AY80" t="inlineStr">
        <is>
          <t>no</t>
        </is>
      </c>
      <c r="AZ80" t="inlineStr">
        <is>
          <t>no</t>
        </is>
      </c>
    </row>
    <row r="81">
      <c r="A81" s="115" t="inlineStr">
        <is>
          <t>Walmart</t>
        </is>
      </c>
      <c r="B81" s="117" t="inlineStr">
        <is>
          <t>WMT</t>
        </is>
      </c>
      <c r="C81" s="105" t="n">
        <v>2025</v>
      </c>
      <c r="D81" s="106" t="inlineStr">
        <is>
          <t>Q2</t>
        </is>
      </c>
      <c r="E81" s="109" t="inlineStr">
        <is>
          <t>Ben/DeepSeek</t>
        </is>
      </c>
      <c r="F81" s="106" t="inlineStr">
        <is>
          <t>LLM</t>
        </is>
      </c>
      <c r="G81" s="128" t="n">
        <v>0.165</v>
      </c>
      <c r="H81" s="106" t="inlineStr">
        <is>
          <t>HOLD</t>
        </is>
      </c>
      <c r="I81" s="128" t="n"/>
      <c r="J81" s="125" t="n">
        <v>45890</v>
      </c>
      <c r="K81" s="126" t="n">
        <v>45889</v>
      </c>
      <c r="L81" s="129" t="n">
        <v>102.57</v>
      </c>
      <c r="M81" s="126" t="n">
        <v>45890</v>
      </c>
      <c r="N81" s="129" t="n">
        <v>99.41</v>
      </c>
      <c r="O81" s="132" t="n">
        <v>0.005995</v>
      </c>
      <c r="P81" s="107" t="n">
        <v>-0.030808</v>
      </c>
      <c r="Q81" s="106" t="inlineStr">
        <is>
          <t>DOWN</t>
        </is>
      </c>
      <c r="R81" s="106" t="inlineStr">
        <is>
          <t>NO</t>
        </is>
      </c>
      <c r="S81" s="105" t="n">
        <v>0</v>
      </c>
      <c r="T81" s="107" t="n">
        <v>0</v>
      </c>
      <c r="U81" s="130" t="inlineStr">
        <is>
          <t>w=[0.55,0.45,0,0] thr=(+0.25,-0.05), deployed default (risk-accepted, PSR=0.0/perm p=0.150 at N=161, not rechecked at N=268)</t>
        </is>
      </c>
      <c r="W81" t="inlineStr">
        <is>
          <t>price signal — only this window shows an abnormal move</t>
        </is>
      </c>
      <c r="X81" t="inlineStr">
        <is>
          <t>WMT</t>
        </is>
      </c>
      <c r="Y81" t="inlineStr">
        <is>
          <t>2025-08-20</t>
        </is>
      </c>
      <c r="Z81" t="n">
        <v>101.9571</v>
      </c>
      <c r="AA81" t="inlineStr">
        <is>
          <t>2025-08-21</t>
        </is>
      </c>
      <c r="AB81" t="n">
        <v>98.816</v>
      </c>
      <c r="AC81" t="n">
        <v>-0.03080822646605782</v>
      </c>
      <c r="AD81" t="inlineStr">
        <is>
          <t>DOWN</t>
        </is>
      </c>
      <c r="AE81" t="inlineStr">
        <is>
          <t>NO</t>
        </is>
      </c>
      <c r="AF81" t="n">
        <v>0</v>
      </c>
      <c r="AG81">
        <f>IF($A81="","",IFERROR(INDEX(Company_List!$G$3:$G$207,MATCH($A81,Company_List!$A$3:$A$207,0)),"unassigned"))</f>
        <v/>
      </c>
      <c r="AH81" t="inlineStr">
        <is>
          <t>Phase 2/Walmart/Q2 2025/q2-fy26-earnings-release.pdf; Phase 2/Walmart/Q2 2025/q2-fy26-earnings-presentation.pdf; Phase 2/Walmart/Q2 2025/q2-fy26-earnings-call-transcript.pdf</t>
        </is>
      </c>
      <c r="AJ81" t="inlineStr">
        <is>
          <t>whole bundle (Document = All)</t>
        </is>
      </c>
      <c r="AK81">
        <f>IF($A81="","",IF(COUNTIFS(Human_Data_Entry!$A$3:$A$525,$A81)&gt;0,"YES","NO"))</f>
        <v/>
      </c>
      <c r="AL81">
        <f>IF($A81="","",IF(AND($C81&amp;"-"&amp;$D81&gt;=Settings!$B$19,$C81&amp;"-"&amp;$D81&lt;=Settings!$B$20),"IN","OUT"))</f>
        <v/>
      </c>
      <c r="AM81">
        <f>IF(AND(OR($H81="BUY",$H81="SELL"),ISNUMBER($T81)),$T81,"")</f>
        <v/>
      </c>
      <c r="AN81">
        <f>IF(AND(OR($H81="BUY",$H81="SELL"),ISNUMBER($AF81)),$AF81,"")</f>
        <v/>
      </c>
      <c r="AO81">
        <f>IF(ISNUMBER($AM81),ABS(IF(ISNUMBER($G81),$G81,0)-Settings!$B$25),"")</f>
        <v/>
      </c>
      <c r="AP81">
        <f>IF(ISNUMBER($AO81),$AO81*$AM81,"")</f>
        <v/>
      </c>
      <c r="AQ81">
        <f>IF(ISNUMBER($AN81),ABS(IF(ISNUMBER($G81),$G81,0)-Settings!$B$25),"")</f>
        <v/>
      </c>
      <c r="AR81">
        <f>IF(ISNUMBER($AQ81),$AQ81*$AN81,"")</f>
        <v/>
      </c>
      <c r="AS81">
        <f>IF($A81="","",IFERROR(INDEX(Company_List!$H$3:$H$207,MATCH($A81,Company_List!$A$3:$A$207,0)),"unassigned"))</f>
        <v/>
      </c>
      <c r="AT81" t="inlineStr">
        <is>
          <t>re-read since v1</t>
        </is>
      </c>
      <c r="AU81" t="inlineStr">
        <is>
          <t>Phase 2/Master_Data_v1.xlsx</t>
        </is>
      </c>
      <c r="AV81" t="n">
        <v>3</v>
      </c>
      <c r="AW81" t="inlineStr">
        <is>
          <t>FactSet CallStreet</t>
        </is>
      </c>
      <c r="AX81" t="inlineStr">
        <is>
          <t>licensed vendor</t>
        </is>
      </c>
      <c r="AY81" t="inlineStr">
        <is>
          <t>no</t>
        </is>
      </c>
      <c r="AZ81" t="inlineStr">
        <is>
          <t>no</t>
        </is>
      </c>
    </row>
    <row r="82">
      <c r="A82" s="115" t="inlineStr">
        <is>
          <t>Walmart</t>
        </is>
      </c>
      <c r="B82" s="117" t="inlineStr">
        <is>
          <t>WMT</t>
        </is>
      </c>
      <c r="C82" s="105" t="n">
        <v>2025</v>
      </c>
      <c r="D82" s="106" t="inlineStr">
        <is>
          <t>Q3</t>
        </is>
      </c>
      <c r="E82" s="109" t="inlineStr">
        <is>
          <t>Ben/DeepSeek</t>
        </is>
      </c>
      <c r="F82" s="106" t="inlineStr">
        <is>
          <t>LLM</t>
        </is>
      </c>
      <c r="G82" s="128" t="n">
        <v>0.32</v>
      </c>
      <c r="H82" s="106" t="inlineStr">
        <is>
          <t>BUY</t>
        </is>
      </c>
      <c r="I82" s="128" t="n"/>
      <c r="J82" s="125" t="n">
        <v>45981</v>
      </c>
      <c r="K82" s="126" t="n">
        <v>45980</v>
      </c>
      <c r="L82" s="129" t="n">
        <v>100.61</v>
      </c>
      <c r="M82" s="126" t="n">
        <v>45981</v>
      </c>
      <c r="N82" s="129" t="n">
        <v>103.94</v>
      </c>
      <c r="O82" s="132" t="n">
        <v>0.005502</v>
      </c>
      <c r="P82" s="107" t="n">
        <v>0.033098</v>
      </c>
      <c r="Q82" s="106" t="inlineStr">
        <is>
          <t>UP</t>
        </is>
      </c>
      <c r="R82" s="106" t="inlineStr">
        <is>
          <t>YES</t>
        </is>
      </c>
      <c r="S82" s="105" t="n">
        <v>1</v>
      </c>
      <c r="T82" s="107" t="n">
        <v>0.032098</v>
      </c>
      <c r="U82" s="130" t="inlineStr">
        <is>
          <t>w=[0.55,0.45,0,0] thr=(+0.25,-0.05), deployed default (risk-accepted, PSR=0.0/perm p=0.150 at N=161, not rechecked at N=268)</t>
        </is>
      </c>
      <c r="W82" t="inlineStr">
        <is>
          <t>price signal — only this window shows an abnormal move</t>
        </is>
      </c>
      <c r="X82" t="inlineStr">
        <is>
          <t>WMT</t>
        </is>
      </c>
      <c r="Y82" t="inlineStr">
        <is>
          <t>2025-11-19</t>
        </is>
      </c>
      <c r="Z82" t="n">
        <v>100.0088</v>
      </c>
      <c r="AA82" t="inlineStr">
        <is>
          <t>2025-11-20</t>
        </is>
      </c>
      <c r="AB82" t="n">
        <v>103.3189</v>
      </c>
      <c r="AC82" t="n">
        <v>0.03309815846942354</v>
      </c>
      <c r="AD82" t="inlineStr">
        <is>
          <t>UP</t>
        </is>
      </c>
      <c r="AE82" t="inlineStr">
        <is>
          <t>YES</t>
        </is>
      </c>
      <c r="AF82" t="n">
        <v>0.032098</v>
      </c>
      <c r="AG82">
        <f>IF($A82="","",IFERROR(INDEX(Company_List!$G$3:$G$207,MATCH($A82,Company_List!$A$3:$A$207,0)),"unassigned"))</f>
        <v/>
      </c>
      <c r="AH82" t="inlineStr">
        <is>
          <t>Phase 2/Walmart/Q3 2025/q3-fy26-earnings-release.pdf; Phase 2/Walmart/Q3 2025/q3-fy26-earnings-presentation.pdf; Phase 2/Walmart/Q3 2025/q3-fy26-earnings-call-transcript.pdf</t>
        </is>
      </c>
      <c r="AJ82" t="inlineStr">
        <is>
          <t>whole bundle (Document = All)</t>
        </is>
      </c>
      <c r="AK82">
        <f>IF($A82="","",IF(COUNTIFS(Human_Data_Entry!$A$3:$A$525,$A82)&gt;0,"YES","NO"))</f>
        <v/>
      </c>
      <c r="AL82">
        <f>IF($A82="","",IF(AND($C82&amp;"-"&amp;$D82&gt;=Settings!$B$19,$C82&amp;"-"&amp;$D82&lt;=Settings!$B$20),"IN","OUT"))</f>
        <v/>
      </c>
      <c r="AM82">
        <f>IF(AND(OR($H82="BUY",$H82="SELL"),ISNUMBER($T82)),$T82,"")</f>
        <v/>
      </c>
      <c r="AN82">
        <f>IF(AND(OR($H82="BUY",$H82="SELL"),ISNUMBER($AF82)),$AF82,"")</f>
        <v/>
      </c>
      <c r="AO82">
        <f>IF(ISNUMBER($AM82),ABS(IF(ISNUMBER($G82),$G82,0)-Settings!$B$25),"")</f>
        <v/>
      </c>
      <c r="AP82">
        <f>IF(ISNUMBER($AO82),$AO82*$AM82,"")</f>
        <v/>
      </c>
      <c r="AQ82">
        <f>IF(ISNUMBER($AN82),ABS(IF(ISNUMBER($G82),$G82,0)-Settings!$B$25),"")</f>
        <v/>
      </c>
      <c r="AR82">
        <f>IF(ISNUMBER($AQ82),$AQ82*$AN82,"")</f>
        <v/>
      </c>
      <c r="AS82">
        <f>IF($A82="","",IFERROR(INDEX(Company_List!$H$3:$H$207,MATCH($A82,Company_List!$A$3:$A$207,0)),"unassigned"))</f>
        <v/>
      </c>
      <c r="AT82" t="inlineStr">
        <is>
          <t>re-read since v1</t>
        </is>
      </c>
      <c r="AU82" t="inlineStr">
        <is>
          <t>Phase 2/Master_Data_v1.xlsx</t>
        </is>
      </c>
      <c r="AV82" t="n">
        <v>3</v>
      </c>
      <c r="AW82" t="inlineStr">
        <is>
          <t>FactSet CallStreet</t>
        </is>
      </c>
      <c r="AX82" t="inlineStr">
        <is>
          <t>licensed vendor</t>
        </is>
      </c>
      <c r="AY82" t="inlineStr">
        <is>
          <t>no</t>
        </is>
      </c>
      <c r="AZ82" t="inlineStr">
        <is>
          <t>no</t>
        </is>
      </c>
    </row>
    <row r="83">
      <c r="A83" s="115" t="inlineStr">
        <is>
          <t>Walmart</t>
        </is>
      </c>
      <c r="B83" s="117" t="inlineStr">
        <is>
          <t>WMT</t>
        </is>
      </c>
      <c r="C83" s="105" t="n">
        <v>2025</v>
      </c>
      <c r="D83" s="106" t="inlineStr">
        <is>
          <t>Q4</t>
        </is>
      </c>
      <c r="E83" s="109" t="inlineStr">
        <is>
          <t>Ben/DeepSeek</t>
        </is>
      </c>
      <c r="F83" s="106" t="inlineStr">
        <is>
          <t>LLM</t>
        </is>
      </c>
      <c r="G83" s="128" t="n">
        <v>0.12</v>
      </c>
      <c r="H83" s="106" t="inlineStr">
        <is>
          <t>HOLD</t>
        </is>
      </c>
      <c r="I83" s="128" t="n"/>
      <c r="J83" s="125" t="n">
        <v>46072</v>
      </c>
      <c r="K83" s="126" t="n">
        <v>46071</v>
      </c>
      <c r="L83" s="129" t="n">
        <v>126.62</v>
      </c>
      <c r="M83" s="126" t="n">
        <v>46072</v>
      </c>
      <c r="N83" s="129" t="n">
        <v>128.5</v>
      </c>
      <c r="O83" s="132" t="n">
        <v>0.006738</v>
      </c>
      <c r="P83" s="107" t="n">
        <v>0.014848</v>
      </c>
      <c r="Q83" s="106" t="inlineStr">
        <is>
          <t>FLAT</t>
        </is>
      </c>
      <c r="R83" s="106" t="inlineStr">
        <is>
          <t>YES</t>
        </is>
      </c>
      <c r="S83" s="105" t="n">
        <v>0</v>
      </c>
      <c r="T83" s="107" t="n">
        <v>0</v>
      </c>
      <c r="U83" s="130" t="inlineStr">
        <is>
          <t>w=[0.55,0.45,0,0] thr=(+0.25,-0.05), deployed default (risk-accepted, PSR=0.0/perm p=0.150 at N=161, not rechecked at N=268)</t>
        </is>
      </c>
      <c r="W83" t="inlineStr">
        <is>
          <t>price signal — only this window shows an abnormal move</t>
        </is>
      </c>
      <c r="X83" t="inlineStr">
        <is>
          <t>WMT</t>
        </is>
      </c>
      <c r="Y83" t="inlineStr">
        <is>
          <t>2026-02-18</t>
        </is>
      </c>
      <c r="Z83" t="n">
        <v>126.12</v>
      </c>
      <c r="AA83" t="inlineStr">
        <is>
          <t>2026-02-19</t>
        </is>
      </c>
      <c r="AB83" t="n">
        <v>127.9926</v>
      </c>
      <c r="AC83" t="n">
        <v>0.01484756150853842</v>
      </c>
      <c r="AD83" t="inlineStr">
        <is>
          <t>FLAT</t>
        </is>
      </c>
      <c r="AE83" t="inlineStr">
        <is>
          <t>YES</t>
        </is>
      </c>
      <c r="AF83" t="n">
        <v>0</v>
      </c>
      <c r="AG83">
        <f>IF($A83="","",IFERROR(INDEX(Company_List!$G$3:$G$207,MATCH($A83,Company_List!$A$3:$A$207,0)),"unassigned"))</f>
        <v/>
      </c>
      <c r="AH83" t="inlineStr">
        <is>
          <t>Phase 2/Walmart/Q4 2025/q4-fy26-earnings-release.pdf; Phase 2/Walmart/Q4 2025/q4-fy26-earnings-presentation.pdf; Phase 2/Walmart/Q4 2025/q4-fy26-earnings-call-transcript.pdf</t>
        </is>
      </c>
      <c r="AJ83" t="inlineStr">
        <is>
          <t>whole bundle (Document = All)</t>
        </is>
      </c>
      <c r="AK83">
        <f>IF($A83="","",IF(COUNTIFS(Human_Data_Entry!$A$3:$A$525,$A83)&gt;0,"YES","NO"))</f>
        <v/>
      </c>
      <c r="AL83">
        <f>IF($A83="","",IF(AND($C83&amp;"-"&amp;$D83&gt;=Settings!$B$19,$C83&amp;"-"&amp;$D83&lt;=Settings!$B$20),"IN","OUT"))</f>
        <v/>
      </c>
      <c r="AM83">
        <f>IF(AND(OR($H83="BUY",$H83="SELL"),ISNUMBER($T83)),$T83,"")</f>
        <v/>
      </c>
      <c r="AN83">
        <f>IF(AND(OR($H83="BUY",$H83="SELL"),ISNUMBER($AF83)),$AF83,"")</f>
        <v/>
      </c>
      <c r="AO83">
        <f>IF(ISNUMBER($AM83),ABS(IF(ISNUMBER($G83),$G83,0)-Settings!$B$25),"")</f>
        <v/>
      </c>
      <c r="AP83">
        <f>IF(ISNUMBER($AO83),$AO83*$AM83,"")</f>
        <v/>
      </c>
      <c r="AQ83">
        <f>IF(ISNUMBER($AN83),ABS(IF(ISNUMBER($G83),$G83,0)-Settings!$B$25),"")</f>
        <v/>
      </c>
      <c r="AR83">
        <f>IF(ISNUMBER($AQ83),$AQ83*$AN83,"")</f>
        <v/>
      </c>
      <c r="AS83">
        <f>IF($A83="","",IFERROR(INDEX(Company_List!$H$3:$H$207,MATCH($A83,Company_List!$A$3:$A$207,0)),"unassigned"))</f>
        <v/>
      </c>
      <c r="AT83" t="inlineStr">
        <is>
          <t>re-read since v1</t>
        </is>
      </c>
      <c r="AU83" t="inlineStr">
        <is>
          <t>Phase 2/Master_Data_v1.xlsx</t>
        </is>
      </c>
      <c r="AV83" t="n">
        <v>3</v>
      </c>
      <c r="AW83" t="inlineStr">
        <is>
          <t>FactSet CallStreet</t>
        </is>
      </c>
      <c r="AX83" t="inlineStr">
        <is>
          <t>licensed vendor</t>
        </is>
      </c>
      <c r="AY83" t="inlineStr">
        <is>
          <t>no</t>
        </is>
      </c>
      <c r="AZ83" t="inlineStr">
        <is>
          <t>no</t>
        </is>
      </c>
    </row>
    <row r="84">
      <c r="A84" s="115" t="inlineStr">
        <is>
          <t>Bank of America</t>
        </is>
      </c>
      <c r="B84" s="117" t="inlineStr">
        <is>
          <t>BAC</t>
        </is>
      </c>
      <c r="C84" s="105" t="n">
        <v>2025</v>
      </c>
      <c r="D84" s="106" t="inlineStr">
        <is>
          <t>Q1</t>
        </is>
      </c>
      <c r="E84" s="109" t="inlineStr">
        <is>
          <t>Ben/DeepSeek</t>
        </is>
      </c>
      <c r="F84" s="106" t="inlineStr">
        <is>
          <t>LLM</t>
        </is>
      </c>
      <c r="G84" s="128" t="n">
        <v>-0.135</v>
      </c>
      <c r="H84" s="106" t="inlineStr">
        <is>
          <t>SELL</t>
        </is>
      </c>
      <c r="I84" s="128" t="n"/>
      <c r="J84" s="125" t="n">
        <v>45762</v>
      </c>
      <c r="K84" s="126" t="n">
        <v>45761</v>
      </c>
      <c r="L84" s="129" t="n">
        <v>36.67</v>
      </c>
      <c r="M84" s="126" t="n">
        <v>45762</v>
      </c>
      <c r="N84" s="129" t="n">
        <v>37.8</v>
      </c>
      <c r="O84" s="132" t="n">
        <v>0.006709</v>
      </c>
      <c r="P84" s="107" t="n">
        <v>0.030815</v>
      </c>
      <c r="Q84" s="106" t="inlineStr">
        <is>
          <t>UP</t>
        </is>
      </c>
      <c r="R84" s="106" t="inlineStr">
        <is>
          <t>NO</t>
        </is>
      </c>
      <c r="S84" s="105" t="n">
        <v>-1</v>
      </c>
      <c r="T84" s="107" t="n">
        <v>-0.031815</v>
      </c>
      <c r="U84" s="130" t="inlineStr">
        <is>
          <t>w=[0.55,0.45,0,0] thr=(+0.25,-0.05), deployed default (risk-accepted, PSR=0.0/perm p=0.150 at N=161, not rechecked at N=268)</t>
        </is>
      </c>
      <c r="W84" t="inlineStr">
        <is>
          <t>price signal — only this window shows an abnormal move</t>
        </is>
      </c>
      <c r="X84" t="inlineStr">
        <is>
          <t>BAC</t>
        </is>
      </c>
      <c r="Y84" t="inlineStr">
        <is>
          <t>2025-04-14</t>
        </is>
      </c>
      <c r="Z84" t="n">
        <v>35.678</v>
      </c>
      <c r="AA84" t="inlineStr">
        <is>
          <t>2025-04-15</t>
        </is>
      </c>
      <c r="AB84" t="n">
        <v>36.7774</v>
      </c>
      <c r="AC84" t="n">
        <v>0.03081528922337576</v>
      </c>
      <c r="AD84" t="inlineStr">
        <is>
          <t>UP</t>
        </is>
      </c>
      <c r="AE84" t="inlineStr">
        <is>
          <t>NO</t>
        </is>
      </c>
      <c r="AF84" t="n">
        <v>-0.031815</v>
      </c>
      <c r="AG84">
        <f>IF($A84="","",IFERROR(INDEX(Company_List!$G$3:$G$207,MATCH($A84,Company_List!$A$3:$A$207,0)),"unassigned"))</f>
        <v/>
      </c>
      <c r="AH84" t="inlineStr">
        <is>
          <t>Phase 2/bank of america/2025-Q1/BAC-2025-Q1-press-release-SEC-EX-99-1.htm; Phase 2/bank of america/2025-Q1/BAC-2025-Q1-earnings-call-transcript-roic-ai.html</t>
        </is>
      </c>
      <c r="AI84" t="inlineStr">
        <is>
          <t>https://www.sec.gov/Archives/edgar/data/70858/000007085825000187/bac033125ex991.htm; roic.ai API /v2/company/earnings-calls/transcript/BAC?year=2025&amp;quarter=1</t>
        </is>
      </c>
      <c r="AJ84" t="inlineStr">
        <is>
          <t>manifest (whole bundle)</t>
        </is>
      </c>
      <c r="AK84">
        <f>IF($A84="","",IF(COUNTIFS(Human_Data_Entry!$A$3:$A$525,$A84)&gt;0,"YES","NO"))</f>
        <v/>
      </c>
      <c r="AL84">
        <f>IF($A84="","",IF(AND($C84&amp;"-"&amp;$D84&gt;=Settings!$B$19,$C84&amp;"-"&amp;$D84&lt;=Settings!$B$20),"IN","OUT"))</f>
        <v/>
      </c>
      <c r="AM84">
        <f>IF(AND(OR($H84="BUY",$H84="SELL"),ISNUMBER($T84)),$T84,"")</f>
        <v/>
      </c>
      <c r="AN84">
        <f>IF(AND(OR($H84="BUY",$H84="SELL"),ISNUMBER($AF84)),$AF84,"")</f>
        <v/>
      </c>
      <c r="AO84">
        <f>IF(ISNUMBER($AM84),ABS(IF(ISNUMBER($G84),$G84,0)-Settings!$B$25),"")</f>
        <v/>
      </c>
      <c r="AP84">
        <f>IF(ISNUMBER($AO84),$AO84*$AM84,"")</f>
        <v/>
      </c>
      <c r="AQ84">
        <f>IF(ISNUMBER($AN84),ABS(IF(ISNUMBER($G84),$G84,0)-Settings!$B$25),"")</f>
        <v/>
      </c>
      <c r="AR84">
        <f>IF(ISNUMBER($AQ84),$AQ84*$AN84,"")</f>
        <v/>
      </c>
      <c r="AS84">
        <f>IF($A84="","",IFERROR(INDEX(Company_List!$H$3:$H$207,MATCH($A84,Company_List!$A$3:$A$207,0)),"unassigned"))</f>
        <v/>
      </c>
      <c r="AT84" t="inlineStr">
        <is>
          <t>re-read since v1</t>
        </is>
      </c>
      <c r="AU84" t="inlineStr">
        <is>
          <t>Phase 2/Master_Data_v1.xlsx</t>
        </is>
      </c>
      <c r="AV84" t="n">
        <v>2</v>
      </c>
      <c r="AW84" t="inlineStr">
        <is>
          <t>not publisher-identified</t>
        </is>
      </c>
      <c r="AX84" t="inlineStr">
        <is>
          <t>not publisher-identified</t>
        </is>
      </c>
      <c r="AY84" t="inlineStr">
        <is>
          <t>no</t>
        </is>
      </c>
      <c r="AZ84" t="inlineStr">
        <is>
          <t>yes</t>
        </is>
      </c>
    </row>
    <row r="85">
      <c r="A85" s="115" t="inlineStr">
        <is>
          <t>Bank of America</t>
        </is>
      </c>
      <c r="B85" s="117" t="inlineStr">
        <is>
          <t>BAC</t>
        </is>
      </c>
      <c r="C85" s="105" t="n">
        <v>2025</v>
      </c>
      <c r="D85" s="106" t="inlineStr">
        <is>
          <t>Q2</t>
        </is>
      </c>
      <c r="E85" s="109" t="inlineStr">
        <is>
          <t>Ben/DeepSeek</t>
        </is>
      </c>
      <c r="F85" s="106" t="inlineStr">
        <is>
          <t>LLM</t>
        </is>
      </c>
      <c r="G85" s="128" t="n">
        <v>0.1275</v>
      </c>
      <c r="H85" s="106" t="inlineStr">
        <is>
          <t>HOLD</t>
        </is>
      </c>
      <c r="I85" s="128" t="n"/>
      <c r="J85" s="125" t="n">
        <v>45854</v>
      </c>
      <c r="K85" s="126" t="n">
        <v>45853</v>
      </c>
      <c r="L85" s="129" t="n">
        <v>46.15</v>
      </c>
      <c r="M85" s="126" t="n">
        <v>45854</v>
      </c>
      <c r="N85" s="129" t="n">
        <v>46.25</v>
      </c>
      <c r="O85" s="132" t="n">
        <v>0.007113</v>
      </c>
      <c r="P85" s="107" t="n">
        <v>0.002167</v>
      </c>
      <c r="Q85" s="106" t="inlineStr">
        <is>
          <t>FLAT</t>
        </is>
      </c>
      <c r="R85" s="106" t="inlineStr">
        <is>
          <t>YES</t>
        </is>
      </c>
      <c r="S85" s="105" t="n">
        <v>0</v>
      </c>
      <c r="T85" s="107" t="n">
        <v>0</v>
      </c>
      <c r="U85" s="130" t="inlineStr">
        <is>
          <t>w=[0.55,0.45,0,0] thr=(+0.25,-0.05), deployed default (risk-accepted, PSR=0.0/perm p=0.150 at N=161, not rechecked at N=268) | report_date ambiguous (multiple candidate trading days), unreviewed - see phase2/report_dates.json</t>
        </is>
      </c>
      <c r="W85" t="inlineStr">
        <is>
          <t>price signal</t>
        </is>
      </c>
      <c r="X85" t="inlineStr">
        <is>
          <t>BAC</t>
        </is>
      </c>
      <c r="Y85" t="inlineStr">
        <is>
          <t>2025-07-14</t>
        </is>
      </c>
      <c r="Z85" t="n">
        <v>46.0665</v>
      </c>
      <c r="AA85" t="inlineStr">
        <is>
          <t>2025-07-15</t>
        </is>
      </c>
      <c r="AB85" t="n">
        <v>45.8806</v>
      </c>
      <c r="AC85" t="n">
        <v>-0.004036662747253092</v>
      </c>
      <c r="AD85" t="inlineStr">
        <is>
          <t>FLAT</t>
        </is>
      </c>
      <c r="AE85" t="inlineStr">
        <is>
          <t>YES</t>
        </is>
      </c>
      <c r="AF85" t="n">
        <v>0</v>
      </c>
      <c r="AG85">
        <f>IF($A85="","",IFERROR(INDEX(Company_List!$G$3:$G$207,MATCH($A85,Company_List!$A$3:$A$207,0)),"unassigned"))</f>
        <v/>
      </c>
      <c r="AH85" t="inlineStr">
        <is>
          <t>Phase 2/bank of america/2025-Q2/BAC-2025-Q2-press-release-SEC-EX-99-1.htm; Phase 2/bank of america/2025-Q2/BAC-2025-Q2-earnings-call-transcript-news-alphastreet-com.html</t>
        </is>
      </c>
      <c r="AI85" t="inlineStr">
        <is>
          <t>https://news.alphastreet.com/bank-of-america-corporation-bac-q2-2025-earnings-call-transcript/; https://www.sec.gov/Archives/edgar/data/70858/000007085825000254/bac063025ex991.htm</t>
        </is>
      </c>
      <c r="AJ85" t="inlineStr">
        <is>
          <t>manifest (whole bundle)</t>
        </is>
      </c>
      <c r="AK85">
        <f>IF($A85="","",IF(COUNTIFS(Human_Data_Entry!$A$3:$A$525,$A85)&gt;0,"YES","NO"))</f>
        <v/>
      </c>
      <c r="AL85">
        <f>IF($A85="","",IF(AND($C85&amp;"-"&amp;$D85&gt;=Settings!$B$19,$C85&amp;"-"&amp;$D85&lt;=Settings!$B$20),"IN","OUT"))</f>
        <v/>
      </c>
      <c r="AM85">
        <f>IF(AND(OR($H85="BUY",$H85="SELL"),ISNUMBER($T85)),$T85,"")</f>
        <v/>
      </c>
      <c r="AN85">
        <f>IF(AND(OR($H85="BUY",$H85="SELL"),ISNUMBER($AF85)),$AF85,"")</f>
        <v/>
      </c>
      <c r="AO85">
        <f>IF(ISNUMBER($AM85),ABS(IF(ISNUMBER($G85),$G85,0)-Settings!$B$25),"")</f>
        <v/>
      </c>
      <c r="AP85">
        <f>IF(ISNUMBER($AO85),$AO85*$AM85,"")</f>
        <v/>
      </c>
      <c r="AQ85">
        <f>IF(ISNUMBER($AN85),ABS(IF(ISNUMBER($G85),$G85,0)-Settings!$B$25),"")</f>
        <v/>
      </c>
      <c r="AR85">
        <f>IF(ISNUMBER($AQ85),$AQ85*$AN85,"")</f>
        <v/>
      </c>
      <c r="AS85">
        <f>IF($A85="","",IFERROR(INDEX(Company_List!$H$3:$H$207,MATCH($A85,Company_List!$A$3:$A$207,0)),"unassigned"))</f>
        <v/>
      </c>
      <c r="AT85" t="inlineStr">
        <is>
          <t>re-read since v1</t>
        </is>
      </c>
      <c r="AU85" t="inlineStr">
        <is>
          <t>Phase 2/Master_Data_v1.xlsx</t>
        </is>
      </c>
      <c r="AV85" t="n">
        <v>2</v>
      </c>
      <c r="AW85" t="inlineStr">
        <is>
          <t>not publisher-identified</t>
        </is>
      </c>
      <c r="AX85" t="inlineStr">
        <is>
          <t>not publisher-identified</t>
        </is>
      </c>
      <c r="AY85" t="inlineStr">
        <is>
          <t>no</t>
        </is>
      </c>
      <c r="AZ85" t="inlineStr">
        <is>
          <t>yes</t>
        </is>
      </c>
    </row>
    <row r="86">
      <c r="A86" s="115" t="inlineStr">
        <is>
          <t>Bank of America</t>
        </is>
      </c>
      <c r="B86" s="117" t="inlineStr">
        <is>
          <t>BAC</t>
        </is>
      </c>
      <c r="C86" s="105" t="n">
        <v>2025</v>
      </c>
      <c r="D86" s="106" t="inlineStr">
        <is>
          <t>Q3</t>
        </is>
      </c>
      <c r="E86" s="109" t="inlineStr">
        <is>
          <t>Ben/DeepSeek</t>
        </is>
      </c>
      <c r="F86" s="106" t="inlineStr">
        <is>
          <t>LLM</t>
        </is>
      </c>
      <c r="G86" s="128" t="n">
        <v>0.3</v>
      </c>
      <c r="H86" s="106" t="inlineStr">
        <is>
          <t>BUY</t>
        </is>
      </c>
      <c r="I86" s="128" t="n"/>
      <c r="J86" s="125" t="n">
        <v>45945</v>
      </c>
      <c r="K86" s="126" t="n">
        <v>45944</v>
      </c>
      <c r="L86" s="129" t="n">
        <v>50.09</v>
      </c>
      <c r="M86" s="126" t="n">
        <v>45945</v>
      </c>
      <c r="N86" s="129" t="n">
        <v>51.57</v>
      </c>
      <c r="O86" s="132" t="n">
        <v>0.007099</v>
      </c>
      <c r="P86" s="107" t="n">
        <v>0.029547</v>
      </c>
      <c r="Q86" s="106" t="inlineStr">
        <is>
          <t>UP</t>
        </is>
      </c>
      <c r="R86" s="106" t="inlineStr">
        <is>
          <t>YES</t>
        </is>
      </c>
      <c r="S86" s="105" t="n">
        <v>1</v>
      </c>
      <c r="T86" s="107" t="n">
        <v>0.028547</v>
      </c>
      <c r="U86" s="130" t="inlineStr">
        <is>
          <t>w=[0.55,0.45,0,0] thr=(+0.25,-0.05), deployed default (risk-accepted, PSR=0.0/perm p=0.150 at N=161, not rechecked at N=268)</t>
        </is>
      </c>
      <c r="W86" t="inlineStr">
        <is>
          <t>price signal — both moved; this one dominates</t>
        </is>
      </c>
      <c r="X86" t="inlineStr">
        <is>
          <t>BAC</t>
        </is>
      </c>
      <c r="Y86" t="inlineStr">
        <is>
          <t>2025-10-14</t>
        </is>
      </c>
      <c r="Z86" t="n">
        <v>49.2948</v>
      </c>
      <c r="AA86" t="inlineStr">
        <is>
          <t>2025-10-15</t>
        </is>
      </c>
      <c r="AB86" t="n">
        <v>50.7513</v>
      </c>
      <c r="AC86" t="n">
        <v>0.02954688252887193</v>
      </c>
      <c r="AD86" t="inlineStr">
        <is>
          <t>UP</t>
        </is>
      </c>
      <c r="AE86" t="inlineStr">
        <is>
          <t>YES</t>
        </is>
      </c>
      <c r="AF86" t="n">
        <v>0.028547</v>
      </c>
      <c r="AG86">
        <f>IF($A86="","",IFERROR(INDEX(Company_List!$G$3:$G$207,MATCH($A86,Company_List!$A$3:$A$207,0)),"unassigned"))</f>
        <v/>
      </c>
      <c r="AH86" t="inlineStr">
        <is>
          <t>Phase 2/bank of america/2025-Q3/BAC-2025-Q3-press-release-SEC-EX-99-1.htm; Phase 2/bank of america/2025-Q3/BAC-2025-Q3-earnings-call-transcript-news-alphastreet-com.html</t>
        </is>
      </c>
      <c r="AI86" t="inlineStr">
        <is>
          <t>https://news.alphastreet.com/bank-of-america-corporation-bac-q3-2025-earnings-call-transcript/; https://www.sec.gov/Archives/edgar/data/70858/000007085825000390/bac093025ex991.htm</t>
        </is>
      </c>
      <c r="AJ86" t="inlineStr">
        <is>
          <t>manifest (whole bundle)</t>
        </is>
      </c>
      <c r="AK86">
        <f>IF($A86="","",IF(COUNTIFS(Human_Data_Entry!$A$3:$A$525,$A86)&gt;0,"YES","NO"))</f>
        <v/>
      </c>
      <c r="AL86">
        <f>IF($A86="","",IF(AND($C86&amp;"-"&amp;$D86&gt;=Settings!$B$19,$C86&amp;"-"&amp;$D86&lt;=Settings!$B$20),"IN","OUT"))</f>
        <v/>
      </c>
      <c r="AM86">
        <f>IF(AND(OR($H86="BUY",$H86="SELL"),ISNUMBER($T86)),$T86,"")</f>
        <v/>
      </c>
      <c r="AN86">
        <f>IF(AND(OR($H86="BUY",$H86="SELL"),ISNUMBER($AF86)),$AF86,"")</f>
        <v/>
      </c>
      <c r="AO86">
        <f>IF(ISNUMBER($AM86),ABS(IF(ISNUMBER($G86),$G86,0)-Settings!$B$25),"")</f>
        <v/>
      </c>
      <c r="AP86">
        <f>IF(ISNUMBER($AO86),$AO86*$AM86,"")</f>
        <v/>
      </c>
      <c r="AQ86">
        <f>IF(ISNUMBER($AN86),ABS(IF(ISNUMBER($G86),$G86,0)-Settings!$B$25),"")</f>
        <v/>
      </c>
      <c r="AR86">
        <f>IF(ISNUMBER($AQ86),$AQ86*$AN86,"")</f>
        <v/>
      </c>
      <c r="AS86">
        <f>IF($A86="","",IFERROR(INDEX(Company_List!$H$3:$H$207,MATCH($A86,Company_List!$A$3:$A$207,0)),"unassigned"))</f>
        <v/>
      </c>
      <c r="AT86" t="inlineStr">
        <is>
          <t>re-read since v1</t>
        </is>
      </c>
      <c r="AU86" t="inlineStr">
        <is>
          <t>Phase 2/Master_Data_v1.xlsx</t>
        </is>
      </c>
      <c r="AV86" t="n">
        <v>2</v>
      </c>
      <c r="AW86" t="inlineStr">
        <is>
          <t>not publisher-identified</t>
        </is>
      </c>
      <c r="AX86" t="inlineStr">
        <is>
          <t>not publisher-identified</t>
        </is>
      </c>
      <c r="AY86" t="inlineStr">
        <is>
          <t>no</t>
        </is>
      </c>
      <c r="AZ86" t="inlineStr">
        <is>
          <t>yes</t>
        </is>
      </c>
    </row>
    <row r="87">
      <c r="A87" s="115" t="inlineStr">
        <is>
          <t>Bank of America</t>
        </is>
      </c>
      <c r="B87" s="117" t="inlineStr">
        <is>
          <t>BAC</t>
        </is>
      </c>
      <c r="C87" s="105" t="n">
        <v>2025</v>
      </c>
      <c r="D87" s="106" t="inlineStr">
        <is>
          <t>Q4</t>
        </is>
      </c>
      <c r="E87" s="109" t="inlineStr">
        <is>
          <t>Ben/DeepSeek</t>
        </is>
      </c>
      <c r="F87" s="106" t="inlineStr">
        <is>
          <t>LLM</t>
        </is>
      </c>
      <c r="G87" s="128" t="n">
        <v>0.25</v>
      </c>
      <c r="H87" s="106" t="inlineStr">
        <is>
          <t>HOLD</t>
        </is>
      </c>
      <c r="I87" s="128" t="n"/>
      <c r="J87" s="125" t="n">
        <v>46036</v>
      </c>
      <c r="K87" s="126" t="n">
        <v>46035</v>
      </c>
      <c r="L87" s="129" t="n">
        <v>54.54</v>
      </c>
      <c r="M87" s="126" t="n">
        <v>46036</v>
      </c>
      <c r="N87" s="129" t="n">
        <v>52.88</v>
      </c>
      <c r="O87" s="132" t="n">
        <v>0.008345999999999999</v>
      </c>
      <c r="P87" s="107" t="n">
        <v>-0.030436</v>
      </c>
      <c r="Q87" s="106" t="inlineStr">
        <is>
          <t>DOWN</t>
        </is>
      </c>
      <c r="R87" s="106" t="inlineStr">
        <is>
          <t>NO</t>
        </is>
      </c>
      <c r="S87" s="105" t="n">
        <v>0</v>
      </c>
      <c r="T87" s="107" t="n">
        <v>0</v>
      </c>
      <c r="U87" s="130" t="inlineStr">
        <is>
          <t>w=[0.55,0.45,0,0] thr=(+0.25,-0.05), deployed default (risk-accepted, PSR=0.0/perm p=0.150 at N=161, not rechecked at N=268)</t>
        </is>
      </c>
      <c r="W87" t="inlineStr">
        <is>
          <t>price signal — only this window shows an abnormal move</t>
        </is>
      </c>
      <c r="X87" t="inlineStr">
        <is>
          <t>BAC</t>
        </is>
      </c>
      <c r="Y87" t="inlineStr">
        <is>
          <t>2026-01-13</t>
        </is>
      </c>
      <c r="Z87" t="n">
        <v>53.9531</v>
      </c>
      <c r="AA87" t="inlineStr">
        <is>
          <t>2026-01-14</t>
        </is>
      </c>
      <c r="AB87" t="n">
        <v>52.3109</v>
      </c>
      <c r="AC87" t="n">
        <v>-0.03043632344136009</v>
      </c>
      <c r="AD87" t="inlineStr">
        <is>
          <t>DOWN</t>
        </is>
      </c>
      <c r="AE87" t="inlineStr">
        <is>
          <t>NO</t>
        </is>
      </c>
      <c r="AF87" t="n">
        <v>0</v>
      </c>
      <c r="AG87">
        <f>IF($A87="","",IFERROR(INDEX(Company_List!$G$3:$G$207,MATCH($A87,Company_List!$A$3:$A$207,0)),"unassigned"))</f>
        <v/>
      </c>
      <c r="AH87" t="inlineStr">
        <is>
          <t>Phase 2/bank of america/2025-Q4/BAC-2025-Q4-press-release-SEC-EX-99-1.htm; Phase 2/bank of america/2025-Q4/BAC-2025-Q4-earnings-call-transcript-news-alphastreet-com.html</t>
        </is>
      </c>
      <c r="AI87" t="inlineStr">
        <is>
          <t>https://news.alphastreet.com/bank-of-america-corporation-bac-q4-2025-earnings-call-transcript/; https://www.sec.gov/Archives/edgar/data/70858/000007085826000020/bac12312025ex991.htm</t>
        </is>
      </c>
      <c r="AJ87" t="inlineStr">
        <is>
          <t>manifest (whole bundle)</t>
        </is>
      </c>
      <c r="AK87">
        <f>IF($A87="","",IF(COUNTIFS(Human_Data_Entry!$A$3:$A$525,$A87)&gt;0,"YES","NO"))</f>
        <v/>
      </c>
      <c r="AL87">
        <f>IF($A87="","",IF(AND($C87&amp;"-"&amp;$D87&gt;=Settings!$B$19,$C87&amp;"-"&amp;$D87&lt;=Settings!$B$20),"IN","OUT"))</f>
        <v/>
      </c>
      <c r="AM87">
        <f>IF(AND(OR($H87="BUY",$H87="SELL"),ISNUMBER($T87)),$T87,"")</f>
        <v/>
      </c>
      <c r="AN87">
        <f>IF(AND(OR($H87="BUY",$H87="SELL"),ISNUMBER($AF87)),$AF87,"")</f>
        <v/>
      </c>
      <c r="AO87">
        <f>IF(ISNUMBER($AM87),ABS(IF(ISNUMBER($G87),$G87,0)-Settings!$B$25),"")</f>
        <v/>
      </c>
      <c r="AP87">
        <f>IF(ISNUMBER($AO87),$AO87*$AM87,"")</f>
        <v/>
      </c>
      <c r="AQ87">
        <f>IF(ISNUMBER($AN87),ABS(IF(ISNUMBER($G87),$G87,0)-Settings!$B$25),"")</f>
        <v/>
      </c>
      <c r="AR87">
        <f>IF(ISNUMBER($AQ87),$AQ87*$AN87,"")</f>
        <v/>
      </c>
      <c r="AS87">
        <f>IF($A87="","",IFERROR(INDEX(Company_List!$H$3:$H$207,MATCH($A87,Company_List!$A$3:$A$207,0)),"unassigned"))</f>
        <v/>
      </c>
      <c r="AT87" t="inlineStr">
        <is>
          <t>re-read since v1</t>
        </is>
      </c>
      <c r="AU87" t="inlineStr">
        <is>
          <t>Phase 2/Master_Data_v1.xlsx</t>
        </is>
      </c>
      <c r="AV87" t="n">
        <v>2</v>
      </c>
      <c r="AW87" t="inlineStr">
        <is>
          <t>not publisher-identified</t>
        </is>
      </c>
      <c r="AX87" t="inlineStr">
        <is>
          <t>not publisher-identified</t>
        </is>
      </c>
      <c r="AY87" t="inlineStr">
        <is>
          <t>no</t>
        </is>
      </c>
      <c r="AZ87" t="inlineStr">
        <is>
          <t>yes</t>
        </is>
      </c>
    </row>
    <row r="88">
      <c r="A88" s="115" t="inlineStr">
        <is>
          <t>Boeing</t>
        </is>
      </c>
      <c r="B88" s="117" t="inlineStr">
        <is>
          <t>BA</t>
        </is>
      </c>
      <c r="C88" s="105" t="n">
        <v>2025</v>
      </c>
      <c r="D88" s="106" t="inlineStr">
        <is>
          <t>Q1</t>
        </is>
      </c>
      <c r="E88" s="109" t="inlineStr">
        <is>
          <t>Ben/DeepSeek</t>
        </is>
      </c>
      <c r="F88" s="106" t="inlineStr">
        <is>
          <t>LLM</t>
        </is>
      </c>
      <c r="G88" s="128" t="n">
        <v>0.0025</v>
      </c>
      <c r="H88" s="106" t="inlineStr">
        <is>
          <t>HOLD</t>
        </is>
      </c>
      <c r="I88" s="128" t="n"/>
      <c r="J88" s="125" t="n">
        <v>45770</v>
      </c>
      <c r="K88" s="126" t="n">
        <v>45769</v>
      </c>
      <c r="L88" s="129" t="n">
        <v>162.52</v>
      </c>
      <c r="M88" s="126" t="n">
        <v>45770</v>
      </c>
      <c r="N88" s="129" t="n">
        <v>174</v>
      </c>
      <c r="O88" s="132" t="n">
        <v>0.00907</v>
      </c>
      <c r="P88" s="107" t="n">
        <v>0.07063700000000001</v>
      </c>
      <c r="Q88" s="106" t="inlineStr">
        <is>
          <t>UP</t>
        </is>
      </c>
      <c r="R88" s="106" t="inlineStr">
        <is>
          <t>NO</t>
        </is>
      </c>
      <c r="S88" s="105" t="n">
        <v>0</v>
      </c>
      <c r="T88" s="107" t="n">
        <v>0</v>
      </c>
      <c r="U88" s="130" t="inlineStr">
        <is>
          <t>w=[0.55,0.45,0,0] thr=(+0.25,-0.05), deployed default (risk-accepted, PSR=0.0/perm p=0.150 at N=161, not rechecked at N=268)</t>
        </is>
      </c>
      <c r="W88" t="inlineStr">
        <is>
          <t>price signal</t>
        </is>
      </c>
      <c r="X88" t="inlineStr">
        <is>
          <t>BA</t>
        </is>
      </c>
      <c r="Y88" t="inlineStr">
        <is>
          <t>2025-04-22</t>
        </is>
      </c>
      <c r="Z88" t="n">
        <v>162.52</v>
      </c>
      <c r="AA88" t="inlineStr">
        <is>
          <t>2025-04-23</t>
        </is>
      </c>
      <c r="AB88" t="n">
        <v>174</v>
      </c>
      <c r="AC88" t="n">
        <v>0.07063743365401344</v>
      </c>
      <c r="AD88" t="inlineStr">
        <is>
          <t>UP</t>
        </is>
      </c>
      <c r="AE88" t="inlineStr">
        <is>
          <t>NO</t>
        </is>
      </c>
      <c r="AF88" t="n">
        <v>0</v>
      </c>
      <c r="AG88">
        <f>IF($A88="","",IFERROR(INDEX(Company_List!$G$3:$G$207,MATCH($A88,Company_List!$A$3:$A$207,0)),"unassigned"))</f>
        <v/>
      </c>
      <c r="AH88" t="inlineStr">
        <is>
          <t>Phase 2/Boeing/Q1/Transcript-Q1-2025-Earnings-Call.pdf</t>
        </is>
      </c>
      <c r="AJ88" t="inlineStr">
        <is>
          <t>unique filename match</t>
        </is>
      </c>
      <c r="AK88">
        <f>IF($A88="","",IF(COUNTIFS(Human_Data_Entry!$A$3:$A$525,$A88)&gt;0,"YES","NO"))</f>
        <v/>
      </c>
      <c r="AL88">
        <f>IF($A88="","",IF(AND($C88&amp;"-"&amp;$D88&gt;=Settings!$B$19,$C88&amp;"-"&amp;$D88&lt;=Settings!$B$20),"IN","OUT"))</f>
        <v/>
      </c>
      <c r="AM88">
        <f>IF(AND(OR($H88="BUY",$H88="SELL"),ISNUMBER($T88)),$T88,"")</f>
        <v/>
      </c>
      <c r="AN88">
        <f>IF(AND(OR($H88="BUY",$H88="SELL"),ISNUMBER($AF88)),$AF88,"")</f>
        <v/>
      </c>
      <c r="AO88">
        <f>IF(ISNUMBER($AM88),ABS(IF(ISNUMBER($G88),$G88,0)-Settings!$B$25),"")</f>
        <v/>
      </c>
      <c r="AP88">
        <f>IF(ISNUMBER($AO88),$AO88*$AM88,"")</f>
        <v/>
      </c>
      <c r="AQ88">
        <f>IF(ISNUMBER($AN88),ABS(IF(ISNUMBER($G88),$G88,0)-Settings!$B$25),"")</f>
        <v/>
      </c>
      <c r="AR88">
        <f>IF(ISNUMBER($AQ88),$AQ88*$AN88,"")</f>
        <v/>
      </c>
      <c r="AS88">
        <f>IF($A88="","",IFERROR(INDEX(Company_List!$H$3:$H$207,MATCH($A88,Company_List!$A$3:$A$207,0)),"unassigned"))</f>
        <v/>
      </c>
      <c r="AT88" t="inlineStr">
        <is>
          <t>re-read since v1</t>
        </is>
      </c>
      <c r="AU88" t="inlineStr">
        <is>
          <t>Phase 2/Master_Data_v1.xlsx</t>
        </is>
      </c>
      <c r="AV88" t="n">
        <v>1</v>
      </c>
      <c r="AW88" t="inlineStr">
        <is>
          <t>FactSet CallStreet</t>
        </is>
      </c>
      <c r="AX88" t="inlineStr">
        <is>
          <t>licensed vendor</t>
        </is>
      </c>
      <c r="AY88" t="inlineStr">
        <is>
          <t>no</t>
        </is>
      </c>
      <c r="AZ88" t="inlineStr">
        <is>
          <t>no</t>
        </is>
      </c>
    </row>
    <row r="89">
      <c r="A89" s="115" t="inlineStr">
        <is>
          <t>Boeing</t>
        </is>
      </c>
      <c r="B89" s="117" t="inlineStr">
        <is>
          <t>BA</t>
        </is>
      </c>
      <c r="C89" s="105" t="n">
        <v>2025</v>
      </c>
      <c r="D89" s="106" t="inlineStr">
        <is>
          <t>Q2</t>
        </is>
      </c>
      <c r="E89" s="109" t="inlineStr">
        <is>
          <t>Ben/DeepSeek</t>
        </is>
      </c>
      <c r="F89" s="106" t="inlineStr">
        <is>
          <t>LLM</t>
        </is>
      </c>
      <c r="G89" s="128" t="n">
        <v>0.155</v>
      </c>
      <c r="H89" s="106" t="inlineStr">
        <is>
          <t>HOLD</t>
        </is>
      </c>
      <c r="I89" s="128" t="n"/>
      <c r="J89" s="125" t="n">
        <v>45867</v>
      </c>
      <c r="K89" s="126" t="n">
        <v>45866</v>
      </c>
      <c r="L89" s="129" t="n">
        <v>236.41</v>
      </c>
      <c r="M89" s="126" t="n">
        <v>45867</v>
      </c>
      <c r="N89" s="129" t="n">
        <v>239.5</v>
      </c>
      <c r="O89" s="132" t="n">
        <v>0.005228</v>
      </c>
      <c r="P89" s="107" t="n">
        <v>0.01307</v>
      </c>
      <c r="Q89" s="106" t="inlineStr">
        <is>
          <t>FLAT</t>
        </is>
      </c>
      <c r="R89" s="106" t="inlineStr">
        <is>
          <t>YES</t>
        </is>
      </c>
      <c r="S89" s="105" t="n">
        <v>0</v>
      </c>
      <c r="T89" s="107" t="n">
        <v>0</v>
      </c>
      <c r="U89" s="130" t="inlineStr">
        <is>
          <t>w=[0.55,0.45,0,0] thr=(+0.25,-0.05), deployed default (risk-accepted, PSR=0.0/perm p=0.150 at N=161, not rechecked at N=268)</t>
        </is>
      </c>
      <c r="W89" t="inlineStr">
        <is>
          <t>price signal</t>
        </is>
      </c>
      <c r="X89" t="inlineStr">
        <is>
          <t>BA</t>
        </is>
      </c>
      <c r="Y89" t="inlineStr">
        <is>
          <t>2025-07-28</t>
        </is>
      </c>
      <c r="Z89" t="n">
        <v>236.41</v>
      </c>
      <c r="AA89" t="inlineStr">
        <is>
          <t>2025-07-29</t>
        </is>
      </c>
      <c r="AB89" t="n">
        <v>239.5</v>
      </c>
      <c r="AC89" t="n">
        <v>0.01307049595075505</v>
      </c>
      <c r="AD89" t="inlineStr">
        <is>
          <t>FLAT</t>
        </is>
      </c>
      <c r="AE89" t="inlineStr">
        <is>
          <t>YES</t>
        </is>
      </c>
      <c r="AF89" t="n">
        <v>0</v>
      </c>
      <c r="AG89">
        <f>IF($A89="","",IFERROR(INDEX(Company_List!$G$3:$G$207,MATCH($A89,Company_List!$A$3:$A$207,0)),"unassigned"))</f>
        <v/>
      </c>
      <c r="AH89" t="inlineStr">
        <is>
          <t>Phase 2/Boeing/2025-Q2/BA-2025-Q2-press-release-SEC-EX-99-1.htm</t>
        </is>
      </c>
      <c r="AI89" t="inlineStr">
        <is>
          <t>https://www.sec.gov/Archives/edgar/data/12927/000001292725000058/a202506jun308kprex991.htm</t>
        </is>
      </c>
      <c r="AJ89" t="inlineStr">
        <is>
          <t>manifest</t>
        </is>
      </c>
      <c r="AK89">
        <f>IF($A89="","",IF(COUNTIFS(Human_Data_Entry!$A$3:$A$525,$A89)&gt;0,"YES","NO"))</f>
        <v/>
      </c>
      <c r="AL89">
        <f>IF($A89="","",IF(AND($C89&amp;"-"&amp;$D89&gt;=Settings!$B$19,$C89&amp;"-"&amp;$D89&lt;=Settings!$B$20),"IN","OUT"))</f>
        <v/>
      </c>
      <c r="AM89">
        <f>IF(AND(OR($H89="BUY",$H89="SELL"),ISNUMBER($T89)),$T89,"")</f>
        <v/>
      </c>
      <c r="AN89">
        <f>IF(AND(OR($H89="BUY",$H89="SELL"),ISNUMBER($AF89)),$AF89,"")</f>
        <v/>
      </c>
      <c r="AO89">
        <f>IF(ISNUMBER($AM89),ABS(IF(ISNUMBER($G89),$G89,0)-Settings!$B$25),"")</f>
        <v/>
      </c>
      <c r="AP89">
        <f>IF(ISNUMBER($AO89),$AO89*$AM89,"")</f>
        <v/>
      </c>
      <c r="AQ89">
        <f>IF(ISNUMBER($AN89),ABS(IF(ISNUMBER($G89),$G89,0)-Settings!$B$25),"")</f>
        <v/>
      </c>
      <c r="AR89">
        <f>IF(ISNUMBER($AQ89),$AQ89*$AN89,"")</f>
        <v/>
      </c>
      <c r="AS89">
        <f>IF($A89="","",IFERROR(INDEX(Company_List!$H$3:$H$207,MATCH($A89,Company_List!$A$3:$A$207,0)),"unassigned"))</f>
        <v/>
      </c>
      <c r="AT89" t="inlineStr">
        <is>
          <t>re-read since v1</t>
        </is>
      </c>
      <c r="AU89" t="inlineStr">
        <is>
          <t>Phase 2/Master_Data_v1.xlsx</t>
        </is>
      </c>
      <c r="AV89" t="n">
        <v>1</v>
      </c>
      <c r="AW89" t="inlineStr">
        <is>
          <t>not publisher-identified</t>
        </is>
      </c>
      <c r="AX89" t="inlineStr">
        <is>
          <t>not publisher-identified</t>
        </is>
      </c>
      <c r="AY89" t="inlineStr">
        <is>
          <t>no</t>
        </is>
      </c>
      <c r="AZ89" t="inlineStr">
        <is>
          <t>yes</t>
        </is>
      </c>
    </row>
    <row r="90">
      <c r="A90" s="115" t="inlineStr">
        <is>
          <t>Boeing</t>
        </is>
      </c>
      <c r="B90" s="117" t="inlineStr">
        <is>
          <t>BA</t>
        </is>
      </c>
      <c r="C90" s="105" t="n">
        <v>2025</v>
      </c>
      <c r="D90" s="106" t="inlineStr">
        <is>
          <t>Q3</t>
        </is>
      </c>
      <c r="E90" s="109" t="inlineStr">
        <is>
          <t>Ben/DeepSeek</t>
        </is>
      </c>
      <c r="F90" s="106" t="inlineStr">
        <is>
          <t>LLM</t>
        </is>
      </c>
      <c r="G90" s="128" t="n">
        <v>-0.14</v>
      </c>
      <c r="H90" s="106" t="inlineStr">
        <is>
          <t>SELL</t>
        </is>
      </c>
      <c r="I90" s="128" t="n"/>
      <c r="J90" s="125" t="n">
        <v>45959</v>
      </c>
      <c r="K90" s="126" t="n">
        <v>45958</v>
      </c>
      <c r="L90" s="129" t="n">
        <v>223.33</v>
      </c>
      <c r="M90" s="126" t="n">
        <v>45959</v>
      </c>
      <c r="N90" s="129" t="n">
        <v>221.36</v>
      </c>
      <c r="O90" s="132" t="n">
        <v>0.005247</v>
      </c>
      <c r="P90" s="107" t="n">
        <v>-0.008821000000000001</v>
      </c>
      <c r="Q90" s="106" t="inlineStr">
        <is>
          <t>FLAT</t>
        </is>
      </c>
      <c r="R90" s="106" t="inlineStr">
        <is>
          <t>NO</t>
        </is>
      </c>
      <c r="S90" s="105" t="n">
        <v>-1</v>
      </c>
      <c r="T90" s="107" t="n">
        <v>0.007821</v>
      </c>
      <c r="U90" s="130" t="inlineStr">
        <is>
          <t>w=[0.55,0.45,0,0] thr=(+0.25,-0.05), deployed default (risk-accepted, PSR=0.0/perm p=0.150 at N=161, not rechecked at N=268)</t>
        </is>
      </c>
      <c r="W90" t="inlineStr">
        <is>
          <t>release time published by the issuer</t>
        </is>
      </c>
      <c r="X90" t="inlineStr">
        <is>
          <t>BA</t>
        </is>
      </c>
      <c r="Y90" t="inlineStr">
        <is>
          <t>2025-10-28</t>
        </is>
      </c>
      <c r="Z90" t="n">
        <v>223.33</v>
      </c>
      <c r="AA90" t="inlineStr">
        <is>
          <t>2025-10-29</t>
        </is>
      </c>
      <c r="AB90" t="n">
        <v>221.36</v>
      </c>
      <c r="AC90" t="n">
        <v>-0.008821031578193405</v>
      </c>
      <c r="AD90" t="inlineStr">
        <is>
          <t>FLAT</t>
        </is>
      </c>
      <c r="AE90" t="inlineStr">
        <is>
          <t>NO</t>
        </is>
      </c>
      <c r="AF90" t="n">
        <v>0.007821</v>
      </c>
      <c r="AG90">
        <f>IF($A90="","",IFERROR(INDEX(Company_List!$G$3:$G$207,MATCH($A90,Company_List!$A$3:$A$207,0)),"unassigned"))</f>
        <v/>
      </c>
      <c r="AH90" t="inlineStr">
        <is>
          <t>Phase 2/Boeing/2025-Q3/BA-2025-Q3-press-release-SEC-EX-99-1.htm</t>
        </is>
      </c>
      <c r="AI90" t="inlineStr">
        <is>
          <t>https://www.sec.gov/Archives/edgar/data/12927/000162828025046915/a202509sep308kprex991.htm</t>
        </is>
      </c>
      <c r="AJ90" t="inlineStr">
        <is>
          <t>manifest</t>
        </is>
      </c>
      <c r="AK90">
        <f>IF($A90="","",IF(COUNTIFS(Human_Data_Entry!$A$3:$A$525,$A90)&gt;0,"YES","NO"))</f>
        <v/>
      </c>
      <c r="AL90">
        <f>IF($A90="","",IF(AND($C90&amp;"-"&amp;$D90&gt;=Settings!$B$19,$C90&amp;"-"&amp;$D90&lt;=Settings!$B$20),"IN","OUT"))</f>
        <v/>
      </c>
      <c r="AM90">
        <f>IF(AND(OR($H90="BUY",$H90="SELL"),ISNUMBER($T90)),$T90,"")</f>
        <v/>
      </c>
      <c r="AN90">
        <f>IF(AND(OR($H90="BUY",$H90="SELL"),ISNUMBER($AF90)),$AF90,"")</f>
        <v/>
      </c>
      <c r="AO90">
        <f>IF(ISNUMBER($AM90),ABS(IF(ISNUMBER($G90),$G90,0)-Settings!$B$25),"")</f>
        <v/>
      </c>
      <c r="AP90">
        <f>IF(ISNUMBER($AO90),$AO90*$AM90,"")</f>
        <v/>
      </c>
      <c r="AQ90">
        <f>IF(ISNUMBER($AN90),ABS(IF(ISNUMBER($G90),$G90,0)-Settings!$B$25),"")</f>
        <v/>
      </c>
      <c r="AR90">
        <f>IF(ISNUMBER($AQ90),$AQ90*$AN90,"")</f>
        <v/>
      </c>
      <c r="AS90">
        <f>IF($A90="","",IFERROR(INDEX(Company_List!$H$3:$H$207,MATCH($A90,Company_List!$A$3:$A$207,0)),"unassigned"))</f>
        <v/>
      </c>
      <c r="AT90" t="inlineStr">
        <is>
          <t>re-read since v1</t>
        </is>
      </c>
      <c r="AU90" t="inlineStr">
        <is>
          <t>Phase 2/Master_Data_v1.xlsx</t>
        </is>
      </c>
      <c r="AV90" t="n">
        <v>1</v>
      </c>
      <c r="AW90" t="inlineStr">
        <is>
          <t>not publisher-identified</t>
        </is>
      </c>
      <c r="AX90" t="inlineStr">
        <is>
          <t>not publisher-identified</t>
        </is>
      </c>
      <c r="AY90" t="inlineStr">
        <is>
          <t>no</t>
        </is>
      </c>
      <c r="AZ90" t="inlineStr">
        <is>
          <t>yes</t>
        </is>
      </c>
    </row>
    <row r="91">
      <c r="A91" s="115" t="inlineStr">
        <is>
          <t>Boeing</t>
        </is>
      </c>
      <c r="B91" s="117" t="inlineStr">
        <is>
          <t>BA</t>
        </is>
      </c>
      <c r="C91" s="105" t="n">
        <v>2025</v>
      </c>
      <c r="D91" s="106" t="inlineStr">
        <is>
          <t>Q4</t>
        </is>
      </c>
      <c r="E91" s="109" t="inlineStr">
        <is>
          <t>Ben/DeepSeek</t>
        </is>
      </c>
      <c r="F91" s="106" t="inlineStr">
        <is>
          <t>LLM</t>
        </is>
      </c>
      <c r="G91" s="128" t="n">
        <v>0.25</v>
      </c>
      <c r="H91" s="106" t="inlineStr">
        <is>
          <t>HOLD</t>
        </is>
      </c>
      <c r="I91" s="128" t="n"/>
      <c r="J91" s="125" t="n">
        <v>46049</v>
      </c>
      <c r="K91" s="126" t="n">
        <v>46048</v>
      </c>
      <c r="L91" s="129" t="n">
        <v>248.43</v>
      </c>
      <c r="M91" s="126" t="n">
        <v>46049</v>
      </c>
      <c r="N91" s="129" t="n">
        <v>242.5</v>
      </c>
      <c r="O91" s="132" t="n">
        <v>0.035998</v>
      </c>
      <c r="P91" s="107" t="n">
        <v>-0.02387</v>
      </c>
      <c r="Q91" s="106" t="inlineStr">
        <is>
          <t>DOWN</t>
        </is>
      </c>
      <c r="R91" s="106" t="inlineStr">
        <is>
          <t>NO</t>
        </is>
      </c>
      <c r="S91" s="105" t="n">
        <v>0</v>
      </c>
      <c r="T91" s="107" t="n">
        <v>0</v>
      </c>
      <c r="U91" s="130" t="inlineStr">
        <is>
          <t>w=[0.55,0.45,0,0] thr=(+0.25,-0.05), deployed default (risk-accepted, PSR=0.0/perm p=0.150 at N=161, not rechecked at N=268)</t>
        </is>
      </c>
      <c r="W91" t="inlineStr">
        <is>
          <t>recorded price identified against every pulled series</t>
        </is>
      </c>
      <c r="X91" t="inlineStr">
        <is>
          <t>BA</t>
        </is>
      </c>
      <c r="Y91" t="inlineStr">
        <is>
          <t>2026-01-26</t>
        </is>
      </c>
      <c r="Z91" t="n">
        <v>248.43</v>
      </c>
      <c r="AA91" t="inlineStr">
        <is>
          <t>2026-01-27</t>
        </is>
      </c>
      <c r="AB91" t="n">
        <v>242.5</v>
      </c>
      <c r="AC91" t="n">
        <v>-0.02386987548641116</v>
      </c>
      <c r="AD91" t="inlineStr">
        <is>
          <t>DOWN</t>
        </is>
      </c>
      <c r="AE91" t="inlineStr">
        <is>
          <t>NO</t>
        </is>
      </c>
      <c r="AF91" t="n">
        <v>0</v>
      </c>
      <c r="AG91">
        <f>IF($A91="","",IFERROR(INDEX(Company_List!$G$3:$G$207,MATCH($A91,Company_List!$A$3:$A$207,0)),"unassigned"))</f>
        <v/>
      </c>
      <c r="AH91" t="inlineStr">
        <is>
          <t>Phase 2/Boeing/2025-Q4/BA-2025-Q4-press-release-SEC-EX-99-1.htm</t>
        </is>
      </c>
      <c r="AI91" t="inlineStr">
        <is>
          <t>https://www.sec.gov/Archives/edgar/data/12927/000162828026003518/a202512dec318kprex991.htm</t>
        </is>
      </c>
      <c r="AJ91" t="inlineStr">
        <is>
          <t>manifest</t>
        </is>
      </c>
      <c r="AK91">
        <f>IF($A91="","",IF(COUNTIFS(Human_Data_Entry!$A$3:$A$525,$A91)&gt;0,"YES","NO"))</f>
        <v/>
      </c>
      <c r="AL91">
        <f>IF($A91="","",IF(AND($C91&amp;"-"&amp;$D91&gt;=Settings!$B$19,$C91&amp;"-"&amp;$D91&lt;=Settings!$B$20),"IN","OUT"))</f>
        <v/>
      </c>
      <c r="AM91">
        <f>IF(AND(OR($H91="BUY",$H91="SELL"),ISNUMBER($T91)),$T91,"")</f>
        <v/>
      </c>
      <c r="AN91">
        <f>IF(AND(OR($H91="BUY",$H91="SELL"),ISNUMBER($AF91)),$AF91,"")</f>
        <v/>
      </c>
      <c r="AO91">
        <f>IF(ISNUMBER($AM91),ABS(IF(ISNUMBER($G91),$G91,0)-Settings!$B$25),"")</f>
        <v/>
      </c>
      <c r="AP91">
        <f>IF(ISNUMBER($AO91),$AO91*$AM91,"")</f>
        <v/>
      </c>
      <c r="AQ91">
        <f>IF(ISNUMBER($AN91),ABS(IF(ISNUMBER($G91),$G91,0)-Settings!$B$25),"")</f>
        <v/>
      </c>
      <c r="AR91">
        <f>IF(ISNUMBER($AQ91),$AQ91*$AN91,"")</f>
        <v/>
      </c>
      <c r="AS91">
        <f>IF($A91="","",IFERROR(INDEX(Company_List!$H$3:$H$207,MATCH($A91,Company_List!$A$3:$A$207,0)),"unassigned"))</f>
        <v/>
      </c>
      <c r="AT91" t="inlineStr">
        <is>
          <t>re-read since v1</t>
        </is>
      </c>
      <c r="AU91" t="inlineStr">
        <is>
          <t>Phase 2/Master_Data_v1.xlsx</t>
        </is>
      </c>
      <c r="AV91" t="n">
        <v>1</v>
      </c>
      <c r="AW91" t="inlineStr">
        <is>
          <t>not publisher-identified</t>
        </is>
      </c>
      <c r="AX91" t="inlineStr">
        <is>
          <t>not publisher-identified</t>
        </is>
      </c>
      <c r="AY91" t="inlineStr">
        <is>
          <t>no</t>
        </is>
      </c>
      <c r="AZ91" t="inlineStr">
        <is>
          <t>yes</t>
        </is>
      </c>
    </row>
    <row r="92">
      <c r="A92" s="115" t="inlineStr">
        <is>
          <t>Disney</t>
        </is>
      </c>
      <c r="B92" s="117" t="inlineStr">
        <is>
          <t>DIS</t>
        </is>
      </c>
      <c r="C92" s="105" t="n">
        <v>2025</v>
      </c>
      <c r="D92" s="106" t="inlineStr">
        <is>
          <t>Q1</t>
        </is>
      </c>
      <c r="E92" s="109" t="inlineStr">
        <is>
          <t>Ben/DeepSeek</t>
        </is>
      </c>
      <c r="F92" s="106" t="inlineStr">
        <is>
          <t>LLM</t>
        </is>
      </c>
      <c r="G92" s="128" t="n">
        <v>0.25</v>
      </c>
      <c r="H92" s="106" t="inlineStr">
        <is>
          <t>HOLD</t>
        </is>
      </c>
      <c r="I92" s="128" t="n"/>
      <c r="J92" s="125" t="n">
        <v>45693</v>
      </c>
      <c r="K92" s="126" t="n">
        <v>45692</v>
      </c>
      <c r="L92" s="129" t="n">
        <v>113.3</v>
      </c>
      <c r="M92" s="126" t="n">
        <v>45693</v>
      </c>
      <c r="N92" s="129" t="n">
        <v>115.7</v>
      </c>
      <c r="O92" s="132" t="n">
        <v>0.006273</v>
      </c>
      <c r="P92" s="107" t="n">
        <v>0.021183</v>
      </c>
      <c r="Q92" s="106" t="inlineStr">
        <is>
          <t>UP</t>
        </is>
      </c>
      <c r="R92" s="106" t="inlineStr">
        <is>
          <t>NO</t>
        </is>
      </c>
      <c r="S92" s="105" t="n">
        <v>0</v>
      </c>
      <c r="T92" s="107" t="n">
        <v>0</v>
      </c>
      <c r="U92" s="130" t="inlineStr">
        <is>
          <t>w=[0.55,0.45,0,0] thr=(+0.25,-0.05), deployed default (risk-accepted, PSR=0.0/perm p=0.150 at N=161, not rechecked at N=268)</t>
        </is>
      </c>
      <c r="W92" t="inlineStr">
        <is>
          <t>release date + stated time</t>
        </is>
      </c>
      <c r="X92" t="inlineStr">
        <is>
          <t>DIS</t>
        </is>
      </c>
      <c r="Y92" t="inlineStr">
        <is>
          <t>2025-02-04</t>
        </is>
      </c>
      <c r="Z92" t="n">
        <v>111.2086</v>
      </c>
      <c r="AA92" t="inlineStr">
        <is>
          <t>2025-02-05</t>
        </is>
      </c>
      <c r="AB92" t="n">
        <v>113.5643</v>
      </c>
      <c r="AC92" t="n">
        <v>0.02118258778095112</v>
      </c>
      <c r="AD92" t="inlineStr">
        <is>
          <t>UP</t>
        </is>
      </c>
      <c r="AE92" t="inlineStr">
        <is>
          <t>NO</t>
        </is>
      </c>
      <c r="AF92" t="n">
        <v>0</v>
      </c>
      <c r="AG92">
        <f>IF($A92="","",IFERROR(INDEX(Company_List!$G$3:$G$207,MATCH($A92,Company_List!$A$3:$A$207,0)),"unassigned"))</f>
        <v/>
      </c>
      <c r="AH92" t="inlineStr">
        <is>
          <t>Phase 2/Disney/q1-fy25-earnings-transcriptpdf.pdf</t>
        </is>
      </c>
      <c r="AJ92" t="inlineStr">
        <is>
          <t>unique filename match</t>
        </is>
      </c>
      <c r="AK92">
        <f>IF($A92="","",IF(COUNTIFS(Human_Data_Entry!$A$3:$A$525,$A92)&gt;0,"YES","NO"))</f>
        <v/>
      </c>
      <c r="AL92">
        <f>IF($A92="","",IF(AND($C92&amp;"-"&amp;$D92&gt;=Settings!$B$19,$C92&amp;"-"&amp;$D92&lt;=Settings!$B$20),"IN","OUT"))</f>
        <v/>
      </c>
      <c r="AM92">
        <f>IF(AND(OR($H92="BUY",$H92="SELL"),ISNUMBER($T92)),$T92,"")</f>
        <v/>
      </c>
      <c r="AN92">
        <f>IF(AND(OR($H92="BUY",$H92="SELL"),ISNUMBER($AF92)),$AF92,"")</f>
        <v/>
      </c>
      <c r="AO92">
        <f>IF(ISNUMBER($AM92),ABS(IF(ISNUMBER($G92),$G92,0)-Settings!$B$25),"")</f>
        <v/>
      </c>
      <c r="AP92">
        <f>IF(ISNUMBER($AO92),$AO92*$AM92,"")</f>
        <v/>
      </c>
      <c r="AQ92">
        <f>IF(ISNUMBER($AN92),ABS(IF(ISNUMBER($G92),$G92,0)-Settings!$B$25),"")</f>
        <v/>
      </c>
      <c r="AR92">
        <f>IF(ISNUMBER($AQ92),$AQ92*$AN92,"")</f>
        <v/>
      </c>
      <c r="AS92">
        <f>IF($A92="","",IFERROR(INDEX(Company_List!$H$3:$H$207,MATCH($A92,Company_List!$A$3:$A$207,0)),"unassigned"))</f>
        <v/>
      </c>
      <c r="AT92" t="inlineStr">
        <is>
          <t>re-read since v1</t>
        </is>
      </c>
      <c r="AU92" t="inlineStr">
        <is>
          <t>Phase 2/Master_Data_v1.xlsx</t>
        </is>
      </c>
      <c r="AV92" t="n">
        <v>1</v>
      </c>
      <c r="AW92" t="inlineStr">
        <is>
          <t>The Motley Fool</t>
        </is>
      </c>
      <c r="AX92" t="inlineStr">
        <is>
          <t>free to read, copyright asserted</t>
        </is>
      </c>
      <c r="AY92" t="inlineStr">
        <is>
          <t>no</t>
        </is>
      </c>
      <c r="AZ92" t="inlineStr">
        <is>
          <t>no</t>
        </is>
      </c>
    </row>
    <row r="93">
      <c r="A93" s="115" t="inlineStr">
        <is>
          <t>Disney</t>
        </is>
      </c>
      <c r="B93" s="117" t="inlineStr">
        <is>
          <t>DIS</t>
        </is>
      </c>
      <c r="C93" s="105" t="n">
        <v>2025</v>
      </c>
      <c r="D93" s="106" t="inlineStr">
        <is>
          <t>Q3</t>
        </is>
      </c>
      <c r="E93" s="109" t="inlineStr">
        <is>
          <t>Ben/DeepSeek</t>
        </is>
      </c>
      <c r="F93" s="106" t="inlineStr">
        <is>
          <t>LLM</t>
        </is>
      </c>
      <c r="G93" s="128" t="n">
        <v>0.2375</v>
      </c>
      <c r="H93" s="106" t="inlineStr">
        <is>
          <t>HOLD</t>
        </is>
      </c>
      <c r="I93" s="128" t="n"/>
      <c r="J93" s="125" t="n">
        <v>45875</v>
      </c>
      <c r="K93" s="126" t="n">
        <v>45874</v>
      </c>
      <c r="L93" s="129" t="n">
        <v>118.32</v>
      </c>
      <c r="M93" s="126" t="n">
        <v>45875</v>
      </c>
      <c r="N93" s="129" t="n">
        <v>115.78</v>
      </c>
      <c r="O93" s="132" t="n">
        <v>0.006136</v>
      </c>
      <c r="P93" s="107" t="n">
        <v>-0.021467</v>
      </c>
      <c r="Q93" s="106" t="inlineStr">
        <is>
          <t>DOWN</t>
        </is>
      </c>
      <c r="R93" s="106" t="inlineStr">
        <is>
          <t>NO</t>
        </is>
      </c>
      <c r="S93" s="105" t="n">
        <v>0</v>
      </c>
      <c r="T93" s="107" t="n">
        <v>0</v>
      </c>
      <c r="U93" s="130" t="inlineStr">
        <is>
          <t>w=[0.55,0.45,0,0] thr=(+0.25,-0.05), deployed default (risk-accepted, PSR=0.0/perm p=0.150 at N=161, not rechecked at N=268)</t>
        </is>
      </c>
      <c r="W93" t="inlineStr">
        <is>
          <t>price signal — only this window shows an abnormal move</t>
        </is>
      </c>
      <c r="X93" t="inlineStr">
        <is>
          <t>DIS</t>
        </is>
      </c>
      <c r="Y93" t="inlineStr">
        <is>
          <t>2025-08-05</t>
        </is>
      </c>
      <c r="Z93" t="n">
        <v>116.6312</v>
      </c>
      <c r="AA93" t="inlineStr">
        <is>
          <t>2025-08-06</t>
        </is>
      </c>
      <c r="AB93" t="n">
        <v>114.1274</v>
      </c>
      <c r="AC93" t="n">
        <v>-0.02146729710397124</v>
      </c>
      <c r="AD93" t="inlineStr">
        <is>
          <t>DOWN</t>
        </is>
      </c>
      <c r="AE93" t="inlineStr">
        <is>
          <t>NO</t>
        </is>
      </c>
      <c r="AF93" t="n">
        <v>0</v>
      </c>
      <c r="AG93">
        <f>IF($A93="","",IFERROR(INDEX(Company_List!$G$3:$G$207,MATCH($A93,Company_List!$A$3:$A$207,0)),"unassigned"))</f>
        <v/>
      </c>
      <c r="AH93" t="inlineStr">
        <is>
          <t>Phase 2/Disney/q3-fy25-earnings-transcript.pdf</t>
        </is>
      </c>
      <c r="AJ93" t="inlineStr">
        <is>
          <t>unique filename match</t>
        </is>
      </c>
      <c r="AK93">
        <f>IF($A93="","",IF(COUNTIFS(Human_Data_Entry!$A$3:$A$525,$A93)&gt;0,"YES","NO"))</f>
        <v/>
      </c>
      <c r="AL93">
        <f>IF($A93="","",IF(AND($C93&amp;"-"&amp;$D93&gt;=Settings!$B$19,$C93&amp;"-"&amp;$D93&lt;=Settings!$B$20),"IN","OUT"))</f>
        <v/>
      </c>
      <c r="AM93">
        <f>IF(AND(OR($H93="BUY",$H93="SELL"),ISNUMBER($T93)),$T93,"")</f>
        <v/>
      </c>
      <c r="AN93">
        <f>IF(AND(OR($H93="BUY",$H93="SELL"),ISNUMBER($AF93)),$AF93,"")</f>
        <v/>
      </c>
      <c r="AO93">
        <f>IF(ISNUMBER($AM93),ABS(IF(ISNUMBER($G93),$G93,0)-Settings!$B$25),"")</f>
        <v/>
      </c>
      <c r="AP93">
        <f>IF(ISNUMBER($AO93),$AO93*$AM93,"")</f>
        <v/>
      </c>
      <c r="AQ93">
        <f>IF(ISNUMBER($AN93),ABS(IF(ISNUMBER($G93),$G93,0)-Settings!$B$25),"")</f>
        <v/>
      </c>
      <c r="AR93">
        <f>IF(ISNUMBER($AQ93),$AQ93*$AN93,"")</f>
        <v/>
      </c>
      <c r="AS93">
        <f>IF($A93="","",IFERROR(INDEX(Company_List!$H$3:$H$207,MATCH($A93,Company_List!$A$3:$A$207,0)),"unassigned"))</f>
        <v/>
      </c>
      <c r="AT93" t="inlineStr">
        <is>
          <t>re-read since v1</t>
        </is>
      </c>
      <c r="AU93" t="inlineStr">
        <is>
          <t>Phase 2/Master_Data_v1.xlsx</t>
        </is>
      </c>
      <c r="AV93" t="n">
        <v>1</v>
      </c>
      <c r="AW93" t="inlineStr">
        <is>
          <t>not publisher-identified</t>
        </is>
      </c>
      <c r="AX93" t="inlineStr">
        <is>
          <t>not publisher-identified</t>
        </is>
      </c>
      <c r="AY93" t="inlineStr">
        <is>
          <t>no</t>
        </is>
      </c>
      <c r="AZ93" t="inlineStr">
        <is>
          <t>no</t>
        </is>
      </c>
    </row>
    <row r="94">
      <c r="A94" s="115" t="inlineStr">
        <is>
          <t>Disney</t>
        </is>
      </c>
      <c r="B94" s="117" t="inlineStr">
        <is>
          <t>DIS</t>
        </is>
      </c>
      <c r="C94" s="105" t="n">
        <v>2025</v>
      </c>
      <c r="D94" s="106" t="inlineStr">
        <is>
          <t>Q4</t>
        </is>
      </c>
      <c r="E94" s="109" t="inlineStr">
        <is>
          <t>Ben/DeepSeek</t>
        </is>
      </c>
      <c r="F94" s="106" t="inlineStr">
        <is>
          <t>LLM</t>
        </is>
      </c>
      <c r="G94" s="128" t="n">
        <v>0.3</v>
      </c>
      <c r="H94" s="106" t="inlineStr">
        <is>
          <t>BUY</t>
        </is>
      </c>
      <c r="I94" s="128" t="n"/>
      <c r="J94" s="125" t="n">
        <v>45974</v>
      </c>
      <c r="K94" s="126" t="n">
        <v>45973</v>
      </c>
      <c r="L94" s="129" t="n">
        <v>116.65</v>
      </c>
      <c r="M94" s="126" t="n">
        <v>45974</v>
      </c>
      <c r="N94" s="129" t="n">
        <v>108.89</v>
      </c>
      <c r="O94" s="132" t="n">
        <v>0.006489</v>
      </c>
      <c r="P94" s="107" t="n">
        <v>-0.066524</v>
      </c>
      <c r="Q94" s="106" t="inlineStr">
        <is>
          <t>DOWN</t>
        </is>
      </c>
      <c r="R94" s="106" t="inlineStr">
        <is>
          <t>NO</t>
        </is>
      </c>
      <c r="S94" s="105" t="n">
        <v>1</v>
      </c>
      <c r="T94" s="107" t="n">
        <v>-0.067524</v>
      </c>
      <c r="U94" s="130" t="inlineStr">
        <is>
          <t>w=[0.55,0.45,0,0] thr=(+0.25,-0.05), deployed default (risk-accepted, PSR=0.0/perm p=0.150 at N=161, not rechecked at N=268)</t>
        </is>
      </c>
      <c r="W94" t="inlineStr">
        <is>
          <t>price signal — only this window shows an abnormal move</t>
        </is>
      </c>
      <c r="X94" t="inlineStr">
        <is>
          <t>DIS</t>
        </is>
      </c>
      <c r="Y94" t="inlineStr">
        <is>
          <t>2025-11-12</t>
        </is>
      </c>
      <c r="Z94" t="n">
        <v>114.985</v>
      </c>
      <c r="AA94" t="inlineStr">
        <is>
          <t>2025-11-13</t>
        </is>
      </c>
      <c r="AB94" t="n">
        <v>107.3358</v>
      </c>
      <c r="AC94" t="n">
        <v>-0.06652385097677246</v>
      </c>
      <c r="AD94" t="inlineStr">
        <is>
          <t>DOWN</t>
        </is>
      </c>
      <c r="AE94" t="inlineStr">
        <is>
          <t>NO</t>
        </is>
      </c>
      <c r="AF94" t="n">
        <v>-0.067524</v>
      </c>
      <c r="AG94">
        <f>IF($A94="","",IFERROR(INDEX(Company_List!$G$3:$G$207,MATCH($A94,Company_List!$A$3:$A$207,0)),"unassigned"))</f>
        <v/>
      </c>
      <c r="AH94" t="inlineStr">
        <is>
          <t>Phase 2/Disney/q4-fy25-earnings-transcript.pdf</t>
        </is>
      </c>
      <c r="AJ94" t="inlineStr">
        <is>
          <t>unique filename match</t>
        </is>
      </c>
      <c r="AK94">
        <f>IF($A94="","",IF(COUNTIFS(Human_Data_Entry!$A$3:$A$525,$A94)&gt;0,"YES","NO"))</f>
        <v/>
      </c>
      <c r="AL94">
        <f>IF($A94="","",IF(AND($C94&amp;"-"&amp;$D94&gt;=Settings!$B$19,$C94&amp;"-"&amp;$D94&lt;=Settings!$B$20),"IN","OUT"))</f>
        <v/>
      </c>
      <c r="AM94">
        <f>IF(AND(OR($H94="BUY",$H94="SELL"),ISNUMBER($T94)),$T94,"")</f>
        <v/>
      </c>
      <c r="AN94">
        <f>IF(AND(OR($H94="BUY",$H94="SELL"),ISNUMBER($AF94)),$AF94,"")</f>
        <v/>
      </c>
      <c r="AO94">
        <f>IF(ISNUMBER($AM94),ABS(IF(ISNUMBER($G94),$G94,0)-Settings!$B$25),"")</f>
        <v/>
      </c>
      <c r="AP94">
        <f>IF(ISNUMBER($AO94),$AO94*$AM94,"")</f>
        <v/>
      </c>
      <c r="AQ94">
        <f>IF(ISNUMBER($AN94),ABS(IF(ISNUMBER($G94),$G94,0)-Settings!$B$25),"")</f>
        <v/>
      </c>
      <c r="AR94">
        <f>IF(ISNUMBER($AQ94),$AQ94*$AN94,"")</f>
        <v/>
      </c>
      <c r="AS94">
        <f>IF($A94="","",IFERROR(INDEX(Company_List!$H$3:$H$207,MATCH($A94,Company_List!$A$3:$A$207,0)),"unassigned"))</f>
        <v/>
      </c>
      <c r="AT94" t="inlineStr">
        <is>
          <t>re-read since v1</t>
        </is>
      </c>
      <c r="AU94" t="inlineStr">
        <is>
          <t>Phase 2/Master_Data_v1.xlsx</t>
        </is>
      </c>
      <c r="AV94" t="n">
        <v>1</v>
      </c>
      <c r="AW94" t="inlineStr">
        <is>
          <t>not publisher-identified</t>
        </is>
      </c>
      <c r="AX94" t="inlineStr">
        <is>
          <t>not publisher-identified</t>
        </is>
      </c>
      <c r="AY94" t="inlineStr">
        <is>
          <t>no</t>
        </is>
      </c>
      <c r="AZ94" t="inlineStr">
        <is>
          <t>no</t>
        </is>
      </c>
    </row>
    <row r="95">
      <c r="A95" s="115" t="inlineStr">
        <is>
          <t>JPMorgan</t>
        </is>
      </c>
      <c r="B95" s="117" t="inlineStr">
        <is>
          <t>JPM</t>
        </is>
      </c>
      <c r="C95" s="105" t="n">
        <v>2025</v>
      </c>
      <c r="D95" s="106" t="inlineStr">
        <is>
          <t>Q1</t>
        </is>
      </c>
      <c r="E95" s="109" t="inlineStr">
        <is>
          <t>Ben/DeepSeek</t>
        </is>
      </c>
      <c r="F95" s="106" t="inlineStr">
        <is>
          <t>LLM</t>
        </is>
      </c>
      <c r="G95" s="128" t="n">
        <v>-0.41</v>
      </c>
      <c r="H95" s="106" t="inlineStr">
        <is>
          <t>SELL</t>
        </is>
      </c>
      <c r="I95" s="128" t="n"/>
      <c r="J95" s="125" t="n">
        <v>45758</v>
      </c>
      <c r="K95" s="126" t="n">
        <v>45757</v>
      </c>
      <c r="L95" s="129" t="n">
        <v>227.11</v>
      </c>
      <c r="M95" s="126" t="n">
        <v>45758</v>
      </c>
      <c r="N95" s="129" t="n">
        <v>226.31</v>
      </c>
      <c r="O95" s="132" t="n"/>
      <c r="P95" s="107" t="n">
        <v>-0.003523</v>
      </c>
      <c r="Q95" s="106" t="inlineStr">
        <is>
          <t>FLAT</t>
        </is>
      </c>
      <c r="R95" s="106" t="inlineStr">
        <is>
          <t>NO</t>
        </is>
      </c>
      <c r="S95" s="105" t="n">
        <v>-1</v>
      </c>
      <c r="T95" s="107" t="n">
        <v>0.002523</v>
      </c>
      <c r="U95" s="130" t="inlineStr">
        <is>
          <t>w=[0.55,0.45,0,0] thr=(+0.25,-0.05), deployed default (risk-accepted, PSR=0.0/perm p=0.150 at N=161, not rechecked at N=268) | Token Cost unavailable: predates cost_log tracking, not backfillable</t>
        </is>
      </c>
      <c r="W95" t="inlineStr">
        <is>
          <t>document date + price signal</t>
        </is>
      </c>
      <c r="X95" t="inlineStr">
        <is>
          <t>JPM</t>
        </is>
      </c>
      <c r="Y95" t="inlineStr">
        <is>
          <t>2025-03-31</t>
        </is>
      </c>
      <c r="Z95" t="n">
        <v>238.0749</v>
      </c>
      <c r="AA95" t="inlineStr">
        <is>
          <t>2025-04-01</t>
        </is>
      </c>
      <c r="AB95" t="n">
        <v>235.4738</v>
      </c>
      <c r="AC95" t="n">
        <v>-0.01092547572088052</v>
      </c>
      <c r="AD95" t="inlineStr">
        <is>
          <t>FLAT</t>
        </is>
      </c>
      <c r="AE95" t="inlineStr">
        <is>
          <t>NO</t>
        </is>
      </c>
      <c r="AF95" t="n">
        <v>0.009925</v>
      </c>
      <c r="AG95">
        <f>IF($A95="","",IFERROR(INDEX(Company_List!$G$3:$G$207,MATCH($A95,Company_List!$A$3:$A$207,0)),"unassigned"))</f>
        <v/>
      </c>
      <c r="AH95" t="inlineStr">
        <is>
          <t>Phase 2/JPMC Documents/2025-Q1/JPM-2025-Q1-press-release-SEC-EX-99-1.htm; Phase 2/JPMC Documents/2025-Q1/JPM-2025-Q1-earnings-call-transcript-jpmorganchase-com.pdf</t>
        </is>
      </c>
      <c r="AI95" t="inlineStr">
        <is>
          <t>https://www.jpmorganchase.com/content/dam/jpmc/jpmorgan-chase-and-co/investor-relations/documents/quarterly-earnings/2025/1st-quarter/1q25-earnings-transcript.pdf; https://www.sec.gov/Archives/edgar/data/19617/000001961725000332/a1q25erfexhibit991narrative.htm</t>
        </is>
      </c>
      <c r="AJ95" t="inlineStr">
        <is>
          <t>manifest (whole bundle)</t>
        </is>
      </c>
      <c r="AK95">
        <f>IF($A95="","",IF(COUNTIFS(Human_Data_Entry!$A$3:$A$525,$A95)&gt;0,"YES","NO"))</f>
        <v/>
      </c>
      <c r="AL95">
        <f>IF($A95="","",IF(AND($C95&amp;"-"&amp;$D95&gt;=Settings!$B$19,$C95&amp;"-"&amp;$D95&lt;=Settings!$B$20),"IN","OUT"))</f>
        <v/>
      </c>
      <c r="AM95">
        <f>IF(AND(OR($H95="BUY",$H95="SELL"),ISNUMBER($T95)),$T95,"")</f>
        <v/>
      </c>
      <c r="AN95">
        <f>IF(AND(OR($H95="BUY",$H95="SELL"),ISNUMBER($AF95)),$AF95,"")</f>
        <v/>
      </c>
      <c r="AO95">
        <f>IF(ISNUMBER($AM95),ABS(IF(ISNUMBER($G95),$G95,0)-Settings!$B$25),"")</f>
        <v/>
      </c>
      <c r="AP95">
        <f>IF(ISNUMBER($AO95),$AO95*$AM95,"")</f>
        <v/>
      </c>
      <c r="AQ95">
        <f>IF(ISNUMBER($AN95),ABS(IF(ISNUMBER($G95),$G95,0)-Settings!$B$25),"")</f>
        <v/>
      </c>
      <c r="AR95">
        <f>IF(ISNUMBER($AQ95),$AQ95*$AN95,"")</f>
        <v/>
      </c>
      <c r="AS95">
        <f>IF($A95="","",IFERROR(INDEX(Company_List!$H$3:$H$207,MATCH($A95,Company_List!$A$3:$A$207,0)),"unassigned"))</f>
        <v/>
      </c>
      <c r="AT95" t="inlineStr">
        <is>
          <t>re-read since v1</t>
        </is>
      </c>
      <c r="AU95" t="inlineStr">
        <is>
          <t>Phase 2/Master_Data_v1.xlsx</t>
        </is>
      </c>
      <c r="AV95" t="n">
        <v>2</v>
      </c>
      <c r="AW95" t="inlineStr">
        <is>
          <t>not publisher-identified</t>
        </is>
      </c>
      <c r="AX95" t="inlineStr">
        <is>
          <t>not publisher-identified</t>
        </is>
      </c>
      <c r="AY95" t="inlineStr">
        <is>
          <t>no</t>
        </is>
      </c>
      <c r="AZ95" t="inlineStr">
        <is>
          <t>yes</t>
        </is>
      </c>
    </row>
    <row r="96">
      <c r="A96" s="115" t="inlineStr">
        <is>
          <t>JPMorgan</t>
        </is>
      </c>
      <c r="B96" s="117" t="inlineStr">
        <is>
          <t>JPM</t>
        </is>
      </c>
      <c r="C96" s="105" t="n">
        <v>2026</v>
      </c>
      <c r="D96" s="106" t="inlineStr">
        <is>
          <t>Q1</t>
        </is>
      </c>
      <c r="E96" s="109" t="inlineStr">
        <is>
          <t>Ben/DeepSeek</t>
        </is>
      </c>
      <c r="F96" s="106" t="inlineStr">
        <is>
          <t>LLM</t>
        </is>
      </c>
      <c r="G96" s="128" t="n">
        <v>-0.08</v>
      </c>
      <c r="H96" s="106" t="inlineStr">
        <is>
          <t>SELL</t>
        </is>
      </c>
      <c r="I96" s="128" t="n"/>
      <c r="J96" s="125" t="n">
        <v>46126</v>
      </c>
      <c r="K96" s="126" t="n">
        <v>46125</v>
      </c>
      <c r="L96" s="129" t="n">
        <v>313.68</v>
      </c>
      <c r="M96" s="126" t="n">
        <v>46126</v>
      </c>
      <c r="N96" s="129" t="n">
        <v>309.82</v>
      </c>
      <c r="O96" s="132" t="n">
        <v>0.008312999999999999</v>
      </c>
      <c r="P96" s="107" t="n">
        <v>-0.012305</v>
      </c>
      <c r="Q96" s="106" t="inlineStr">
        <is>
          <t>FLAT</t>
        </is>
      </c>
      <c r="R96" s="106" t="inlineStr">
        <is>
          <t>NO</t>
        </is>
      </c>
      <c r="S96" s="105" t="n">
        <v>-1</v>
      </c>
      <c r="T96" s="107" t="n">
        <v>0.011305</v>
      </c>
      <c r="U96" s="130" t="inlineStr">
        <is>
          <t>w=[0.55,0.45,0,0] thr=(+0.25,-0.05), deployed default (risk-accepted, PSR=0.0/perm p=0.150 at N=161, not rechecked at N=268)</t>
        </is>
      </c>
      <c r="W96" t="inlineStr">
        <is>
          <t>release time published by the issuer</t>
        </is>
      </c>
      <c r="X96" t="inlineStr">
        <is>
          <t>JPM</t>
        </is>
      </c>
      <c r="Y96" t="inlineStr">
        <is>
          <t>2026-04-13</t>
        </is>
      </c>
      <c r="Z96" t="n">
        <v>312.2732</v>
      </c>
      <c r="AA96" t="inlineStr">
        <is>
          <t>2026-04-14</t>
        </is>
      </c>
      <c r="AB96" t="n">
        <v>308.4305</v>
      </c>
      <c r="AC96" t="n">
        <v>-0.01230550873185565</v>
      </c>
      <c r="AD96" t="inlineStr">
        <is>
          <t>FLAT</t>
        </is>
      </c>
      <c r="AE96" t="inlineStr">
        <is>
          <t>NO</t>
        </is>
      </c>
      <c r="AF96" t="n">
        <v>0.011306</v>
      </c>
      <c r="AG96">
        <f>IF($A96="","",IFERROR(INDEX(Company_List!$G$3:$G$207,MATCH($A96,Company_List!$A$3:$A$207,0)),"unassigned"))</f>
        <v/>
      </c>
      <c r="AH96" t="inlineStr">
        <is>
          <t>Phase 2/JPMC Documents/2026-Q1/JPM-2026-Q1-press-release-SEC-EX-99-1.htm; Phase 2/JPMC Documents/2026-Q1/JPM-2026-Q1-earnings-call-transcript-jpmorganchase-com.pdf</t>
        </is>
      </c>
      <c r="AI96" t="inlineStr">
        <is>
          <t>https://www.jpmorganchase.com/content/dam/jpmc/jpmorgan-chase-and-co/investor-relations/documents/quarterly-earnings/2026/1st-quarter/1q26-earnings-transcript.pdf; https://www.sec.gov/Archives/edgar/data/19617/000162828026024990/a1q26erfexhibit991narrative.htm</t>
        </is>
      </c>
      <c r="AJ96" t="inlineStr">
        <is>
          <t>manifest (whole bundle)</t>
        </is>
      </c>
      <c r="AK96">
        <f>IF($A96="","",IF(COUNTIFS(Human_Data_Entry!$A$3:$A$525,$A96)&gt;0,"YES","NO"))</f>
        <v/>
      </c>
      <c r="AL96">
        <f>IF($A96="","",IF(AND($C96&amp;"-"&amp;$D96&gt;=Settings!$B$19,$C96&amp;"-"&amp;$D96&lt;=Settings!$B$20),"IN","OUT"))</f>
        <v/>
      </c>
      <c r="AM96">
        <f>IF(AND(OR($H96="BUY",$H96="SELL"),ISNUMBER($T96)),$T96,"")</f>
        <v/>
      </c>
      <c r="AN96">
        <f>IF(AND(OR($H96="BUY",$H96="SELL"),ISNUMBER($AF96)),$AF96,"")</f>
        <v/>
      </c>
      <c r="AO96">
        <f>IF(ISNUMBER($AM96),ABS(IF(ISNUMBER($G96),$G96,0)-Settings!$B$25),"")</f>
        <v/>
      </c>
      <c r="AP96">
        <f>IF(ISNUMBER($AO96),$AO96*$AM96,"")</f>
        <v/>
      </c>
      <c r="AQ96">
        <f>IF(ISNUMBER($AN96),ABS(IF(ISNUMBER($G96),$G96,0)-Settings!$B$25),"")</f>
        <v/>
      </c>
      <c r="AR96">
        <f>IF(ISNUMBER($AQ96),$AQ96*$AN96,"")</f>
        <v/>
      </c>
      <c r="AS96">
        <f>IF($A96="","",IFERROR(INDEX(Company_List!$H$3:$H$207,MATCH($A96,Company_List!$A$3:$A$207,0)),"unassigned"))</f>
        <v/>
      </c>
      <c r="AT96" t="inlineStr">
        <is>
          <t>not in v1</t>
        </is>
      </c>
      <c r="AU96" t="inlineStr">
        <is>
          <t>no earlier record</t>
        </is>
      </c>
      <c r="AV96" t="n">
        <v>2</v>
      </c>
      <c r="AW96" t="inlineStr">
        <is>
          <t>not publisher-identified</t>
        </is>
      </c>
      <c r="AX96" t="inlineStr">
        <is>
          <t>not publisher-identified</t>
        </is>
      </c>
      <c r="AY96" t="inlineStr">
        <is>
          <t>no</t>
        </is>
      </c>
      <c r="AZ96" t="inlineStr">
        <is>
          <t>yes</t>
        </is>
      </c>
    </row>
    <row r="97">
      <c r="A97" s="115" t="inlineStr">
        <is>
          <t>JPMorgan</t>
        </is>
      </c>
      <c r="B97" s="117" t="inlineStr">
        <is>
          <t>JPM</t>
        </is>
      </c>
      <c r="C97" s="105" t="n">
        <v>2025</v>
      </c>
      <c r="D97" s="106" t="inlineStr">
        <is>
          <t>Q2</t>
        </is>
      </c>
      <c r="E97" s="109" t="inlineStr">
        <is>
          <t>Ben/DeepSeek</t>
        </is>
      </c>
      <c r="F97" s="106" t="inlineStr">
        <is>
          <t>LLM</t>
        </is>
      </c>
      <c r="G97" s="128" t="n">
        <v>0.21</v>
      </c>
      <c r="H97" s="106" t="inlineStr">
        <is>
          <t>HOLD</t>
        </is>
      </c>
      <c r="I97" s="128" t="n"/>
      <c r="J97" s="125" t="n">
        <v>45853</v>
      </c>
      <c r="K97" s="126" t="n">
        <v>45852</v>
      </c>
      <c r="L97" s="129" t="n">
        <v>288.7</v>
      </c>
      <c r="M97" s="126" t="n">
        <v>45853</v>
      </c>
      <c r="N97" s="129" t="n">
        <v>288</v>
      </c>
      <c r="O97" s="132" t="n"/>
      <c r="P97" s="107" t="n">
        <v>-0.002425</v>
      </c>
      <c r="Q97" s="106" t="inlineStr">
        <is>
          <t>FLAT</t>
        </is>
      </c>
      <c r="R97" s="106" t="inlineStr">
        <is>
          <t>YES</t>
        </is>
      </c>
      <c r="S97" s="105" t="n">
        <v>0</v>
      </c>
      <c r="T97" s="107" t="n">
        <v>0</v>
      </c>
      <c r="U97" s="130" t="inlineStr">
        <is>
          <t>w=[0.55,0.45,0,0] thr=(+0.25,-0.05), deployed default (risk-accepted, PSR=0.0/perm p=0.150 at N=161, not rechecked at N=268) | Token Cost unavailable: predates cost_log tracking, not backfillable</t>
        </is>
      </c>
      <c r="W97" t="inlineStr">
        <is>
          <t>release time published by the issuer</t>
        </is>
      </c>
      <c r="X97" t="inlineStr">
        <is>
          <t>JPM</t>
        </is>
      </c>
      <c r="Y97" t="inlineStr">
        <is>
          <t>2025-07-14</t>
        </is>
      </c>
      <c r="Z97" t="n">
        <v>283.2807</v>
      </c>
      <c r="AA97" t="inlineStr">
        <is>
          <t>2025-07-15</t>
        </is>
      </c>
      <c r="AB97" t="n">
        <v>282.5938</v>
      </c>
      <c r="AC97" t="n">
        <v>-0.002424757842669704</v>
      </c>
      <c r="AD97" t="inlineStr">
        <is>
          <t>FLAT</t>
        </is>
      </c>
      <c r="AE97" t="inlineStr">
        <is>
          <t>YES</t>
        </is>
      </c>
      <c r="AF97" t="n">
        <v>0</v>
      </c>
      <c r="AG97">
        <f>IF($A97="","",IFERROR(INDEX(Company_List!$G$3:$G$207,MATCH($A97,Company_List!$A$3:$A$207,0)),"unassigned"))</f>
        <v/>
      </c>
      <c r="AH97" t="inlineStr">
        <is>
          <t>Phase 2/JPMC Documents/Q2/corp-q2-2025.pdf</t>
        </is>
      </c>
      <c r="AJ97" t="inlineStr">
        <is>
          <t>unique filename match</t>
        </is>
      </c>
      <c r="AK97">
        <f>IF($A97="","",IF(COUNTIFS(Human_Data_Entry!$A$3:$A$525,$A97)&gt;0,"YES","NO"))</f>
        <v/>
      </c>
      <c r="AL97">
        <f>IF($A97="","",IF(AND($C97&amp;"-"&amp;$D97&gt;=Settings!$B$19,$C97&amp;"-"&amp;$D97&lt;=Settings!$B$20),"IN","OUT"))</f>
        <v/>
      </c>
      <c r="AM97">
        <f>IF(AND(OR($H97="BUY",$H97="SELL"),ISNUMBER($T97)),$T97,"")</f>
        <v/>
      </c>
      <c r="AN97">
        <f>IF(AND(OR($H97="BUY",$H97="SELL"),ISNUMBER($AF97)),$AF97,"")</f>
        <v/>
      </c>
      <c r="AO97">
        <f>IF(ISNUMBER($AM97),ABS(IF(ISNUMBER($G97),$G97,0)-Settings!$B$25),"")</f>
        <v/>
      </c>
      <c r="AP97">
        <f>IF(ISNUMBER($AO97),$AO97*$AM97,"")</f>
        <v/>
      </c>
      <c r="AQ97">
        <f>IF(ISNUMBER($AN97),ABS(IF(ISNUMBER($G97),$G97,0)-Settings!$B$25),"")</f>
        <v/>
      </c>
      <c r="AR97">
        <f>IF(ISNUMBER($AQ97),$AQ97*$AN97,"")</f>
        <v/>
      </c>
      <c r="AS97">
        <f>IF($A97="","",IFERROR(INDEX(Company_List!$H$3:$H$207,MATCH($A97,Company_List!$A$3:$A$207,0)),"unassigned"))</f>
        <v/>
      </c>
      <c r="AT97" t="inlineStr">
        <is>
          <t>re-read since v1</t>
        </is>
      </c>
      <c r="AU97" t="inlineStr">
        <is>
          <t>Phase 2/Master_Data_v1.xlsx</t>
        </is>
      </c>
      <c r="AV97" t="n">
        <v>1</v>
      </c>
      <c r="AW97" t="inlineStr">
        <is>
          <t>not publisher-identified</t>
        </is>
      </c>
      <c r="AX97" t="inlineStr">
        <is>
          <t>not publisher-identified</t>
        </is>
      </c>
      <c r="AY97" t="inlineStr">
        <is>
          <t>sole source</t>
        </is>
      </c>
      <c r="AZ97" t="inlineStr">
        <is>
          <t>no</t>
        </is>
      </c>
    </row>
    <row r="98">
      <c r="A98" s="115" t="inlineStr">
        <is>
          <t>JPMorgan</t>
        </is>
      </c>
      <c r="B98" s="117" t="inlineStr">
        <is>
          <t>JPM</t>
        </is>
      </c>
      <c r="C98" s="105" t="n">
        <v>2025</v>
      </c>
      <c r="D98" s="106" t="inlineStr">
        <is>
          <t>Q3</t>
        </is>
      </c>
      <c r="E98" s="109" t="inlineStr">
        <is>
          <t>Ben/DeepSeek</t>
        </is>
      </c>
      <c r="F98" s="106" t="inlineStr">
        <is>
          <t>LLM</t>
        </is>
      </c>
      <c r="G98" s="128" t="n">
        <v>0.2175</v>
      </c>
      <c r="H98" s="106" t="inlineStr">
        <is>
          <t>HOLD</t>
        </is>
      </c>
      <c r="I98" s="128" t="n"/>
      <c r="J98" s="125" t="n">
        <v>45944</v>
      </c>
      <c r="K98" s="126" t="n">
        <v>45943</v>
      </c>
      <c r="L98" s="129" t="n">
        <v>307.97</v>
      </c>
      <c r="M98" s="126" t="n">
        <v>45944</v>
      </c>
      <c r="N98" s="129" t="n">
        <v>305.84</v>
      </c>
      <c r="O98" s="132" t="n"/>
      <c r="P98" s="107" t="n">
        <v>-0.006916</v>
      </c>
      <c r="Q98" s="106" t="inlineStr">
        <is>
          <t>FLAT</t>
        </is>
      </c>
      <c r="R98" s="106" t="inlineStr">
        <is>
          <t>YES</t>
        </is>
      </c>
      <c r="S98" s="105" t="n">
        <v>0</v>
      </c>
      <c r="T98" s="107" t="n">
        <v>0</v>
      </c>
      <c r="U98" s="130" t="inlineStr">
        <is>
          <t>w=[0.55,0.45,0,0] thr=(+0.25,-0.05), deployed default (risk-accepted, PSR=0.0/perm p=0.150 at N=161, not rechecked at N=268) | Token Cost unavailable: predates cost_log tracking, not backfillable</t>
        </is>
      </c>
      <c r="W98" t="inlineStr">
        <is>
          <t>release time published by the issuer</t>
        </is>
      </c>
      <c r="X98" t="inlineStr">
        <is>
          <t>JPM</t>
        </is>
      </c>
      <c r="Y98" t="inlineStr">
        <is>
          <t>2025-10-13</t>
        </is>
      </c>
      <c r="Z98" t="n">
        <v>303.6581</v>
      </c>
      <c r="AA98" t="inlineStr">
        <is>
          <t>2025-10-14</t>
        </is>
      </c>
      <c r="AB98" t="n">
        <v>301.5579</v>
      </c>
      <c r="AC98" t="n">
        <v>-0.006916205179626069</v>
      </c>
      <c r="AD98" t="inlineStr">
        <is>
          <t>FLAT</t>
        </is>
      </c>
      <c r="AE98" t="inlineStr">
        <is>
          <t>YES</t>
        </is>
      </c>
      <c r="AF98" t="n">
        <v>0</v>
      </c>
      <c r="AG98">
        <f>IF($A98="","",IFERROR(INDEX(Company_List!$G$3:$G$207,MATCH($A98,Company_List!$A$3:$A$207,0)),"unassigned"))</f>
        <v/>
      </c>
      <c r="AH98" t="inlineStr">
        <is>
          <t>Phase 2/JPMC Documents/2025-Q3/JPM-2025-Q3-press-release-SEC-EX-99-1.htm; Phase 2/JPMC Documents/2025-Q3/JPM-2025-Q3-earnings-call-transcript-jpmorganchase-com.pdf</t>
        </is>
      </c>
      <c r="AI98" t="inlineStr">
        <is>
          <t>https://www.jpmorganchase.com/content/dam/jpmc/jpmorgan-chase-and-co/investor-relations/documents/quarterly-earnings/2025/3rd-quarter/jpm-3q25-earnings-call-transcript.pdf; https://www.sec.gov/Archives/edgar/data/19617/000162828025044845/a3q25erfexhibit991narrative.htm</t>
        </is>
      </c>
      <c r="AJ98" t="inlineStr">
        <is>
          <t>manifest (whole bundle)</t>
        </is>
      </c>
      <c r="AK98">
        <f>IF($A98="","",IF(COUNTIFS(Human_Data_Entry!$A$3:$A$525,$A98)&gt;0,"YES","NO"))</f>
        <v/>
      </c>
      <c r="AL98">
        <f>IF($A98="","",IF(AND($C98&amp;"-"&amp;$D98&gt;=Settings!$B$19,$C98&amp;"-"&amp;$D98&lt;=Settings!$B$20),"IN","OUT"))</f>
        <v/>
      </c>
      <c r="AM98">
        <f>IF(AND(OR($H98="BUY",$H98="SELL"),ISNUMBER($T98)),$T98,"")</f>
        <v/>
      </c>
      <c r="AN98">
        <f>IF(AND(OR($H98="BUY",$H98="SELL"),ISNUMBER($AF98)),$AF98,"")</f>
        <v/>
      </c>
      <c r="AO98">
        <f>IF(ISNUMBER($AM98),ABS(IF(ISNUMBER($G98),$G98,0)-Settings!$B$25),"")</f>
        <v/>
      </c>
      <c r="AP98">
        <f>IF(ISNUMBER($AO98),$AO98*$AM98,"")</f>
        <v/>
      </c>
      <c r="AQ98">
        <f>IF(ISNUMBER($AN98),ABS(IF(ISNUMBER($G98),$G98,0)-Settings!$B$25),"")</f>
        <v/>
      </c>
      <c r="AR98">
        <f>IF(ISNUMBER($AQ98),$AQ98*$AN98,"")</f>
        <v/>
      </c>
      <c r="AS98">
        <f>IF($A98="","",IFERROR(INDEX(Company_List!$H$3:$H$207,MATCH($A98,Company_List!$A$3:$A$207,0)),"unassigned"))</f>
        <v/>
      </c>
      <c r="AT98" t="inlineStr">
        <is>
          <t>re-read since v1</t>
        </is>
      </c>
      <c r="AU98" t="inlineStr">
        <is>
          <t>Phase 2/Master_Data_v1.xlsx</t>
        </is>
      </c>
      <c r="AV98" t="n">
        <v>2</v>
      </c>
      <c r="AW98" t="inlineStr">
        <is>
          <t>not publisher-identified</t>
        </is>
      </c>
      <c r="AX98" t="inlineStr">
        <is>
          <t>not publisher-identified</t>
        </is>
      </c>
      <c r="AY98" t="inlineStr">
        <is>
          <t>no</t>
        </is>
      </c>
      <c r="AZ98" t="inlineStr">
        <is>
          <t>yes</t>
        </is>
      </c>
    </row>
    <row r="99">
      <c r="A99" s="115" t="inlineStr">
        <is>
          <t>JPMorgan</t>
        </is>
      </c>
      <c r="B99" s="117" t="inlineStr">
        <is>
          <t>JPM</t>
        </is>
      </c>
      <c r="C99" s="105" t="n">
        <v>2025</v>
      </c>
      <c r="D99" s="106" t="inlineStr">
        <is>
          <t>Q4</t>
        </is>
      </c>
      <c r="E99" s="109" t="inlineStr">
        <is>
          <t>Ben/DeepSeek</t>
        </is>
      </c>
      <c r="F99" s="106" t="inlineStr">
        <is>
          <t>LLM</t>
        </is>
      </c>
      <c r="G99" s="128" t="n">
        <v>0.2225</v>
      </c>
      <c r="H99" s="106" t="inlineStr">
        <is>
          <t>HOLD</t>
        </is>
      </c>
      <c r="I99" s="128" t="n"/>
      <c r="J99" s="125" t="n">
        <v>46035</v>
      </c>
      <c r="K99" s="126" t="n">
        <v>46034</v>
      </c>
      <c r="L99" s="129" t="n">
        <v>324.49</v>
      </c>
      <c r="M99" s="126" t="n">
        <v>46035</v>
      </c>
      <c r="N99" s="129" t="n">
        <v>324.3</v>
      </c>
      <c r="O99" s="132" t="n"/>
      <c r="P99" s="107" t="n">
        <v>-0.000586</v>
      </c>
      <c r="Q99" s="106" t="inlineStr">
        <is>
          <t>FLAT</t>
        </is>
      </c>
      <c r="R99" s="106" t="inlineStr">
        <is>
          <t>YES</t>
        </is>
      </c>
      <c r="S99" s="105" t="n">
        <v>0</v>
      </c>
      <c r="T99" s="107" t="n">
        <v>0</v>
      </c>
      <c r="U99" s="130" t="inlineStr">
        <is>
          <t>w=[0.55,0.45,0,0] thr=(+0.25,-0.05), deployed default (risk-accepted, PSR=0.0/perm p=0.150 at N=161, not rechecked at N=268) | Token Cost unavailable: predates cost_log tracking, not backfillable</t>
        </is>
      </c>
      <c r="W99" t="inlineStr">
        <is>
          <t>release time published by the issuer</t>
        </is>
      </c>
      <c r="X99" t="inlineStr">
        <is>
          <t>JPM</t>
        </is>
      </c>
      <c r="Y99" t="inlineStr">
        <is>
          <t>2026-01-12</t>
        </is>
      </c>
      <c r="Z99" t="n">
        <v>321.39</v>
      </c>
      <c r="AA99" t="inlineStr">
        <is>
          <t>2026-01-13</t>
        </is>
      </c>
      <c r="AB99" t="n">
        <v>321.2018</v>
      </c>
      <c r="AC99" t="n">
        <v>-0.0005855717077517526</v>
      </c>
      <c r="AD99" t="inlineStr">
        <is>
          <t>FLAT</t>
        </is>
      </c>
      <c r="AE99" t="inlineStr">
        <is>
          <t>YES</t>
        </is>
      </c>
      <c r="AF99" t="n">
        <v>0</v>
      </c>
      <c r="AG99">
        <f>IF($A99="","",IFERROR(INDEX(Company_List!$G$3:$G$207,MATCH($A99,Company_List!$A$3:$A$207,0)),"unassigned"))</f>
        <v/>
      </c>
      <c r="AH99" t="inlineStr">
        <is>
          <t>Phase 2/JPMC Documents/Q4/corp-10k-2025.pdf</t>
        </is>
      </c>
      <c r="AJ99" t="inlineStr">
        <is>
          <t>unique filename match</t>
        </is>
      </c>
      <c r="AK99">
        <f>IF($A99="","",IF(COUNTIFS(Human_Data_Entry!$A$3:$A$525,$A99)&gt;0,"YES","NO"))</f>
        <v/>
      </c>
      <c r="AL99">
        <f>IF($A99="","",IF(AND($C99&amp;"-"&amp;$D99&gt;=Settings!$B$19,$C99&amp;"-"&amp;$D99&lt;=Settings!$B$20),"IN","OUT"))</f>
        <v/>
      </c>
      <c r="AM99">
        <f>IF(AND(OR($H99="BUY",$H99="SELL"),ISNUMBER($T99)),$T99,"")</f>
        <v/>
      </c>
      <c r="AN99">
        <f>IF(AND(OR($H99="BUY",$H99="SELL"),ISNUMBER($AF99)),$AF99,"")</f>
        <v/>
      </c>
      <c r="AO99">
        <f>IF(ISNUMBER($AM99),ABS(IF(ISNUMBER($G99),$G99,0)-Settings!$B$25),"")</f>
        <v/>
      </c>
      <c r="AP99">
        <f>IF(ISNUMBER($AO99),$AO99*$AM99,"")</f>
        <v/>
      </c>
      <c r="AQ99">
        <f>IF(ISNUMBER($AN99),ABS(IF(ISNUMBER($G99),$G99,0)-Settings!$B$25),"")</f>
        <v/>
      </c>
      <c r="AR99">
        <f>IF(ISNUMBER($AQ99),$AQ99*$AN99,"")</f>
        <v/>
      </c>
      <c r="AS99">
        <f>IF($A99="","",IFERROR(INDEX(Company_List!$H$3:$H$207,MATCH($A99,Company_List!$A$3:$A$207,0)),"unassigned"))</f>
        <v/>
      </c>
      <c r="AT99" t="inlineStr">
        <is>
          <t>re-read since v1</t>
        </is>
      </c>
      <c r="AU99" t="inlineStr">
        <is>
          <t>Phase 2/Master_Data_v1.xlsx</t>
        </is>
      </c>
      <c r="AV99" t="n">
        <v>1</v>
      </c>
      <c r="AW99" t="inlineStr">
        <is>
          <t>not publisher-identified</t>
        </is>
      </c>
      <c r="AX99" t="inlineStr">
        <is>
          <t>not publisher-identified</t>
        </is>
      </c>
      <c r="AY99" t="inlineStr">
        <is>
          <t>sole source</t>
        </is>
      </c>
      <c r="AZ99" t="inlineStr">
        <is>
          <t>no</t>
        </is>
      </c>
    </row>
    <row r="100">
      <c r="A100" s="115" t="inlineStr">
        <is>
          <t>Netflix</t>
        </is>
      </c>
      <c r="B100" s="117" t="inlineStr">
        <is>
          <t>NFLX</t>
        </is>
      </c>
      <c r="C100" s="105" t="n">
        <v>2025</v>
      </c>
      <c r="D100" s="106" t="inlineStr">
        <is>
          <t>Q1</t>
        </is>
      </c>
      <c r="E100" s="109" t="inlineStr">
        <is>
          <t>Ben/DeepSeek</t>
        </is>
      </c>
      <c r="F100" s="106" t="inlineStr">
        <is>
          <t>LLM</t>
        </is>
      </c>
      <c r="G100" s="128" t="n">
        <v>-0.0525</v>
      </c>
      <c r="H100" s="106" t="inlineStr">
        <is>
          <t>SELL</t>
        </is>
      </c>
      <c r="I100" s="128" t="n"/>
      <c r="J100" s="125" t="n">
        <v>45764</v>
      </c>
      <c r="K100" s="126" t="n">
        <v>45764</v>
      </c>
      <c r="L100" s="129" t="n">
        <v>97.303</v>
      </c>
      <c r="M100" s="126" t="n">
        <v>45765</v>
      </c>
      <c r="N100" s="129" t="n">
        <v>98.44</v>
      </c>
      <c r="O100" s="132" t="n">
        <v>0.008116</v>
      </c>
      <c r="P100" s="107" t="n">
        <v>0.011685</v>
      </c>
      <c r="Q100" s="106" t="inlineStr">
        <is>
          <t>FLAT</t>
        </is>
      </c>
      <c r="R100" s="106" t="inlineStr">
        <is>
          <t>NO</t>
        </is>
      </c>
      <c r="S100" s="105" t="n">
        <v>-1</v>
      </c>
      <c r="T100" s="107" t="n">
        <v>-0.012685</v>
      </c>
      <c r="U100" s="130" t="inlineStr">
        <is>
          <t>w=[0.55,0.45,0,0] thr=(+0.25,-0.05), deployed default (risk-accepted, PSR=0.0/perm p=0.150 at N=161, not rechecked at N=268)</t>
        </is>
      </c>
      <c r="W100" t="inlineStr">
        <is>
          <t>release date + stated time in the document (rater worksheet)</t>
        </is>
      </c>
      <c r="X100" t="inlineStr">
        <is>
          <t>NFLX</t>
        </is>
      </c>
      <c r="Y100" t="inlineStr">
        <is>
          <t>2025-04-17</t>
        </is>
      </c>
      <c r="Z100" t="n">
        <v>97.303</v>
      </c>
      <c r="AA100" t="inlineStr">
        <is>
          <t>2025-04-21</t>
        </is>
      </c>
      <c r="AB100" t="n">
        <v>98.44</v>
      </c>
      <c r="AC100" t="n">
        <v>0.01168515861088423</v>
      </c>
      <c r="AD100" t="inlineStr">
        <is>
          <t>FLAT</t>
        </is>
      </c>
      <c r="AE100" t="inlineStr">
        <is>
          <t>NO</t>
        </is>
      </c>
      <c r="AF100" t="n">
        <v>-0.012685</v>
      </c>
      <c r="AG100">
        <f>IF($A100="","",IFERROR(INDEX(Company_List!$G$3:$G$207,MATCH($A100,Company_List!$A$3:$A$207,0)),"unassigned"))</f>
        <v/>
      </c>
      <c r="AH100" t="inlineStr">
        <is>
          <t>Phase 2/Netflix/2025-Q1/NFLX-2025-Q1-press-release-SEC-EX-99-1.htm</t>
        </is>
      </c>
      <c r="AI100" t="inlineStr">
        <is>
          <t>https://www.sec.gov/Archives/edgar/data/1065280/000106528025000175/ex991_q125.htm</t>
        </is>
      </c>
      <c r="AJ100" t="inlineStr">
        <is>
          <t>manifest</t>
        </is>
      </c>
      <c r="AK100">
        <f>IF($A100="","",IF(COUNTIFS(Human_Data_Entry!$A$3:$A$525,$A100)&gt;0,"YES","NO"))</f>
        <v/>
      </c>
      <c r="AL100">
        <f>IF($A100="","",IF(AND($C100&amp;"-"&amp;$D100&gt;=Settings!$B$19,$C100&amp;"-"&amp;$D100&lt;=Settings!$B$20),"IN","OUT"))</f>
        <v/>
      </c>
      <c r="AM100">
        <f>IF(AND(OR($H100="BUY",$H100="SELL"),ISNUMBER($T100)),$T100,"")</f>
        <v/>
      </c>
      <c r="AN100">
        <f>IF(AND(OR($H100="BUY",$H100="SELL"),ISNUMBER($AF100)),$AF100,"")</f>
        <v/>
      </c>
      <c r="AO100">
        <f>IF(ISNUMBER($AM100),ABS(IF(ISNUMBER($G100),$G100,0)-Settings!$B$25),"")</f>
        <v/>
      </c>
      <c r="AP100">
        <f>IF(ISNUMBER($AO100),$AO100*$AM100,"")</f>
        <v/>
      </c>
      <c r="AQ100">
        <f>IF(ISNUMBER($AN100),ABS(IF(ISNUMBER($G100),$G100,0)-Settings!$B$25),"")</f>
        <v/>
      </c>
      <c r="AR100">
        <f>IF(ISNUMBER($AQ100),$AQ100*$AN100,"")</f>
        <v/>
      </c>
      <c r="AS100">
        <f>IF($A100="","",IFERROR(INDEX(Company_List!$H$3:$H$207,MATCH($A100,Company_List!$A$3:$A$207,0)),"unassigned"))</f>
        <v/>
      </c>
      <c r="AT100" t="inlineStr">
        <is>
          <t>re-read since v1</t>
        </is>
      </c>
      <c r="AU100" t="inlineStr">
        <is>
          <t>Phase 2/Master_Data_v1.xlsx</t>
        </is>
      </c>
      <c r="AV100" t="n">
        <v>1</v>
      </c>
      <c r="AW100" t="inlineStr">
        <is>
          <t>not publisher-identified</t>
        </is>
      </c>
      <c r="AX100" t="inlineStr">
        <is>
          <t>not publisher-identified</t>
        </is>
      </c>
      <c r="AY100" t="inlineStr">
        <is>
          <t>no</t>
        </is>
      </c>
      <c r="AZ100" t="inlineStr">
        <is>
          <t>yes</t>
        </is>
      </c>
    </row>
    <row r="101">
      <c r="A101" s="115" t="inlineStr">
        <is>
          <t>Netflix</t>
        </is>
      </c>
      <c r="B101" s="117" t="inlineStr">
        <is>
          <t>NFLX</t>
        </is>
      </c>
      <c r="C101" s="105" t="n">
        <v>2026</v>
      </c>
      <c r="D101" s="106" t="inlineStr">
        <is>
          <t>Q1</t>
        </is>
      </c>
      <c r="E101" s="109" t="inlineStr">
        <is>
          <t>Ben/DeepSeek</t>
        </is>
      </c>
      <c r="F101" s="106" t="inlineStr">
        <is>
          <t>LLM</t>
        </is>
      </c>
      <c r="G101" s="128" t="n">
        <v>-0.0525</v>
      </c>
      <c r="H101" s="106" t="inlineStr">
        <is>
          <t>SELL</t>
        </is>
      </c>
      <c r="I101" s="128" t="n"/>
      <c r="J101" s="125" t="n">
        <v>46128</v>
      </c>
      <c r="K101" s="126" t="n">
        <v>46128</v>
      </c>
      <c r="L101" s="129" t="n">
        <v>107.79</v>
      </c>
      <c r="M101" s="126" t="n">
        <v>46129</v>
      </c>
      <c r="N101" s="129" t="n">
        <v>96.37</v>
      </c>
      <c r="O101" s="132" t="n">
        <v>0.008081</v>
      </c>
      <c r="P101" s="107" t="n">
        <v>-0.105947</v>
      </c>
      <c r="Q101" s="106" t="inlineStr">
        <is>
          <t>DOWN</t>
        </is>
      </c>
      <c r="R101" s="106" t="inlineStr">
        <is>
          <t>YES</t>
        </is>
      </c>
      <c r="S101" s="105" t="n">
        <v>-1</v>
      </c>
      <c r="T101" s="107" t="n">
        <v>0.104947</v>
      </c>
      <c r="U101" s="130" t="inlineStr">
        <is>
          <t>w=[0.55,0.45,0,0] thr=(+0.25,-0.05), deployed default (risk-accepted, PSR=0.0/perm p=0.150 at N=161, not rechecked at N=268)</t>
        </is>
      </c>
      <c r="W101" t="inlineStr">
        <is>
          <t>price signal — only this window shows an abnormal move</t>
        </is>
      </c>
      <c r="X101" t="inlineStr">
        <is>
          <t>NFLX</t>
        </is>
      </c>
      <c r="Y101" t="inlineStr">
        <is>
          <t>2026-04-16</t>
        </is>
      </c>
      <c r="Z101" t="n">
        <v>107.79</v>
      </c>
      <c r="AA101" t="inlineStr">
        <is>
          <t>2026-04-17</t>
        </is>
      </c>
      <c r="AB101" t="n">
        <v>96.37</v>
      </c>
      <c r="AC101" t="n">
        <v>-0.1059467287693966</v>
      </c>
      <c r="AD101" t="inlineStr">
        <is>
          <t>DOWN</t>
        </is>
      </c>
      <c r="AE101" t="inlineStr">
        <is>
          <t>YES</t>
        </is>
      </c>
      <c r="AF101" t="n">
        <v>0.104947</v>
      </c>
      <c r="AG101">
        <f>IF($A101="","",IFERROR(INDEX(Company_List!$G$3:$G$207,MATCH($A101,Company_List!$A$3:$A$207,0)),"unassigned"))</f>
        <v/>
      </c>
      <c r="AH101" t="inlineStr">
        <is>
          <t>Phase 2/Netflix/Netflix-Inc-_Earnings-Call_2026-04-16T00_00_00_English-1.pdf</t>
        </is>
      </c>
      <c r="AJ101" t="inlineStr">
        <is>
          <t>unique filename match</t>
        </is>
      </c>
      <c r="AK101">
        <f>IF($A101="","",IF(COUNTIFS(Human_Data_Entry!$A$3:$A$525,$A101)&gt;0,"YES","NO"))</f>
        <v/>
      </c>
      <c r="AL101">
        <f>IF($A101="","",IF(AND($C101&amp;"-"&amp;$D101&gt;=Settings!$B$19,$C101&amp;"-"&amp;$D101&lt;=Settings!$B$20),"IN","OUT"))</f>
        <v/>
      </c>
      <c r="AM101">
        <f>IF(AND(OR($H101="BUY",$H101="SELL"),ISNUMBER($T101)),$T101,"")</f>
        <v/>
      </c>
      <c r="AN101">
        <f>IF(AND(OR($H101="BUY",$H101="SELL"),ISNUMBER($AF101)),$AF101,"")</f>
        <v/>
      </c>
      <c r="AO101">
        <f>IF(ISNUMBER($AM101),ABS(IF(ISNUMBER($G101),$G101,0)-Settings!$B$25),"")</f>
        <v/>
      </c>
      <c r="AP101">
        <f>IF(ISNUMBER($AO101),$AO101*$AM101,"")</f>
        <v/>
      </c>
      <c r="AQ101">
        <f>IF(ISNUMBER($AN101),ABS(IF(ISNUMBER($G101),$G101,0)-Settings!$B$25),"")</f>
        <v/>
      </c>
      <c r="AR101">
        <f>IF(ISNUMBER($AQ101),$AQ101*$AN101,"")</f>
        <v/>
      </c>
      <c r="AS101">
        <f>IF($A101="","",IFERROR(INDEX(Company_List!$H$3:$H$207,MATCH($A101,Company_List!$A$3:$A$207,0)),"unassigned"))</f>
        <v/>
      </c>
      <c r="AT101" t="inlineStr">
        <is>
          <t>re-read since v1</t>
        </is>
      </c>
      <c r="AU101" t="inlineStr">
        <is>
          <t>Phase 2/Master_Data_v1.xlsx</t>
        </is>
      </c>
      <c r="AV101" t="n">
        <v>1</v>
      </c>
      <c r="AW101" t="inlineStr">
        <is>
          <t>S&amp;P Global Market Intelligence (Capital IQ)</t>
        </is>
      </c>
      <c r="AX101" t="inlineStr">
        <is>
          <t>licensed vendor</t>
        </is>
      </c>
      <c r="AY101" t="inlineStr">
        <is>
          <t>no</t>
        </is>
      </c>
      <c r="AZ101" t="inlineStr">
        <is>
          <t>no</t>
        </is>
      </c>
    </row>
    <row r="102">
      <c r="A102" s="115" t="inlineStr">
        <is>
          <t>Netflix</t>
        </is>
      </c>
      <c r="B102" s="117" t="inlineStr">
        <is>
          <t>NFLX</t>
        </is>
      </c>
      <c r="C102" s="105" t="n">
        <v>2025</v>
      </c>
      <c r="D102" s="106" t="inlineStr">
        <is>
          <t>Q2</t>
        </is>
      </c>
      <c r="E102" s="109" t="inlineStr">
        <is>
          <t>Ben/DeepSeek</t>
        </is>
      </c>
      <c r="F102" s="106" t="inlineStr">
        <is>
          <t>LLM</t>
        </is>
      </c>
      <c r="G102" s="128" t="n">
        <v>0.21</v>
      </c>
      <c r="H102" s="106" t="inlineStr">
        <is>
          <t>HOLD</t>
        </is>
      </c>
      <c r="I102" s="128" t="n"/>
      <c r="J102" s="125" t="n">
        <v>45855</v>
      </c>
      <c r="K102" s="126" t="n">
        <v>45855</v>
      </c>
      <c r="L102" s="129" t="n">
        <v>127.417</v>
      </c>
      <c r="M102" s="126" t="n">
        <v>45856</v>
      </c>
      <c r="N102" s="129" t="n">
        <v>124.2</v>
      </c>
      <c r="O102" s="132" t="n">
        <v>0.008433</v>
      </c>
      <c r="P102" s="107" t="n">
        <v>-0.025279</v>
      </c>
      <c r="Q102" s="106" t="inlineStr">
        <is>
          <t>DOWN</t>
        </is>
      </c>
      <c r="R102" s="106" t="inlineStr">
        <is>
          <t>NO</t>
        </is>
      </c>
      <c r="S102" s="105" t="n">
        <v>0</v>
      </c>
      <c r="T102" s="107" t="n">
        <v>0</v>
      </c>
      <c r="U102" s="130" t="inlineStr">
        <is>
          <t>w=[0.55,0.45,0,0] thr=(+0.25,-0.05), deployed default (risk-accepted, PSR=0.0/perm p=0.150 at N=161, not rechecked at N=268)</t>
        </is>
      </c>
      <c r="W102" t="inlineStr">
        <is>
          <t>price signal — only this window shows an abnormal move</t>
        </is>
      </c>
      <c r="X102" t="inlineStr">
        <is>
          <t>NFLX</t>
        </is>
      </c>
      <c r="Y102" t="inlineStr">
        <is>
          <t>2025-07-17</t>
        </is>
      </c>
      <c r="Z102" t="n">
        <v>127.417</v>
      </c>
      <c r="AA102" t="inlineStr">
        <is>
          <t>2025-07-18</t>
        </is>
      </c>
      <c r="AB102" t="n">
        <v>124.196</v>
      </c>
      <c r="AC102" t="n">
        <v>-0.02527920921070188</v>
      </c>
      <c r="AD102" t="inlineStr">
        <is>
          <t>DOWN</t>
        </is>
      </c>
      <c r="AE102" t="inlineStr">
        <is>
          <t>NO</t>
        </is>
      </c>
      <c r="AF102" t="n">
        <v>0</v>
      </c>
      <c r="AG102">
        <f>IF($A102="","",IFERROR(INDEX(Company_List!$G$3:$G$207,MATCH($A102,Company_List!$A$3:$A$207,0)),"unassigned"))</f>
        <v/>
      </c>
      <c r="AH102" t="inlineStr">
        <is>
          <t>Phase 2/Netflix/2025-Q2/NFLX-2025-Q2-press-release-SEC-EX-99-1.htm</t>
        </is>
      </c>
      <c r="AI102" t="inlineStr">
        <is>
          <t>https://www.sec.gov/Archives/edgar/data/1065280/000106528025000322/ex991_q225.htm</t>
        </is>
      </c>
      <c r="AJ102" t="inlineStr">
        <is>
          <t>manifest</t>
        </is>
      </c>
      <c r="AK102">
        <f>IF($A102="","",IF(COUNTIFS(Human_Data_Entry!$A$3:$A$525,$A102)&gt;0,"YES","NO"))</f>
        <v/>
      </c>
      <c r="AL102">
        <f>IF($A102="","",IF(AND($C102&amp;"-"&amp;$D102&gt;=Settings!$B$19,$C102&amp;"-"&amp;$D102&lt;=Settings!$B$20),"IN","OUT"))</f>
        <v/>
      </c>
      <c r="AM102">
        <f>IF(AND(OR($H102="BUY",$H102="SELL"),ISNUMBER($T102)),$T102,"")</f>
        <v/>
      </c>
      <c r="AN102">
        <f>IF(AND(OR($H102="BUY",$H102="SELL"),ISNUMBER($AF102)),$AF102,"")</f>
        <v/>
      </c>
      <c r="AO102">
        <f>IF(ISNUMBER($AM102),ABS(IF(ISNUMBER($G102),$G102,0)-Settings!$B$25),"")</f>
        <v/>
      </c>
      <c r="AP102">
        <f>IF(ISNUMBER($AO102),$AO102*$AM102,"")</f>
        <v/>
      </c>
      <c r="AQ102">
        <f>IF(ISNUMBER($AN102),ABS(IF(ISNUMBER($G102),$G102,0)-Settings!$B$25),"")</f>
        <v/>
      </c>
      <c r="AR102">
        <f>IF(ISNUMBER($AQ102),$AQ102*$AN102,"")</f>
        <v/>
      </c>
      <c r="AS102">
        <f>IF($A102="","",IFERROR(INDEX(Company_List!$H$3:$H$207,MATCH($A102,Company_List!$A$3:$A$207,0)),"unassigned"))</f>
        <v/>
      </c>
      <c r="AT102" t="inlineStr">
        <is>
          <t>re-read since v1</t>
        </is>
      </c>
      <c r="AU102" t="inlineStr">
        <is>
          <t>Phase 2/Master_Data_v1.xlsx</t>
        </is>
      </c>
      <c r="AV102" t="n">
        <v>1</v>
      </c>
      <c r="AW102" t="inlineStr">
        <is>
          <t>not publisher-identified</t>
        </is>
      </c>
      <c r="AX102" t="inlineStr">
        <is>
          <t>not publisher-identified</t>
        </is>
      </c>
      <c r="AY102" t="inlineStr">
        <is>
          <t>no</t>
        </is>
      </c>
      <c r="AZ102" t="inlineStr">
        <is>
          <t>yes</t>
        </is>
      </c>
    </row>
    <row r="103">
      <c r="A103" s="115" t="inlineStr">
        <is>
          <t>Netflix</t>
        </is>
      </c>
      <c r="B103" s="117" t="inlineStr">
        <is>
          <t>NFLX</t>
        </is>
      </c>
      <c r="C103" s="105" t="n">
        <v>2025</v>
      </c>
      <c r="D103" s="106" t="inlineStr">
        <is>
          <t>Q3</t>
        </is>
      </c>
      <c r="E103" s="109" t="inlineStr">
        <is>
          <t>Ben/DeepSeek</t>
        </is>
      </c>
      <c r="F103" s="106" t="inlineStr">
        <is>
          <t>LLM</t>
        </is>
      </c>
      <c r="G103" s="128" t="n">
        <v>0.135</v>
      </c>
      <c r="H103" s="106" t="inlineStr">
        <is>
          <t>HOLD</t>
        </is>
      </c>
      <c r="I103" s="128" t="n"/>
      <c r="J103" s="125" t="n">
        <v>45951</v>
      </c>
      <c r="K103" s="126" t="n">
        <v>45951</v>
      </c>
      <c r="L103" s="129" t="n">
        <v>124.135</v>
      </c>
      <c r="M103" s="126" t="n">
        <v>45952</v>
      </c>
      <c r="N103" s="129" t="n">
        <v>114.29</v>
      </c>
      <c r="O103" s="132" t="n">
        <v>0.005811</v>
      </c>
      <c r="P103" s="107" t="n">
        <v>-0.079309</v>
      </c>
      <c r="Q103" s="106" t="inlineStr">
        <is>
          <t>DOWN</t>
        </is>
      </c>
      <c r="R103" s="106" t="inlineStr">
        <is>
          <t>NO</t>
        </is>
      </c>
      <c r="S103" s="105" t="n">
        <v>0</v>
      </c>
      <c r="T103" s="107" t="n">
        <v>0</v>
      </c>
      <c r="U103" s="130" t="inlineStr">
        <is>
          <t>w=[0.55,0.45,0,0] thr=(+0.25,-0.05), deployed default (risk-accepted, PSR=0.0/perm p=0.150 at N=161, not rechecked at N=268)</t>
        </is>
      </c>
      <c r="W103" t="inlineStr">
        <is>
          <t>release date + stated time in the document (rater worksheet)</t>
        </is>
      </c>
      <c r="X103" t="inlineStr">
        <is>
          <t>NFLX</t>
        </is>
      </c>
      <c r="Y103" t="inlineStr">
        <is>
          <t>2025-10-21</t>
        </is>
      </c>
      <c r="Z103" t="n">
        <v>124.135</v>
      </c>
      <c r="AA103" t="inlineStr">
        <is>
          <t>2025-10-22</t>
        </is>
      </c>
      <c r="AB103" t="n">
        <v>114.29</v>
      </c>
      <c r="AC103" t="n">
        <v>-0.07930882379169744</v>
      </c>
      <c r="AD103" t="inlineStr">
        <is>
          <t>DOWN</t>
        </is>
      </c>
      <c r="AE103" t="inlineStr">
        <is>
          <t>NO</t>
        </is>
      </c>
      <c r="AF103" t="n">
        <v>0</v>
      </c>
      <c r="AG103">
        <f>IF($A103="","",IFERROR(INDEX(Company_List!$G$3:$G$207,MATCH($A103,Company_List!$A$3:$A$207,0)),"unassigned"))</f>
        <v/>
      </c>
      <c r="AH103" t="inlineStr">
        <is>
          <t>Phase 2/Netflix/2025-Q3/NFLX-2025-Q3-press-release-SEC-EX-99-1.htm</t>
        </is>
      </c>
      <c r="AI103" t="inlineStr">
        <is>
          <t>https://www.sec.gov/Archives/edgar/data/1065280/000106528025000404/ex991_q325.htm</t>
        </is>
      </c>
      <c r="AJ103" t="inlineStr">
        <is>
          <t>manifest</t>
        </is>
      </c>
      <c r="AK103">
        <f>IF($A103="","",IF(COUNTIFS(Human_Data_Entry!$A$3:$A$525,$A103)&gt;0,"YES","NO"))</f>
        <v/>
      </c>
      <c r="AL103">
        <f>IF($A103="","",IF(AND($C103&amp;"-"&amp;$D103&gt;=Settings!$B$19,$C103&amp;"-"&amp;$D103&lt;=Settings!$B$20),"IN","OUT"))</f>
        <v/>
      </c>
      <c r="AM103">
        <f>IF(AND(OR($H103="BUY",$H103="SELL"),ISNUMBER($T103)),$T103,"")</f>
        <v/>
      </c>
      <c r="AN103">
        <f>IF(AND(OR($H103="BUY",$H103="SELL"),ISNUMBER($AF103)),$AF103,"")</f>
        <v/>
      </c>
      <c r="AO103">
        <f>IF(ISNUMBER($AM103),ABS(IF(ISNUMBER($G103),$G103,0)-Settings!$B$25),"")</f>
        <v/>
      </c>
      <c r="AP103">
        <f>IF(ISNUMBER($AO103),$AO103*$AM103,"")</f>
        <v/>
      </c>
      <c r="AQ103">
        <f>IF(ISNUMBER($AN103),ABS(IF(ISNUMBER($G103),$G103,0)-Settings!$B$25),"")</f>
        <v/>
      </c>
      <c r="AR103">
        <f>IF(ISNUMBER($AQ103),$AQ103*$AN103,"")</f>
        <v/>
      </c>
      <c r="AS103">
        <f>IF($A103="","",IFERROR(INDEX(Company_List!$H$3:$H$207,MATCH($A103,Company_List!$A$3:$A$207,0)),"unassigned"))</f>
        <v/>
      </c>
      <c r="AT103" t="inlineStr">
        <is>
          <t>re-read since v1</t>
        </is>
      </c>
      <c r="AU103" t="inlineStr">
        <is>
          <t>Phase 2/Master_Data_v1.xlsx</t>
        </is>
      </c>
      <c r="AV103" t="n">
        <v>1</v>
      </c>
      <c r="AW103" t="inlineStr">
        <is>
          <t>not publisher-identified</t>
        </is>
      </c>
      <c r="AX103" t="inlineStr">
        <is>
          <t>not publisher-identified</t>
        </is>
      </c>
      <c r="AY103" t="inlineStr">
        <is>
          <t>no</t>
        </is>
      </c>
      <c r="AZ103" t="inlineStr">
        <is>
          <t>yes</t>
        </is>
      </c>
    </row>
    <row r="104">
      <c r="A104" s="115" t="inlineStr">
        <is>
          <t>Netflix</t>
        </is>
      </c>
      <c r="B104" s="117" t="inlineStr">
        <is>
          <t>NFLX</t>
        </is>
      </c>
      <c r="C104" s="105" t="n">
        <v>2024</v>
      </c>
      <c r="D104" s="106" t="inlineStr">
        <is>
          <t>Q4</t>
        </is>
      </c>
      <c r="E104" s="109" t="inlineStr">
        <is>
          <t>Ben/DeepSeek</t>
        </is>
      </c>
      <c r="F104" s="106" t="inlineStr">
        <is>
          <t>LLM</t>
        </is>
      </c>
      <c r="G104" s="128" t="n">
        <v>0.8</v>
      </c>
      <c r="H104" s="106" t="inlineStr">
        <is>
          <t>BUY</t>
        </is>
      </c>
      <c r="I104" s="128" t="n"/>
      <c r="J104" s="125" t="n">
        <v>45678</v>
      </c>
      <c r="K104" s="126" t="n">
        <v>45678</v>
      </c>
      <c r="L104" s="129" t="n">
        <v>86.968</v>
      </c>
      <c r="M104" s="126" t="n">
        <v>45679</v>
      </c>
      <c r="N104" s="129" t="n">
        <v>99.8</v>
      </c>
      <c r="O104" s="132" t="n">
        <v>0.005691</v>
      </c>
      <c r="P104" s="107" t="n">
        <v>0.147583</v>
      </c>
      <c r="Q104" s="106" t="inlineStr">
        <is>
          <t>UP</t>
        </is>
      </c>
      <c r="R104" s="106" t="inlineStr">
        <is>
          <t>YES</t>
        </is>
      </c>
      <c r="S104" s="105" t="n">
        <v>1</v>
      </c>
      <c r="T104" s="107" t="n">
        <v>0.146583</v>
      </c>
      <c r="U104" s="130" t="inlineStr">
        <is>
          <t>w=[0.55,0.45,0,0] thr=(+0.25,-0.05), deployed default (risk-accepted, PSR=0.0/perm p=0.150 at N=161, not rechecked at N=268)</t>
        </is>
      </c>
      <c r="W104" t="inlineStr">
        <is>
          <t>release date + stated time in the document (rater worksheet)</t>
        </is>
      </c>
      <c r="X104" t="inlineStr">
        <is>
          <t>NFLX</t>
        </is>
      </c>
      <c r="Y104" t="inlineStr">
        <is>
          <t>2025-01-21</t>
        </is>
      </c>
      <c r="Z104" t="n">
        <v>86.968</v>
      </c>
      <c r="AA104" t="inlineStr">
        <is>
          <t>2025-01-22</t>
        </is>
      </c>
      <c r="AB104" t="n">
        <v>99.803</v>
      </c>
      <c r="AC104" t="n">
        <v>0.1475830041490432</v>
      </c>
      <c r="AD104" t="inlineStr">
        <is>
          <t>UP</t>
        </is>
      </c>
      <c r="AE104" t="inlineStr">
        <is>
          <t>YES</t>
        </is>
      </c>
      <c r="AF104" t="n">
        <v>0.146583</v>
      </c>
      <c r="AG104">
        <f>IF($A104="","",IFERROR(INDEX(Company_List!$G$3:$G$207,MATCH($A104,Company_List!$A$3:$A$207,0)),"unassigned"))</f>
        <v/>
      </c>
      <c r="AH104" t="inlineStr">
        <is>
          <t>Phase 2/Netflix/2024-Q4/NFLX-2024-Q4-press-release-SEC-EX-99-1.htm</t>
        </is>
      </c>
      <c r="AI104" t="inlineStr">
        <is>
          <t>https://www.sec.gov/Archives/edgar/data/1065280/000106528025000033/ex991_q424.htm</t>
        </is>
      </c>
      <c r="AJ104" t="inlineStr">
        <is>
          <t>manifest</t>
        </is>
      </c>
      <c r="AK104">
        <f>IF($A104="","",IF(COUNTIFS(Human_Data_Entry!$A$3:$A$525,$A104)&gt;0,"YES","NO"))</f>
        <v/>
      </c>
      <c r="AL104">
        <f>IF($A104="","",IF(AND($C104&amp;"-"&amp;$D104&gt;=Settings!$B$19,$C104&amp;"-"&amp;$D104&lt;=Settings!$B$20),"IN","OUT"))</f>
        <v/>
      </c>
      <c r="AM104">
        <f>IF(AND(OR($H104="BUY",$H104="SELL"),ISNUMBER($T104)),$T104,"")</f>
        <v/>
      </c>
      <c r="AN104">
        <f>IF(AND(OR($H104="BUY",$H104="SELL"),ISNUMBER($AF104)),$AF104,"")</f>
        <v/>
      </c>
      <c r="AO104">
        <f>IF(ISNUMBER($AM104),ABS(IF(ISNUMBER($G104),$G104,0)-Settings!$B$25),"")</f>
        <v/>
      </c>
      <c r="AP104">
        <f>IF(ISNUMBER($AO104),$AO104*$AM104,"")</f>
        <v/>
      </c>
      <c r="AQ104">
        <f>IF(ISNUMBER($AN104),ABS(IF(ISNUMBER($G104),$G104,0)-Settings!$B$25),"")</f>
        <v/>
      </c>
      <c r="AR104">
        <f>IF(ISNUMBER($AQ104),$AQ104*$AN104,"")</f>
        <v/>
      </c>
      <c r="AS104">
        <f>IF($A104="","",IFERROR(INDEX(Company_List!$H$3:$H$207,MATCH($A104,Company_List!$A$3:$A$207,0)),"unassigned"))</f>
        <v/>
      </c>
      <c r="AT104" t="inlineStr">
        <is>
          <t>re-read since v1</t>
        </is>
      </c>
      <c r="AU104" t="inlineStr">
        <is>
          <t>Phase 2/Master_Data_v1.xlsx</t>
        </is>
      </c>
      <c r="AV104" t="n">
        <v>1</v>
      </c>
      <c r="AW104" t="inlineStr">
        <is>
          <t>not publisher-identified</t>
        </is>
      </c>
      <c r="AX104" t="inlineStr">
        <is>
          <t>not publisher-identified</t>
        </is>
      </c>
      <c r="AY104" t="inlineStr">
        <is>
          <t>no</t>
        </is>
      </c>
      <c r="AZ104" t="inlineStr">
        <is>
          <t>yes</t>
        </is>
      </c>
    </row>
    <row r="105">
      <c r="A105" s="115" t="inlineStr">
        <is>
          <t>Netflix</t>
        </is>
      </c>
      <c r="B105" s="117" t="inlineStr">
        <is>
          <t>NFLX</t>
        </is>
      </c>
      <c r="C105" s="105" t="n">
        <v>2025</v>
      </c>
      <c r="D105" s="106" t="inlineStr">
        <is>
          <t>Q4</t>
        </is>
      </c>
      <c r="E105" s="109" t="inlineStr">
        <is>
          <t>Ben/DeepSeek</t>
        </is>
      </c>
      <c r="F105" s="106" t="inlineStr">
        <is>
          <t>LLM</t>
        </is>
      </c>
      <c r="G105" s="128" t="n">
        <v>0.4425</v>
      </c>
      <c r="H105" s="106" t="inlineStr">
        <is>
          <t>BUY</t>
        </is>
      </c>
      <c r="I105" s="128" t="n"/>
      <c r="J105" s="125" t="n">
        <v>46042</v>
      </c>
      <c r="K105" s="126" t="n">
        <v>46042</v>
      </c>
      <c r="L105" s="129" t="n">
        <v>87.26000000000001</v>
      </c>
      <c r="M105" s="126" t="n">
        <v>46043</v>
      </c>
      <c r="N105" s="129" t="n">
        <v>82.52</v>
      </c>
      <c r="O105" s="132" t="n">
        <v>0.008798</v>
      </c>
      <c r="P105" s="107" t="n">
        <v>-0.05432000000000001</v>
      </c>
      <c r="Q105" s="106" t="inlineStr">
        <is>
          <t>DOWN</t>
        </is>
      </c>
      <c r="R105" s="106" t="inlineStr">
        <is>
          <t>NO</t>
        </is>
      </c>
      <c r="S105" s="105" t="n">
        <v>1</v>
      </c>
      <c r="T105" s="107" t="n">
        <v>-0.05532</v>
      </c>
      <c r="U105" s="130" t="inlineStr">
        <is>
          <t>w=[0.55,0.45,0,0] thr=(+0.25,-0.05), deployed default (risk-accepted, PSR=0.0/perm p=0.150 at N=161, not rechecked at N=268)</t>
        </is>
      </c>
      <c r="W105" t="inlineStr">
        <is>
          <t>release date + stated time in the document (rater worksheet)</t>
        </is>
      </c>
      <c r="X105" t="inlineStr">
        <is>
          <t>NFLX</t>
        </is>
      </c>
      <c r="Y105" t="inlineStr">
        <is>
          <t>2026-01-20</t>
        </is>
      </c>
      <c r="Z105" t="n">
        <v>87.26000000000001</v>
      </c>
      <c r="AA105" t="inlineStr">
        <is>
          <t>2026-01-21</t>
        </is>
      </c>
      <c r="AB105" t="n">
        <v>82.52</v>
      </c>
      <c r="AC105" t="n">
        <v>-0.05432047778316572</v>
      </c>
      <c r="AD105" t="inlineStr">
        <is>
          <t>DOWN</t>
        </is>
      </c>
      <c r="AE105" t="inlineStr">
        <is>
          <t>NO</t>
        </is>
      </c>
      <c r="AF105" t="n">
        <v>-0.05532</v>
      </c>
      <c r="AG105">
        <f>IF($A105="","",IFERROR(INDEX(Company_List!$G$3:$G$207,MATCH($A105,Company_List!$A$3:$A$207,0)),"unassigned"))</f>
        <v/>
      </c>
      <c r="AH105" t="inlineStr">
        <is>
          <t>Phase 2/Netflix/2025-Q4/NFLX-2025-Q4-press-release-SEC-EX-99-1.htm</t>
        </is>
      </c>
      <c r="AI105" t="inlineStr">
        <is>
          <t>https://www.sec.gov/Archives/edgar/data/1065280/000106528026000033/ex991_q425.htm</t>
        </is>
      </c>
      <c r="AJ105" t="inlineStr">
        <is>
          <t>manifest</t>
        </is>
      </c>
      <c r="AK105">
        <f>IF($A105="","",IF(COUNTIFS(Human_Data_Entry!$A$3:$A$525,$A105)&gt;0,"YES","NO"))</f>
        <v/>
      </c>
      <c r="AL105">
        <f>IF($A105="","",IF(AND($C105&amp;"-"&amp;$D105&gt;=Settings!$B$19,$C105&amp;"-"&amp;$D105&lt;=Settings!$B$20),"IN","OUT"))</f>
        <v/>
      </c>
      <c r="AM105">
        <f>IF(AND(OR($H105="BUY",$H105="SELL"),ISNUMBER($T105)),$T105,"")</f>
        <v/>
      </c>
      <c r="AN105">
        <f>IF(AND(OR($H105="BUY",$H105="SELL"),ISNUMBER($AF105)),$AF105,"")</f>
        <v/>
      </c>
      <c r="AO105">
        <f>IF(ISNUMBER($AM105),ABS(IF(ISNUMBER($G105),$G105,0)-Settings!$B$25),"")</f>
        <v/>
      </c>
      <c r="AP105">
        <f>IF(ISNUMBER($AO105),$AO105*$AM105,"")</f>
        <v/>
      </c>
      <c r="AQ105">
        <f>IF(ISNUMBER($AN105),ABS(IF(ISNUMBER($G105),$G105,0)-Settings!$B$25),"")</f>
        <v/>
      </c>
      <c r="AR105">
        <f>IF(ISNUMBER($AQ105),$AQ105*$AN105,"")</f>
        <v/>
      </c>
      <c r="AS105">
        <f>IF($A105="","",IFERROR(INDEX(Company_List!$H$3:$H$207,MATCH($A105,Company_List!$A$3:$A$207,0)),"unassigned"))</f>
        <v/>
      </c>
      <c r="AT105" t="inlineStr">
        <is>
          <t>re-read since v1</t>
        </is>
      </c>
      <c r="AU105" t="inlineStr">
        <is>
          <t>Phase 2/Master_Data_v1.xlsx</t>
        </is>
      </c>
      <c r="AV105" t="n">
        <v>1</v>
      </c>
      <c r="AW105" t="inlineStr">
        <is>
          <t>not publisher-identified</t>
        </is>
      </c>
      <c r="AX105" t="inlineStr">
        <is>
          <t>not publisher-identified</t>
        </is>
      </c>
      <c r="AY105" t="inlineStr">
        <is>
          <t>no</t>
        </is>
      </c>
      <c r="AZ105" t="inlineStr">
        <is>
          <t>yes</t>
        </is>
      </c>
    </row>
    <row r="106">
      <c r="A106" s="115" t="inlineStr">
        <is>
          <t>Target</t>
        </is>
      </c>
      <c r="B106" s="117" t="inlineStr">
        <is>
          <t>TGT</t>
        </is>
      </c>
      <c r="C106" s="105" t="n">
        <v>2025</v>
      </c>
      <c r="D106" s="106" t="inlineStr">
        <is>
          <t>Q1</t>
        </is>
      </c>
      <c r="E106" s="109" t="inlineStr">
        <is>
          <t>Ben/DeepSeek</t>
        </is>
      </c>
      <c r="F106" s="106" t="inlineStr">
        <is>
          <t>LLM</t>
        </is>
      </c>
      <c r="G106" s="128" t="n">
        <v>-0.41</v>
      </c>
      <c r="H106" s="106" t="inlineStr">
        <is>
          <t>SELL</t>
        </is>
      </c>
      <c r="I106" s="128" t="n"/>
      <c r="J106" s="125" t="n">
        <v>45798</v>
      </c>
      <c r="K106" s="126" t="n">
        <v>45797</v>
      </c>
      <c r="L106" s="129" t="n">
        <v>98.12</v>
      </c>
      <c r="M106" s="126" t="n">
        <v>45798</v>
      </c>
      <c r="N106" s="129" t="n">
        <v>91.5</v>
      </c>
      <c r="O106" s="132" t="n">
        <v>0.008484999999999999</v>
      </c>
      <c r="P106" s="107" t="n">
        <v>-0.067468</v>
      </c>
      <c r="Q106" s="106" t="inlineStr">
        <is>
          <t>DOWN</t>
        </is>
      </c>
      <c r="R106" s="106" t="inlineStr">
        <is>
          <t>YES</t>
        </is>
      </c>
      <c r="S106" s="105" t="n">
        <v>-1</v>
      </c>
      <c r="T106" s="107" t="n">
        <v>0.066468</v>
      </c>
      <c r="U106" s="130" t="inlineStr">
        <is>
          <t>w=[0.55,0.45,0,0] thr=(+0.25,-0.05), deployed default (risk-accepted, PSR=0.0/perm p=0.150 at N=161, not rechecked at N=268)</t>
        </is>
      </c>
      <c r="W106" t="inlineStr">
        <is>
          <t>release date + stated time</t>
        </is>
      </c>
      <c r="X106" t="inlineStr">
        <is>
          <t>TGT</t>
        </is>
      </c>
      <c r="Y106" t="inlineStr">
        <is>
          <t>2025-05-20</t>
        </is>
      </c>
      <c r="Z106" t="n">
        <v>94.0057</v>
      </c>
      <c r="AA106" t="inlineStr">
        <is>
          <t>2025-05-21</t>
        </is>
      </c>
      <c r="AB106" t="n">
        <v>87.66330000000001</v>
      </c>
      <c r="AC106" t="n">
        <v>-0.06746838049408189</v>
      </c>
      <c r="AD106" t="inlineStr">
        <is>
          <t>DOWN</t>
        </is>
      </c>
      <c r="AE106" t="inlineStr">
        <is>
          <t>YES</t>
        </is>
      </c>
      <c r="AF106" t="n">
        <v>0.066468</v>
      </c>
      <c r="AG106">
        <f>IF($A106="","",IFERROR(INDEX(Company_List!$G$3:$G$207,MATCH($A106,Company_List!$A$3:$A$207,0)),"unassigned"))</f>
        <v/>
      </c>
      <c r="AH106" t="inlineStr">
        <is>
          <t>Phase 2/Target/2025-Q1/TGT-2025-Q1-press-release-SEC-EX-99.htm; Phase 2/Target/2025-Q1/TGT-2025-Q1-earnings-call-transcript-corporate-target-com.pdf</t>
        </is>
      </c>
      <c r="AI106" t="inlineStr">
        <is>
          <t>https://corporate.target.com/getmedia/9c383747-166d-4310-b91f-cd77b7d06433/2025-May-21-TGT-Transcript.pdf%C2%A0%C2%A0; https://www.sec.gov/Archives/edgar/data/27419/000002741925000096/a2025q1ex-99.htm</t>
        </is>
      </c>
      <c r="AJ106" t="inlineStr">
        <is>
          <t>manifest (whole bundle)</t>
        </is>
      </c>
      <c r="AK106">
        <f>IF($A106="","",IF(COUNTIFS(Human_Data_Entry!$A$3:$A$525,$A106)&gt;0,"YES","NO"))</f>
        <v/>
      </c>
      <c r="AL106">
        <f>IF($A106="","",IF(AND($C106&amp;"-"&amp;$D106&gt;=Settings!$B$19,$C106&amp;"-"&amp;$D106&lt;=Settings!$B$20),"IN","OUT"))</f>
        <v/>
      </c>
      <c r="AM106">
        <f>IF(AND(OR($H106="BUY",$H106="SELL"),ISNUMBER($T106)),$T106,"")</f>
        <v/>
      </c>
      <c r="AN106">
        <f>IF(AND(OR($H106="BUY",$H106="SELL"),ISNUMBER($AF106)),$AF106,"")</f>
        <v/>
      </c>
      <c r="AO106">
        <f>IF(ISNUMBER($AM106),ABS(IF(ISNUMBER($G106),$G106,0)-Settings!$B$25),"")</f>
        <v/>
      </c>
      <c r="AP106">
        <f>IF(ISNUMBER($AO106),$AO106*$AM106,"")</f>
        <v/>
      </c>
      <c r="AQ106">
        <f>IF(ISNUMBER($AN106),ABS(IF(ISNUMBER($G106),$G106,0)-Settings!$B$25),"")</f>
        <v/>
      </c>
      <c r="AR106">
        <f>IF(ISNUMBER($AQ106),$AQ106*$AN106,"")</f>
        <v/>
      </c>
      <c r="AS106">
        <f>IF($A106="","",IFERROR(INDEX(Company_List!$H$3:$H$207,MATCH($A106,Company_List!$A$3:$A$207,0)),"unassigned"))</f>
        <v/>
      </c>
      <c r="AT106" t="inlineStr">
        <is>
          <t>re-read since v1</t>
        </is>
      </c>
      <c r="AU106" t="inlineStr">
        <is>
          <t>Phase 2/Master_Data_v1.xlsx</t>
        </is>
      </c>
      <c r="AV106" t="n">
        <v>2</v>
      </c>
      <c r="AW106" t="inlineStr">
        <is>
          <t>Refinitiv / LSEG StreetEvents</t>
        </is>
      </c>
      <c r="AX106" t="inlineStr">
        <is>
          <t>licensed vendor</t>
        </is>
      </c>
      <c r="AY106" t="inlineStr">
        <is>
          <t>no</t>
        </is>
      </c>
      <c r="AZ106" t="inlineStr">
        <is>
          <t>yes</t>
        </is>
      </c>
    </row>
    <row r="107">
      <c r="A107" s="115" t="inlineStr">
        <is>
          <t>Target</t>
        </is>
      </c>
      <c r="B107" s="117" t="inlineStr">
        <is>
          <t>TGT</t>
        </is>
      </c>
      <c r="C107" s="105" t="n">
        <v>2026</v>
      </c>
      <c r="D107" s="106" t="inlineStr">
        <is>
          <t>Q1</t>
        </is>
      </c>
      <c r="E107" s="109" t="inlineStr">
        <is>
          <t>Ben/DeepSeek</t>
        </is>
      </c>
      <c r="F107" s="106" t="inlineStr">
        <is>
          <t>LLM</t>
        </is>
      </c>
      <c r="G107" s="128" t="n">
        <v>0.03</v>
      </c>
      <c r="H107" s="106" t="inlineStr">
        <is>
          <t>HOLD</t>
        </is>
      </c>
      <c r="I107" s="128" t="n"/>
      <c r="J107" s="125" t="n">
        <v>46162</v>
      </c>
      <c r="K107" s="126" t="n">
        <v>46161</v>
      </c>
      <c r="L107" s="129" t="n">
        <v>127.24</v>
      </c>
      <c r="M107" s="126" t="n">
        <v>46162</v>
      </c>
      <c r="N107" s="129" t="n">
        <v>120.21</v>
      </c>
      <c r="O107" s="132" t="n">
        <v>0.008872</v>
      </c>
      <c r="P107" s="107" t="n">
        <v>-0.05525</v>
      </c>
      <c r="Q107" s="106" t="inlineStr">
        <is>
          <t>DOWN</t>
        </is>
      </c>
      <c r="R107" s="106" t="inlineStr">
        <is>
          <t>NO</t>
        </is>
      </c>
      <c r="S107" s="105" t="n">
        <v>0</v>
      </c>
      <c r="T107" s="107" t="n">
        <v>0</v>
      </c>
      <c r="U107" s="130" t="inlineStr">
        <is>
          <t>w=[0.55,0.45,0,0] thr=(+0.25,-0.05), deployed default (risk-accepted, PSR=0.0/perm p=0.150 at N=161, not rechecked at N=268)</t>
        </is>
      </c>
      <c r="W107" t="inlineStr">
        <is>
          <t>release date + stated time</t>
        </is>
      </c>
      <c r="X107" t="inlineStr">
        <is>
          <t>TGT</t>
        </is>
      </c>
      <c r="Y107" t="inlineStr">
        <is>
          <t>2026-05-19</t>
        </is>
      </c>
      <c r="Z107" t="n">
        <v>127.24</v>
      </c>
      <c r="AA107" t="inlineStr">
        <is>
          <t>2026-05-20</t>
        </is>
      </c>
      <c r="AB107" t="n">
        <v>120.21</v>
      </c>
      <c r="AC107" t="n">
        <v>-0.05524991441763465</v>
      </c>
      <c r="AD107" t="inlineStr">
        <is>
          <t>DOWN</t>
        </is>
      </c>
      <c r="AE107" t="inlineStr">
        <is>
          <t>NO</t>
        </is>
      </c>
      <c r="AF107" t="n">
        <v>0</v>
      </c>
      <c r="AG107">
        <f>IF($A107="","",IFERROR(INDEX(Company_List!$G$3:$G$207,MATCH($A107,Company_List!$A$3:$A$207,0)),"unassigned"))</f>
        <v/>
      </c>
      <c r="AH107" t="inlineStr">
        <is>
          <t>Phase 2/Target/2026-Q1/TGT-2026-Q1-press-release-SEC-EX-99.htm; Phase 2/Target/2026-Q1/TGT-2026-Q1-earnings-call-transcript-fool-com.html</t>
        </is>
      </c>
      <c r="AI107" t="inlineStr">
        <is>
          <t>https://www.fool.com/earnings/call-transcripts/2026/05/20/target-tgt-q1-2026-earnings-call-transcript/; https://www.sec.gov/Archives/edgar/data/27419/000002741926000020/a2026q1ex-99.htm</t>
        </is>
      </c>
      <c r="AJ107" t="inlineStr">
        <is>
          <t>manifest (whole bundle)</t>
        </is>
      </c>
      <c r="AK107">
        <f>IF($A107="","",IF(COUNTIFS(Human_Data_Entry!$A$3:$A$525,$A107)&gt;0,"YES","NO"))</f>
        <v/>
      </c>
      <c r="AL107">
        <f>IF($A107="","",IF(AND($C107&amp;"-"&amp;$D107&gt;=Settings!$B$19,$C107&amp;"-"&amp;$D107&lt;=Settings!$B$20),"IN","OUT"))</f>
        <v/>
      </c>
      <c r="AM107">
        <f>IF(AND(OR($H107="BUY",$H107="SELL"),ISNUMBER($T107)),$T107,"")</f>
        <v/>
      </c>
      <c r="AN107">
        <f>IF(AND(OR($H107="BUY",$H107="SELL"),ISNUMBER($AF107)),$AF107,"")</f>
        <v/>
      </c>
      <c r="AO107">
        <f>IF(ISNUMBER($AM107),ABS(IF(ISNUMBER($G107),$G107,0)-Settings!$B$25),"")</f>
        <v/>
      </c>
      <c r="AP107">
        <f>IF(ISNUMBER($AO107),$AO107*$AM107,"")</f>
        <v/>
      </c>
      <c r="AQ107">
        <f>IF(ISNUMBER($AN107),ABS(IF(ISNUMBER($G107),$G107,0)-Settings!$B$25),"")</f>
        <v/>
      </c>
      <c r="AR107">
        <f>IF(ISNUMBER($AQ107),$AQ107*$AN107,"")</f>
        <v/>
      </c>
      <c r="AS107">
        <f>IF($A107="","",IFERROR(INDEX(Company_List!$H$3:$H$207,MATCH($A107,Company_List!$A$3:$A$207,0)),"unassigned"))</f>
        <v/>
      </c>
      <c r="AT107" t="inlineStr">
        <is>
          <t>re-read since v1</t>
        </is>
      </c>
      <c r="AU107" t="inlineStr">
        <is>
          <t>Phase 2/Master_Data_v1.xlsx</t>
        </is>
      </c>
      <c r="AV107" t="n">
        <v>2</v>
      </c>
      <c r="AW107" t="inlineStr">
        <is>
          <t>The Motley Fool</t>
        </is>
      </c>
      <c r="AX107" t="inlineStr">
        <is>
          <t>free to read, copyright asserted</t>
        </is>
      </c>
      <c r="AY107" t="inlineStr">
        <is>
          <t>no</t>
        </is>
      </c>
      <c r="AZ107" t="inlineStr">
        <is>
          <t>yes</t>
        </is>
      </c>
    </row>
    <row r="108">
      <c r="A108" s="115" t="inlineStr">
        <is>
          <t>Target</t>
        </is>
      </c>
      <c r="B108" s="117" t="inlineStr">
        <is>
          <t>TGT</t>
        </is>
      </c>
      <c r="C108" s="105" t="n">
        <v>2025</v>
      </c>
      <c r="D108" s="106" t="inlineStr">
        <is>
          <t>Q2</t>
        </is>
      </c>
      <c r="E108" s="109" t="inlineStr">
        <is>
          <t>Ben/DeepSeek</t>
        </is>
      </c>
      <c r="F108" s="106" t="inlineStr">
        <is>
          <t>LLM</t>
        </is>
      </c>
      <c r="G108" s="128" t="n">
        <v>0</v>
      </c>
      <c r="H108" s="106" t="inlineStr">
        <is>
          <t>HOLD</t>
        </is>
      </c>
      <c r="I108" s="128" t="n"/>
      <c r="J108" s="125" t="n">
        <v>45889</v>
      </c>
      <c r="K108" s="126" t="n">
        <v>45888</v>
      </c>
      <c r="L108" s="129" t="n">
        <v>105.36</v>
      </c>
      <c r="M108" s="126" t="n">
        <v>45889</v>
      </c>
      <c r="N108" s="129" t="n">
        <v>94.41</v>
      </c>
      <c r="O108" s="132" t="n">
        <v>0.008658000000000001</v>
      </c>
      <c r="P108" s="107" t="n">
        <v>-0.103929</v>
      </c>
      <c r="Q108" s="106" t="inlineStr">
        <is>
          <t>DOWN</t>
        </is>
      </c>
      <c r="R108" s="106" t="inlineStr">
        <is>
          <t>NO</t>
        </is>
      </c>
      <c r="S108" s="105" t="n">
        <v>0</v>
      </c>
      <c r="T108" s="107" t="n">
        <v>0</v>
      </c>
      <c r="U108" s="130" t="inlineStr">
        <is>
          <t>w=[0.55,0.45,0,0] thr=(+0.25,-0.05), deployed default (risk-accepted, PSR=0.0/perm p=0.150 at N=161, not rechecked at N=268)</t>
        </is>
      </c>
      <c r="W108" t="inlineStr">
        <is>
          <t>release date + stated time</t>
        </is>
      </c>
      <c r="X108" t="inlineStr">
        <is>
          <t>TGT</t>
        </is>
      </c>
      <c r="Y108" t="inlineStr">
        <is>
          <t>2025-08-19</t>
        </is>
      </c>
      <c r="Z108" t="n">
        <v>102.0369</v>
      </c>
      <c r="AA108" t="inlineStr">
        <is>
          <t>2025-08-20</t>
        </is>
      </c>
      <c r="AB108" t="n">
        <v>91.43219999999999</v>
      </c>
      <c r="AC108" t="n">
        <v>-0.1039292512694035</v>
      </c>
      <c r="AD108" t="inlineStr">
        <is>
          <t>DOWN</t>
        </is>
      </c>
      <c r="AE108" t="inlineStr">
        <is>
          <t>NO</t>
        </is>
      </c>
      <c r="AF108" t="n">
        <v>0</v>
      </c>
      <c r="AG108">
        <f>IF($A108="","",IFERROR(INDEX(Company_List!$G$3:$G$207,MATCH($A108,Company_List!$A$3:$A$207,0)),"unassigned"))</f>
        <v/>
      </c>
      <c r="AH108" t="inlineStr">
        <is>
          <t>Phase 2/Target/2025-Q2/TGT-2025-Q2-press-release-SEC-EX-99.htm; Phase 2/Target/2025-Q2/TGT-2025-Q2-earnings-call-transcript-corporate-target-com.pdf</t>
        </is>
      </c>
      <c r="AI108" t="inlineStr">
        <is>
          <t>https://corporate.target.com/getmedia/c5751599-850d-4bb0-b599-d8ac55a91156/2025-august-20-tgt-transcript.pdf; https://www.sec.gov/Archives/edgar/data/27419/000002741925000115/a2025q2ex-99.htm</t>
        </is>
      </c>
      <c r="AJ108" t="inlineStr">
        <is>
          <t>manifest (whole bundle)</t>
        </is>
      </c>
      <c r="AK108">
        <f>IF($A108="","",IF(COUNTIFS(Human_Data_Entry!$A$3:$A$525,$A108)&gt;0,"YES","NO"))</f>
        <v/>
      </c>
      <c r="AL108">
        <f>IF($A108="","",IF(AND($C108&amp;"-"&amp;$D108&gt;=Settings!$B$19,$C108&amp;"-"&amp;$D108&lt;=Settings!$B$20),"IN","OUT"))</f>
        <v/>
      </c>
      <c r="AM108">
        <f>IF(AND(OR($H108="BUY",$H108="SELL"),ISNUMBER($T108)),$T108,"")</f>
        <v/>
      </c>
      <c r="AN108">
        <f>IF(AND(OR($H108="BUY",$H108="SELL"),ISNUMBER($AF108)),$AF108,"")</f>
        <v/>
      </c>
      <c r="AO108">
        <f>IF(ISNUMBER($AM108),ABS(IF(ISNUMBER($G108),$G108,0)-Settings!$B$25),"")</f>
        <v/>
      </c>
      <c r="AP108">
        <f>IF(ISNUMBER($AO108),$AO108*$AM108,"")</f>
        <v/>
      </c>
      <c r="AQ108">
        <f>IF(ISNUMBER($AN108),ABS(IF(ISNUMBER($G108),$G108,0)-Settings!$B$25),"")</f>
        <v/>
      </c>
      <c r="AR108">
        <f>IF(ISNUMBER($AQ108),$AQ108*$AN108,"")</f>
        <v/>
      </c>
      <c r="AS108">
        <f>IF($A108="","",IFERROR(INDEX(Company_List!$H$3:$H$207,MATCH($A108,Company_List!$A$3:$A$207,0)),"unassigned"))</f>
        <v/>
      </c>
      <c r="AT108" t="inlineStr">
        <is>
          <t>re-read since v1</t>
        </is>
      </c>
      <c r="AU108" t="inlineStr">
        <is>
          <t>Phase 2/Master_Data_v1.xlsx</t>
        </is>
      </c>
      <c r="AV108" t="n">
        <v>2</v>
      </c>
      <c r="AW108" t="inlineStr">
        <is>
          <t>Refinitiv / LSEG StreetEvents</t>
        </is>
      </c>
      <c r="AX108" t="inlineStr">
        <is>
          <t>licensed vendor</t>
        </is>
      </c>
      <c r="AY108" t="inlineStr">
        <is>
          <t>no</t>
        </is>
      </c>
      <c r="AZ108" t="inlineStr">
        <is>
          <t>yes</t>
        </is>
      </c>
    </row>
    <row r="109">
      <c r="A109" s="115" t="inlineStr">
        <is>
          <t>Target</t>
        </is>
      </c>
      <c r="B109" s="117" t="inlineStr">
        <is>
          <t>TGT</t>
        </is>
      </c>
      <c r="C109" s="105" t="n">
        <v>2025</v>
      </c>
      <c r="D109" s="106" t="inlineStr">
        <is>
          <t>Q3</t>
        </is>
      </c>
      <c r="E109" s="109" t="inlineStr">
        <is>
          <t>Ben/DeepSeek</t>
        </is>
      </c>
      <c r="F109" s="106" t="inlineStr">
        <is>
          <t>LLM</t>
        </is>
      </c>
      <c r="G109" s="128" t="n">
        <v>-0.23</v>
      </c>
      <c r="H109" s="106" t="inlineStr">
        <is>
          <t>SELL</t>
        </is>
      </c>
      <c r="I109" s="128" t="n"/>
      <c r="J109" s="125" t="n">
        <v>45980</v>
      </c>
      <c r="K109" s="126" t="n">
        <v>45979</v>
      </c>
      <c r="L109" s="129" t="n">
        <v>88.53</v>
      </c>
      <c r="M109" s="126" t="n">
        <v>45980</v>
      </c>
      <c r="N109" s="129" t="n">
        <v>86.42</v>
      </c>
      <c r="O109" s="132" t="n">
        <v>0.008777999999999999</v>
      </c>
      <c r="P109" s="107" t="n">
        <v>-0.023834</v>
      </c>
      <c r="Q109" s="106" t="inlineStr">
        <is>
          <t>DOWN</t>
        </is>
      </c>
      <c r="R109" s="106" t="inlineStr">
        <is>
          <t>YES</t>
        </is>
      </c>
      <c r="S109" s="105" t="n">
        <v>-1</v>
      </c>
      <c r="T109" s="107" t="n">
        <v>0.022834</v>
      </c>
      <c r="U109" s="130" t="inlineStr">
        <is>
          <t>w=[0.55,0.45,0,0] thr=(+0.25,-0.05), deployed default (risk-accepted, PSR=0.0/perm p=0.150 at N=161, not rechecked at N=268)</t>
        </is>
      </c>
      <c r="W109" t="inlineStr">
        <is>
          <t>release date + stated time</t>
        </is>
      </c>
      <c r="X109" t="inlineStr">
        <is>
          <t>TGT</t>
        </is>
      </c>
      <c r="Y109" t="inlineStr">
        <is>
          <t>2025-11-18</t>
        </is>
      </c>
      <c r="Z109" t="n">
        <v>86.8184</v>
      </c>
      <c r="AA109" t="inlineStr">
        <is>
          <t>2025-11-19</t>
        </is>
      </c>
      <c r="AB109" t="n">
        <v>84.7492</v>
      </c>
      <c r="AC109" t="n">
        <v>-0.02383377009660183</v>
      </c>
      <c r="AD109" t="inlineStr">
        <is>
          <t>DOWN</t>
        </is>
      </c>
      <c r="AE109" t="inlineStr">
        <is>
          <t>YES</t>
        </is>
      </c>
      <c r="AF109" t="n">
        <v>0.022834</v>
      </c>
      <c r="AG109">
        <f>IF($A109="","",IFERROR(INDEX(Company_List!$G$3:$G$207,MATCH($A109,Company_List!$A$3:$A$207,0)),"unassigned"))</f>
        <v/>
      </c>
      <c r="AH109" t="inlineStr">
        <is>
          <t>Phase 2/Target/2025-Q3/TGT-2025-Q3-press-release-SEC-EX-99.htm; Phase 2/Target/2025-Q3/TGT-2025-Q3-earnings-call-transcript-corporate-target-com.pdf</t>
        </is>
      </c>
      <c r="AI109" t="inlineStr">
        <is>
          <t>https://corporate.target.com/getmedia/1b701222-ff3c-4f65-b4b7-d0de5511f9a4/TGT-Transcript-2025-11-19.pdf; https://www.sec.gov/Archives/edgar/data/27419/000002741925000123/a2025q3ex-99.htm</t>
        </is>
      </c>
      <c r="AJ109" t="inlineStr">
        <is>
          <t>manifest (whole bundle)</t>
        </is>
      </c>
      <c r="AK109">
        <f>IF($A109="","",IF(COUNTIFS(Human_Data_Entry!$A$3:$A$525,$A109)&gt;0,"YES","NO"))</f>
        <v/>
      </c>
      <c r="AL109">
        <f>IF($A109="","",IF(AND($C109&amp;"-"&amp;$D109&gt;=Settings!$B$19,$C109&amp;"-"&amp;$D109&lt;=Settings!$B$20),"IN","OUT"))</f>
        <v/>
      </c>
      <c r="AM109">
        <f>IF(AND(OR($H109="BUY",$H109="SELL"),ISNUMBER($T109)),$T109,"")</f>
        <v/>
      </c>
      <c r="AN109">
        <f>IF(AND(OR($H109="BUY",$H109="SELL"),ISNUMBER($AF109)),$AF109,"")</f>
        <v/>
      </c>
      <c r="AO109">
        <f>IF(ISNUMBER($AM109),ABS(IF(ISNUMBER($G109),$G109,0)-Settings!$B$25),"")</f>
        <v/>
      </c>
      <c r="AP109">
        <f>IF(ISNUMBER($AO109),$AO109*$AM109,"")</f>
        <v/>
      </c>
      <c r="AQ109">
        <f>IF(ISNUMBER($AN109),ABS(IF(ISNUMBER($G109),$G109,0)-Settings!$B$25),"")</f>
        <v/>
      </c>
      <c r="AR109">
        <f>IF(ISNUMBER($AQ109),$AQ109*$AN109,"")</f>
        <v/>
      </c>
      <c r="AS109">
        <f>IF($A109="","",IFERROR(INDEX(Company_List!$H$3:$H$207,MATCH($A109,Company_List!$A$3:$A$207,0)),"unassigned"))</f>
        <v/>
      </c>
      <c r="AT109" t="inlineStr">
        <is>
          <t>re-read since v1</t>
        </is>
      </c>
      <c r="AU109" t="inlineStr">
        <is>
          <t>Phase 2/Master_Data_v1.xlsx</t>
        </is>
      </c>
      <c r="AV109" t="n">
        <v>2</v>
      </c>
      <c r="AW109" t="inlineStr">
        <is>
          <t>Refinitiv / LSEG StreetEvents</t>
        </is>
      </c>
      <c r="AX109" t="inlineStr">
        <is>
          <t>licensed vendor</t>
        </is>
      </c>
      <c r="AY109" t="inlineStr">
        <is>
          <t>no</t>
        </is>
      </c>
      <c r="AZ109" t="inlineStr">
        <is>
          <t>yes</t>
        </is>
      </c>
    </row>
    <row r="110">
      <c r="A110" s="115" t="inlineStr">
        <is>
          <t>Barclays</t>
        </is>
      </c>
      <c r="B110" s="117" t="inlineStr">
        <is>
          <t>BCS</t>
        </is>
      </c>
      <c r="C110" s="105" t="n">
        <v>2026</v>
      </c>
      <c r="D110" s="106" t="inlineStr">
        <is>
          <t>Q1</t>
        </is>
      </c>
      <c r="E110" s="109" t="inlineStr">
        <is>
          <t>Ben/DeepSeek</t>
        </is>
      </c>
      <c r="F110" s="106" t="inlineStr">
        <is>
          <t>LLM</t>
        </is>
      </c>
      <c r="G110" s="128" t="n">
        <v>-0.0525</v>
      </c>
      <c r="H110" s="106" t="inlineStr">
        <is>
          <t>SELL</t>
        </is>
      </c>
      <c r="I110" s="128" t="n"/>
      <c r="J110" s="125" t="n">
        <v>46140</v>
      </c>
      <c r="K110" s="126" t="n">
        <v>46139</v>
      </c>
      <c r="L110" s="129" t="n">
        <v>23.09</v>
      </c>
      <c r="M110" s="126" t="n">
        <v>46140</v>
      </c>
      <c r="N110" s="129" t="n">
        <v>22.92</v>
      </c>
      <c r="O110" s="132" t="n">
        <v>0.016143</v>
      </c>
      <c r="P110" s="107" t="n">
        <v>-0.007362</v>
      </c>
      <c r="Q110" s="106" t="inlineStr">
        <is>
          <t>FLAT</t>
        </is>
      </c>
      <c r="R110" s="106" t="inlineStr">
        <is>
          <t>NO</t>
        </is>
      </c>
      <c r="S110" s="105" t="n">
        <v>-1</v>
      </c>
      <c r="T110" s="107" t="n">
        <v>0.006362</v>
      </c>
      <c r="U110" s="130" t="inlineStr">
        <is>
          <t>w=[0.55,0.45,0,0] thr=(+0.25,-0.05), deployed default (risk-accepted, PSR=0.0/perm p=0.150 at N=161, not rechecked at N=268)</t>
        </is>
      </c>
      <c r="W110" t="inlineStr">
        <is>
          <t>repriced on the issuer's primary listing</t>
        </is>
      </c>
      <c r="X110" t="inlineStr">
        <is>
          <t>BARC.L</t>
        </is>
      </c>
      <c r="Y110" t="inlineStr">
        <is>
          <t>2026-04-27</t>
        </is>
      </c>
      <c r="Z110" t="n">
        <v>427.3522</v>
      </c>
      <c r="AA110" t="inlineStr">
        <is>
          <t>2026-04-28</t>
        </is>
      </c>
      <c r="AB110" t="n">
        <v>417.9532</v>
      </c>
      <c r="AC110" t="n">
        <v>-0.02199344444484191</v>
      </c>
      <c r="AD110" t="inlineStr">
        <is>
          <t>DOWN</t>
        </is>
      </c>
      <c r="AE110" t="inlineStr">
        <is>
          <t>YES</t>
        </is>
      </c>
      <c r="AF110" t="n">
        <v>0.020993</v>
      </c>
      <c r="AG110">
        <f>IF($A110="","",IFERROR(INDEX(Company_List!$G$3:$G$207,MATCH($A110,Company_List!$A$3:$A$207,0)),"unassigned"))</f>
        <v/>
      </c>
      <c r="AH110" t="inlineStr">
        <is>
          <t>Phase 2/Barclays/2026-Q1/BCS-2026-Q1-results-SEC-6-K.htm; Phase 2/Barclays/2026-Q1/BCS-2026-Q1-earnings-call-transcript-home-barclays.pdf</t>
        </is>
      </c>
      <c r="AI110" t="inlineStr">
        <is>
          <t>https://home.barclays/content/dam/home-barclays/documents/investor-relations/ResultAnnouncements/Q12026Results/Q126%20Results%20QA%20transcript.pdf; https://www.sec.gov/Archives/edgar/data/312069/000165495426003973/a1071c.htm</t>
        </is>
      </c>
      <c r="AJ110" t="inlineStr">
        <is>
          <t>manifest (whole bundle)</t>
        </is>
      </c>
      <c r="AK110">
        <f>IF($A110="","",IF(COUNTIFS(Human_Data_Entry!$A$3:$A$525,$A110)&gt;0,"YES","NO"))</f>
        <v/>
      </c>
      <c r="AL110">
        <f>IF($A110="","",IF(AND($C110&amp;"-"&amp;$D110&gt;=Settings!$B$19,$C110&amp;"-"&amp;$D110&lt;=Settings!$B$20),"IN","OUT"))</f>
        <v/>
      </c>
      <c r="AM110">
        <f>IF(AND(OR($H110="BUY",$H110="SELL"),ISNUMBER($T110)),$T110,"")</f>
        <v/>
      </c>
      <c r="AN110">
        <f>IF(AND(OR($H110="BUY",$H110="SELL"),ISNUMBER($AF110)),$AF110,"")</f>
        <v/>
      </c>
      <c r="AO110">
        <f>IF(ISNUMBER($AM110),ABS(IF(ISNUMBER($G110),$G110,0)-Settings!$B$25),"")</f>
        <v/>
      </c>
      <c r="AP110">
        <f>IF(ISNUMBER($AO110),$AO110*$AM110,"")</f>
        <v/>
      </c>
      <c r="AQ110">
        <f>IF(ISNUMBER($AN110),ABS(IF(ISNUMBER($G110),$G110,0)-Settings!$B$25),"")</f>
        <v/>
      </c>
      <c r="AR110">
        <f>IF(ISNUMBER($AQ110),$AQ110*$AN110,"")</f>
        <v/>
      </c>
      <c r="AS110">
        <f>IF($A110="","",IFERROR(INDEX(Company_List!$H$3:$H$207,MATCH($A110,Company_List!$A$3:$A$207,0)),"unassigned"))</f>
        <v/>
      </c>
      <c r="AT110" t="inlineStr">
        <is>
          <t>re-read since v1</t>
        </is>
      </c>
      <c r="AU110" t="inlineStr">
        <is>
          <t>Phase 2/Master_Data_v1.xlsx</t>
        </is>
      </c>
      <c r="AV110" t="n">
        <v>2</v>
      </c>
      <c r="AW110" t="inlineStr">
        <is>
          <t>not publisher-identified</t>
        </is>
      </c>
      <c r="AX110" t="inlineStr">
        <is>
          <t>not publisher-identified</t>
        </is>
      </c>
      <c r="AY110" t="inlineStr">
        <is>
          <t>no</t>
        </is>
      </c>
      <c r="AZ110" t="inlineStr">
        <is>
          <t>yes</t>
        </is>
      </c>
    </row>
    <row r="111">
      <c r="A111" s="115" t="inlineStr">
        <is>
          <t>Barclays</t>
        </is>
      </c>
      <c r="B111" s="117" t="inlineStr">
        <is>
          <t>BCS</t>
        </is>
      </c>
      <c r="C111" s="105" t="n">
        <v>2025</v>
      </c>
      <c r="D111" s="106" t="inlineStr">
        <is>
          <t>Q2</t>
        </is>
      </c>
      <c r="E111" s="109" t="inlineStr">
        <is>
          <t>Ben/DeepSeek</t>
        </is>
      </c>
      <c r="F111" s="106" t="inlineStr">
        <is>
          <t>LLM</t>
        </is>
      </c>
      <c r="G111" s="128" t="n">
        <v>0.1825</v>
      </c>
      <c r="H111" s="106" t="inlineStr">
        <is>
          <t>HOLD</t>
        </is>
      </c>
      <c r="I111" s="128" t="n"/>
      <c r="J111" s="125" t="n">
        <v>45867</v>
      </c>
      <c r="K111" s="126" t="n">
        <v>45866</v>
      </c>
      <c r="L111" s="129" t="n">
        <v>19.41</v>
      </c>
      <c r="M111" s="126" t="n">
        <v>45867</v>
      </c>
      <c r="N111" s="129" t="n">
        <v>19.82</v>
      </c>
      <c r="O111" s="132" t="n">
        <v>0.027562</v>
      </c>
      <c r="P111" s="107" t="n">
        <v>0.021123</v>
      </c>
      <c r="Q111" s="106" t="inlineStr">
        <is>
          <t>UP</t>
        </is>
      </c>
      <c r="R111" s="106" t="inlineStr">
        <is>
          <t>NO</t>
        </is>
      </c>
      <c r="S111" s="105" t="n">
        <v>0</v>
      </c>
      <c r="T111" s="107" t="n">
        <v>0</v>
      </c>
      <c r="U111" s="130" t="inlineStr">
        <is>
          <t>w=[0.55,0.45,0,0] thr=(+0.25,-0.05), deployed default (risk-accepted, PSR=0.0/perm p=0.150 at N=161, not rechecked at N=268)</t>
        </is>
      </c>
      <c r="W111" t="inlineStr">
        <is>
          <t>repriced on the issuer's primary listing</t>
        </is>
      </c>
      <c r="X111" t="inlineStr">
        <is>
          <t>BARC.L</t>
        </is>
      </c>
      <c r="Y111" t="inlineStr">
        <is>
          <t>2025-07-28</t>
        </is>
      </c>
      <c r="Z111" t="n">
        <v>361.0883</v>
      </c>
      <c r="AA111" t="inlineStr">
        <is>
          <t>2025-07-29</t>
        </is>
      </c>
      <c r="AB111" t="n">
        <v>359.4888</v>
      </c>
      <c r="AC111" t="n">
        <v>-0.004429665367434825</v>
      </c>
      <c r="AD111" t="inlineStr">
        <is>
          <t>FLAT</t>
        </is>
      </c>
      <c r="AE111" t="inlineStr">
        <is>
          <t>YES</t>
        </is>
      </c>
      <c r="AF111" t="n">
        <v>0</v>
      </c>
      <c r="AG111">
        <f>IF($A111="","",IFERROR(INDEX(Company_List!$G$3:$G$207,MATCH($A111,Company_List!$A$3:$A$207,0)),"unassigned"))</f>
        <v/>
      </c>
      <c r="AH111" t="inlineStr">
        <is>
          <t>Phase 2/Barclays/2025-Q2/BCS-2025-Q2-results-SEC-6-K.htm; Phase 2/Barclays/2025-Q2/BCS-2025-Q2-earnings-call-transcript-home-barclays.pdf</t>
        </is>
      </c>
      <c r="AI111" t="inlineStr">
        <is>
          <t>https://home.barclays/content/dam/home-barclays/documents/investor-relations/ResultAnnouncements/H12025Results/Q225-Q&amp;A-Transcript.pdf; https://www.sec.gov/Archives/edgar/data/312069/000165495425008608/a8909s.htm</t>
        </is>
      </c>
      <c r="AJ111" t="inlineStr">
        <is>
          <t>manifest (whole bundle)</t>
        </is>
      </c>
      <c r="AK111">
        <f>IF($A111="","",IF(COUNTIFS(Human_Data_Entry!$A$3:$A$525,$A111)&gt;0,"YES","NO"))</f>
        <v/>
      </c>
      <c r="AL111">
        <f>IF($A111="","",IF(AND($C111&amp;"-"&amp;$D111&gt;=Settings!$B$19,$C111&amp;"-"&amp;$D111&lt;=Settings!$B$20),"IN","OUT"))</f>
        <v/>
      </c>
      <c r="AM111">
        <f>IF(AND(OR($H111="BUY",$H111="SELL"),ISNUMBER($T111)),$T111,"")</f>
        <v/>
      </c>
      <c r="AN111">
        <f>IF(AND(OR($H111="BUY",$H111="SELL"),ISNUMBER($AF111)),$AF111,"")</f>
        <v/>
      </c>
      <c r="AO111">
        <f>IF(ISNUMBER($AM111),ABS(IF(ISNUMBER($G111),$G111,0)-Settings!$B$25),"")</f>
        <v/>
      </c>
      <c r="AP111">
        <f>IF(ISNUMBER($AO111),$AO111*$AM111,"")</f>
        <v/>
      </c>
      <c r="AQ111">
        <f>IF(ISNUMBER($AN111),ABS(IF(ISNUMBER($G111),$G111,0)-Settings!$B$25),"")</f>
        <v/>
      </c>
      <c r="AR111">
        <f>IF(ISNUMBER($AQ111),$AQ111*$AN111,"")</f>
        <v/>
      </c>
      <c r="AS111">
        <f>IF($A111="","",IFERROR(INDEX(Company_List!$H$3:$H$207,MATCH($A111,Company_List!$A$3:$A$207,0)),"unassigned"))</f>
        <v/>
      </c>
      <c r="AT111" t="inlineStr">
        <is>
          <t>re-read since v1</t>
        </is>
      </c>
      <c r="AU111" t="inlineStr">
        <is>
          <t>Phase 2/Master_Data_v1.xlsx</t>
        </is>
      </c>
      <c r="AV111" t="n">
        <v>2</v>
      </c>
      <c r="AW111" t="inlineStr">
        <is>
          <t>not publisher-identified</t>
        </is>
      </c>
      <c r="AX111" t="inlineStr">
        <is>
          <t>not publisher-identified</t>
        </is>
      </c>
      <c r="AY111" t="inlineStr">
        <is>
          <t>no</t>
        </is>
      </c>
      <c r="AZ111" t="inlineStr">
        <is>
          <t>yes</t>
        </is>
      </c>
    </row>
    <row r="112">
      <c r="A112" s="115" t="inlineStr">
        <is>
          <t>Barclays</t>
        </is>
      </c>
      <c r="B112" s="117" t="inlineStr">
        <is>
          <t>BCS</t>
        </is>
      </c>
      <c r="C112" s="105" t="n">
        <v>2025</v>
      </c>
      <c r="D112" s="106" t="inlineStr">
        <is>
          <t>Q3</t>
        </is>
      </c>
      <c r="E112" s="109" t="inlineStr">
        <is>
          <t>Ben/DeepSeek</t>
        </is>
      </c>
      <c r="F112" s="106" t="inlineStr">
        <is>
          <t>LLM</t>
        </is>
      </c>
      <c r="G112" s="128" t="n">
        <v>0.3275</v>
      </c>
      <c r="H112" s="106" t="inlineStr">
        <is>
          <t>BUY</t>
        </is>
      </c>
      <c r="I112" s="128" t="n"/>
      <c r="J112" s="125" t="n">
        <v>45952</v>
      </c>
      <c r="K112" s="126" t="n">
        <v>45951</v>
      </c>
      <c r="L112" s="129" t="n">
        <v>19.49</v>
      </c>
      <c r="M112" s="126" t="n">
        <v>45952</v>
      </c>
      <c r="N112" s="129" t="n">
        <v>20.47</v>
      </c>
      <c r="O112" s="132" t="n">
        <v>0.017673</v>
      </c>
      <c r="P112" s="107" t="n">
        <v>0.050282</v>
      </c>
      <c r="Q112" s="106" t="inlineStr">
        <is>
          <t>UP</t>
        </is>
      </c>
      <c r="R112" s="106" t="inlineStr">
        <is>
          <t>YES</t>
        </is>
      </c>
      <c r="S112" s="105" t="n">
        <v>1</v>
      </c>
      <c r="T112" s="107" t="n">
        <v>0.049282</v>
      </c>
      <c r="U112" s="130" t="inlineStr">
        <is>
          <t>w=[0.55,0.45,0,0] thr=(+0.25,-0.05), deployed default (risk-accepted, PSR=0.0/perm p=0.150 at N=161, not rechecked at N=268)</t>
        </is>
      </c>
      <c r="W112" t="inlineStr">
        <is>
          <t>repriced on the issuer's primary listing</t>
        </is>
      </c>
      <c r="X112" t="inlineStr">
        <is>
          <t>BARC.L</t>
        </is>
      </c>
      <c r="Y112" t="inlineStr">
        <is>
          <t>2025-10-21</t>
        </is>
      </c>
      <c r="Z112" t="n">
        <v>364.1673</v>
      </c>
      <c r="AA112" t="inlineStr">
        <is>
          <t>2025-10-22</t>
        </is>
      </c>
      <c r="AB112" t="n">
        <v>372.4154</v>
      </c>
      <c r="AC112" t="n">
        <v>0.02264928506958951</v>
      </c>
      <c r="AD112" t="inlineStr">
        <is>
          <t>UP</t>
        </is>
      </c>
      <c r="AE112" t="inlineStr">
        <is>
          <t>YES</t>
        </is>
      </c>
      <c r="AF112" t="n">
        <v>0.021649</v>
      </c>
      <c r="AG112">
        <f>IF($A112="","",IFERROR(INDEX(Company_List!$G$3:$G$207,MATCH($A112,Company_List!$A$3:$A$207,0)),"unassigned"))</f>
        <v/>
      </c>
      <c r="AH112" t="inlineStr">
        <is>
          <t>Phase 2/Barclays/2025-Q3/BCS-2025-Q3-results-SEC-6-K.htm; Phase 2/Barclays/2025-Q3/BCS-2025-Q3-earnings-call-transcript-fool-com.html</t>
        </is>
      </c>
      <c r="AI112" t="inlineStr">
        <is>
          <t>https://www.fool.com/earnings/call-transcripts/2026/04/28/barclays-bcs-q3-2025-earnings-call-transcript/; https://www.sec.gov/Archives/edgar/data/312069/000165495425012054/a2903e.htm</t>
        </is>
      </c>
      <c r="AJ112" t="inlineStr">
        <is>
          <t>manifest (whole bundle)</t>
        </is>
      </c>
      <c r="AK112">
        <f>IF($A112="","",IF(COUNTIFS(Human_Data_Entry!$A$3:$A$525,$A112)&gt;0,"YES","NO"))</f>
        <v/>
      </c>
      <c r="AL112">
        <f>IF($A112="","",IF(AND($C112&amp;"-"&amp;$D112&gt;=Settings!$B$19,$C112&amp;"-"&amp;$D112&lt;=Settings!$B$20),"IN","OUT"))</f>
        <v/>
      </c>
      <c r="AM112">
        <f>IF(AND(OR($H112="BUY",$H112="SELL"),ISNUMBER($T112)),$T112,"")</f>
        <v/>
      </c>
      <c r="AN112">
        <f>IF(AND(OR($H112="BUY",$H112="SELL"),ISNUMBER($AF112)),$AF112,"")</f>
        <v/>
      </c>
      <c r="AO112">
        <f>IF(ISNUMBER($AM112),ABS(IF(ISNUMBER($G112),$G112,0)-Settings!$B$25),"")</f>
        <v/>
      </c>
      <c r="AP112">
        <f>IF(ISNUMBER($AO112),$AO112*$AM112,"")</f>
        <v/>
      </c>
      <c r="AQ112">
        <f>IF(ISNUMBER($AN112),ABS(IF(ISNUMBER($G112),$G112,0)-Settings!$B$25),"")</f>
        <v/>
      </c>
      <c r="AR112">
        <f>IF(ISNUMBER($AQ112),$AQ112*$AN112,"")</f>
        <v/>
      </c>
      <c r="AS112">
        <f>IF($A112="","",IFERROR(INDEX(Company_List!$H$3:$H$207,MATCH($A112,Company_List!$A$3:$A$207,0)),"unassigned"))</f>
        <v/>
      </c>
      <c r="AT112" t="inlineStr">
        <is>
          <t>re-read since v1</t>
        </is>
      </c>
      <c r="AU112" t="inlineStr">
        <is>
          <t>Phase 2/Master_Data_v1.xlsx</t>
        </is>
      </c>
      <c r="AV112" t="n">
        <v>2</v>
      </c>
      <c r="AW112" t="inlineStr">
        <is>
          <t>The Motley Fool</t>
        </is>
      </c>
      <c r="AX112" t="inlineStr">
        <is>
          <t>free to read, copyright asserted</t>
        </is>
      </c>
      <c r="AY112" t="inlineStr">
        <is>
          <t>no</t>
        </is>
      </c>
      <c r="AZ112" t="inlineStr">
        <is>
          <t>yes</t>
        </is>
      </c>
    </row>
    <row r="113">
      <c r="A113" s="115" t="inlineStr">
        <is>
          <t>Ford</t>
        </is>
      </c>
      <c r="B113" s="117" t="inlineStr">
        <is>
          <t>F</t>
        </is>
      </c>
      <c r="C113" s="105" t="n">
        <v>2026</v>
      </c>
      <c r="D113" s="106" t="inlineStr">
        <is>
          <t>Q1</t>
        </is>
      </c>
      <c r="E113" s="109" t="inlineStr">
        <is>
          <t>Ben/DeepSeek</t>
        </is>
      </c>
      <c r="F113" s="106" t="inlineStr">
        <is>
          <t>LLM</t>
        </is>
      </c>
      <c r="G113" s="128" t="n">
        <v>0.14</v>
      </c>
      <c r="H113" s="106" t="inlineStr">
        <is>
          <t>HOLD</t>
        </is>
      </c>
      <c r="I113" s="128" t="n"/>
      <c r="J113" s="125" t="n">
        <v>46141</v>
      </c>
      <c r="K113" s="126" t="n">
        <v>46141</v>
      </c>
      <c r="L113" s="129" t="n">
        <v>12.24</v>
      </c>
      <c r="M113" s="126" t="n">
        <v>46142</v>
      </c>
      <c r="N113" s="129" t="n">
        <v>11.55</v>
      </c>
      <c r="O113" s="132" t="n">
        <v>0.009054</v>
      </c>
      <c r="P113" s="107" t="n">
        <v>-0.056373</v>
      </c>
      <c r="Q113" s="106" t="inlineStr">
        <is>
          <t>DOWN</t>
        </is>
      </c>
      <c r="R113" s="106" t="inlineStr">
        <is>
          <t>NO</t>
        </is>
      </c>
      <c r="S113" s="105" t="n">
        <v>0</v>
      </c>
      <c r="T113" s="107" t="n">
        <v>0</v>
      </c>
      <c r="U113" s="130" t="inlineStr">
        <is>
          <t>w=[0.55,0.45,0,0] thr=(+0.25,-0.05), deployed default (risk-accepted, PSR=0.0/perm p=0.150 at N=161, not rechecked at N=268)</t>
        </is>
      </c>
      <c r="W113" t="inlineStr">
        <is>
          <t>price signal — only this window shows an abnormal move</t>
        </is>
      </c>
      <c r="X113" t="inlineStr">
        <is>
          <t>F</t>
        </is>
      </c>
      <c r="Y113" t="inlineStr">
        <is>
          <t>2026-04-29</t>
        </is>
      </c>
      <c r="Z113" t="n">
        <v>12.0876</v>
      </c>
      <c r="AA113" t="inlineStr">
        <is>
          <t>2026-04-30</t>
        </is>
      </c>
      <c r="AB113" t="n">
        <v>11.4062</v>
      </c>
      <c r="AC113" t="n">
        <v>-0.05637260433755552</v>
      </c>
      <c r="AD113" t="inlineStr">
        <is>
          <t>DOWN</t>
        </is>
      </c>
      <c r="AE113" t="inlineStr">
        <is>
          <t>NO</t>
        </is>
      </c>
      <c r="AF113" t="n">
        <v>0</v>
      </c>
      <c r="AG113">
        <f>IF($A113="","",IFERROR(INDEX(Company_List!$G$3:$G$207,MATCH($A113,Company_List!$A$3:$A$207,0)),"unassigned"))</f>
        <v/>
      </c>
      <c r="AH113" t="inlineStr">
        <is>
          <t>Phase 2/Ford/Ford-Q1-2026-Earnings-Call-Transcript.pdf</t>
        </is>
      </c>
      <c r="AJ113" t="inlineStr">
        <is>
          <t>unique filename match</t>
        </is>
      </c>
      <c r="AK113">
        <f>IF($A113="","",IF(COUNTIFS(Human_Data_Entry!$A$3:$A$525,$A113)&gt;0,"YES","NO"))</f>
        <v/>
      </c>
      <c r="AL113">
        <f>IF($A113="","",IF(AND($C113&amp;"-"&amp;$D113&gt;=Settings!$B$19,$C113&amp;"-"&amp;$D113&lt;=Settings!$B$20),"IN","OUT"))</f>
        <v/>
      </c>
      <c r="AM113">
        <f>IF(AND(OR($H113="BUY",$H113="SELL"),ISNUMBER($T113)),$T113,"")</f>
        <v/>
      </c>
      <c r="AN113">
        <f>IF(AND(OR($H113="BUY",$H113="SELL"),ISNUMBER($AF113)),$AF113,"")</f>
        <v/>
      </c>
      <c r="AO113">
        <f>IF(ISNUMBER($AM113),ABS(IF(ISNUMBER($G113),$G113,0)-Settings!$B$25),"")</f>
        <v/>
      </c>
      <c r="AP113">
        <f>IF(ISNUMBER($AO113),$AO113*$AM113,"")</f>
        <v/>
      </c>
      <c r="AQ113">
        <f>IF(ISNUMBER($AN113),ABS(IF(ISNUMBER($G113),$G113,0)-Settings!$B$25),"")</f>
        <v/>
      </c>
      <c r="AR113">
        <f>IF(ISNUMBER($AQ113),$AQ113*$AN113,"")</f>
        <v/>
      </c>
      <c r="AS113">
        <f>IF($A113="","",IFERROR(INDEX(Company_List!$H$3:$H$207,MATCH($A113,Company_List!$A$3:$A$207,0)),"unassigned"))</f>
        <v/>
      </c>
      <c r="AT113" t="inlineStr">
        <is>
          <t>re-read since v1</t>
        </is>
      </c>
      <c r="AU113" t="inlineStr">
        <is>
          <t>Phase 2/Master_Data_v1.xlsx</t>
        </is>
      </c>
      <c r="AV113" t="n">
        <v>1</v>
      </c>
      <c r="AW113" t="inlineStr">
        <is>
          <t>not publisher-identified</t>
        </is>
      </c>
      <c r="AX113" t="inlineStr">
        <is>
          <t>not publisher-identified</t>
        </is>
      </c>
      <c r="AY113" t="inlineStr">
        <is>
          <t>no</t>
        </is>
      </c>
      <c r="AZ113" t="inlineStr">
        <is>
          <t>no</t>
        </is>
      </c>
    </row>
    <row r="114">
      <c r="A114" s="115" t="inlineStr">
        <is>
          <t>Ford</t>
        </is>
      </c>
      <c r="B114" s="117" t="inlineStr">
        <is>
          <t>F</t>
        </is>
      </c>
      <c r="C114" s="105" t="n">
        <v>2025</v>
      </c>
      <c r="D114" s="106" t="inlineStr">
        <is>
          <t>Q2</t>
        </is>
      </c>
      <c r="E114" s="109" t="inlineStr">
        <is>
          <t>Ben/DeepSeek</t>
        </is>
      </c>
      <c r="F114" s="106" t="inlineStr">
        <is>
          <t>LLM</t>
        </is>
      </c>
      <c r="G114" s="128" t="n">
        <v>-0.12</v>
      </c>
      <c r="H114" s="106" t="inlineStr">
        <is>
          <t>SELL</t>
        </is>
      </c>
      <c r="I114" s="128" t="n"/>
      <c r="J114" s="125" t="n">
        <v>45868</v>
      </c>
      <c r="K114" s="126" t="n">
        <v>45868</v>
      </c>
      <c r="L114" s="129" t="n">
        <v>10.87</v>
      </c>
      <c r="M114" s="126" t="n">
        <v>45869</v>
      </c>
      <c r="N114" s="129" t="n">
        <v>10.77</v>
      </c>
      <c r="O114" s="132" t="n">
        <v>0.009233999999999999</v>
      </c>
      <c r="P114" s="107" t="n">
        <v>-0.0092</v>
      </c>
      <c r="Q114" s="106" t="inlineStr">
        <is>
          <t>FLAT</t>
        </is>
      </c>
      <c r="R114" s="106" t="inlineStr">
        <is>
          <t>NO</t>
        </is>
      </c>
      <c r="S114" s="105" t="n">
        <v>-1</v>
      </c>
      <c r="T114" s="107" t="n">
        <v>0.008200000000000001</v>
      </c>
      <c r="U114" s="130" t="inlineStr">
        <is>
          <t>w=[0.55,0.45,0,0] thr=(+0.25,-0.05), deployed default (risk-accepted, PSR=0.0/perm p=0.150 at N=161, not rechecked at N=268) | report_date ambiguous (multiple candidate trading days), unreviewed - see phase2/report_dates.json</t>
        </is>
      </c>
      <c r="W114" t="inlineStr">
        <is>
          <t>price signal — only this window shows an abnormal move</t>
        </is>
      </c>
      <c r="X114" t="inlineStr">
        <is>
          <t>F</t>
        </is>
      </c>
      <c r="Y114" t="inlineStr">
        <is>
          <t>2025-07-30</t>
        </is>
      </c>
      <c r="Z114" t="n">
        <v>10.3591</v>
      </c>
      <c r="AA114" t="inlineStr">
        <is>
          <t>2025-07-31</t>
        </is>
      </c>
      <c r="AB114" t="n">
        <v>10.2638</v>
      </c>
      <c r="AC114" t="n">
        <v>-0.009199603761870054</v>
      </c>
      <c r="AD114" t="inlineStr">
        <is>
          <t>FLAT</t>
        </is>
      </c>
      <c r="AE114" t="inlineStr">
        <is>
          <t>NO</t>
        </is>
      </c>
      <c r="AF114" t="n">
        <v>0.008200000000000001</v>
      </c>
      <c r="AG114">
        <f>IF($A114="","",IFERROR(INDEX(Company_List!$G$3:$G$207,MATCH($A114,Company_List!$A$3:$A$207,0)),"unassigned"))</f>
        <v/>
      </c>
      <c r="AH114" t="inlineStr">
        <is>
          <t>Phase 2/Ford/Ford-Q2-2025-Earnings-Call-Transcript.pdf</t>
        </is>
      </c>
      <c r="AJ114" t="inlineStr">
        <is>
          <t>unique filename match</t>
        </is>
      </c>
      <c r="AK114">
        <f>IF($A114="","",IF(COUNTIFS(Human_Data_Entry!$A$3:$A$525,$A114)&gt;0,"YES","NO"))</f>
        <v/>
      </c>
      <c r="AL114">
        <f>IF($A114="","",IF(AND($C114&amp;"-"&amp;$D114&gt;=Settings!$B$19,$C114&amp;"-"&amp;$D114&lt;=Settings!$B$20),"IN","OUT"))</f>
        <v/>
      </c>
      <c r="AM114">
        <f>IF(AND(OR($H114="BUY",$H114="SELL"),ISNUMBER($T114)),$T114,"")</f>
        <v/>
      </c>
      <c r="AN114">
        <f>IF(AND(OR($H114="BUY",$H114="SELL"),ISNUMBER($AF114)),$AF114,"")</f>
        <v/>
      </c>
      <c r="AO114">
        <f>IF(ISNUMBER($AM114),ABS(IF(ISNUMBER($G114),$G114,0)-Settings!$B$25),"")</f>
        <v/>
      </c>
      <c r="AP114">
        <f>IF(ISNUMBER($AO114),$AO114*$AM114,"")</f>
        <v/>
      </c>
      <c r="AQ114">
        <f>IF(ISNUMBER($AN114),ABS(IF(ISNUMBER($G114),$G114,0)-Settings!$B$25),"")</f>
        <v/>
      </c>
      <c r="AR114">
        <f>IF(ISNUMBER($AQ114),$AQ114*$AN114,"")</f>
        <v/>
      </c>
      <c r="AS114">
        <f>IF($A114="","",IFERROR(INDEX(Company_List!$H$3:$H$207,MATCH($A114,Company_List!$A$3:$A$207,0)),"unassigned"))</f>
        <v/>
      </c>
      <c r="AT114" t="inlineStr">
        <is>
          <t>re-read since v1</t>
        </is>
      </c>
      <c r="AU114" t="inlineStr">
        <is>
          <t>Phase 2/Master_Data_v1.xlsx</t>
        </is>
      </c>
      <c r="AV114" t="n">
        <v>1</v>
      </c>
      <c r="AW114" t="inlineStr">
        <is>
          <t>not publisher-identified</t>
        </is>
      </c>
      <c r="AX114" t="inlineStr">
        <is>
          <t>not publisher-identified</t>
        </is>
      </c>
      <c r="AY114" t="inlineStr">
        <is>
          <t>no</t>
        </is>
      </c>
      <c r="AZ114" t="inlineStr">
        <is>
          <t>no</t>
        </is>
      </c>
    </row>
    <row r="115">
      <c r="A115" s="115" t="inlineStr">
        <is>
          <t>Ford</t>
        </is>
      </c>
      <c r="B115" s="117" t="inlineStr">
        <is>
          <t>F</t>
        </is>
      </c>
      <c r="C115" s="105" t="n">
        <v>2025</v>
      </c>
      <c r="D115" s="106" t="inlineStr">
        <is>
          <t>Q4</t>
        </is>
      </c>
      <c r="E115" s="109" t="inlineStr">
        <is>
          <t>Ben/DeepSeek</t>
        </is>
      </c>
      <c r="F115" s="106" t="inlineStr">
        <is>
          <t>LLM</t>
        </is>
      </c>
      <c r="G115" s="128" t="n">
        <v>0.2775</v>
      </c>
      <c r="H115" s="106" t="inlineStr">
        <is>
          <t>BUY</t>
        </is>
      </c>
      <c r="I115" s="128" t="n"/>
      <c r="J115" s="125" t="n">
        <v>46063</v>
      </c>
      <c r="K115" s="126" t="n">
        <v>46063</v>
      </c>
      <c r="L115" s="129" t="n">
        <v>13.57</v>
      </c>
      <c r="M115" s="126" t="n">
        <v>46064</v>
      </c>
      <c r="N115" s="129" t="n">
        <v>13.62</v>
      </c>
      <c r="O115" s="132" t="n">
        <v>0.009714</v>
      </c>
      <c r="P115" s="107" t="n">
        <v>0.003685</v>
      </c>
      <c r="Q115" s="106" t="inlineStr">
        <is>
          <t>FLAT</t>
        </is>
      </c>
      <c r="R115" s="106" t="inlineStr">
        <is>
          <t>NO</t>
        </is>
      </c>
      <c r="S115" s="105" t="n">
        <v>1</v>
      </c>
      <c r="T115" s="107" t="n">
        <v>0.002685</v>
      </c>
      <c r="U115" s="130" t="inlineStr">
        <is>
          <t>w=[0.55,0.45,0,0] thr=(+0.25,-0.05), deployed default (risk-accepted, PSR=0.0/perm p=0.150 at N=161, not rechecked at N=268)</t>
        </is>
      </c>
      <c r="W115" t="inlineStr">
        <is>
          <t>earnings calendar, seconded independently</t>
        </is>
      </c>
      <c r="X115" t="inlineStr">
        <is>
          <t>F</t>
        </is>
      </c>
      <c r="Y115" t="inlineStr">
        <is>
          <t>2026-02-10</t>
        </is>
      </c>
      <c r="Z115" t="n">
        <v>13.2575</v>
      </c>
      <c r="AA115" t="inlineStr">
        <is>
          <t>2026-02-11</t>
        </is>
      </c>
      <c r="AB115" t="n">
        <v>13.3063</v>
      </c>
      <c r="AC115" t="n">
        <v>0.003684683706256294</v>
      </c>
      <c r="AD115" t="inlineStr">
        <is>
          <t>FLAT</t>
        </is>
      </c>
      <c r="AE115" t="inlineStr">
        <is>
          <t>NO</t>
        </is>
      </c>
      <c r="AF115" t="n">
        <v>0.002685</v>
      </c>
      <c r="AG115">
        <f>IF($A115="","",IFERROR(INDEX(Company_List!$G$3:$G$207,MATCH($A115,Company_List!$A$3:$A$207,0)),"unassigned"))</f>
        <v/>
      </c>
      <c r="AH115" t="inlineStr">
        <is>
          <t>Phase 2/Ford/Ford-Q4-2025-Earnings-Call-Transcript.pdf</t>
        </is>
      </c>
      <c r="AJ115" t="inlineStr">
        <is>
          <t>unique filename match</t>
        </is>
      </c>
      <c r="AK115">
        <f>IF($A115="","",IF(COUNTIFS(Human_Data_Entry!$A$3:$A$525,$A115)&gt;0,"YES","NO"))</f>
        <v/>
      </c>
      <c r="AL115">
        <f>IF($A115="","",IF(AND($C115&amp;"-"&amp;$D115&gt;=Settings!$B$19,$C115&amp;"-"&amp;$D115&lt;=Settings!$B$20),"IN","OUT"))</f>
        <v/>
      </c>
      <c r="AM115">
        <f>IF(AND(OR($H115="BUY",$H115="SELL"),ISNUMBER($T115)),$T115,"")</f>
        <v/>
      </c>
      <c r="AN115">
        <f>IF(AND(OR($H115="BUY",$H115="SELL"),ISNUMBER($AF115)),$AF115,"")</f>
        <v/>
      </c>
      <c r="AO115">
        <f>IF(ISNUMBER($AM115),ABS(IF(ISNUMBER($G115),$G115,0)-Settings!$B$25),"")</f>
        <v/>
      </c>
      <c r="AP115">
        <f>IF(ISNUMBER($AO115),$AO115*$AM115,"")</f>
        <v/>
      </c>
      <c r="AQ115">
        <f>IF(ISNUMBER($AN115),ABS(IF(ISNUMBER($G115),$G115,0)-Settings!$B$25),"")</f>
        <v/>
      </c>
      <c r="AR115">
        <f>IF(ISNUMBER($AQ115),$AQ115*$AN115,"")</f>
        <v/>
      </c>
      <c r="AS115">
        <f>IF($A115="","",IFERROR(INDEX(Company_List!$H$3:$H$207,MATCH($A115,Company_List!$A$3:$A$207,0)),"unassigned"))</f>
        <v/>
      </c>
      <c r="AT115" t="inlineStr">
        <is>
          <t>re-read since v1</t>
        </is>
      </c>
      <c r="AU115" t="inlineStr">
        <is>
          <t>Phase 2/Master_Data_v1.xlsx</t>
        </is>
      </c>
      <c r="AV115" t="n">
        <v>1</v>
      </c>
      <c r="AW115" t="inlineStr">
        <is>
          <t>not publisher-identified</t>
        </is>
      </c>
      <c r="AX115" t="inlineStr">
        <is>
          <t>not publisher-identified</t>
        </is>
      </c>
      <c r="AY115" t="inlineStr">
        <is>
          <t>no</t>
        </is>
      </c>
      <c r="AZ115" t="inlineStr">
        <is>
          <t>no</t>
        </is>
      </c>
    </row>
    <row r="116">
      <c r="A116" s="115" t="inlineStr">
        <is>
          <t>Microsoft</t>
        </is>
      </c>
      <c r="B116" s="117" t="inlineStr">
        <is>
          <t>MSFT</t>
        </is>
      </c>
      <c r="C116" s="105" t="n">
        <v>2025</v>
      </c>
      <c r="D116" s="106" t="inlineStr">
        <is>
          <t>Q1</t>
        </is>
      </c>
      <c r="E116" s="109" t="inlineStr">
        <is>
          <t>Ben/DeepSeek</t>
        </is>
      </c>
      <c r="F116" s="106" t="inlineStr">
        <is>
          <t>LLM</t>
        </is>
      </c>
      <c r="G116" s="128" t="n">
        <v>0.25</v>
      </c>
      <c r="H116" s="106" t="inlineStr">
        <is>
          <t>HOLD</t>
        </is>
      </c>
      <c r="I116" s="128" t="n"/>
      <c r="J116" s="125" t="n">
        <v>45595</v>
      </c>
      <c r="K116" s="126" t="n">
        <v>45595</v>
      </c>
      <c r="L116" s="129" t="n">
        <v>432.53</v>
      </c>
      <c r="M116" s="126" t="n">
        <v>45596</v>
      </c>
      <c r="N116" s="129" t="n">
        <v>415.36</v>
      </c>
      <c r="O116" s="132" t="n">
        <v>0.011334</v>
      </c>
      <c r="P116" s="107" t="n">
        <v>-0.039697</v>
      </c>
      <c r="Q116" s="106" t="inlineStr">
        <is>
          <t>DOWN</t>
        </is>
      </c>
      <c r="R116" s="106" t="inlineStr">
        <is>
          <t>NO</t>
        </is>
      </c>
      <c r="S116" s="105" t="n">
        <v>0</v>
      </c>
      <c r="T116" s="107" t="n">
        <v>0</v>
      </c>
      <c r="U116" s="130" t="inlineStr">
        <is>
          <t>w=[0.55,0.45,0,0] thr=(+0.25,-0.05), deployed default (risk-accepted, PSR=0.0/perm p=0.150 at N=161, not rechecked at N=268)</t>
        </is>
      </c>
      <c r="W116" t="inlineStr">
        <is>
          <t>price signal — both moved; this one dominates</t>
        </is>
      </c>
      <c r="X116" t="inlineStr">
        <is>
          <t>MSFT</t>
        </is>
      </c>
      <c r="Y116" t="inlineStr">
        <is>
          <t>2024-10-30</t>
        </is>
      </c>
      <c r="Z116" t="n">
        <v>426.6052</v>
      </c>
      <c r="AA116" t="inlineStr">
        <is>
          <t>2024-10-31</t>
        </is>
      </c>
      <c r="AB116" t="n">
        <v>409.6703</v>
      </c>
      <c r="AC116" t="n">
        <v>-0.03969677779628429</v>
      </c>
      <c r="AD116" t="inlineStr">
        <is>
          <t>DOWN</t>
        </is>
      </c>
      <c r="AE116" t="inlineStr">
        <is>
          <t>NO</t>
        </is>
      </c>
      <c r="AF116" t="n">
        <v>0</v>
      </c>
      <c r="AG116">
        <f>IF($A116="","",IFERROR(INDEX(Company_List!$G$3:$G$207,MATCH($A116,Company_List!$A$3:$A$207,0)),"unassigned"))</f>
        <v/>
      </c>
      <c r="AH116" t="inlineStr">
        <is>
          <t>Phase 2/Microsoft/2025-Q1/MSFT-2025-Q1-press-release-SEC-EX-99-1.htm; Phase 2/Microsoft/2025-Q1/MSFT-2025-Q1-earnings-call-transcript-microsoft-com.html</t>
        </is>
      </c>
      <c r="AI116" t="inlineStr">
        <is>
          <t>https://www.microsoft.com/en-us/investor/events/fy-2025/earnings-fy-2025-q1; https://www.sec.gov/Archives/edgar/data/789019/000095017025061032/msft-ex99_1.htm</t>
        </is>
      </c>
      <c r="AJ116" t="inlineStr">
        <is>
          <t>manifest (whole bundle)</t>
        </is>
      </c>
      <c r="AK116">
        <f>IF($A116="","",IF(COUNTIFS(Human_Data_Entry!$A$3:$A$525,$A116)&gt;0,"YES","NO"))</f>
        <v/>
      </c>
      <c r="AL116">
        <f>IF($A116="","",IF(AND($C116&amp;"-"&amp;$D116&gt;=Settings!$B$19,$C116&amp;"-"&amp;$D116&lt;=Settings!$B$20),"IN","OUT"))</f>
        <v/>
      </c>
      <c r="AM116">
        <f>IF(AND(OR($H116="BUY",$H116="SELL"),ISNUMBER($T116)),$T116,"")</f>
        <v/>
      </c>
      <c r="AN116">
        <f>IF(AND(OR($H116="BUY",$H116="SELL"),ISNUMBER($AF116)),$AF116,"")</f>
        <v/>
      </c>
      <c r="AO116">
        <f>IF(ISNUMBER($AM116),ABS(IF(ISNUMBER($G116),$G116,0)-Settings!$B$25),"")</f>
        <v/>
      </c>
      <c r="AP116">
        <f>IF(ISNUMBER($AO116),$AO116*$AM116,"")</f>
        <v/>
      </c>
      <c r="AQ116">
        <f>IF(ISNUMBER($AN116),ABS(IF(ISNUMBER($G116),$G116,0)-Settings!$B$25),"")</f>
        <v/>
      </c>
      <c r="AR116">
        <f>IF(ISNUMBER($AQ116),$AQ116*$AN116,"")</f>
        <v/>
      </c>
      <c r="AS116">
        <f>IF($A116="","",IFERROR(INDEX(Company_List!$H$3:$H$207,MATCH($A116,Company_List!$A$3:$A$207,0)),"unassigned"))</f>
        <v/>
      </c>
      <c r="AT116" t="inlineStr">
        <is>
          <t>re-read since v1</t>
        </is>
      </c>
      <c r="AU116" t="inlineStr">
        <is>
          <t>Phase 2/Master_Data_v1.xlsx</t>
        </is>
      </c>
      <c r="AV116" t="n">
        <v>2</v>
      </c>
      <c r="AW116" t="inlineStr">
        <is>
          <t>not publisher-identified</t>
        </is>
      </c>
      <c r="AX116" t="inlineStr">
        <is>
          <t>not publisher-identified</t>
        </is>
      </c>
      <c r="AY116" t="inlineStr">
        <is>
          <t>no</t>
        </is>
      </c>
      <c r="AZ116" t="inlineStr">
        <is>
          <t>yes</t>
        </is>
      </c>
    </row>
    <row r="117">
      <c r="A117" s="115" t="inlineStr">
        <is>
          <t>Microsoft</t>
        </is>
      </c>
      <c r="B117" s="117" t="inlineStr">
        <is>
          <t>MSFT</t>
        </is>
      </c>
      <c r="C117" s="105" t="n">
        <v>2026</v>
      </c>
      <c r="D117" s="106" t="inlineStr">
        <is>
          <t>Q1</t>
        </is>
      </c>
      <c r="E117" s="109" t="inlineStr">
        <is>
          <t>Ben/DeepSeek</t>
        </is>
      </c>
      <c r="F117" s="106" t="inlineStr">
        <is>
          <t>LLM</t>
        </is>
      </c>
      <c r="G117" s="128" t="n">
        <v>0.3</v>
      </c>
      <c r="H117" s="106" t="inlineStr">
        <is>
          <t>BUY</t>
        </is>
      </c>
      <c r="I117" s="128" t="n"/>
      <c r="J117" s="125" t="n">
        <v>45959</v>
      </c>
      <c r="K117" s="126" t="n">
        <v>45959</v>
      </c>
      <c r="L117" s="129" t="n">
        <v>541.55</v>
      </c>
      <c r="M117" s="126" t="n">
        <v>45960</v>
      </c>
      <c r="N117" s="129" t="n">
        <v>530.48</v>
      </c>
      <c r="O117" s="132" t="n">
        <v>0.009906999999999999</v>
      </c>
      <c r="P117" s="107" t="n">
        <v>-0.020441</v>
      </c>
      <c r="Q117" s="106" t="inlineStr">
        <is>
          <t>DOWN</t>
        </is>
      </c>
      <c r="R117" s="106" t="inlineStr">
        <is>
          <t>NO</t>
        </is>
      </c>
      <c r="S117" s="105" t="n">
        <v>1</v>
      </c>
      <c r="T117" s="107" t="n">
        <v>-0.021441</v>
      </c>
      <c r="U117" s="130" t="inlineStr">
        <is>
          <t>w=[0.55,0.45,0,0] thr=(+0.25,-0.05), deployed default (risk-accepted, PSR=0.0/perm p=0.150 at N=161, not rechecked at N=268)</t>
        </is>
      </c>
      <c r="W117" t="inlineStr">
        <is>
          <t>price signal — only this window shows an abnormal move</t>
        </is>
      </c>
      <c r="X117" t="inlineStr">
        <is>
          <t>MSFT</t>
        </is>
      </c>
      <c r="Y117" t="inlineStr">
        <is>
          <t>2025-10-29</t>
        </is>
      </c>
      <c r="Z117" t="n">
        <v>538.1418</v>
      </c>
      <c r="AA117" t="inlineStr">
        <is>
          <t>2025-10-30</t>
        </is>
      </c>
      <c r="AB117" t="n">
        <v>527.1415</v>
      </c>
      <c r="AC117" t="n">
        <v>-0.02044124169005466</v>
      </c>
      <c r="AD117" t="inlineStr">
        <is>
          <t>DOWN</t>
        </is>
      </c>
      <c r="AE117" t="inlineStr">
        <is>
          <t>NO</t>
        </is>
      </c>
      <c r="AF117" t="n">
        <v>-0.021441</v>
      </c>
      <c r="AG117">
        <f>IF($A117="","",IFERROR(INDEX(Company_List!$G$3:$G$207,MATCH($A117,Company_List!$A$3:$A$207,0)),"unassigned"))</f>
        <v/>
      </c>
      <c r="AH117" t="inlineStr">
        <is>
          <t>Phase 2/Microsoft/2026-Q1/MSFT-2026-Q1-press-release-SEC-EX-99-1.htm; Phase 2/Microsoft/2026-Q1/MSFT-2026-Q1-earnings-call-transcript-microsoft-com.html</t>
        </is>
      </c>
      <c r="AI117" t="inlineStr">
        <is>
          <t>https://www.microsoft.com/en-us/investor/events/fy-2026/earnings-fy-2026-q1; https://www.sec.gov/Archives/edgar/data/789019/000119312526191457/msft-ex99_1.htm</t>
        </is>
      </c>
      <c r="AJ117" t="inlineStr">
        <is>
          <t>manifest (whole bundle)</t>
        </is>
      </c>
      <c r="AK117">
        <f>IF($A117="","",IF(COUNTIFS(Human_Data_Entry!$A$3:$A$525,$A117)&gt;0,"YES","NO"))</f>
        <v/>
      </c>
      <c r="AL117">
        <f>IF($A117="","",IF(AND($C117&amp;"-"&amp;$D117&gt;=Settings!$B$19,$C117&amp;"-"&amp;$D117&lt;=Settings!$B$20),"IN","OUT"))</f>
        <v/>
      </c>
      <c r="AM117">
        <f>IF(AND(OR($H117="BUY",$H117="SELL"),ISNUMBER($T117)),$T117,"")</f>
        <v/>
      </c>
      <c r="AN117">
        <f>IF(AND(OR($H117="BUY",$H117="SELL"),ISNUMBER($AF117)),$AF117,"")</f>
        <v/>
      </c>
      <c r="AO117">
        <f>IF(ISNUMBER($AM117),ABS(IF(ISNUMBER($G117),$G117,0)-Settings!$B$25),"")</f>
        <v/>
      </c>
      <c r="AP117">
        <f>IF(ISNUMBER($AO117),$AO117*$AM117,"")</f>
        <v/>
      </c>
      <c r="AQ117">
        <f>IF(ISNUMBER($AN117),ABS(IF(ISNUMBER($G117),$G117,0)-Settings!$B$25),"")</f>
        <v/>
      </c>
      <c r="AR117">
        <f>IF(ISNUMBER($AQ117),$AQ117*$AN117,"")</f>
        <v/>
      </c>
      <c r="AS117">
        <f>IF($A117="","",IFERROR(INDEX(Company_List!$H$3:$H$207,MATCH($A117,Company_List!$A$3:$A$207,0)),"unassigned"))</f>
        <v/>
      </c>
      <c r="AT117" t="inlineStr">
        <is>
          <t>re-read since v1</t>
        </is>
      </c>
      <c r="AU117" t="inlineStr">
        <is>
          <t>Phase 2/Master_Data_v1.xlsx</t>
        </is>
      </c>
      <c r="AV117" t="n">
        <v>2</v>
      </c>
      <c r="AW117" t="inlineStr">
        <is>
          <t>not publisher-identified</t>
        </is>
      </c>
      <c r="AX117" t="inlineStr">
        <is>
          <t>not publisher-identified</t>
        </is>
      </c>
      <c r="AY117" t="inlineStr">
        <is>
          <t>no</t>
        </is>
      </c>
      <c r="AZ117" t="inlineStr">
        <is>
          <t>yes</t>
        </is>
      </c>
    </row>
    <row r="118">
      <c r="A118" s="115" t="inlineStr">
        <is>
          <t>Microsoft</t>
        </is>
      </c>
      <c r="B118" s="117" t="inlineStr">
        <is>
          <t>MSFT</t>
        </is>
      </c>
      <c r="C118" s="105" t="n">
        <v>2025</v>
      </c>
      <c r="D118" s="106" t="inlineStr">
        <is>
          <t>Q2</t>
        </is>
      </c>
      <c r="E118" s="109" t="inlineStr">
        <is>
          <t>Ben/DeepSeek</t>
        </is>
      </c>
      <c r="F118" s="106" t="inlineStr">
        <is>
          <t>LLM</t>
        </is>
      </c>
      <c r="G118" s="128" t="n">
        <v>0.3</v>
      </c>
      <c r="H118" s="106" t="inlineStr">
        <is>
          <t>BUY</t>
        </is>
      </c>
      <c r="I118" s="128" t="n"/>
      <c r="J118" s="125" t="n">
        <v>45686</v>
      </c>
      <c r="K118" s="126" t="n">
        <v>45686</v>
      </c>
      <c r="L118" s="129" t="n">
        <v>442.33</v>
      </c>
      <c r="M118" s="126" t="n">
        <v>45687</v>
      </c>
      <c r="N118" s="129" t="n">
        <v>418.77</v>
      </c>
      <c r="O118" s="132" t="n">
        <v>0.010581</v>
      </c>
      <c r="P118" s="107" t="n">
        <v>-0.053263</v>
      </c>
      <c r="Q118" s="106" t="inlineStr">
        <is>
          <t>DOWN</t>
        </is>
      </c>
      <c r="R118" s="106" t="inlineStr">
        <is>
          <t>NO</t>
        </is>
      </c>
      <c r="S118" s="105" t="n">
        <v>1</v>
      </c>
      <c r="T118" s="107" t="n">
        <v>-0.054263</v>
      </c>
      <c r="U118" s="130" t="inlineStr">
        <is>
          <t>w=[0.55,0.45,0,0] thr=(+0.25,-0.05), deployed default (risk-accepted, PSR=0.0/perm p=0.150 at N=161, not rechecked at N=268)</t>
        </is>
      </c>
      <c r="W118" t="inlineStr">
        <is>
          <t>price signal — only this window shows an abnormal move</t>
        </is>
      </c>
      <c r="X118" t="inlineStr">
        <is>
          <t>MSFT</t>
        </is>
      </c>
      <c r="Y118" t="inlineStr">
        <is>
          <t>2025-01-29</t>
        </is>
      </c>
      <c r="Z118" t="n">
        <v>437.1442</v>
      </c>
      <c r="AA118" t="inlineStr">
        <is>
          <t>2025-01-30</t>
        </is>
      </c>
      <c r="AB118" t="n">
        <v>413.8604</v>
      </c>
      <c r="AC118" t="n">
        <v>-0.0532634734427876</v>
      </c>
      <c r="AD118" t="inlineStr">
        <is>
          <t>DOWN</t>
        </is>
      </c>
      <c r="AE118" t="inlineStr">
        <is>
          <t>NO</t>
        </is>
      </c>
      <c r="AF118" t="n">
        <v>-0.054263</v>
      </c>
      <c r="AG118">
        <f>IF($A118="","",IFERROR(INDEX(Company_List!$G$3:$G$207,MATCH($A118,Company_List!$A$3:$A$207,0)),"unassigned"))</f>
        <v/>
      </c>
      <c r="AH118" t="inlineStr">
        <is>
          <t>Phase 2/Microsoft/2025-Q2/MSFT-2025-Q2-press-release-SEC-EX-99-1.htm; Phase 2/Microsoft/2025-Q2/MSFT-2025-Q2-earnings-call-transcript-fool-com.html</t>
        </is>
      </c>
      <c r="AI118" t="inlineStr">
        <is>
          <t>https://www.fool.com/earnings/call-transcripts/2025/01/29/microsoft-msft-q2-2025-earnings-call-transcript/; https://www.sec.gov/Archives/edgar/data/789019/000095017025100226/msft-ex99_1.htm</t>
        </is>
      </c>
      <c r="AJ118" t="inlineStr">
        <is>
          <t>manifest (whole bundle)</t>
        </is>
      </c>
      <c r="AK118">
        <f>IF($A118="","",IF(COUNTIFS(Human_Data_Entry!$A$3:$A$525,$A118)&gt;0,"YES","NO"))</f>
        <v/>
      </c>
      <c r="AL118">
        <f>IF($A118="","",IF(AND($C118&amp;"-"&amp;$D118&gt;=Settings!$B$19,$C118&amp;"-"&amp;$D118&lt;=Settings!$B$20),"IN","OUT"))</f>
        <v/>
      </c>
      <c r="AM118">
        <f>IF(AND(OR($H118="BUY",$H118="SELL"),ISNUMBER($T118)),$T118,"")</f>
        <v/>
      </c>
      <c r="AN118">
        <f>IF(AND(OR($H118="BUY",$H118="SELL"),ISNUMBER($AF118)),$AF118,"")</f>
        <v/>
      </c>
      <c r="AO118">
        <f>IF(ISNUMBER($AM118),ABS(IF(ISNUMBER($G118),$G118,0)-Settings!$B$25),"")</f>
        <v/>
      </c>
      <c r="AP118">
        <f>IF(ISNUMBER($AO118),$AO118*$AM118,"")</f>
        <v/>
      </c>
      <c r="AQ118">
        <f>IF(ISNUMBER($AN118),ABS(IF(ISNUMBER($G118),$G118,0)-Settings!$B$25),"")</f>
        <v/>
      </c>
      <c r="AR118">
        <f>IF(ISNUMBER($AQ118),$AQ118*$AN118,"")</f>
        <v/>
      </c>
      <c r="AS118">
        <f>IF($A118="","",IFERROR(INDEX(Company_List!$H$3:$H$207,MATCH($A118,Company_List!$A$3:$A$207,0)),"unassigned"))</f>
        <v/>
      </c>
      <c r="AT118" t="inlineStr">
        <is>
          <t>re-read since v1</t>
        </is>
      </c>
      <c r="AU118" t="inlineStr">
        <is>
          <t>Phase 2/Master_Data_v1.xlsx</t>
        </is>
      </c>
      <c r="AV118" t="n">
        <v>2</v>
      </c>
      <c r="AW118" t="inlineStr">
        <is>
          <t>The Motley Fool</t>
        </is>
      </c>
      <c r="AX118" t="inlineStr">
        <is>
          <t>free to read, copyright asserted</t>
        </is>
      </c>
      <c r="AY118" t="inlineStr">
        <is>
          <t>no</t>
        </is>
      </c>
      <c r="AZ118" t="inlineStr">
        <is>
          <t>yes</t>
        </is>
      </c>
    </row>
    <row r="119">
      <c r="A119" s="115" t="inlineStr">
        <is>
          <t>Pfizer</t>
        </is>
      </c>
      <c r="B119" s="117" t="inlineStr">
        <is>
          <t>PFE</t>
        </is>
      </c>
      <c r="C119" s="105" t="n">
        <v>2025</v>
      </c>
      <c r="D119" s="106" t="inlineStr">
        <is>
          <t>Q1</t>
        </is>
      </c>
      <c r="E119" s="109" t="inlineStr">
        <is>
          <t>Ben/DeepSeek</t>
        </is>
      </c>
      <c r="F119" s="106" t="inlineStr">
        <is>
          <t>LLM</t>
        </is>
      </c>
      <c r="G119" s="128" t="n">
        <v>-0.08</v>
      </c>
      <c r="H119" s="106" t="inlineStr">
        <is>
          <t>SELL</t>
        </is>
      </c>
      <c r="I119" s="128" t="n"/>
      <c r="J119" s="125" t="n">
        <v>45776</v>
      </c>
      <c r="K119" s="126" t="n">
        <v>45775</v>
      </c>
      <c r="L119" s="129" t="n">
        <v>23.05</v>
      </c>
      <c r="M119" s="126" t="n">
        <v>45776</v>
      </c>
      <c r="N119" s="129" t="n">
        <v>22.83</v>
      </c>
      <c r="O119" s="132" t="n">
        <v>0.012341</v>
      </c>
      <c r="P119" s="107" t="n">
        <v>-0.009544</v>
      </c>
      <c r="Q119" s="106" t="inlineStr">
        <is>
          <t>FLAT</t>
        </is>
      </c>
      <c r="R119" s="106" t="inlineStr">
        <is>
          <t>NO</t>
        </is>
      </c>
      <c r="S119" s="105" t="n">
        <v>-1</v>
      </c>
      <c r="T119" s="107" t="n">
        <v>0.008544</v>
      </c>
      <c r="U119" s="130" t="inlineStr">
        <is>
          <t>w=[0.55,0.45,0,0] thr=(+0.25,-0.05), deployed default (risk-accepted, PSR=0.0/perm p=0.150 at N=161, not rechecked at N=268)</t>
        </is>
      </c>
      <c r="W119" t="inlineStr">
        <is>
          <t>earnings calendar, seconded independently</t>
        </is>
      </c>
      <c r="X119" t="inlineStr">
        <is>
          <t>PFE</t>
        </is>
      </c>
      <c r="Y119" t="inlineStr">
        <is>
          <t>2025-04-28</t>
        </is>
      </c>
      <c r="Z119" t="n">
        <v>20.7777</v>
      </c>
      <c r="AA119" t="inlineStr">
        <is>
          <t>2025-04-29</t>
        </is>
      </c>
      <c r="AB119" t="n">
        <v>20.5793</v>
      </c>
      <c r="AC119" t="n">
        <v>-0.009544570031988756</v>
      </c>
      <c r="AD119" t="inlineStr">
        <is>
          <t>FLAT</t>
        </is>
      </c>
      <c r="AE119" t="inlineStr">
        <is>
          <t>NO</t>
        </is>
      </c>
      <c r="AF119" t="n">
        <v>0.008545000000000001</v>
      </c>
      <c r="AG119">
        <f>IF($A119="","",IFERROR(INDEX(Company_List!$G$3:$G$207,MATCH($A119,Company_List!$A$3:$A$207,0)),"unassigned"))</f>
        <v/>
      </c>
      <c r="AH119" t="inlineStr">
        <is>
          <t>Phase 2/Pfizer/PFE-USQ_Transcript_2025-04-29.pdf</t>
        </is>
      </c>
      <c r="AJ119" t="inlineStr">
        <is>
          <t>unique filename match</t>
        </is>
      </c>
      <c r="AK119">
        <f>IF($A119="","",IF(COUNTIFS(Human_Data_Entry!$A$3:$A$525,$A119)&gt;0,"YES","NO"))</f>
        <v/>
      </c>
      <c r="AL119">
        <f>IF($A119="","",IF(AND($C119&amp;"-"&amp;$D119&gt;=Settings!$B$19,$C119&amp;"-"&amp;$D119&lt;=Settings!$B$20),"IN","OUT"))</f>
        <v/>
      </c>
      <c r="AM119">
        <f>IF(AND(OR($H119="BUY",$H119="SELL"),ISNUMBER($T119)),$T119,"")</f>
        <v/>
      </c>
      <c r="AN119">
        <f>IF(AND(OR($H119="BUY",$H119="SELL"),ISNUMBER($AF119)),$AF119,"")</f>
        <v/>
      </c>
      <c r="AO119">
        <f>IF(ISNUMBER($AM119),ABS(IF(ISNUMBER($G119),$G119,0)-Settings!$B$25),"")</f>
        <v/>
      </c>
      <c r="AP119">
        <f>IF(ISNUMBER($AO119),$AO119*$AM119,"")</f>
        <v/>
      </c>
      <c r="AQ119">
        <f>IF(ISNUMBER($AN119),ABS(IF(ISNUMBER($G119),$G119,0)-Settings!$B$25),"")</f>
        <v/>
      </c>
      <c r="AR119">
        <f>IF(ISNUMBER($AQ119),$AQ119*$AN119,"")</f>
        <v/>
      </c>
      <c r="AS119">
        <f>IF($A119="","",IFERROR(INDEX(Company_List!$H$3:$H$207,MATCH($A119,Company_List!$A$3:$A$207,0)),"unassigned"))</f>
        <v/>
      </c>
      <c r="AT119" t="inlineStr">
        <is>
          <t>re-read since v1</t>
        </is>
      </c>
      <c r="AU119" t="inlineStr">
        <is>
          <t>Phase 2/Master_Data_v1.xlsx</t>
        </is>
      </c>
      <c r="AV119" t="n">
        <v>1</v>
      </c>
      <c r="AW119" t="inlineStr">
        <is>
          <t>Refinitiv / LSEG StreetEvents</t>
        </is>
      </c>
      <c r="AX119" t="inlineStr">
        <is>
          <t>licensed vendor</t>
        </is>
      </c>
      <c r="AY119" t="inlineStr">
        <is>
          <t>no</t>
        </is>
      </c>
      <c r="AZ119" t="inlineStr">
        <is>
          <t>no</t>
        </is>
      </c>
    </row>
    <row r="120">
      <c r="A120" s="115" t="inlineStr">
        <is>
          <t>Pfizer</t>
        </is>
      </c>
      <c r="B120" s="117" t="inlineStr">
        <is>
          <t>PFE</t>
        </is>
      </c>
      <c r="C120" s="105" t="n">
        <v>2026</v>
      </c>
      <c r="D120" s="106" t="inlineStr">
        <is>
          <t>Q1</t>
        </is>
      </c>
      <c r="E120" s="109" t="inlineStr">
        <is>
          <t>Ben/DeepSeek</t>
        </is>
      </c>
      <c r="F120" s="106" t="inlineStr">
        <is>
          <t>LLM</t>
        </is>
      </c>
      <c r="G120" s="128" t="n">
        <v>-0.025</v>
      </c>
      <c r="H120" s="106" t="inlineStr">
        <is>
          <t>HOLD</t>
        </is>
      </c>
      <c r="I120" s="128" t="n"/>
      <c r="J120" s="125" t="n">
        <v>46147</v>
      </c>
      <c r="K120" s="126" t="n">
        <v>46146</v>
      </c>
      <c r="L120" s="129" t="n">
        <v>26.3</v>
      </c>
      <c r="M120" s="126" t="n">
        <v>46147</v>
      </c>
      <c r="N120" s="129" t="n">
        <v>26.59</v>
      </c>
      <c r="O120" s="132" t="n">
        <v>0.010424</v>
      </c>
      <c r="P120" s="107" t="n">
        <v>0.011027</v>
      </c>
      <c r="Q120" s="106" t="inlineStr">
        <is>
          <t>FLAT</t>
        </is>
      </c>
      <c r="R120" s="106" t="inlineStr">
        <is>
          <t>YES</t>
        </is>
      </c>
      <c r="S120" s="105" t="n">
        <v>0</v>
      </c>
      <c r="T120" s="107" t="n">
        <v>0</v>
      </c>
      <c r="U120" s="130" t="inlineStr">
        <is>
          <t>w=[0.55,0.45,0,0] thr=(+0.25,-0.05), deployed default (risk-accepted, PSR=0.0/perm p=0.150 at N=161, not rechecked at N=268)</t>
        </is>
      </c>
      <c r="W120" t="inlineStr">
        <is>
          <t>earnings calendar, seconded independently</t>
        </is>
      </c>
      <c r="X120" t="inlineStr">
        <is>
          <t>PFE</t>
        </is>
      </c>
      <c r="Y120" t="inlineStr">
        <is>
          <t>2026-05-04</t>
        </is>
      </c>
      <c r="Z120" t="n">
        <v>25.4281</v>
      </c>
      <c r="AA120" t="inlineStr">
        <is>
          <t>2026-05-05</t>
        </is>
      </c>
      <c r="AB120" t="n">
        <v>25.7085</v>
      </c>
      <c r="AC120" t="n">
        <v>0.01102665328244645</v>
      </c>
      <c r="AD120" t="inlineStr">
        <is>
          <t>FLAT</t>
        </is>
      </c>
      <c r="AE120" t="inlineStr">
        <is>
          <t>YES</t>
        </is>
      </c>
      <c r="AF120" t="n">
        <v>0</v>
      </c>
      <c r="AG120">
        <f>IF($A120="","",IFERROR(INDEX(Company_List!$G$3:$G$207,MATCH($A120,Company_List!$A$3:$A$207,0)),"unassigned"))</f>
        <v/>
      </c>
      <c r="AH120" t="inlineStr">
        <is>
          <t>Phase 2/Pfizer/PFE-USQ_Transcript_2026-05-05.pdf</t>
        </is>
      </c>
      <c r="AJ120" t="inlineStr">
        <is>
          <t>unique filename match</t>
        </is>
      </c>
      <c r="AK120">
        <f>IF($A120="","",IF(COUNTIFS(Human_Data_Entry!$A$3:$A$525,$A120)&gt;0,"YES","NO"))</f>
        <v/>
      </c>
      <c r="AL120">
        <f>IF($A120="","",IF(AND($C120&amp;"-"&amp;$D120&gt;=Settings!$B$19,$C120&amp;"-"&amp;$D120&lt;=Settings!$B$20),"IN","OUT"))</f>
        <v/>
      </c>
      <c r="AM120">
        <f>IF(AND(OR($H120="BUY",$H120="SELL"),ISNUMBER($T120)),$T120,"")</f>
        <v/>
      </c>
      <c r="AN120">
        <f>IF(AND(OR($H120="BUY",$H120="SELL"),ISNUMBER($AF120)),$AF120,"")</f>
        <v/>
      </c>
      <c r="AO120">
        <f>IF(ISNUMBER($AM120),ABS(IF(ISNUMBER($G120),$G120,0)-Settings!$B$25),"")</f>
        <v/>
      </c>
      <c r="AP120">
        <f>IF(ISNUMBER($AO120),$AO120*$AM120,"")</f>
        <v/>
      </c>
      <c r="AQ120">
        <f>IF(ISNUMBER($AN120),ABS(IF(ISNUMBER($G120),$G120,0)-Settings!$B$25),"")</f>
        <v/>
      </c>
      <c r="AR120">
        <f>IF(ISNUMBER($AQ120),$AQ120*$AN120,"")</f>
        <v/>
      </c>
      <c r="AS120">
        <f>IF($A120="","",IFERROR(INDEX(Company_List!$H$3:$H$207,MATCH($A120,Company_List!$A$3:$A$207,0)),"unassigned"))</f>
        <v/>
      </c>
      <c r="AT120" t="inlineStr">
        <is>
          <t>re-read since v1</t>
        </is>
      </c>
      <c r="AU120" t="inlineStr">
        <is>
          <t>Phase 2/Master_Data_v1.xlsx</t>
        </is>
      </c>
      <c r="AV120" t="n">
        <v>1</v>
      </c>
      <c r="AW120" t="inlineStr">
        <is>
          <t>Refinitiv / LSEG StreetEvents</t>
        </is>
      </c>
      <c r="AX120" t="inlineStr">
        <is>
          <t>licensed vendor</t>
        </is>
      </c>
      <c r="AY120" t="inlineStr">
        <is>
          <t>no</t>
        </is>
      </c>
      <c r="AZ120" t="inlineStr">
        <is>
          <t>no</t>
        </is>
      </c>
    </row>
    <row r="121">
      <c r="A121" s="115" t="inlineStr">
        <is>
          <t>Pfizer</t>
        </is>
      </c>
      <c r="B121" s="117" t="inlineStr">
        <is>
          <t>PFE</t>
        </is>
      </c>
      <c r="C121" s="105" t="n">
        <v>2025</v>
      </c>
      <c r="D121" s="106" t="inlineStr">
        <is>
          <t>Q2</t>
        </is>
      </c>
      <c r="E121" s="109" t="inlineStr">
        <is>
          <t>Ben/DeepSeek</t>
        </is>
      </c>
      <c r="F121" s="106" t="inlineStr">
        <is>
          <t>LLM</t>
        </is>
      </c>
      <c r="G121" s="128" t="n">
        <v>0.21</v>
      </c>
      <c r="H121" s="106" t="inlineStr">
        <is>
          <t>HOLD</t>
        </is>
      </c>
      <c r="I121" s="128" t="n"/>
      <c r="J121" s="125" t="n">
        <v>45874</v>
      </c>
      <c r="K121" s="126" t="n">
        <v>45873</v>
      </c>
      <c r="L121" s="129" t="n">
        <v>23.53</v>
      </c>
      <c r="M121" s="126" t="n">
        <v>45874</v>
      </c>
      <c r="N121" s="129" t="n">
        <v>24.27</v>
      </c>
      <c r="O121" s="132" t="n">
        <v>0.013157</v>
      </c>
      <c r="P121" s="107" t="n">
        <v>0.031449</v>
      </c>
      <c r="Q121" s="106" t="inlineStr">
        <is>
          <t>UP</t>
        </is>
      </c>
      <c r="R121" s="106" t="inlineStr">
        <is>
          <t>NO</t>
        </is>
      </c>
      <c r="S121" s="105" t="n">
        <v>0</v>
      </c>
      <c r="T121" s="107" t="n">
        <v>0</v>
      </c>
      <c r="U121" s="130" t="inlineStr">
        <is>
          <t>w=[0.55,0.45,0,0] thr=(+0.25,-0.05), deployed default (risk-accepted, PSR=0.0/perm p=0.150 at N=161, not rechecked at N=268)</t>
        </is>
      </c>
      <c r="W121" t="inlineStr">
        <is>
          <t>price signal — both moved; this one dominates</t>
        </is>
      </c>
      <c r="X121" t="inlineStr">
        <is>
          <t>PFE</t>
        </is>
      </c>
      <c r="Y121" t="inlineStr">
        <is>
          <t>2025-08-04</t>
        </is>
      </c>
      <c r="Z121" t="n">
        <v>21.9879</v>
      </c>
      <c r="AA121" t="inlineStr">
        <is>
          <t>2025-08-05</t>
        </is>
      </c>
      <c r="AB121" t="n">
        <v>22.6794</v>
      </c>
      <c r="AC121" t="n">
        <v>0.03144916541941944</v>
      </c>
      <c r="AD121" t="inlineStr">
        <is>
          <t>UP</t>
        </is>
      </c>
      <c r="AE121" t="inlineStr">
        <is>
          <t>NO</t>
        </is>
      </c>
      <c r="AF121" t="n">
        <v>0</v>
      </c>
      <c r="AG121">
        <f>IF($A121="","",IFERROR(INDEX(Company_List!$G$3:$G$207,MATCH($A121,Company_List!$A$3:$A$207,0)),"unassigned"))</f>
        <v/>
      </c>
      <c r="AH121" t="inlineStr">
        <is>
          <t>Phase 2/Pfizer/PFE-USQ_Transcript_2025-08-05.pdf</t>
        </is>
      </c>
      <c r="AJ121" t="inlineStr">
        <is>
          <t>unique filename match</t>
        </is>
      </c>
      <c r="AK121">
        <f>IF($A121="","",IF(COUNTIFS(Human_Data_Entry!$A$3:$A$525,$A121)&gt;0,"YES","NO"))</f>
        <v/>
      </c>
      <c r="AL121">
        <f>IF($A121="","",IF(AND($C121&amp;"-"&amp;$D121&gt;=Settings!$B$19,$C121&amp;"-"&amp;$D121&lt;=Settings!$B$20),"IN","OUT"))</f>
        <v/>
      </c>
      <c r="AM121">
        <f>IF(AND(OR($H121="BUY",$H121="SELL"),ISNUMBER($T121)),$T121,"")</f>
        <v/>
      </c>
      <c r="AN121">
        <f>IF(AND(OR($H121="BUY",$H121="SELL"),ISNUMBER($AF121)),$AF121,"")</f>
        <v/>
      </c>
      <c r="AO121">
        <f>IF(ISNUMBER($AM121),ABS(IF(ISNUMBER($G121),$G121,0)-Settings!$B$25),"")</f>
        <v/>
      </c>
      <c r="AP121">
        <f>IF(ISNUMBER($AO121),$AO121*$AM121,"")</f>
        <v/>
      </c>
      <c r="AQ121">
        <f>IF(ISNUMBER($AN121),ABS(IF(ISNUMBER($G121),$G121,0)-Settings!$B$25),"")</f>
        <v/>
      </c>
      <c r="AR121">
        <f>IF(ISNUMBER($AQ121),$AQ121*$AN121,"")</f>
        <v/>
      </c>
      <c r="AS121">
        <f>IF($A121="","",IFERROR(INDEX(Company_List!$H$3:$H$207,MATCH($A121,Company_List!$A$3:$A$207,0)),"unassigned"))</f>
        <v/>
      </c>
      <c r="AT121" t="inlineStr">
        <is>
          <t>re-read since v1</t>
        </is>
      </c>
      <c r="AU121" t="inlineStr">
        <is>
          <t>Phase 2/Master_Data_v1.xlsx</t>
        </is>
      </c>
      <c r="AV121" t="n">
        <v>1</v>
      </c>
      <c r="AW121" t="inlineStr">
        <is>
          <t>Refinitiv / LSEG StreetEvents</t>
        </is>
      </c>
      <c r="AX121" t="inlineStr">
        <is>
          <t>licensed vendor</t>
        </is>
      </c>
      <c r="AY121" t="inlineStr">
        <is>
          <t>no</t>
        </is>
      </c>
      <c r="AZ121" t="inlineStr">
        <is>
          <t>no</t>
        </is>
      </c>
    </row>
    <row r="122">
      <c r="A122" s="115" t="inlineStr">
        <is>
          <t>Pfizer</t>
        </is>
      </c>
      <c r="B122" s="117" t="inlineStr">
        <is>
          <t>PFE</t>
        </is>
      </c>
      <c r="C122" s="105" t="n">
        <v>2025</v>
      </c>
      <c r="D122" s="106" t="inlineStr">
        <is>
          <t>Q4</t>
        </is>
      </c>
      <c r="E122" s="109" t="inlineStr">
        <is>
          <t>Ben/DeepSeek</t>
        </is>
      </c>
      <c r="F122" s="106" t="inlineStr">
        <is>
          <t>LLM</t>
        </is>
      </c>
      <c r="G122" s="128" t="n">
        <v>0.1125</v>
      </c>
      <c r="H122" s="106" t="inlineStr">
        <is>
          <t>HOLD</t>
        </is>
      </c>
      <c r="I122" s="128" t="n"/>
      <c r="J122" s="125" t="n">
        <v>46056</v>
      </c>
      <c r="K122" s="126" t="n">
        <v>46055</v>
      </c>
      <c r="L122" s="129" t="n">
        <v>26.66</v>
      </c>
      <c r="M122" s="126" t="n">
        <v>46056</v>
      </c>
      <c r="N122" s="129" t="n">
        <v>25.36</v>
      </c>
      <c r="O122" s="132" t="n">
        <v>0.013416</v>
      </c>
      <c r="P122" s="107" t="n">
        <v>-0.048762</v>
      </c>
      <c r="Q122" s="106" t="inlineStr">
        <is>
          <t>DOWN</t>
        </is>
      </c>
      <c r="R122" s="106" t="inlineStr">
        <is>
          <t>NO</t>
        </is>
      </c>
      <c r="S122" s="105" t="n">
        <v>0</v>
      </c>
      <c r="T122" s="107" t="n">
        <v>0</v>
      </c>
      <c r="U122" s="130" t="inlineStr">
        <is>
          <t>w=[0.55,0.45,0,0] thr=(+0.25,-0.05), deployed default (risk-accepted, PSR=0.0/perm p=0.150 at N=161, not rechecked at N=268)</t>
        </is>
      </c>
      <c r="W122" t="inlineStr">
        <is>
          <t>price signal — only this window shows an abnormal move</t>
        </is>
      </c>
      <c r="X122" t="inlineStr">
        <is>
          <t>PFE</t>
        </is>
      </c>
      <c r="Y122" t="inlineStr">
        <is>
          <t>2026-02-02</t>
        </is>
      </c>
      <c r="Z122" t="n">
        <v>25.7762</v>
      </c>
      <c r="AA122" t="inlineStr">
        <is>
          <t>2026-02-03</t>
        </is>
      </c>
      <c r="AB122" t="n">
        <v>24.5193</v>
      </c>
      <c r="AC122" t="n">
        <v>-0.04876210990506553</v>
      </c>
      <c r="AD122" t="inlineStr">
        <is>
          <t>DOWN</t>
        </is>
      </c>
      <c r="AE122" t="inlineStr">
        <is>
          <t>NO</t>
        </is>
      </c>
      <c r="AF122" t="n">
        <v>0</v>
      </c>
      <c r="AG122">
        <f>IF($A122="","",IFERROR(INDEX(Company_List!$G$3:$G$207,MATCH($A122,Company_List!$A$3:$A$207,0)),"unassigned"))</f>
        <v/>
      </c>
      <c r="AH122" t="inlineStr">
        <is>
          <t>Phase 2/Pfizer/PFE-USQ_Transcript_2026-02-03.pdf</t>
        </is>
      </c>
      <c r="AJ122" t="inlineStr">
        <is>
          <t>unique filename match</t>
        </is>
      </c>
      <c r="AK122">
        <f>IF($A122="","",IF(COUNTIFS(Human_Data_Entry!$A$3:$A$525,$A122)&gt;0,"YES","NO"))</f>
        <v/>
      </c>
      <c r="AL122">
        <f>IF($A122="","",IF(AND($C122&amp;"-"&amp;$D122&gt;=Settings!$B$19,$C122&amp;"-"&amp;$D122&lt;=Settings!$B$20),"IN","OUT"))</f>
        <v/>
      </c>
      <c r="AM122">
        <f>IF(AND(OR($H122="BUY",$H122="SELL"),ISNUMBER($T122)),$T122,"")</f>
        <v/>
      </c>
      <c r="AN122">
        <f>IF(AND(OR($H122="BUY",$H122="SELL"),ISNUMBER($AF122)),$AF122,"")</f>
        <v/>
      </c>
      <c r="AO122">
        <f>IF(ISNUMBER($AM122),ABS(IF(ISNUMBER($G122),$G122,0)-Settings!$B$25),"")</f>
        <v/>
      </c>
      <c r="AP122">
        <f>IF(ISNUMBER($AO122),$AO122*$AM122,"")</f>
        <v/>
      </c>
      <c r="AQ122">
        <f>IF(ISNUMBER($AN122),ABS(IF(ISNUMBER($G122),$G122,0)-Settings!$B$25),"")</f>
        <v/>
      </c>
      <c r="AR122">
        <f>IF(ISNUMBER($AQ122),$AQ122*$AN122,"")</f>
        <v/>
      </c>
      <c r="AS122">
        <f>IF($A122="","",IFERROR(INDEX(Company_List!$H$3:$H$207,MATCH($A122,Company_List!$A$3:$A$207,0)),"unassigned"))</f>
        <v/>
      </c>
      <c r="AT122" t="inlineStr">
        <is>
          <t>re-read since v1</t>
        </is>
      </c>
      <c r="AU122" t="inlineStr">
        <is>
          <t>Phase 2/Master_Data_v1.xlsx</t>
        </is>
      </c>
      <c r="AV122" t="n">
        <v>1</v>
      </c>
      <c r="AW122" t="inlineStr">
        <is>
          <t>Refinitiv / LSEG StreetEvents</t>
        </is>
      </c>
      <c r="AX122" t="inlineStr">
        <is>
          <t>licensed vendor</t>
        </is>
      </c>
      <c r="AY122" t="inlineStr">
        <is>
          <t>no</t>
        </is>
      </c>
      <c r="AZ122" t="inlineStr">
        <is>
          <t>no</t>
        </is>
      </c>
    </row>
    <row r="123">
      <c r="A123" s="115" t="inlineStr">
        <is>
          <t>United Airlines</t>
        </is>
      </c>
      <c r="B123" s="117" t="inlineStr">
        <is>
          <t>UAL</t>
        </is>
      </c>
      <c r="C123" s="105" t="n">
        <v>2025</v>
      </c>
      <c r="D123" s="106" t="inlineStr">
        <is>
          <t>Q1</t>
        </is>
      </c>
      <c r="E123" s="109" t="inlineStr">
        <is>
          <t>Ben/DeepSeek</t>
        </is>
      </c>
      <c r="F123" s="106" t="inlineStr">
        <is>
          <t>LLM</t>
        </is>
      </c>
      <c r="G123" s="128" t="n">
        <v>-0.41</v>
      </c>
      <c r="H123" s="106" t="inlineStr">
        <is>
          <t>SELL</t>
        </is>
      </c>
      <c r="I123" s="128" t="n"/>
      <c r="J123" s="125" t="n">
        <v>45762</v>
      </c>
      <c r="K123" s="126" t="n">
        <v>45762</v>
      </c>
      <c r="L123" s="129" t="n">
        <v>67</v>
      </c>
      <c r="M123" s="126" t="n">
        <v>45763</v>
      </c>
      <c r="N123" s="129" t="n">
        <v>69.64</v>
      </c>
      <c r="O123" s="132" t="n">
        <v>0.01908</v>
      </c>
      <c r="P123" s="107" t="n">
        <v>0.039403</v>
      </c>
      <c r="Q123" s="106" t="inlineStr">
        <is>
          <t>UP</t>
        </is>
      </c>
      <c r="R123" s="106" t="inlineStr">
        <is>
          <t>NO</t>
        </is>
      </c>
      <c r="S123" s="105" t="n">
        <v>-1</v>
      </c>
      <c r="T123" s="107" t="n">
        <v>-0.040403</v>
      </c>
      <c r="U123" s="130" t="inlineStr">
        <is>
          <t>w=[0.55,0.45,0,0] thr=(+0.25,-0.05), deployed default (risk-accepted, PSR=0.0/perm p=0.150 at N=161, not rechecked at N=268)</t>
        </is>
      </c>
      <c r="W123" t="inlineStr">
        <is>
          <t>price signal — only this window shows an abnormal move</t>
        </is>
      </c>
      <c r="X123" t="inlineStr">
        <is>
          <t>UAL</t>
        </is>
      </c>
      <c r="Y123" t="inlineStr">
        <is>
          <t>2025-04-15</t>
        </is>
      </c>
      <c r="Z123" t="n">
        <v>67</v>
      </c>
      <c r="AA123" t="inlineStr">
        <is>
          <t>2025-04-16</t>
        </is>
      </c>
      <c r="AB123" t="n">
        <v>69.64</v>
      </c>
      <c r="AC123" t="n">
        <v>0.03940297014925378</v>
      </c>
      <c r="AD123" t="inlineStr">
        <is>
          <t>UP</t>
        </is>
      </c>
      <c r="AE123" t="inlineStr">
        <is>
          <t>NO</t>
        </is>
      </c>
      <c r="AF123" t="n">
        <v>-0.040403</v>
      </c>
      <c r="AG123">
        <f>IF($A123="","",IFERROR(INDEX(Company_List!$G$3:$G$207,MATCH($A123,Company_List!$A$3:$A$207,0)),"unassigned"))</f>
        <v/>
      </c>
      <c r="AH123" t="inlineStr">
        <is>
          <t>Phase 2/United Airlines/Q1/Q1 2025 United Airlines Holdings Inc Earnings Call Transcript.pdf; Phase 2/United Airlines/Q1/Q1 2025 Financial Results Final.pdf</t>
        </is>
      </c>
      <c r="AJ123" t="inlineStr">
        <is>
          <t>whole bundle (Document = All)</t>
        </is>
      </c>
      <c r="AK123">
        <f>IF($A123="","",IF(COUNTIFS(Human_Data_Entry!$A$3:$A$525,$A123)&gt;0,"YES","NO"))</f>
        <v/>
      </c>
      <c r="AL123">
        <f>IF($A123="","",IF(AND($C123&amp;"-"&amp;$D123&gt;=Settings!$B$19,$C123&amp;"-"&amp;$D123&lt;=Settings!$B$20),"IN","OUT"))</f>
        <v/>
      </c>
      <c r="AM123">
        <f>IF(AND(OR($H123="BUY",$H123="SELL"),ISNUMBER($T123)),$T123,"")</f>
        <v/>
      </c>
      <c r="AN123">
        <f>IF(AND(OR($H123="BUY",$H123="SELL"),ISNUMBER($AF123)),$AF123,"")</f>
        <v/>
      </c>
      <c r="AO123">
        <f>IF(ISNUMBER($AM123),ABS(IF(ISNUMBER($G123),$G123,0)-Settings!$B$25),"")</f>
        <v/>
      </c>
      <c r="AP123">
        <f>IF(ISNUMBER($AO123),$AO123*$AM123,"")</f>
        <v/>
      </c>
      <c r="AQ123">
        <f>IF(ISNUMBER($AN123),ABS(IF(ISNUMBER($G123),$G123,0)-Settings!$B$25),"")</f>
        <v/>
      </c>
      <c r="AR123">
        <f>IF(ISNUMBER($AQ123),$AQ123*$AN123,"")</f>
        <v/>
      </c>
      <c r="AS123">
        <f>IF($A123="","",IFERROR(INDEX(Company_List!$H$3:$H$207,MATCH($A123,Company_List!$A$3:$A$207,0)),"unassigned"))</f>
        <v/>
      </c>
      <c r="AT123" t="inlineStr">
        <is>
          <t>re-read since v1</t>
        </is>
      </c>
      <c r="AU123" t="inlineStr">
        <is>
          <t>Phase 2/Master_Data_v1.xlsx</t>
        </is>
      </c>
      <c r="AV123" t="n">
        <v>2</v>
      </c>
      <c r="AW123" t="inlineStr">
        <is>
          <t>not publisher-identified</t>
        </is>
      </c>
      <c r="AX123" t="inlineStr">
        <is>
          <t>not publisher-identified</t>
        </is>
      </c>
      <c r="AY123" t="inlineStr">
        <is>
          <t>no</t>
        </is>
      </c>
      <c r="AZ123" t="inlineStr">
        <is>
          <t>no</t>
        </is>
      </c>
    </row>
    <row r="124">
      <c r="A124" s="115" t="inlineStr">
        <is>
          <t>United Airlines</t>
        </is>
      </c>
      <c r="B124" s="117" t="inlineStr">
        <is>
          <t>UAL</t>
        </is>
      </c>
      <c r="C124" s="105" t="n">
        <v>2025</v>
      </c>
      <c r="D124" s="106" t="inlineStr">
        <is>
          <t>Q2</t>
        </is>
      </c>
      <c r="E124" s="109" t="inlineStr">
        <is>
          <t>Ben/DeepSeek</t>
        </is>
      </c>
      <c r="F124" s="106" t="inlineStr">
        <is>
          <t>LLM</t>
        </is>
      </c>
      <c r="G124" s="128" t="n">
        <v>0.21</v>
      </c>
      <c r="H124" s="106" t="inlineStr">
        <is>
          <t>HOLD</t>
        </is>
      </c>
      <c r="I124" s="128" t="n"/>
      <c r="J124" s="125" t="n">
        <v>45854</v>
      </c>
      <c r="K124" s="126" t="n">
        <v>45854</v>
      </c>
      <c r="L124" s="129" t="n">
        <v>88.47</v>
      </c>
      <c r="M124" s="126" t="n">
        <v>45855</v>
      </c>
      <c r="N124" s="129" t="n">
        <v>91.89</v>
      </c>
      <c r="O124" s="132" t="n">
        <v>0.019496</v>
      </c>
      <c r="P124" s="107" t="n">
        <v>0.038657</v>
      </c>
      <c r="Q124" s="106" t="inlineStr">
        <is>
          <t>UP</t>
        </is>
      </c>
      <c r="R124" s="106" t="inlineStr">
        <is>
          <t>NO</t>
        </is>
      </c>
      <c r="S124" s="105" t="n">
        <v>0</v>
      </c>
      <c r="T124" s="107" t="n">
        <v>0</v>
      </c>
      <c r="U124" s="130" t="inlineStr">
        <is>
          <t>w=[0.55,0.45,0,0] thr=(+0.25,-0.05), deployed default (risk-accepted, PSR=0.0/perm p=0.150 at N=161, not rechecked at N=268)</t>
        </is>
      </c>
      <c r="W124" t="inlineStr">
        <is>
          <t>recorded price identified against every pulled series</t>
        </is>
      </c>
      <c r="X124" t="inlineStr">
        <is>
          <t>UAL</t>
        </is>
      </c>
      <c r="Y124" t="inlineStr">
        <is>
          <t>2025-07-16</t>
        </is>
      </c>
      <c r="Z124" t="n">
        <v>88.47</v>
      </c>
      <c r="AA124" t="inlineStr">
        <is>
          <t>2025-07-17</t>
        </is>
      </c>
      <c r="AB124" t="n">
        <v>91.89</v>
      </c>
      <c r="AC124" t="n">
        <v>0.03865714887920038</v>
      </c>
      <c r="AD124" t="inlineStr">
        <is>
          <t>UP</t>
        </is>
      </c>
      <c r="AE124" t="inlineStr">
        <is>
          <t>NO</t>
        </is>
      </c>
      <c r="AF124" t="n">
        <v>0</v>
      </c>
      <c r="AG124">
        <f>IF($A124="","",IFERROR(INDEX(Company_List!$G$3:$G$207,MATCH($A124,Company_List!$A$3:$A$207,0)),"unassigned"))</f>
        <v/>
      </c>
      <c r="AH124" t="inlineStr">
        <is>
          <t>Phase 2/United Airlines/Q2/Q2 2025 United Airlines Holdings Inc Earnings Call Transcript.pdf; Phase 2/United Airlines/Q2/Q2 2025 Investor Update Final.pdf; Phase 2/United Airlines/Q2/Q2 2025 Earnings Release Final.pdf</t>
        </is>
      </c>
      <c r="AJ124" t="inlineStr">
        <is>
          <t>whole bundle (Document = All)</t>
        </is>
      </c>
      <c r="AK124">
        <f>IF($A124="","",IF(COUNTIFS(Human_Data_Entry!$A$3:$A$525,$A124)&gt;0,"YES","NO"))</f>
        <v/>
      </c>
      <c r="AL124">
        <f>IF($A124="","",IF(AND($C124&amp;"-"&amp;$D124&gt;=Settings!$B$19,$C124&amp;"-"&amp;$D124&lt;=Settings!$B$20),"IN","OUT"))</f>
        <v/>
      </c>
      <c r="AM124">
        <f>IF(AND(OR($H124="BUY",$H124="SELL"),ISNUMBER($T124)),$T124,"")</f>
        <v/>
      </c>
      <c r="AN124">
        <f>IF(AND(OR($H124="BUY",$H124="SELL"),ISNUMBER($AF124)),$AF124,"")</f>
        <v/>
      </c>
      <c r="AO124">
        <f>IF(ISNUMBER($AM124),ABS(IF(ISNUMBER($G124),$G124,0)-Settings!$B$25),"")</f>
        <v/>
      </c>
      <c r="AP124">
        <f>IF(ISNUMBER($AO124),$AO124*$AM124,"")</f>
        <v/>
      </c>
      <c r="AQ124">
        <f>IF(ISNUMBER($AN124),ABS(IF(ISNUMBER($G124),$G124,0)-Settings!$B$25),"")</f>
        <v/>
      </c>
      <c r="AR124">
        <f>IF(ISNUMBER($AQ124),$AQ124*$AN124,"")</f>
        <v/>
      </c>
      <c r="AS124">
        <f>IF($A124="","",IFERROR(INDEX(Company_List!$H$3:$H$207,MATCH($A124,Company_List!$A$3:$A$207,0)),"unassigned"))</f>
        <v/>
      </c>
      <c r="AT124" t="inlineStr">
        <is>
          <t>re-read since v1</t>
        </is>
      </c>
      <c r="AU124" t="inlineStr">
        <is>
          <t>Phase 2/Master_Data_v1.xlsx</t>
        </is>
      </c>
      <c r="AV124" t="n">
        <v>3</v>
      </c>
      <c r="AW124" t="inlineStr">
        <is>
          <t>not publisher-identified</t>
        </is>
      </c>
      <c r="AX124" t="inlineStr">
        <is>
          <t>not publisher-identified</t>
        </is>
      </c>
      <c r="AY124" t="inlineStr">
        <is>
          <t>no</t>
        </is>
      </c>
      <c r="AZ124" t="inlineStr">
        <is>
          <t>no</t>
        </is>
      </c>
    </row>
    <row r="125">
      <c r="A125" s="115" t="inlineStr">
        <is>
          <t>United Airlines</t>
        </is>
      </c>
      <c r="B125" s="117" t="inlineStr">
        <is>
          <t>UAL</t>
        </is>
      </c>
      <c r="C125" s="105" t="n">
        <v>2025</v>
      </c>
      <c r="D125" s="106" t="inlineStr">
        <is>
          <t>Q3</t>
        </is>
      </c>
      <c r="E125" s="109" t="inlineStr">
        <is>
          <t>Ben/DeepSeek</t>
        </is>
      </c>
      <c r="F125" s="106" t="inlineStr">
        <is>
          <t>LLM</t>
        </is>
      </c>
      <c r="G125" s="128" t="n">
        <v>0.3</v>
      </c>
      <c r="H125" s="106" t="inlineStr">
        <is>
          <t>BUY</t>
        </is>
      </c>
      <c r="I125" s="128" t="n"/>
      <c r="J125" s="125" t="n">
        <v>45945</v>
      </c>
      <c r="K125" s="126" t="n">
        <v>45945</v>
      </c>
      <c r="L125" s="129" t="n">
        <v>104.05</v>
      </c>
      <c r="M125" s="126" t="n">
        <v>45946</v>
      </c>
      <c r="N125" s="129" t="n">
        <v>102.94</v>
      </c>
      <c r="O125" s="132" t="n">
        <v>0.012194</v>
      </c>
      <c r="P125" s="107" t="n">
        <v>-0.010668</v>
      </c>
      <c r="Q125" s="106" t="inlineStr">
        <is>
          <t>FLAT</t>
        </is>
      </c>
      <c r="R125" s="106" t="inlineStr">
        <is>
          <t>NO</t>
        </is>
      </c>
      <c r="S125" s="105" t="n">
        <v>1</v>
      </c>
      <c r="T125" s="107" t="n">
        <v>-0.011668</v>
      </c>
      <c r="U125" s="130" t="inlineStr">
        <is>
          <t>w=[0.55,0.45,0,0] thr=(+0.25,-0.05), deployed default (risk-accepted, PSR=0.0/perm p=0.150 at N=161, not rechecked at N=268)</t>
        </is>
      </c>
      <c r="W125" t="inlineStr">
        <is>
          <t>recorded price identified against every pulled series</t>
        </is>
      </c>
      <c r="X125" t="inlineStr">
        <is>
          <t>UAL</t>
        </is>
      </c>
      <c r="Y125" t="inlineStr">
        <is>
          <t>2025-10-15</t>
        </is>
      </c>
      <c r="Z125" t="n">
        <v>104.05</v>
      </c>
      <c r="AA125" t="inlineStr">
        <is>
          <t>2025-10-16</t>
        </is>
      </c>
      <c r="AB125" t="n">
        <v>102.94</v>
      </c>
      <c r="AC125" t="n">
        <v>-0.01066795740505646</v>
      </c>
      <c r="AD125" t="inlineStr">
        <is>
          <t>FLAT</t>
        </is>
      </c>
      <c r="AE125" t="inlineStr">
        <is>
          <t>NO</t>
        </is>
      </c>
      <c r="AF125" t="n">
        <v>-0.011668</v>
      </c>
      <c r="AG125">
        <f>IF($A125="","",IFERROR(INDEX(Company_List!$G$3:$G$207,MATCH($A125,Company_List!$A$3:$A$207,0)),"unassigned"))</f>
        <v/>
      </c>
      <c r="AH125" t="inlineStr">
        <is>
          <t>Phase 2/United Airlines/Q3/Q3 2025 United Airlines Holdings Inc Earnings Call Transcript.pdf</t>
        </is>
      </c>
      <c r="AJ125" t="inlineStr">
        <is>
          <t>unique filename match</t>
        </is>
      </c>
      <c r="AK125">
        <f>IF($A125="","",IF(COUNTIFS(Human_Data_Entry!$A$3:$A$525,$A125)&gt;0,"YES","NO"))</f>
        <v/>
      </c>
      <c r="AL125">
        <f>IF($A125="","",IF(AND($C125&amp;"-"&amp;$D125&gt;=Settings!$B$19,$C125&amp;"-"&amp;$D125&lt;=Settings!$B$20),"IN","OUT"))</f>
        <v/>
      </c>
      <c r="AM125">
        <f>IF(AND(OR($H125="BUY",$H125="SELL"),ISNUMBER($T125)),$T125,"")</f>
        <v/>
      </c>
      <c r="AN125">
        <f>IF(AND(OR($H125="BUY",$H125="SELL"),ISNUMBER($AF125)),$AF125,"")</f>
        <v/>
      </c>
      <c r="AO125">
        <f>IF(ISNUMBER($AM125),ABS(IF(ISNUMBER($G125),$G125,0)-Settings!$B$25),"")</f>
        <v/>
      </c>
      <c r="AP125">
        <f>IF(ISNUMBER($AO125),$AO125*$AM125,"")</f>
        <v/>
      </c>
      <c r="AQ125">
        <f>IF(ISNUMBER($AN125),ABS(IF(ISNUMBER($G125),$G125,0)-Settings!$B$25),"")</f>
        <v/>
      </c>
      <c r="AR125">
        <f>IF(ISNUMBER($AQ125),$AQ125*$AN125,"")</f>
        <v/>
      </c>
      <c r="AS125">
        <f>IF($A125="","",IFERROR(INDEX(Company_List!$H$3:$H$207,MATCH($A125,Company_List!$A$3:$A$207,0)),"unassigned"))</f>
        <v/>
      </c>
      <c r="AT125" t="inlineStr">
        <is>
          <t>re-read since v1</t>
        </is>
      </c>
      <c r="AU125" t="inlineStr">
        <is>
          <t>Phase 2/Master_Data_v1.xlsx</t>
        </is>
      </c>
      <c r="AV125" t="n">
        <v>1</v>
      </c>
      <c r="AW125" t="inlineStr">
        <is>
          <t>not publisher-identified</t>
        </is>
      </c>
      <c r="AX125" t="inlineStr">
        <is>
          <t>not publisher-identified</t>
        </is>
      </c>
      <c r="AY125" t="inlineStr">
        <is>
          <t>no</t>
        </is>
      </c>
      <c r="AZ125" t="inlineStr">
        <is>
          <t>no</t>
        </is>
      </c>
    </row>
    <row r="126">
      <c r="A126" s="115" t="inlineStr">
        <is>
          <t>United Airlines</t>
        </is>
      </c>
      <c r="B126" s="117" t="inlineStr">
        <is>
          <t>UAL</t>
        </is>
      </c>
      <c r="C126" s="105" t="n">
        <v>2025</v>
      </c>
      <c r="D126" s="106" t="inlineStr">
        <is>
          <t>Q4</t>
        </is>
      </c>
      <c r="E126" s="109" t="inlineStr">
        <is>
          <t>Ben/DeepSeek</t>
        </is>
      </c>
      <c r="F126" s="106" t="inlineStr">
        <is>
          <t>LLM</t>
        </is>
      </c>
      <c r="G126" s="128" t="n">
        <v>0.2775</v>
      </c>
      <c r="H126" s="106" t="inlineStr">
        <is>
          <t>BUY</t>
        </is>
      </c>
      <c r="I126" s="128" t="n"/>
      <c r="J126" s="125" t="n">
        <v>46042</v>
      </c>
      <c r="K126" s="126" t="n">
        <v>46042</v>
      </c>
      <c r="L126" s="129" t="n">
        <v>108.57</v>
      </c>
      <c r="M126" s="126" t="n">
        <v>46043</v>
      </c>
      <c r="N126" s="129" t="n">
        <v>111.95</v>
      </c>
      <c r="O126" s="132" t="n">
        <v>0.045787</v>
      </c>
      <c r="P126" s="107" t="n">
        <v>0.031132</v>
      </c>
      <c r="Q126" s="106" t="inlineStr">
        <is>
          <t>UP</t>
        </is>
      </c>
      <c r="R126" s="106" t="inlineStr">
        <is>
          <t>YES</t>
        </is>
      </c>
      <c r="S126" s="105" t="n">
        <v>1</v>
      </c>
      <c r="T126" s="107" t="n">
        <v>0.030132</v>
      </c>
      <c r="U126" s="130" t="inlineStr">
        <is>
          <t>w=[0.55,0.45,0,0] thr=(+0.25,-0.05), deployed default (risk-accepted, PSR=0.0/perm p=0.150 at N=161, not rechecked at N=268)</t>
        </is>
      </c>
      <c r="W126" t="inlineStr">
        <is>
          <t>recorded price identified against every pulled series</t>
        </is>
      </c>
      <c r="X126" t="inlineStr">
        <is>
          <t>UAL</t>
        </is>
      </c>
      <c r="Y126" t="inlineStr">
        <is>
          <t>2026-01-20</t>
        </is>
      </c>
      <c r="Z126" t="n">
        <v>108.57</v>
      </c>
      <c r="AA126" t="inlineStr">
        <is>
          <t>2026-01-21</t>
        </is>
      </c>
      <c r="AB126" t="n">
        <v>111.95</v>
      </c>
      <c r="AC126" t="n">
        <v>0.03113196094685459</v>
      </c>
      <c r="AD126" t="inlineStr">
        <is>
          <t>UP</t>
        </is>
      </c>
      <c r="AE126" t="inlineStr">
        <is>
          <t>YES</t>
        </is>
      </c>
      <c r="AF126" t="n">
        <v>0.030132</v>
      </c>
      <c r="AG126">
        <f>IF($A126="","",IFERROR(INDEX(Company_List!$G$3:$G$207,MATCH($A126,Company_List!$A$3:$A$207,0)),"unassigned"))</f>
        <v/>
      </c>
      <c r="AH126" t="inlineStr">
        <is>
          <t>Phase 2/United Airlines/Q4/UAL 2025 10K.pdf; Phase 2/United Airlines/Q4/Q4 2025 United Airlines Holdings Inc Earnings Call Transcript.pdf; Phase 2/United Airlines/Q4/4Q_FY25 Earnings Release Final.pdf</t>
        </is>
      </c>
      <c r="AJ126" t="inlineStr">
        <is>
          <t>whole bundle (Document = All)</t>
        </is>
      </c>
      <c r="AK126">
        <f>IF($A126="","",IF(COUNTIFS(Human_Data_Entry!$A$3:$A$525,$A126)&gt;0,"YES","NO"))</f>
        <v/>
      </c>
      <c r="AL126">
        <f>IF($A126="","",IF(AND($C126&amp;"-"&amp;$D126&gt;=Settings!$B$19,$C126&amp;"-"&amp;$D126&lt;=Settings!$B$20),"IN","OUT"))</f>
        <v/>
      </c>
      <c r="AM126">
        <f>IF(AND(OR($H126="BUY",$H126="SELL"),ISNUMBER($T126)),$T126,"")</f>
        <v/>
      </c>
      <c r="AN126">
        <f>IF(AND(OR($H126="BUY",$H126="SELL"),ISNUMBER($AF126)),$AF126,"")</f>
        <v/>
      </c>
      <c r="AO126">
        <f>IF(ISNUMBER($AM126),ABS(IF(ISNUMBER($G126),$G126,0)-Settings!$B$25),"")</f>
        <v/>
      </c>
      <c r="AP126">
        <f>IF(ISNUMBER($AO126),$AO126*$AM126,"")</f>
        <v/>
      </c>
      <c r="AQ126">
        <f>IF(ISNUMBER($AN126),ABS(IF(ISNUMBER($G126),$G126,0)-Settings!$B$25),"")</f>
        <v/>
      </c>
      <c r="AR126">
        <f>IF(ISNUMBER($AQ126),$AQ126*$AN126,"")</f>
        <v/>
      </c>
      <c r="AS126">
        <f>IF($A126="","",IFERROR(INDEX(Company_List!$H$3:$H$207,MATCH($A126,Company_List!$A$3:$A$207,0)),"unassigned"))</f>
        <v/>
      </c>
      <c r="AT126" t="inlineStr">
        <is>
          <t>re-read since v1</t>
        </is>
      </c>
      <c r="AU126" t="inlineStr">
        <is>
          <t>Phase 2/Master_Data_v1.xlsx</t>
        </is>
      </c>
      <c r="AV126" t="n">
        <v>3</v>
      </c>
      <c r="AW126" t="inlineStr">
        <is>
          <t>not publisher-identified</t>
        </is>
      </c>
      <c r="AX126" t="inlineStr">
        <is>
          <t>not publisher-identified</t>
        </is>
      </c>
      <c r="AY126" t="inlineStr">
        <is>
          <t>one of several</t>
        </is>
      </c>
      <c r="AZ126" t="inlineStr">
        <is>
          <t>no</t>
        </is>
      </c>
    </row>
    <row r="127">
      <c r="A127" s="115" t="inlineStr">
        <is>
          <t>PepsiCo</t>
        </is>
      </c>
      <c r="B127" s="117" t="inlineStr">
        <is>
          <t>PEP</t>
        </is>
      </c>
      <c r="C127" s="105" t="n">
        <v>2023</v>
      </c>
      <c r="D127" s="106" t="inlineStr">
        <is>
          <t>Q1</t>
        </is>
      </c>
      <c r="E127" s="109" t="inlineStr">
        <is>
          <t>Ben/DeepSeek</t>
        </is>
      </c>
      <c r="F127" s="106" t="inlineStr">
        <is>
          <t>LLM</t>
        </is>
      </c>
      <c r="G127" s="128" t="n">
        <v>0.5</v>
      </c>
      <c r="H127" s="106" t="inlineStr">
        <is>
          <t>BUY</t>
        </is>
      </c>
      <c r="I127" s="128" t="n"/>
      <c r="J127" s="125" t="n">
        <v>45041</v>
      </c>
      <c r="K127" s="126" t="n">
        <v>45040</v>
      </c>
      <c r="L127" s="129" t="n">
        <v>185.5</v>
      </c>
      <c r="M127" s="126" t="n">
        <v>45041</v>
      </c>
      <c r="N127" s="129" t="n">
        <v>186.56</v>
      </c>
      <c r="O127" s="132" t="n">
        <v>0.007327</v>
      </c>
      <c r="P127" s="107" t="n">
        <v>0.005714</v>
      </c>
      <c r="Q127" s="106" t="inlineStr">
        <is>
          <t>FLAT</t>
        </is>
      </c>
      <c r="R127" s="106" t="inlineStr">
        <is>
          <t>NO</t>
        </is>
      </c>
      <c r="S127" s="105" t="n">
        <v>1</v>
      </c>
      <c r="T127" s="107" t="n">
        <v>0.004714</v>
      </c>
      <c r="U127" s="130" t="inlineStr">
        <is>
          <t>w=[0.55,0.45,0,0] thr=(+0.25,-0.05), deployed default (risk-accepted, PSR=0.0/perm p=0.150 at N=161, not rechecked at N=268)</t>
        </is>
      </c>
      <c r="W127" t="inlineStr">
        <is>
          <t>release date + stated time</t>
        </is>
      </c>
      <c r="X127" t="inlineStr">
        <is>
          <t>PEP</t>
        </is>
      </c>
      <c r="Y127" t="inlineStr">
        <is>
          <t>2023-04-24</t>
        </is>
      </c>
      <c r="Z127" t="n">
        <v>165.906</v>
      </c>
      <c r="AA127" t="inlineStr">
        <is>
          <t>2023-04-25</t>
        </is>
      </c>
      <c r="AB127" t="n">
        <v>166.8541</v>
      </c>
      <c r="AC127" t="n">
        <v>0.005714316060247813</v>
      </c>
      <c r="AD127" t="inlineStr">
        <is>
          <t>FLAT</t>
        </is>
      </c>
      <c r="AE127" t="inlineStr">
        <is>
          <t>NO</t>
        </is>
      </c>
      <c r="AF127" t="n">
        <v>0.004714</v>
      </c>
      <c r="AG127">
        <f>IF($A127="","",IFERROR(INDEX(Company_List!$G$3:$G$207,MATCH($A127,Company_List!$A$3:$A$207,0)),"unassigned"))</f>
        <v/>
      </c>
      <c r="AH127" t="inlineStr">
        <is>
          <t>Phase 2/PepsiCo/Q1 2023/PEP-Q1-2023-press-release-SEC-EX99-1.htm; Phase 2/PepsiCo/Q1 2023/PEP-Q1-2023-earnings-call-transcript-InsiderMonkey.html</t>
        </is>
      </c>
      <c r="AI127" t="inlineStr">
        <is>
          <t>https://www.insidermonkey.com/blog/pepsico-inc-nasdaqpep-q1-2023-earnings-call-transcript-1143519/; https://www.sec.gov/Archives/edgar/data/77476/000007747623000025/q120238-kxexhibit991.htm</t>
        </is>
      </c>
      <c r="AJ127" t="inlineStr">
        <is>
          <t>manifest (whole bundle)</t>
        </is>
      </c>
      <c r="AK127">
        <f>IF($A127="","",IF(COUNTIFS(Human_Data_Entry!$A$3:$A$525,$A127)&gt;0,"YES","NO"))</f>
        <v/>
      </c>
      <c r="AL127">
        <f>IF($A127="","",IF(AND($C127&amp;"-"&amp;$D127&gt;=Settings!$B$19,$C127&amp;"-"&amp;$D127&lt;=Settings!$B$20),"IN","OUT"))</f>
        <v/>
      </c>
      <c r="AM127">
        <f>IF(AND(OR($H127="BUY",$H127="SELL"),ISNUMBER($T127)),$T127,"")</f>
        <v/>
      </c>
      <c r="AN127">
        <f>IF(AND(OR($H127="BUY",$H127="SELL"),ISNUMBER($AF127)),$AF127,"")</f>
        <v/>
      </c>
      <c r="AO127">
        <f>IF(ISNUMBER($AM127),ABS(IF(ISNUMBER($G127),$G127,0)-Settings!$B$25),"")</f>
        <v/>
      </c>
      <c r="AP127">
        <f>IF(ISNUMBER($AO127),$AO127*$AM127,"")</f>
        <v/>
      </c>
      <c r="AQ127">
        <f>IF(ISNUMBER($AN127),ABS(IF(ISNUMBER($G127),$G127,0)-Settings!$B$25),"")</f>
        <v/>
      </c>
      <c r="AR127">
        <f>IF(ISNUMBER($AQ127),$AQ127*$AN127,"")</f>
        <v/>
      </c>
      <c r="AS127">
        <f>IF($A127="","",IFERROR(INDEX(Company_List!$H$3:$H$207,MATCH($A127,Company_List!$A$3:$A$207,0)),"unassigned"))</f>
        <v/>
      </c>
      <c r="AT127" t="inlineStr">
        <is>
          <t>not in v1</t>
        </is>
      </c>
      <c r="AU127" t="inlineStr">
        <is>
          <t>no earlier record</t>
        </is>
      </c>
      <c r="AV127" t="n">
        <v>2</v>
      </c>
      <c r="AW127" t="inlineStr">
        <is>
          <t>Insider Monkey (Koala Guide LLC)</t>
        </is>
      </c>
      <c r="AX127" t="inlineStr">
        <is>
          <t>free to read, copyright asserted</t>
        </is>
      </c>
      <c r="AY127" t="inlineStr">
        <is>
          <t>no</t>
        </is>
      </c>
      <c r="AZ127" t="inlineStr">
        <is>
          <t>yes</t>
        </is>
      </c>
    </row>
    <row r="128">
      <c r="A128" s="115" t="inlineStr">
        <is>
          <t>PepsiCo</t>
        </is>
      </c>
      <c r="B128" s="117" t="inlineStr">
        <is>
          <t>PEP</t>
        </is>
      </c>
      <c r="C128" s="105" t="n">
        <v>2024</v>
      </c>
      <c r="D128" s="106" t="inlineStr">
        <is>
          <t>Q1</t>
        </is>
      </c>
      <c r="E128" s="109" t="inlineStr">
        <is>
          <t>Ben/DeepSeek</t>
        </is>
      </c>
      <c r="F128" s="106" t="inlineStr">
        <is>
          <t>LLM</t>
        </is>
      </c>
      <c r="G128" s="128" t="n">
        <v>0</v>
      </c>
      <c r="H128" s="106" t="inlineStr">
        <is>
          <t>HOLD</t>
        </is>
      </c>
      <c r="I128" s="128" t="n"/>
      <c r="J128" s="125" t="n">
        <v>45405</v>
      </c>
      <c r="K128" s="126" t="n">
        <v>45404</v>
      </c>
      <c r="L128" s="129" t="n">
        <v>176.46</v>
      </c>
      <c r="M128" s="126" t="n">
        <v>45405</v>
      </c>
      <c r="N128" s="129" t="n">
        <v>174.7</v>
      </c>
      <c r="O128" s="132" t="n">
        <v>0.004936</v>
      </c>
      <c r="P128" s="107" t="n">
        <v>-0.009974</v>
      </c>
      <c r="Q128" s="106" t="inlineStr">
        <is>
          <t>FLAT</t>
        </is>
      </c>
      <c r="R128" s="106" t="inlineStr">
        <is>
          <t>YES</t>
        </is>
      </c>
      <c r="S128" s="105" t="n">
        <v>0</v>
      </c>
      <c r="T128" s="107" t="n">
        <v>0</v>
      </c>
      <c r="U128" s="130" t="inlineStr">
        <is>
          <t>w=[0.55,0.45,0,0] thr=(+0.25,-0.05), deployed default (risk-accepted, PSR=0.0/perm p=0.150 at N=161, not rechecked at N=268)</t>
        </is>
      </c>
      <c r="W128" t="inlineStr">
        <is>
          <t>release date + stated time</t>
        </is>
      </c>
      <c r="X128" t="inlineStr">
        <is>
          <t>PEP</t>
        </is>
      </c>
      <c r="Y128" t="inlineStr">
        <is>
          <t>2024-04-22</t>
        </is>
      </c>
      <c r="Z128" t="n">
        <v>162.4924</v>
      </c>
      <c r="AA128" t="inlineStr">
        <is>
          <t>2024-04-23</t>
        </is>
      </c>
      <c r="AB128" t="n">
        <v>160.8717</v>
      </c>
      <c r="AC128" t="n">
        <v>-0.009973822775059944</v>
      </c>
      <c r="AD128" t="inlineStr">
        <is>
          <t>FLAT</t>
        </is>
      </c>
      <c r="AE128" t="inlineStr">
        <is>
          <t>YES</t>
        </is>
      </c>
      <c r="AF128" t="n">
        <v>0</v>
      </c>
      <c r="AG128">
        <f>IF($A128="","",IFERROR(INDEX(Company_List!$G$3:$G$207,MATCH($A128,Company_List!$A$3:$A$207,0)),"unassigned"))</f>
        <v/>
      </c>
      <c r="AH128" t="inlineStr">
        <is>
          <t>Phase 2/PepsiCo/Q1 2024/PEP-Q1-2024-press-release-SEC-EX99-1.htm; Phase 2/PepsiCo/Q1 2024/PEP-Q1-2024-earnings-call-transcript-InsiderMonkey.html</t>
        </is>
      </c>
      <c r="AI128" t="inlineStr">
        <is>
          <t>https://www.insidermonkey.com/blog/pepsico-inc-nasdaqpep-q1-2024-earnings-call-transcript-1291655/; https://www.sec.gov/Archives/edgar/data/77476/000007747624000019/q120248-kxexhibit991.htm</t>
        </is>
      </c>
      <c r="AJ128" t="inlineStr">
        <is>
          <t>manifest (whole bundle)</t>
        </is>
      </c>
      <c r="AK128">
        <f>IF($A128="","",IF(COUNTIFS(Human_Data_Entry!$A$3:$A$525,$A128)&gt;0,"YES","NO"))</f>
        <v/>
      </c>
      <c r="AL128">
        <f>IF($A128="","",IF(AND($C128&amp;"-"&amp;$D128&gt;=Settings!$B$19,$C128&amp;"-"&amp;$D128&lt;=Settings!$B$20),"IN","OUT"))</f>
        <v/>
      </c>
      <c r="AM128">
        <f>IF(AND(OR($H128="BUY",$H128="SELL"),ISNUMBER($T128)),$T128,"")</f>
        <v/>
      </c>
      <c r="AN128">
        <f>IF(AND(OR($H128="BUY",$H128="SELL"),ISNUMBER($AF128)),$AF128,"")</f>
        <v/>
      </c>
      <c r="AO128">
        <f>IF(ISNUMBER($AM128),ABS(IF(ISNUMBER($G128),$G128,0)-Settings!$B$25),"")</f>
        <v/>
      </c>
      <c r="AP128">
        <f>IF(ISNUMBER($AO128),$AO128*$AM128,"")</f>
        <v/>
      </c>
      <c r="AQ128">
        <f>IF(ISNUMBER($AN128),ABS(IF(ISNUMBER($G128),$G128,0)-Settings!$B$25),"")</f>
        <v/>
      </c>
      <c r="AR128">
        <f>IF(ISNUMBER($AQ128),$AQ128*$AN128,"")</f>
        <v/>
      </c>
      <c r="AS128">
        <f>IF($A128="","",IFERROR(INDEX(Company_List!$H$3:$H$207,MATCH($A128,Company_List!$A$3:$A$207,0)),"unassigned"))</f>
        <v/>
      </c>
      <c r="AT128" t="inlineStr">
        <is>
          <t>not in v1</t>
        </is>
      </c>
      <c r="AU128" t="inlineStr">
        <is>
          <t>no earlier record</t>
        </is>
      </c>
      <c r="AV128" t="n">
        <v>2</v>
      </c>
      <c r="AW128" t="inlineStr">
        <is>
          <t>Insider Monkey (Koala Guide LLC)</t>
        </is>
      </c>
      <c r="AX128" t="inlineStr">
        <is>
          <t>free to read, copyright asserted</t>
        </is>
      </c>
      <c r="AY128" t="inlineStr">
        <is>
          <t>no</t>
        </is>
      </c>
      <c r="AZ128" t="inlineStr">
        <is>
          <t>yes</t>
        </is>
      </c>
    </row>
    <row r="129">
      <c r="A129" s="115" t="inlineStr">
        <is>
          <t>PepsiCo</t>
        </is>
      </c>
      <c r="B129" s="117" t="inlineStr">
        <is>
          <t>PEP</t>
        </is>
      </c>
      <c r="C129" s="105" t="n">
        <v>2025</v>
      </c>
      <c r="D129" s="106" t="inlineStr">
        <is>
          <t>Q1</t>
        </is>
      </c>
      <c r="E129" s="109" t="inlineStr">
        <is>
          <t>Ben/DeepSeek</t>
        </is>
      </c>
      <c r="F129" s="106" t="inlineStr">
        <is>
          <t>LLM</t>
        </is>
      </c>
      <c r="G129" s="128" t="n">
        <v>-0.41</v>
      </c>
      <c r="H129" s="106" t="inlineStr">
        <is>
          <t>SELL</t>
        </is>
      </c>
      <c r="I129" s="128" t="n"/>
      <c r="J129" s="125" t="n">
        <v>45771</v>
      </c>
      <c r="K129" s="126" t="n">
        <v>45770</v>
      </c>
      <c r="L129" s="129" t="n">
        <v>142.26</v>
      </c>
      <c r="M129" s="126" t="n">
        <v>45771</v>
      </c>
      <c r="N129" s="129" t="n">
        <v>141.45</v>
      </c>
      <c r="O129" s="132" t="n">
        <v>0.00974</v>
      </c>
      <c r="P129" s="107" t="n">
        <v>-0.005694</v>
      </c>
      <c r="Q129" s="106" t="inlineStr">
        <is>
          <t>FLAT</t>
        </is>
      </c>
      <c r="R129" s="106" t="inlineStr">
        <is>
          <t>NO</t>
        </is>
      </c>
      <c r="S129" s="105" t="n">
        <v>-1</v>
      </c>
      <c r="T129" s="107" t="n">
        <v>0.004694</v>
      </c>
      <c r="U129" s="130" t="inlineStr">
        <is>
          <t>w=[0.55,0.45,0,0] thr=(+0.25,-0.05), deployed default (risk-accepted, PSR=0.0/perm p=0.150 at N=161, not rechecked at N=268)</t>
        </is>
      </c>
      <c r="W129" t="inlineStr">
        <is>
          <t>release date + stated time</t>
        </is>
      </c>
      <c r="X129" t="inlineStr">
        <is>
          <t>PEP</t>
        </is>
      </c>
      <c r="Y129" t="inlineStr">
        <is>
          <t>2025-04-23</t>
        </is>
      </c>
      <c r="Z129" t="n">
        <v>135.3569</v>
      </c>
      <c r="AA129" t="inlineStr">
        <is>
          <t>2025-04-24</t>
        </is>
      </c>
      <c r="AB129" t="n">
        <v>134.5862</v>
      </c>
      <c r="AC129" t="n">
        <v>-0.005693766472027005</v>
      </c>
      <c r="AD129" t="inlineStr">
        <is>
          <t>FLAT</t>
        </is>
      </c>
      <c r="AE129" t="inlineStr">
        <is>
          <t>NO</t>
        </is>
      </c>
      <c r="AF129" t="n">
        <v>0.004694</v>
      </c>
      <c r="AG129">
        <f>IF($A129="","",IFERROR(INDEX(Company_List!$G$3:$G$207,MATCH($A129,Company_List!$A$3:$A$207,0)),"unassigned"))</f>
        <v/>
      </c>
      <c r="AH129" t="inlineStr">
        <is>
          <t>Phase 2/PepsiCo/Q1 2025/PEP-Q1-2025-press-release-SEC-EX99-1.htm; Phase 2/PepsiCo/Q1 2025/PEP-Q1-2025-earnings-call-transcript-InsiderMonkey.html</t>
        </is>
      </c>
      <c r="AI129" t="inlineStr">
        <is>
          <t>https://www.insidermonkey.com/blog/pepsico-inc-nasdaqpep-q1-2025-earnings-call-transcript-1519470/; https://www.sec.gov/Archives/edgar/data/77476/000007747625000022/q120258-kxexhibit991.htm</t>
        </is>
      </c>
      <c r="AJ129" t="inlineStr">
        <is>
          <t>manifest (whole bundle)</t>
        </is>
      </c>
      <c r="AK129">
        <f>IF($A129="","",IF(COUNTIFS(Human_Data_Entry!$A$3:$A$525,$A129)&gt;0,"YES","NO"))</f>
        <v/>
      </c>
      <c r="AL129">
        <f>IF($A129="","",IF(AND($C129&amp;"-"&amp;$D129&gt;=Settings!$B$19,$C129&amp;"-"&amp;$D129&lt;=Settings!$B$20),"IN","OUT"))</f>
        <v/>
      </c>
      <c r="AM129">
        <f>IF(AND(OR($H129="BUY",$H129="SELL"),ISNUMBER($T129)),$T129,"")</f>
        <v/>
      </c>
      <c r="AN129">
        <f>IF(AND(OR($H129="BUY",$H129="SELL"),ISNUMBER($AF129)),$AF129,"")</f>
        <v/>
      </c>
      <c r="AO129">
        <f>IF(ISNUMBER($AM129),ABS(IF(ISNUMBER($G129),$G129,0)-Settings!$B$25),"")</f>
        <v/>
      </c>
      <c r="AP129">
        <f>IF(ISNUMBER($AO129),$AO129*$AM129,"")</f>
        <v/>
      </c>
      <c r="AQ129">
        <f>IF(ISNUMBER($AN129),ABS(IF(ISNUMBER($G129),$G129,0)-Settings!$B$25),"")</f>
        <v/>
      </c>
      <c r="AR129">
        <f>IF(ISNUMBER($AQ129),$AQ129*$AN129,"")</f>
        <v/>
      </c>
      <c r="AS129">
        <f>IF($A129="","",IFERROR(INDEX(Company_List!$H$3:$H$207,MATCH($A129,Company_List!$A$3:$A$207,0)),"unassigned"))</f>
        <v/>
      </c>
      <c r="AT129" t="inlineStr">
        <is>
          <t>not in v1</t>
        </is>
      </c>
      <c r="AU129" t="inlineStr">
        <is>
          <t>no earlier record</t>
        </is>
      </c>
      <c r="AV129" t="n">
        <v>2</v>
      </c>
      <c r="AW129" t="inlineStr">
        <is>
          <t>Insider Monkey (Koala Guide LLC)</t>
        </is>
      </c>
      <c r="AX129" t="inlineStr">
        <is>
          <t>free to read, copyright asserted</t>
        </is>
      </c>
      <c r="AY129" t="inlineStr">
        <is>
          <t>no</t>
        </is>
      </c>
      <c r="AZ129" t="inlineStr">
        <is>
          <t>yes</t>
        </is>
      </c>
    </row>
    <row r="130">
      <c r="A130" s="115" t="inlineStr">
        <is>
          <t>PepsiCo</t>
        </is>
      </c>
      <c r="B130" s="117" t="inlineStr">
        <is>
          <t>PEP</t>
        </is>
      </c>
      <c r="C130" s="105" t="n">
        <v>2026</v>
      </c>
      <c r="D130" s="106" t="inlineStr">
        <is>
          <t>Q1</t>
        </is>
      </c>
      <c r="E130" s="109" t="inlineStr">
        <is>
          <t>Ben/DeepSeek</t>
        </is>
      </c>
      <c r="F130" s="106" t="inlineStr">
        <is>
          <t>LLM</t>
        </is>
      </c>
      <c r="G130" s="128" t="n">
        <v>-0.0525</v>
      </c>
      <c r="H130" s="106" t="inlineStr">
        <is>
          <t>SELL</t>
        </is>
      </c>
      <c r="I130" s="128" t="n"/>
      <c r="J130" s="125" t="n">
        <v>46128</v>
      </c>
      <c r="K130" s="126" t="n">
        <v>46127</v>
      </c>
      <c r="L130" s="129" t="n">
        <v>154.85</v>
      </c>
      <c r="M130" s="126" t="n">
        <v>46128</v>
      </c>
      <c r="N130" s="129" t="n">
        <v>155.54</v>
      </c>
      <c r="O130" s="132" t="n">
        <v>0.007748</v>
      </c>
      <c r="P130" s="107" t="n">
        <v>0.004456</v>
      </c>
      <c r="Q130" s="106" t="inlineStr">
        <is>
          <t>FLAT</t>
        </is>
      </c>
      <c r="R130" s="106" t="inlineStr">
        <is>
          <t>NO</t>
        </is>
      </c>
      <c r="S130" s="105" t="n">
        <v>-1</v>
      </c>
      <c r="T130" s="107" t="n">
        <v>-0.005456</v>
      </c>
      <c r="U130" s="130" t="inlineStr">
        <is>
          <t>w=[0.55,0.45,0,0] thr=(+0.25,-0.05), deployed default (risk-accepted, PSR=0.0/perm p=0.150 at N=161, not rechecked at N=268)</t>
        </is>
      </c>
      <c r="W130" t="inlineStr">
        <is>
          <t>release date + stated time</t>
        </is>
      </c>
      <c r="X130" t="inlineStr">
        <is>
          <t>PEP</t>
        </is>
      </c>
      <c r="Y130" t="inlineStr">
        <is>
          <t>2026-04-15</t>
        </is>
      </c>
      <c r="Z130" t="n">
        <v>153.2378</v>
      </c>
      <c r="AA130" t="inlineStr">
        <is>
          <t>2026-04-16</t>
        </is>
      </c>
      <c r="AB130" t="n">
        <v>153.9206</v>
      </c>
      <c r="AC130" t="n">
        <v>0.004455800895342488</v>
      </c>
      <c r="AD130" t="inlineStr">
        <is>
          <t>FLAT</t>
        </is>
      </c>
      <c r="AE130" t="inlineStr">
        <is>
          <t>NO</t>
        </is>
      </c>
      <c r="AF130" t="n">
        <v>-0.005456</v>
      </c>
      <c r="AG130">
        <f>IF($A130="","",IFERROR(INDEX(Company_List!$G$3:$G$207,MATCH($A130,Company_List!$A$3:$A$207,0)),"unassigned"))</f>
        <v/>
      </c>
      <c r="AH130" t="inlineStr">
        <is>
          <t>Phase 2/PepsiCo/Q1 2026/PEP-Q1-2026-press-release-SEC-EX99-1.htm; Phase 2/PepsiCo/Q1 2026/PEP-Q1-2026-earnings-call-transcript-MotleyFool.html</t>
        </is>
      </c>
      <c r="AI130" t="inlineStr">
        <is>
          <t>https://www.fool.com/earnings/call-transcripts/2026/04/16/pepsico-pep-q1-2026-earnings-call-transcript/; https://www.sec.gov/Archives/edgar/data/77476/000007747626000019/q120268-kxexhibit991.htm</t>
        </is>
      </c>
      <c r="AJ130" t="inlineStr">
        <is>
          <t>manifest (whole bundle)</t>
        </is>
      </c>
      <c r="AK130">
        <f>IF($A130="","",IF(COUNTIFS(Human_Data_Entry!$A$3:$A$525,$A130)&gt;0,"YES","NO"))</f>
        <v/>
      </c>
      <c r="AL130">
        <f>IF($A130="","",IF(AND($C130&amp;"-"&amp;$D130&gt;=Settings!$B$19,$C130&amp;"-"&amp;$D130&lt;=Settings!$B$20),"IN","OUT"))</f>
        <v/>
      </c>
      <c r="AM130">
        <f>IF(AND(OR($H130="BUY",$H130="SELL"),ISNUMBER($T130)),$T130,"")</f>
        <v/>
      </c>
      <c r="AN130">
        <f>IF(AND(OR($H130="BUY",$H130="SELL"),ISNUMBER($AF130)),$AF130,"")</f>
        <v/>
      </c>
      <c r="AO130">
        <f>IF(ISNUMBER($AM130),ABS(IF(ISNUMBER($G130),$G130,0)-Settings!$B$25),"")</f>
        <v/>
      </c>
      <c r="AP130">
        <f>IF(ISNUMBER($AO130),$AO130*$AM130,"")</f>
        <v/>
      </c>
      <c r="AQ130">
        <f>IF(ISNUMBER($AN130),ABS(IF(ISNUMBER($G130),$G130,0)-Settings!$B$25),"")</f>
        <v/>
      </c>
      <c r="AR130">
        <f>IF(ISNUMBER($AQ130),$AQ130*$AN130,"")</f>
        <v/>
      </c>
      <c r="AS130">
        <f>IF($A130="","",IFERROR(INDEX(Company_List!$H$3:$H$207,MATCH($A130,Company_List!$A$3:$A$207,0)),"unassigned"))</f>
        <v/>
      </c>
      <c r="AT130" t="inlineStr">
        <is>
          <t>not in v1</t>
        </is>
      </c>
      <c r="AU130" t="inlineStr">
        <is>
          <t>no earlier record</t>
        </is>
      </c>
      <c r="AV130" t="n">
        <v>2</v>
      </c>
      <c r="AW130" t="inlineStr">
        <is>
          <t>The Motley Fool</t>
        </is>
      </c>
      <c r="AX130" t="inlineStr">
        <is>
          <t>free to read, copyright asserted</t>
        </is>
      </c>
      <c r="AY130" t="inlineStr">
        <is>
          <t>no</t>
        </is>
      </c>
      <c r="AZ130" t="inlineStr">
        <is>
          <t>yes</t>
        </is>
      </c>
    </row>
    <row r="131">
      <c r="A131" s="115" t="inlineStr">
        <is>
          <t>PepsiCo</t>
        </is>
      </c>
      <c r="B131" s="117" t="inlineStr">
        <is>
          <t>PEP</t>
        </is>
      </c>
      <c r="C131" s="105" t="n">
        <v>2023</v>
      </c>
      <c r="D131" s="106" t="inlineStr">
        <is>
          <t>Q2</t>
        </is>
      </c>
      <c r="E131" s="109" t="inlineStr">
        <is>
          <t>Ben/DeepSeek</t>
        </is>
      </c>
      <c r="F131" s="106" t="inlineStr">
        <is>
          <t>LLM</t>
        </is>
      </c>
      <c r="G131" s="128" t="n">
        <v>0.5</v>
      </c>
      <c r="H131" s="106" t="inlineStr">
        <is>
          <t>BUY</t>
        </is>
      </c>
      <c r="I131" s="128" t="n"/>
      <c r="J131" s="125" t="n">
        <v>45120</v>
      </c>
      <c r="K131" s="126" t="n">
        <v>45119</v>
      </c>
      <c r="L131" s="129" t="n">
        <v>183.17</v>
      </c>
      <c r="M131" s="126" t="n">
        <v>45120</v>
      </c>
      <c r="N131" s="129" t="n">
        <v>185.8</v>
      </c>
      <c r="O131" s="132" t="n">
        <v>0.008501</v>
      </c>
      <c r="P131" s="107" t="n">
        <v>0.014358</v>
      </c>
      <c r="Q131" s="106" t="inlineStr">
        <is>
          <t>FLAT</t>
        </is>
      </c>
      <c r="R131" s="106" t="inlineStr">
        <is>
          <t>NO</t>
        </is>
      </c>
      <c r="S131" s="105" t="n">
        <v>1</v>
      </c>
      <c r="T131" s="107" t="n">
        <v>0.013358</v>
      </c>
      <c r="U131" s="130" t="inlineStr">
        <is>
          <t>w=[0.55,0.45,0,0] thr=(+0.25,-0.05), deployed default (risk-accepted, PSR=0.0/perm p=0.150 at N=161, not rechecked at N=268)</t>
        </is>
      </c>
      <c r="W131" t="inlineStr">
        <is>
          <t>release date + stated time</t>
        </is>
      </c>
      <c r="X131" t="inlineStr">
        <is>
          <t>PEP</t>
        </is>
      </c>
      <c r="Y131" t="inlineStr">
        <is>
          <t>2023-07-12</t>
        </is>
      </c>
      <c r="Z131" t="n">
        <v>164.9666</v>
      </c>
      <c r="AA131" t="inlineStr">
        <is>
          <t>2023-07-13</t>
        </is>
      </c>
      <c r="AB131" t="n">
        <v>167.3352</v>
      </c>
      <c r="AC131" t="n">
        <v>0.01435832284973708</v>
      </c>
      <c r="AD131" t="inlineStr">
        <is>
          <t>FLAT</t>
        </is>
      </c>
      <c r="AE131" t="inlineStr">
        <is>
          <t>NO</t>
        </is>
      </c>
      <c r="AF131" t="n">
        <v>0.013358</v>
      </c>
      <c r="AG131">
        <f>IF($A131="","",IFERROR(INDEX(Company_List!$G$3:$G$207,MATCH($A131,Company_List!$A$3:$A$207,0)),"unassigned"))</f>
        <v/>
      </c>
      <c r="AH131" t="inlineStr">
        <is>
          <t>Phase 2/PepsiCo/Q2 2023/PEP-Q2-2023-press-release-SEC-EX99-1.htm; Phase 2/PepsiCo/Q2 2023/PEP-Q2-2023-earnings-call-transcript-InsiderMonkey.html</t>
        </is>
      </c>
      <c r="AI131" t="inlineStr">
        <is>
          <t>https://www.insidermonkey.com/blog/pepsico-inc-nasdaqpep-q2-2023-earnings-call-transcript-1168148/; https://www.sec.gov/Archives/edgar/data/77476/000007747623000048/q220238-kxexhibit991.htm</t>
        </is>
      </c>
      <c r="AJ131" t="inlineStr">
        <is>
          <t>manifest (whole bundle)</t>
        </is>
      </c>
      <c r="AK131">
        <f>IF($A131="","",IF(COUNTIFS(Human_Data_Entry!$A$3:$A$525,$A131)&gt;0,"YES","NO"))</f>
        <v/>
      </c>
      <c r="AL131">
        <f>IF($A131="","",IF(AND($C131&amp;"-"&amp;$D131&gt;=Settings!$B$19,$C131&amp;"-"&amp;$D131&lt;=Settings!$B$20),"IN","OUT"))</f>
        <v/>
      </c>
      <c r="AM131">
        <f>IF(AND(OR($H131="BUY",$H131="SELL"),ISNUMBER($T131)),$T131,"")</f>
        <v/>
      </c>
      <c r="AN131">
        <f>IF(AND(OR($H131="BUY",$H131="SELL"),ISNUMBER($AF131)),$AF131,"")</f>
        <v/>
      </c>
      <c r="AO131">
        <f>IF(ISNUMBER($AM131),ABS(IF(ISNUMBER($G131),$G131,0)-Settings!$B$25),"")</f>
        <v/>
      </c>
      <c r="AP131">
        <f>IF(ISNUMBER($AO131),$AO131*$AM131,"")</f>
        <v/>
      </c>
      <c r="AQ131">
        <f>IF(ISNUMBER($AN131),ABS(IF(ISNUMBER($G131),$G131,0)-Settings!$B$25),"")</f>
        <v/>
      </c>
      <c r="AR131">
        <f>IF(ISNUMBER($AQ131),$AQ131*$AN131,"")</f>
        <v/>
      </c>
      <c r="AS131">
        <f>IF($A131="","",IFERROR(INDEX(Company_List!$H$3:$H$207,MATCH($A131,Company_List!$A$3:$A$207,0)),"unassigned"))</f>
        <v/>
      </c>
      <c r="AT131" t="inlineStr">
        <is>
          <t>not in v1</t>
        </is>
      </c>
      <c r="AU131" t="inlineStr">
        <is>
          <t>no earlier record</t>
        </is>
      </c>
      <c r="AV131" t="n">
        <v>2</v>
      </c>
      <c r="AW131" t="inlineStr">
        <is>
          <t>Insider Monkey (Koala Guide LLC)</t>
        </is>
      </c>
      <c r="AX131" t="inlineStr">
        <is>
          <t>free to read, copyright asserted</t>
        </is>
      </c>
      <c r="AY131" t="inlineStr">
        <is>
          <t>no</t>
        </is>
      </c>
      <c r="AZ131" t="inlineStr">
        <is>
          <t>yes</t>
        </is>
      </c>
    </row>
    <row r="132">
      <c r="A132" s="115" t="inlineStr">
        <is>
          <t>PepsiCo</t>
        </is>
      </c>
      <c r="B132" s="117" t="inlineStr">
        <is>
          <t>PEP</t>
        </is>
      </c>
      <c r="C132" s="105" t="n">
        <v>2024</v>
      </c>
      <c r="D132" s="106" t="inlineStr">
        <is>
          <t>Q2</t>
        </is>
      </c>
      <c r="E132" s="109" t="inlineStr">
        <is>
          <t>Ben/DeepSeek</t>
        </is>
      </c>
      <c r="F132" s="106" t="inlineStr">
        <is>
          <t>LLM</t>
        </is>
      </c>
      <c r="G132" s="128" t="n">
        <v>-0.5</v>
      </c>
      <c r="H132" s="106" t="inlineStr">
        <is>
          <t>SELL</t>
        </is>
      </c>
      <c r="I132" s="128" t="n"/>
      <c r="J132" s="125" t="n">
        <v>45484</v>
      </c>
      <c r="K132" s="126" t="n">
        <v>45483</v>
      </c>
      <c r="L132" s="129" t="n">
        <v>163.59</v>
      </c>
      <c r="M132" s="126" t="n">
        <v>45484</v>
      </c>
      <c r="N132" s="129" t="n">
        <v>159.1</v>
      </c>
      <c r="O132" s="132" t="n">
        <v>0.008234999999999999</v>
      </c>
      <c r="P132" s="107" t="n">
        <v>-0.027447</v>
      </c>
      <c r="Q132" s="106" t="inlineStr">
        <is>
          <t>DOWN</t>
        </is>
      </c>
      <c r="R132" s="106" t="inlineStr">
        <is>
          <t>YES</t>
        </is>
      </c>
      <c r="S132" s="105" t="n">
        <v>-1</v>
      </c>
      <c r="T132" s="107" t="n">
        <v>0.026447</v>
      </c>
      <c r="U132" s="130" t="inlineStr">
        <is>
          <t>w=[0.55,0.45,0,0] thr=(+0.25,-0.05), deployed default (risk-accepted, PSR=0.0/perm p=0.150 at N=161, not rechecked at N=268)</t>
        </is>
      </c>
      <c r="W132" t="inlineStr">
        <is>
          <t>release date + stated time</t>
        </is>
      </c>
      <c r="X132" t="inlineStr">
        <is>
          <t>PEP</t>
        </is>
      </c>
      <c r="Y132" t="inlineStr">
        <is>
          <t>2024-07-10</t>
        </is>
      </c>
      <c r="Z132" t="n">
        <v>151.8289</v>
      </c>
      <c r="AA132" t="inlineStr">
        <is>
          <t>2024-07-11</t>
        </is>
      </c>
      <c r="AB132" t="n">
        <v>147.6617</v>
      </c>
      <c r="AC132" t="n">
        <v>-0.02744678580892352</v>
      </c>
      <c r="AD132" t="inlineStr">
        <is>
          <t>DOWN</t>
        </is>
      </c>
      <c r="AE132" t="inlineStr">
        <is>
          <t>YES</t>
        </is>
      </c>
      <c r="AF132" t="n">
        <v>0.026447</v>
      </c>
      <c r="AG132">
        <f>IF($A132="","",IFERROR(INDEX(Company_List!$G$3:$G$207,MATCH($A132,Company_List!$A$3:$A$207,0)),"unassigned"))</f>
        <v/>
      </c>
      <c r="AH132" t="inlineStr">
        <is>
          <t>Phase 2/PepsiCo/Q2 2024/PEP-Q2-2024-press-release-SEC-EX99-1.htm; Phase 2/PepsiCo/Q2 2024/PEP-Q2-2024-earnings-call-transcript-InsiderMonkey.html</t>
        </is>
      </c>
      <c r="AI132" t="inlineStr">
        <is>
          <t>https://www.insidermonkey.com/blog/pepsico-inc-nasdaqpep-q2-2024-earnings-call-transcript-1322618/; https://www.sec.gov/Archives/edgar/data/77476/000007747624000043/q220248-kxexhibit991.htm</t>
        </is>
      </c>
      <c r="AJ132" t="inlineStr">
        <is>
          <t>manifest (whole bundle)</t>
        </is>
      </c>
      <c r="AK132">
        <f>IF($A132="","",IF(COUNTIFS(Human_Data_Entry!$A$3:$A$525,$A132)&gt;0,"YES","NO"))</f>
        <v/>
      </c>
      <c r="AL132">
        <f>IF($A132="","",IF(AND($C132&amp;"-"&amp;$D132&gt;=Settings!$B$19,$C132&amp;"-"&amp;$D132&lt;=Settings!$B$20),"IN","OUT"))</f>
        <v/>
      </c>
      <c r="AM132">
        <f>IF(AND(OR($H132="BUY",$H132="SELL"),ISNUMBER($T132)),$T132,"")</f>
        <v/>
      </c>
      <c r="AN132">
        <f>IF(AND(OR($H132="BUY",$H132="SELL"),ISNUMBER($AF132)),$AF132,"")</f>
        <v/>
      </c>
      <c r="AO132">
        <f>IF(ISNUMBER($AM132),ABS(IF(ISNUMBER($G132),$G132,0)-Settings!$B$25),"")</f>
        <v/>
      </c>
      <c r="AP132">
        <f>IF(ISNUMBER($AO132),$AO132*$AM132,"")</f>
        <v/>
      </c>
      <c r="AQ132">
        <f>IF(ISNUMBER($AN132),ABS(IF(ISNUMBER($G132),$G132,0)-Settings!$B$25),"")</f>
        <v/>
      </c>
      <c r="AR132">
        <f>IF(ISNUMBER($AQ132),$AQ132*$AN132,"")</f>
        <v/>
      </c>
      <c r="AS132">
        <f>IF($A132="","",IFERROR(INDEX(Company_List!$H$3:$H$207,MATCH($A132,Company_List!$A$3:$A$207,0)),"unassigned"))</f>
        <v/>
      </c>
      <c r="AT132" t="inlineStr">
        <is>
          <t>not in v1</t>
        </is>
      </c>
      <c r="AU132" t="inlineStr">
        <is>
          <t>no earlier record</t>
        </is>
      </c>
      <c r="AV132" t="n">
        <v>2</v>
      </c>
      <c r="AW132" t="inlineStr">
        <is>
          <t>Insider Monkey (Koala Guide LLC)</t>
        </is>
      </c>
      <c r="AX132" t="inlineStr">
        <is>
          <t>free to read, copyright asserted</t>
        </is>
      </c>
      <c r="AY132" t="inlineStr">
        <is>
          <t>no</t>
        </is>
      </c>
      <c r="AZ132" t="inlineStr">
        <is>
          <t>yes</t>
        </is>
      </c>
    </row>
    <row r="133">
      <c r="A133" s="115" t="inlineStr">
        <is>
          <t>PepsiCo</t>
        </is>
      </c>
      <c r="B133" s="117" t="inlineStr">
        <is>
          <t>PEP</t>
        </is>
      </c>
      <c r="C133" s="105" t="n">
        <v>2025</v>
      </c>
      <c r="D133" s="106" t="inlineStr">
        <is>
          <t>Q2</t>
        </is>
      </c>
      <c r="E133" s="109" t="inlineStr">
        <is>
          <t>Ben/DeepSeek</t>
        </is>
      </c>
      <c r="F133" s="106" t="inlineStr">
        <is>
          <t>LLM</t>
        </is>
      </c>
      <c r="G133" s="128" t="n">
        <v>0.155</v>
      </c>
      <c r="H133" s="106" t="inlineStr">
        <is>
          <t>HOLD</t>
        </is>
      </c>
      <c r="I133" s="128" t="n"/>
      <c r="J133" s="125" t="n">
        <v>45855</v>
      </c>
      <c r="K133" s="126" t="n">
        <v>45854</v>
      </c>
      <c r="L133" s="129" t="n">
        <v>135.35</v>
      </c>
      <c r="M133" s="126" t="n">
        <v>45855</v>
      </c>
      <c r="N133" s="129" t="n">
        <v>141.7</v>
      </c>
      <c r="O133" s="132" t="n">
        <v>0.009568999999999999</v>
      </c>
      <c r="P133" s="107" t="n">
        <v>0.046915</v>
      </c>
      <c r="Q133" s="106" t="inlineStr">
        <is>
          <t>UP</t>
        </is>
      </c>
      <c r="R133" s="106" t="inlineStr">
        <is>
          <t>NO</t>
        </is>
      </c>
      <c r="S133" s="105" t="n">
        <v>0</v>
      </c>
      <c r="T133" s="107" t="n">
        <v>0</v>
      </c>
      <c r="U133" s="130" t="inlineStr">
        <is>
          <t>w=[0.55,0.45,0,0] thr=(+0.25,-0.05), deployed default (risk-accepted, PSR=0.0/perm p=0.150 at N=161, not rechecked at N=268)</t>
        </is>
      </c>
      <c r="W133" t="inlineStr">
        <is>
          <t>release date + stated time</t>
        </is>
      </c>
      <c r="X133" t="inlineStr">
        <is>
          <t>PEP</t>
        </is>
      </c>
      <c r="Y133" t="inlineStr">
        <is>
          <t>2025-07-16</t>
        </is>
      </c>
      <c r="Z133" t="n">
        <v>130.1953</v>
      </c>
      <c r="AA133" t="inlineStr">
        <is>
          <t>2025-07-17</t>
        </is>
      </c>
      <c r="AB133" t="n">
        <v>136.3034</v>
      </c>
      <c r="AC133" t="n">
        <v>0.04691531177604139</v>
      </c>
      <c r="AD133" t="inlineStr">
        <is>
          <t>UP</t>
        </is>
      </c>
      <c r="AE133" t="inlineStr">
        <is>
          <t>NO</t>
        </is>
      </c>
      <c r="AF133" t="n">
        <v>0</v>
      </c>
      <c r="AG133">
        <f>IF($A133="","",IFERROR(INDEX(Company_List!$G$3:$G$207,MATCH($A133,Company_List!$A$3:$A$207,0)),"unassigned"))</f>
        <v/>
      </c>
      <c r="AH133" t="inlineStr">
        <is>
          <t>Phase 2/PepsiCo/Q2 2025/PEP-Q2-2025-press-release-SEC-EX99-1.htm; Phase 2/PepsiCo/Q2 2025/PEP-Q2-2025-earnings-call-transcript-InsiderMonkey.html</t>
        </is>
      </c>
      <c r="AI133" t="inlineStr">
        <is>
          <t>https://www.insidermonkey.com/blog/pepsico-inc-nasdaqpep-q2-2025-earnings-call-transcript-1571054/; https://www.sec.gov/Archives/edgar/data/77476/000007747625000046/q220258-kxexhibit991.htm</t>
        </is>
      </c>
      <c r="AJ133" t="inlineStr">
        <is>
          <t>manifest (whole bundle)</t>
        </is>
      </c>
      <c r="AK133">
        <f>IF($A133="","",IF(COUNTIFS(Human_Data_Entry!$A$3:$A$525,$A133)&gt;0,"YES","NO"))</f>
        <v/>
      </c>
      <c r="AL133">
        <f>IF($A133="","",IF(AND($C133&amp;"-"&amp;$D133&gt;=Settings!$B$19,$C133&amp;"-"&amp;$D133&lt;=Settings!$B$20),"IN","OUT"))</f>
        <v/>
      </c>
      <c r="AM133">
        <f>IF(AND(OR($H133="BUY",$H133="SELL"),ISNUMBER($T133)),$T133,"")</f>
        <v/>
      </c>
      <c r="AN133">
        <f>IF(AND(OR($H133="BUY",$H133="SELL"),ISNUMBER($AF133)),$AF133,"")</f>
        <v/>
      </c>
      <c r="AO133">
        <f>IF(ISNUMBER($AM133),ABS(IF(ISNUMBER($G133),$G133,0)-Settings!$B$25),"")</f>
        <v/>
      </c>
      <c r="AP133">
        <f>IF(ISNUMBER($AO133),$AO133*$AM133,"")</f>
        <v/>
      </c>
      <c r="AQ133">
        <f>IF(ISNUMBER($AN133),ABS(IF(ISNUMBER($G133),$G133,0)-Settings!$B$25),"")</f>
        <v/>
      </c>
      <c r="AR133">
        <f>IF(ISNUMBER($AQ133),$AQ133*$AN133,"")</f>
        <v/>
      </c>
      <c r="AS133">
        <f>IF($A133="","",IFERROR(INDEX(Company_List!$H$3:$H$207,MATCH($A133,Company_List!$A$3:$A$207,0)),"unassigned"))</f>
        <v/>
      </c>
      <c r="AT133" t="inlineStr">
        <is>
          <t>not in v1</t>
        </is>
      </c>
      <c r="AU133" t="inlineStr">
        <is>
          <t>no earlier record</t>
        </is>
      </c>
      <c r="AV133" t="n">
        <v>2</v>
      </c>
      <c r="AW133" t="inlineStr">
        <is>
          <t>Insider Monkey (Koala Guide LLC)</t>
        </is>
      </c>
      <c r="AX133" t="inlineStr">
        <is>
          <t>free to read, copyright asserted</t>
        </is>
      </c>
      <c r="AY133" t="inlineStr">
        <is>
          <t>no</t>
        </is>
      </c>
      <c r="AZ133" t="inlineStr">
        <is>
          <t>yes</t>
        </is>
      </c>
    </row>
    <row r="134">
      <c r="A134" s="115" t="inlineStr">
        <is>
          <t>PepsiCo</t>
        </is>
      </c>
      <c r="B134" s="117" t="inlineStr">
        <is>
          <t>PEP</t>
        </is>
      </c>
      <c r="C134" s="105" t="n">
        <v>2026</v>
      </c>
      <c r="D134" s="106" t="inlineStr">
        <is>
          <t>Q2</t>
        </is>
      </c>
      <c r="E134" s="109" t="inlineStr">
        <is>
          <t>Ben/DeepSeek</t>
        </is>
      </c>
      <c r="F134" s="106" t="inlineStr">
        <is>
          <t>LLM</t>
        </is>
      </c>
      <c r="G134" s="128" t="n">
        <v>-0.2175</v>
      </c>
      <c r="H134" s="106" t="inlineStr">
        <is>
          <t>SELL</t>
        </is>
      </c>
      <c r="I134" s="128" t="n"/>
      <c r="J134" s="125" t="n">
        <v>46212</v>
      </c>
      <c r="K134" s="126" t="n">
        <v>46211</v>
      </c>
      <c r="L134" s="129" t="n">
        <v>142.51</v>
      </c>
      <c r="M134" s="126" t="n">
        <v>46212</v>
      </c>
      <c r="N134" s="129" t="n">
        <v>137.09</v>
      </c>
      <c r="O134" s="132" t="n">
        <v>0.009419</v>
      </c>
      <c r="P134" s="107" t="n">
        <v>-0.038032</v>
      </c>
      <c r="Q134" s="106" t="inlineStr">
        <is>
          <t>DOWN</t>
        </is>
      </c>
      <c r="R134" s="106" t="inlineStr">
        <is>
          <t>YES</t>
        </is>
      </c>
      <c r="S134" s="105" t="n">
        <v>-1</v>
      </c>
      <c r="T134" s="107" t="n">
        <v>0.037032</v>
      </c>
      <c r="U134" s="130" t="inlineStr">
        <is>
          <t>w=[0.55,0.45,0,0] thr=(+0.25,-0.05), deployed default (risk-accepted, PSR=0.0/perm p=0.150 at N=161, not rechecked at N=268)</t>
        </is>
      </c>
      <c r="W134" t="inlineStr">
        <is>
          <t>release date + stated time</t>
        </is>
      </c>
      <c r="X134" t="inlineStr">
        <is>
          <t>PEP</t>
        </is>
      </c>
      <c r="Y134" t="inlineStr">
        <is>
          <t>2026-07-08</t>
        </is>
      </c>
      <c r="Z134" t="n">
        <v>142.51</v>
      </c>
      <c r="AA134" t="inlineStr">
        <is>
          <t>2026-07-09</t>
        </is>
      </c>
      <c r="AB134" t="n">
        <v>137.09</v>
      </c>
      <c r="AC134" t="n">
        <v>-0.03803241309495513</v>
      </c>
      <c r="AD134" t="inlineStr">
        <is>
          <t>DOWN</t>
        </is>
      </c>
      <c r="AE134" t="inlineStr">
        <is>
          <t>YES</t>
        </is>
      </c>
      <c r="AF134" t="n">
        <v>0.037032</v>
      </c>
      <c r="AG134">
        <f>IF($A134="","",IFERROR(INDEX(Company_List!$G$3:$G$207,MATCH($A134,Company_List!$A$3:$A$207,0)),"unassigned"))</f>
        <v/>
      </c>
      <c r="AH134" t="inlineStr">
        <is>
          <t>Phase 2/PepsiCo/Q2 2026/PEP-Q2-2026-press-release-SEC-EX99-1.htm; Phase 2/PepsiCo/Q2 2026/PEP-Q2-2026-earnings-call-transcript-AlphaStreet.html</t>
        </is>
      </c>
      <c r="AI134" t="inlineStr">
        <is>
          <t>https://news.alphastreet.com/pepsico-inc-pep-q2-2026-earnings-call-transcript/; https://www.sec.gov/Archives/edgar/data/77476/000007747626000037/q220268-kxexhibit991.htm</t>
        </is>
      </c>
      <c r="AJ134" t="inlineStr">
        <is>
          <t>manifest (whole bundle)</t>
        </is>
      </c>
      <c r="AK134">
        <f>IF($A134="","",IF(COUNTIFS(Human_Data_Entry!$A$3:$A$525,$A134)&gt;0,"YES","NO"))</f>
        <v/>
      </c>
      <c r="AL134">
        <f>IF($A134="","",IF(AND($C134&amp;"-"&amp;$D134&gt;=Settings!$B$19,$C134&amp;"-"&amp;$D134&lt;=Settings!$B$20),"IN","OUT"))</f>
        <v/>
      </c>
      <c r="AM134">
        <f>IF(AND(OR($H134="BUY",$H134="SELL"),ISNUMBER($T134)),$T134,"")</f>
        <v/>
      </c>
      <c r="AN134">
        <f>IF(AND(OR($H134="BUY",$H134="SELL"),ISNUMBER($AF134)),$AF134,"")</f>
        <v/>
      </c>
      <c r="AO134">
        <f>IF(ISNUMBER($AM134),ABS(IF(ISNUMBER($G134),$G134,0)-Settings!$B$25),"")</f>
        <v/>
      </c>
      <c r="AP134">
        <f>IF(ISNUMBER($AO134),$AO134*$AM134,"")</f>
        <v/>
      </c>
      <c r="AQ134">
        <f>IF(ISNUMBER($AN134),ABS(IF(ISNUMBER($G134),$G134,0)-Settings!$B$25),"")</f>
        <v/>
      </c>
      <c r="AR134">
        <f>IF(ISNUMBER($AQ134),$AQ134*$AN134,"")</f>
        <v/>
      </c>
      <c r="AS134">
        <f>IF($A134="","",IFERROR(INDEX(Company_List!$H$3:$H$207,MATCH($A134,Company_List!$A$3:$A$207,0)),"unassigned"))</f>
        <v/>
      </c>
      <c r="AT134" t="inlineStr">
        <is>
          <t>not in v1</t>
        </is>
      </c>
      <c r="AU134" t="inlineStr">
        <is>
          <t>no earlier record</t>
        </is>
      </c>
      <c r="AV134" t="n">
        <v>2</v>
      </c>
      <c r="AW134" t="inlineStr">
        <is>
          <t>not publisher-identified</t>
        </is>
      </c>
      <c r="AX134" t="inlineStr">
        <is>
          <t>not publisher-identified</t>
        </is>
      </c>
      <c r="AY134" t="inlineStr">
        <is>
          <t>no</t>
        </is>
      </c>
      <c r="AZ134" t="inlineStr">
        <is>
          <t>yes</t>
        </is>
      </c>
    </row>
    <row r="135">
      <c r="A135" s="115" t="inlineStr">
        <is>
          <t>PepsiCo</t>
        </is>
      </c>
      <c r="B135" s="117" t="inlineStr">
        <is>
          <t>PEP</t>
        </is>
      </c>
      <c r="C135" s="105" t="n">
        <v>2023</v>
      </c>
      <c r="D135" s="106" t="inlineStr">
        <is>
          <t>Q3</t>
        </is>
      </c>
      <c r="E135" s="109" t="inlineStr">
        <is>
          <t>Ben/DeepSeek</t>
        </is>
      </c>
      <c r="F135" s="106" t="inlineStr">
        <is>
          <t>LLM</t>
        </is>
      </c>
      <c r="G135" s="128" t="n">
        <v>0.5</v>
      </c>
      <c r="H135" s="106" t="inlineStr">
        <is>
          <t>BUY</t>
        </is>
      </c>
      <c r="I135" s="128" t="n"/>
      <c r="J135" s="125" t="n">
        <v>45209</v>
      </c>
      <c r="K135" s="126" t="n">
        <v>45208</v>
      </c>
      <c r="L135" s="129" t="n">
        <v>161.36</v>
      </c>
      <c r="M135" s="126" t="n">
        <v>45209</v>
      </c>
      <c r="N135" s="129" t="n">
        <v>164.25</v>
      </c>
      <c r="O135" s="132" t="n">
        <v>0.008288999999999999</v>
      </c>
      <c r="P135" s="107" t="n">
        <v>0.01791</v>
      </c>
      <c r="Q135" s="106" t="inlineStr">
        <is>
          <t>FLAT</t>
        </is>
      </c>
      <c r="R135" s="106" t="inlineStr">
        <is>
          <t>NO</t>
        </is>
      </c>
      <c r="S135" s="105" t="n">
        <v>1</v>
      </c>
      <c r="T135" s="107" t="n">
        <v>0.01691</v>
      </c>
      <c r="U135" s="130" t="inlineStr">
        <is>
          <t>w=[0.55,0.45,0,0] thr=(+0.25,-0.05), deployed default (risk-accepted, PSR=0.0/perm p=0.150 at N=161, not rechecked at N=268)</t>
        </is>
      </c>
      <c r="W135" t="inlineStr">
        <is>
          <t>release date + stated time</t>
        </is>
      </c>
      <c r="X135" t="inlineStr">
        <is>
          <t>PEP</t>
        </is>
      </c>
      <c r="Y135" t="inlineStr">
        <is>
          <t>2023-10-09</t>
        </is>
      </c>
      <c r="Z135" t="n">
        <v>146.3464</v>
      </c>
      <c r="AA135" t="inlineStr">
        <is>
          <t>2023-10-10</t>
        </is>
      </c>
      <c r="AB135" t="n">
        <v>148.9675</v>
      </c>
      <c r="AC135" t="n">
        <v>0.01790995695524838</v>
      </c>
      <c r="AD135" t="inlineStr">
        <is>
          <t>FLAT</t>
        </is>
      </c>
      <c r="AE135" t="inlineStr">
        <is>
          <t>NO</t>
        </is>
      </c>
      <c r="AF135" t="n">
        <v>0.01691</v>
      </c>
      <c r="AG135">
        <f>IF($A135="","",IFERROR(INDEX(Company_List!$G$3:$G$207,MATCH($A135,Company_List!$A$3:$A$207,0)),"unassigned"))</f>
        <v/>
      </c>
      <c r="AH135" t="inlineStr">
        <is>
          <t>Phase 2/PepsiCo/Q3 2023/PEP-Q3-2023-press-release-SEC-EX99-1.htm; Phase 2/PepsiCo/Q3 2023/PEP-Q3-2023-earnings-call-transcript-InsiderMonkey.html</t>
        </is>
      </c>
      <c r="AI135" t="inlineStr">
        <is>
          <t>https://www.insidermonkey.com/blog/pepsico-inc-nasdaqpep-q3-2023-earnings-call-transcript-1203808/; https://www.sec.gov/Archives/edgar/data/77476/000007747623000060/q320238-kxexhibit991.htm</t>
        </is>
      </c>
      <c r="AJ135" t="inlineStr">
        <is>
          <t>manifest (whole bundle)</t>
        </is>
      </c>
      <c r="AK135">
        <f>IF($A135="","",IF(COUNTIFS(Human_Data_Entry!$A$3:$A$525,$A135)&gt;0,"YES","NO"))</f>
        <v/>
      </c>
      <c r="AL135">
        <f>IF($A135="","",IF(AND($C135&amp;"-"&amp;$D135&gt;=Settings!$B$19,$C135&amp;"-"&amp;$D135&lt;=Settings!$B$20),"IN","OUT"))</f>
        <v/>
      </c>
      <c r="AM135">
        <f>IF(AND(OR($H135="BUY",$H135="SELL"),ISNUMBER($T135)),$T135,"")</f>
        <v/>
      </c>
      <c r="AN135">
        <f>IF(AND(OR($H135="BUY",$H135="SELL"),ISNUMBER($AF135)),$AF135,"")</f>
        <v/>
      </c>
      <c r="AO135">
        <f>IF(ISNUMBER($AM135),ABS(IF(ISNUMBER($G135),$G135,0)-Settings!$B$25),"")</f>
        <v/>
      </c>
      <c r="AP135">
        <f>IF(ISNUMBER($AO135),$AO135*$AM135,"")</f>
        <v/>
      </c>
      <c r="AQ135">
        <f>IF(ISNUMBER($AN135),ABS(IF(ISNUMBER($G135),$G135,0)-Settings!$B$25),"")</f>
        <v/>
      </c>
      <c r="AR135">
        <f>IF(ISNUMBER($AQ135),$AQ135*$AN135,"")</f>
        <v/>
      </c>
      <c r="AS135">
        <f>IF($A135="","",IFERROR(INDEX(Company_List!$H$3:$H$207,MATCH($A135,Company_List!$A$3:$A$207,0)),"unassigned"))</f>
        <v/>
      </c>
      <c r="AT135" t="inlineStr">
        <is>
          <t>not in v1</t>
        </is>
      </c>
      <c r="AU135" t="inlineStr">
        <is>
          <t>no earlier record</t>
        </is>
      </c>
      <c r="AV135" t="n">
        <v>2</v>
      </c>
      <c r="AW135" t="inlineStr">
        <is>
          <t>Insider Monkey (Koala Guide LLC)</t>
        </is>
      </c>
      <c r="AX135" t="inlineStr">
        <is>
          <t>free to read, copyright asserted</t>
        </is>
      </c>
      <c r="AY135" t="inlineStr">
        <is>
          <t>no</t>
        </is>
      </c>
      <c r="AZ135" t="inlineStr">
        <is>
          <t>yes</t>
        </is>
      </c>
    </row>
    <row r="136">
      <c r="A136" s="115" t="inlineStr">
        <is>
          <t>PepsiCo</t>
        </is>
      </c>
      <c r="B136" s="117" t="inlineStr">
        <is>
          <t>PEP</t>
        </is>
      </c>
      <c r="C136" s="105" t="n">
        <v>2024</v>
      </c>
      <c r="D136" s="106" t="inlineStr">
        <is>
          <t>Q3</t>
        </is>
      </c>
      <c r="E136" s="109" t="inlineStr">
        <is>
          <t>Ben/DeepSeek</t>
        </is>
      </c>
      <c r="F136" s="106" t="inlineStr">
        <is>
          <t>LLM</t>
        </is>
      </c>
      <c r="G136" s="128" t="n">
        <v>-0.5</v>
      </c>
      <c r="H136" s="106" t="inlineStr">
        <is>
          <t>SELL</t>
        </is>
      </c>
      <c r="I136" s="128" t="n"/>
      <c r="J136" s="125" t="n">
        <v>45573</v>
      </c>
      <c r="K136" s="126" t="n">
        <v>45572</v>
      </c>
      <c r="L136" s="129" t="n">
        <v>167.21</v>
      </c>
      <c r="M136" s="126" t="n">
        <v>45573</v>
      </c>
      <c r="N136" s="129" t="n">
        <v>167.72</v>
      </c>
      <c r="O136" s="132" t="n">
        <v>0.007718</v>
      </c>
      <c r="P136" s="107" t="n">
        <v>0.00305</v>
      </c>
      <c r="Q136" s="106" t="inlineStr">
        <is>
          <t>FLAT</t>
        </is>
      </c>
      <c r="R136" s="106" t="inlineStr">
        <is>
          <t>NO</t>
        </is>
      </c>
      <c r="S136" s="105" t="n">
        <v>-1</v>
      </c>
      <c r="T136" s="107" t="n">
        <v>-0.00405</v>
      </c>
      <c r="U136" s="130" t="inlineStr">
        <is>
          <t>w=[0.55,0.45,0,0] thr=(+0.25,-0.05), deployed default (risk-accepted, PSR=0.0/perm p=0.150 at N=161, not rechecked at N=268)</t>
        </is>
      </c>
      <c r="W136" t="inlineStr">
        <is>
          <t>release date + stated time</t>
        </is>
      </c>
      <c r="X136" t="inlineStr">
        <is>
          <t>PEP</t>
        </is>
      </c>
      <c r="Y136" t="inlineStr">
        <is>
          <t>2024-10-07</t>
        </is>
      </c>
      <c r="Z136" t="n">
        <v>156.3704</v>
      </c>
      <c r="AA136" t="inlineStr">
        <is>
          <t>2024-10-08</t>
        </is>
      </c>
      <c r="AB136" t="n">
        <v>156.8473</v>
      </c>
      <c r="AC136" t="n">
        <v>0.0030499750038358</v>
      </c>
      <c r="AD136" t="inlineStr">
        <is>
          <t>FLAT</t>
        </is>
      </c>
      <c r="AE136" t="inlineStr">
        <is>
          <t>NO</t>
        </is>
      </c>
      <c r="AF136" t="n">
        <v>-0.00405</v>
      </c>
      <c r="AG136">
        <f>IF($A136="","",IFERROR(INDEX(Company_List!$G$3:$G$207,MATCH($A136,Company_List!$A$3:$A$207,0)),"unassigned"))</f>
        <v/>
      </c>
      <c r="AH136" t="inlineStr">
        <is>
          <t>Phase 2/PepsiCo/Q3 2024/PEP-Q3-2024-press-release-SEC-EX99-1.htm; Phase 2/PepsiCo/Q3 2024/PEP-Q3-2024-earnings-call-transcript-InsiderMonkey.html</t>
        </is>
      </c>
      <c r="AI136" t="inlineStr">
        <is>
          <t>https://www.insidermonkey.com/blog/pepsico-inc-nasdaqpep-q3-2024-earnings-call-transcript-1369843/; https://www.sec.gov/Archives/edgar/data/77476/000007747624000054/q320248-kxexhibit991.htm</t>
        </is>
      </c>
      <c r="AJ136" t="inlineStr">
        <is>
          <t>manifest (whole bundle)</t>
        </is>
      </c>
      <c r="AK136">
        <f>IF($A136="","",IF(COUNTIFS(Human_Data_Entry!$A$3:$A$525,$A136)&gt;0,"YES","NO"))</f>
        <v/>
      </c>
      <c r="AL136">
        <f>IF($A136="","",IF(AND($C136&amp;"-"&amp;$D136&gt;=Settings!$B$19,$C136&amp;"-"&amp;$D136&lt;=Settings!$B$20),"IN","OUT"))</f>
        <v/>
      </c>
      <c r="AM136">
        <f>IF(AND(OR($H136="BUY",$H136="SELL"),ISNUMBER($T136)),$T136,"")</f>
        <v/>
      </c>
      <c r="AN136">
        <f>IF(AND(OR($H136="BUY",$H136="SELL"),ISNUMBER($AF136)),$AF136,"")</f>
        <v/>
      </c>
      <c r="AO136">
        <f>IF(ISNUMBER($AM136),ABS(IF(ISNUMBER($G136),$G136,0)-Settings!$B$25),"")</f>
        <v/>
      </c>
      <c r="AP136">
        <f>IF(ISNUMBER($AO136),$AO136*$AM136,"")</f>
        <v/>
      </c>
      <c r="AQ136">
        <f>IF(ISNUMBER($AN136),ABS(IF(ISNUMBER($G136),$G136,0)-Settings!$B$25),"")</f>
        <v/>
      </c>
      <c r="AR136">
        <f>IF(ISNUMBER($AQ136),$AQ136*$AN136,"")</f>
        <v/>
      </c>
      <c r="AS136">
        <f>IF($A136="","",IFERROR(INDEX(Company_List!$H$3:$H$207,MATCH($A136,Company_List!$A$3:$A$207,0)),"unassigned"))</f>
        <v/>
      </c>
      <c r="AT136" t="inlineStr">
        <is>
          <t>not in v1</t>
        </is>
      </c>
      <c r="AU136" t="inlineStr">
        <is>
          <t>no earlier record</t>
        </is>
      </c>
      <c r="AV136" t="n">
        <v>2</v>
      </c>
      <c r="AW136" t="inlineStr">
        <is>
          <t>Insider Monkey (Koala Guide LLC)</t>
        </is>
      </c>
      <c r="AX136" t="inlineStr">
        <is>
          <t>free to read, copyright asserted</t>
        </is>
      </c>
      <c r="AY136" t="inlineStr">
        <is>
          <t>no</t>
        </is>
      </c>
      <c r="AZ136" t="inlineStr">
        <is>
          <t>yes</t>
        </is>
      </c>
    </row>
    <row r="137">
      <c r="A137" s="115" t="inlineStr">
        <is>
          <t>PepsiCo</t>
        </is>
      </c>
      <c r="B137" s="117" t="inlineStr">
        <is>
          <t>PEP</t>
        </is>
      </c>
      <c r="C137" s="105" t="n">
        <v>2025</v>
      </c>
      <c r="D137" s="106" t="inlineStr">
        <is>
          <t>Q3</t>
        </is>
      </c>
      <c r="E137" s="109" t="inlineStr">
        <is>
          <t>Ben/DeepSeek</t>
        </is>
      </c>
      <c r="F137" s="106" t="inlineStr">
        <is>
          <t>LLM</t>
        </is>
      </c>
      <c r="G137" s="128" t="n">
        <v>0.245</v>
      </c>
      <c r="H137" s="106" t="inlineStr">
        <is>
          <t>HOLD</t>
        </is>
      </c>
      <c r="I137" s="128" t="n"/>
      <c r="J137" s="125" t="n">
        <v>45939</v>
      </c>
      <c r="K137" s="126" t="n">
        <v>45938</v>
      </c>
      <c r="L137" s="129" t="n">
        <v>138.84</v>
      </c>
      <c r="M137" s="126" t="n">
        <v>45939</v>
      </c>
      <c r="N137" s="129" t="n">
        <v>140.46</v>
      </c>
      <c r="O137" s="132" t="n">
        <v>0.010285</v>
      </c>
      <c r="P137" s="107" t="n">
        <v>0.011668</v>
      </c>
      <c r="Q137" s="106" t="inlineStr">
        <is>
          <t>FLAT</t>
        </is>
      </c>
      <c r="R137" s="106" t="inlineStr">
        <is>
          <t>YES</t>
        </is>
      </c>
      <c r="S137" s="105" t="n">
        <v>0</v>
      </c>
      <c r="T137" s="107" t="n">
        <v>0</v>
      </c>
      <c r="U137" s="130" t="inlineStr">
        <is>
          <t>w=[0.55,0.45,0,0] thr=(+0.25,-0.05), deployed default (risk-accepted, PSR=0.0/perm p=0.150 at N=161, not rechecked at N=268)</t>
        </is>
      </c>
      <c r="W137" t="inlineStr">
        <is>
          <t>release date + stated time</t>
        </is>
      </c>
      <c r="X137" t="inlineStr">
        <is>
          <t>PEP</t>
        </is>
      </c>
      <c r="Y137" t="inlineStr">
        <is>
          <t>2025-10-08</t>
        </is>
      </c>
      <c r="Z137" t="n">
        <v>134.8588</v>
      </c>
      <c r="AA137" t="inlineStr">
        <is>
          <t>2025-10-09</t>
        </is>
      </c>
      <c r="AB137" t="n">
        <v>136.4323</v>
      </c>
      <c r="AC137" t="n">
        <v>0.01166819884677702</v>
      </c>
      <c r="AD137" t="inlineStr">
        <is>
          <t>FLAT</t>
        </is>
      </c>
      <c r="AE137" t="inlineStr">
        <is>
          <t>YES</t>
        </is>
      </c>
      <c r="AF137" t="n">
        <v>0</v>
      </c>
      <c r="AG137">
        <f>IF($A137="","",IFERROR(INDEX(Company_List!$G$3:$G$207,MATCH($A137,Company_List!$A$3:$A$207,0)),"unassigned"))</f>
        <v/>
      </c>
      <c r="AH137" t="inlineStr">
        <is>
          <t>Phase 2/PepsiCo/Q3 2025/PEP-Q3-2025-press-release-SEC-EX99-1.htm; Phase 2/PepsiCo/Q3 2025/PEP-Q3-2025-earnings-call-transcript-InsiderMonkey.html</t>
        </is>
      </c>
      <c r="AI137" t="inlineStr">
        <is>
          <t>https://www.insidermonkey.com/blog/pepsico-inc-nasdaqpep-q3-2025-earnings-call-transcript-1625709/; https://www.sec.gov/Archives/edgar/data/77476/000007747625000055/q320258-kxexhibit991.htm</t>
        </is>
      </c>
      <c r="AJ137" t="inlineStr">
        <is>
          <t>manifest (whole bundle)</t>
        </is>
      </c>
      <c r="AK137">
        <f>IF($A137="","",IF(COUNTIFS(Human_Data_Entry!$A$3:$A$525,$A137)&gt;0,"YES","NO"))</f>
        <v/>
      </c>
      <c r="AL137">
        <f>IF($A137="","",IF(AND($C137&amp;"-"&amp;$D137&gt;=Settings!$B$19,$C137&amp;"-"&amp;$D137&lt;=Settings!$B$20),"IN","OUT"))</f>
        <v/>
      </c>
      <c r="AM137">
        <f>IF(AND(OR($H137="BUY",$H137="SELL"),ISNUMBER($T137)),$T137,"")</f>
        <v/>
      </c>
      <c r="AN137">
        <f>IF(AND(OR($H137="BUY",$H137="SELL"),ISNUMBER($AF137)),$AF137,"")</f>
        <v/>
      </c>
      <c r="AO137">
        <f>IF(ISNUMBER($AM137),ABS(IF(ISNUMBER($G137),$G137,0)-Settings!$B$25),"")</f>
        <v/>
      </c>
      <c r="AP137">
        <f>IF(ISNUMBER($AO137),$AO137*$AM137,"")</f>
        <v/>
      </c>
      <c r="AQ137">
        <f>IF(ISNUMBER($AN137),ABS(IF(ISNUMBER($G137),$G137,0)-Settings!$B$25),"")</f>
        <v/>
      </c>
      <c r="AR137">
        <f>IF(ISNUMBER($AQ137),$AQ137*$AN137,"")</f>
        <v/>
      </c>
      <c r="AS137">
        <f>IF($A137="","",IFERROR(INDEX(Company_List!$H$3:$H$207,MATCH($A137,Company_List!$A$3:$A$207,0)),"unassigned"))</f>
        <v/>
      </c>
      <c r="AT137" t="inlineStr">
        <is>
          <t>not in v1</t>
        </is>
      </c>
      <c r="AU137" t="inlineStr">
        <is>
          <t>no earlier record</t>
        </is>
      </c>
      <c r="AV137" t="n">
        <v>2</v>
      </c>
      <c r="AW137" t="inlineStr">
        <is>
          <t>Insider Monkey (Koala Guide LLC)</t>
        </is>
      </c>
      <c r="AX137" t="inlineStr">
        <is>
          <t>free to read, copyright asserted</t>
        </is>
      </c>
      <c r="AY137" t="inlineStr">
        <is>
          <t>no</t>
        </is>
      </c>
      <c r="AZ137" t="inlineStr">
        <is>
          <t>yes</t>
        </is>
      </c>
    </row>
    <row r="138">
      <c r="A138" s="115" t="inlineStr">
        <is>
          <t>PepsiCo</t>
        </is>
      </c>
      <c r="B138" s="117" t="inlineStr">
        <is>
          <t>PEP</t>
        </is>
      </c>
      <c r="C138" s="105" t="n">
        <v>2023</v>
      </c>
      <c r="D138" s="106" t="inlineStr">
        <is>
          <t>Q4</t>
        </is>
      </c>
      <c r="E138" s="109" t="inlineStr">
        <is>
          <t>Ben/DeepSeek</t>
        </is>
      </c>
      <c r="F138" s="106" t="inlineStr">
        <is>
          <t>LLM</t>
        </is>
      </c>
      <c r="G138" s="128" t="n">
        <v>-0.5</v>
      </c>
      <c r="H138" s="106" t="inlineStr">
        <is>
          <t>SELL</t>
        </is>
      </c>
      <c r="I138" s="128" t="n"/>
      <c r="J138" s="125" t="n">
        <v>45331</v>
      </c>
      <c r="K138" s="126" t="n">
        <v>45330</v>
      </c>
      <c r="L138" s="129" t="n">
        <v>173.85</v>
      </c>
      <c r="M138" s="126" t="n">
        <v>45331</v>
      </c>
      <c r="N138" s="129" t="n">
        <v>171.2</v>
      </c>
      <c r="O138" s="132" t="n">
        <v>0.009763000000000001</v>
      </c>
      <c r="P138" s="107" t="n">
        <v>-0.015243</v>
      </c>
      <c r="Q138" s="106" t="inlineStr">
        <is>
          <t>FLAT</t>
        </is>
      </c>
      <c r="R138" s="106" t="inlineStr">
        <is>
          <t>NO</t>
        </is>
      </c>
      <c r="S138" s="105" t="n">
        <v>-1</v>
      </c>
      <c r="T138" s="107" t="n">
        <v>0.014243</v>
      </c>
      <c r="U138" s="130" t="inlineStr">
        <is>
          <t>w=[0.55,0.45,0,0] thr=(+0.25,-0.05), deployed default (risk-accepted, PSR=0.0/perm p=0.150 at N=161, not rechecked at N=268)</t>
        </is>
      </c>
      <c r="W138" t="inlineStr">
        <is>
          <t>release date + stated time</t>
        </is>
      </c>
      <c r="X138" t="inlineStr">
        <is>
          <t>PEP</t>
        </is>
      </c>
      <c r="Y138" t="inlineStr">
        <is>
          <t>2024-02-08</t>
        </is>
      </c>
      <c r="Z138" t="n">
        <v>158.8766</v>
      </c>
      <c r="AA138" t="inlineStr">
        <is>
          <t>2024-02-09</t>
        </is>
      </c>
      <c r="AB138" t="n">
        <v>156.4548</v>
      </c>
      <c r="AC138" t="n">
        <v>-0.01524309010372187</v>
      </c>
      <c r="AD138" t="inlineStr">
        <is>
          <t>FLAT</t>
        </is>
      </c>
      <c r="AE138" t="inlineStr">
        <is>
          <t>NO</t>
        </is>
      </c>
      <c r="AF138" t="n">
        <v>0.014243</v>
      </c>
      <c r="AG138">
        <f>IF($A138="","",IFERROR(INDEX(Company_List!$G$3:$G$207,MATCH($A138,Company_List!$A$3:$A$207,0)),"unassigned"))</f>
        <v/>
      </c>
      <c r="AH138" t="inlineStr">
        <is>
          <t>Phase 2/PepsiCo/Q4 2023/PEP-Q4-2023-press-release-SEC-EX99-1.htm; Phase 2/PepsiCo/Q4 2023/PEP-Q4-2023-earnings-call-transcript-InsiderMonkey.html</t>
        </is>
      </c>
      <c r="AI138" t="inlineStr">
        <is>
          <t>https://www.insidermonkey.com/blog/pepsico-inc-nasdaqpep-q4-2023-earnings-call-transcript-1256907/; https://www.sec.gov/Archives/edgar/data/77476/000007747624000010/q420238-kxexhibit991.htm</t>
        </is>
      </c>
      <c r="AJ138" t="inlineStr">
        <is>
          <t>manifest (whole bundle)</t>
        </is>
      </c>
      <c r="AK138">
        <f>IF($A138="","",IF(COUNTIFS(Human_Data_Entry!$A$3:$A$525,$A138)&gt;0,"YES","NO"))</f>
        <v/>
      </c>
      <c r="AL138">
        <f>IF($A138="","",IF(AND($C138&amp;"-"&amp;$D138&gt;=Settings!$B$19,$C138&amp;"-"&amp;$D138&lt;=Settings!$B$20),"IN","OUT"))</f>
        <v/>
      </c>
      <c r="AM138">
        <f>IF(AND(OR($H138="BUY",$H138="SELL"),ISNUMBER($T138)),$T138,"")</f>
        <v/>
      </c>
      <c r="AN138">
        <f>IF(AND(OR($H138="BUY",$H138="SELL"),ISNUMBER($AF138)),$AF138,"")</f>
        <v/>
      </c>
      <c r="AO138">
        <f>IF(ISNUMBER($AM138),ABS(IF(ISNUMBER($G138),$G138,0)-Settings!$B$25),"")</f>
        <v/>
      </c>
      <c r="AP138">
        <f>IF(ISNUMBER($AO138),$AO138*$AM138,"")</f>
        <v/>
      </c>
      <c r="AQ138">
        <f>IF(ISNUMBER($AN138),ABS(IF(ISNUMBER($G138),$G138,0)-Settings!$B$25),"")</f>
        <v/>
      </c>
      <c r="AR138">
        <f>IF(ISNUMBER($AQ138),$AQ138*$AN138,"")</f>
        <v/>
      </c>
      <c r="AS138">
        <f>IF($A138="","",IFERROR(INDEX(Company_List!$H$3:$H$207,MATCH($A138,Company_List!$A$3:$A$207,0)),"unassigned"))</f>
        <v/>
      </c>
      <c r="AT138" t="inlineStr">
        <is>
          <t>not in v1</t>
        </is>
      </c>
      <c r="AU138" t="inlineStr">
        <is>
          <t>no earlier record</t>
        </is>
      </c>
      <c r="AV138" t="n">
        <v>2</v>
      </c>
      <c r="AW138" t="inlineStr">
        <is>
          <t>Insider Monkey (Koala Guide LLC)</t>
        </is>
      </c>
      <c r="AX138" t="inlineStr">
        <is>
          <t>free to read, copyright asserted</t>
        </is>
      </c>
      <c r="AY138" t="inlineStr">
        <is>
          <t>no</t>
        </is>
      </c>
      <c r="AZ138" t="inlineStr">
        <is>
          <t>yes</t>
        </is>
      </c>
    </row>
    <row r="139">
      <c r="A139" s="115" t="inlineStr">
        <is>
          <t>PepsiCo</t>
        </is>
      </c>
      <c r="B139" s="117" t="inlineStr">
        <is>
          <t>PEP</t>
        </is>
      </c>
      <c r="C139" s="105" t="n">
        <v>2024</v>
      </c>
      <c r="D139" s="106" t="inlineStr">
        <is>
          <t>Q4</t>
        </is>
      </c>
      <c r="E139" s="109" t="inlineStr">
        <is>
          <t>Ben/DeepSeek</t>
        </is>
      </c>
      <c r="F139" s="106" t="inlineStr">
        <is>
          <t>LLM</t>
        </is>
      </c>
      <c r="G139" s="128" t="n">
        <v>-0.1</v>
      </c>
      <c r="H139" s="106" t="inlineStr">
        <is>
          <t>SELL</t>
        </is>
      </c>
      <c r="I139" s="128" t="n"/>
      <c r="J139" s="125" t="n">
        <v>45692</v>
      </c>
      <c r="K139" s="126" t="n">
        <v>45691</v>
      </c>
      <c r="L139" s="129" t="n">
        <v>150.27</v>
      </c>
      <c r="M139" s="126" t="n">
        <v>45692</v>
      </c>
      <c r="N139" s="129" t="n">
        <v>146.1</v>
      </c>
      <c r="O139" s="132" t="n">
        <v>0.009320999999999999</v>
      </c>
      <c r="P139" s="107" t="n">
        <v>-0.02775</v>
      </c>
      <c r="Q139" s="106" t="inlineStr">
        <is>
          <t>DOWN</t>
        </is>
      </c>
      <c r="R139" s="106" t="inlineStr">
        <is>
          <t>YES</t>
        </is>
      </c>
      <c r="S139" s="105" t="n">
        <v>-1</v>
      </c>
      <c r="T139" s="107" t="n">
        <v>0.02675</v>
      </c>
      <c r="U139" s="130" t="inlineStr">
        <is>
          <t>w=[0.55,0.45,0,0] thr=(+0.25,-0.05), deployed default (risk-accepted, PSR=0.0/perm p=0.150 at N=161, not rechecked at N=268)</t>
        </is>
      </c>
      <c r="W139" t="inlineStr">
        <is>
          <t>release date + stated time</t>
        </is>
      </c>
      <c r="X139" t="inlineStr">
        <is>
          <t>PEP</t>
        </is>
      </c>
      <c r="Y139" t="inlineStr">
        <is>
          <t>2025-02-03</t>
        </is>
      </c>
      <c r="Z139" t="n">
        <v>141.7251</v>
      </c>
      <c r="AA139" t="inlineStr">
        <is>
          <t>2025-02-04</t>
        </is>
      </c>
      <c r="AB139" t="n">
        <v>137.7923</v>
      </c>
      <c r="AC139" t="n">
        <v>-0.02775006955132695</v>
      </c>
      <c r="AD139" t="inlineStr">
        <is>
          <t>DOWN</t>
        </is>
      </c>
      <c r="AE139" t="inlineStr">
        <is>
          <t>YES</t>
        </is>
      </c>
      <c r="AF139" t="n">
        <v>0.02675</v>
      </c>
      <c r="AG139">
        <f>IF($A139="","",IFERROR(INDEX(Company_List!$G$3:$G$207,MATCH($A139,Company_List!$A$3:$A$207,0)),"unassigned"))</f>
        <v/>
      </c>
      <c r="AH139" t="inlineStr">
        <is>
          <t>Phase 2/PepsiCo/Q4 2024/PEP-Q4-2024-press-release-SEC-EX99-1.htm; Phase 2/PepsiCo/Q4 2024/PEP-Q4-2024-earnings-call-transcript-InsiderMonkey.html</t>
        </is>
      </c>
      <c r="AI139" t="inlineStr">
        <is>
          <t>https://www.insidermonkey.com/blog/pepsico-inc-nasdaqpep-q4-2024-earnings-call-transcript-1443383/; https://www.sec.gov/Archives/edgar/data/77476/000007747625000008/q420248-kxexhibit991.htm</t>
        </is>
      </c>
      <c r="AJ139" t="inlineStr">
        <is>
          <t>manifest (whole bundle)</t>
        </is>
      </c>
      <c r="AK139">
        <f>IF($A139="","",IF(COUNTIFS(Human_Data_Entry!$A$3:$A$525,$A139)&gt;0,"YES","NO"))</f>
        <v/>
      </c>
      <c r="AL139">
        <f>IF($A139="","",IF(AND($C139&amp;"-"&amp;$D139&gt;=Settings!$B$19,$C139&amp;"-"&amp;$D139&lt;=Settings!$B$20),"IN","OUT"))</f>
        <v/>
      </c>
      <c r="AM139">
        <f>IF(AND(OR($H139="BUY",$H139="SELL"),ISNUMBER($T139)),$T139,"")</f>
        <v/>
      </c>
      <c r="AN139">
        <f>IF(AND(OR($H139="BUY",$H139="SELL"),ISNUMBER($AF139)),$AF139,"")</f>
        <v/>
      </c>
      <c r="AO139">
        <f>IF(ISNUMBER($AM139),ABS(IF(ISNUMBER($G139),$G139,0)-Settings!$B$25),"")</f>
        <v/>
      </c>
      <c r="AP139">
        <f>IF(ISNUMBER($AO139),$AO139*$AM139,"")</f>
        <v/>
      </c>
      <c r="AQ139">
        <f>IF(ISNUMBER($AN139),ABS(IF(ISNUMBER($G139),$G139,0)-Settings!$B$25),"")</f>
        <v/>
      </c>
      <c r="AR139">
        <f>IF(ISNUMBER($AQ139),$AQ139*$AN139,"")</f>
        <v/>
      </c>
      <c r="AS139">
        <f>IF($A139="","",IFERROR(INDEX(Company_List!$H$3:$H$207,MATCH($A139,Company_List!$A$3:$A$207,0)),"unassigned"))</f>
        <v/>
      </c>
      <c r="AT139" t="inlineStr">
        <is>
          <t>not in v1</t>
        </is>
      </c>
      <c r="AU139" t="inlineStr">
        <is>
          <t>no earlier record</t>
        </is>
      </c>
      <c r="AV139" t="n">
        <v>2</v>
      </c>
      <c r="AW139" t="inlineStr">
        <is>
          <t>Insider Monkey (Koala Guide LLC)</t>
        </is>
      </c>
      <c r="AX139" t="inlineStr">
        <is>
          <t>free to read, copyright asserted</t>
        </is>
      </c>
      <c r="AY139" t="inlineStr">
        <is>
          <t>no</t>
        </is>
      </c>
      <c r="AZ139" t="inlineStr">
        <is>
          <t>yes</t>
        </is>
      </c>
    </row>
    <row r="140">
      <c r="A140" s="115" t="inlineStr">
        <is>
          <t>PepsiCo</t>
        </is>
      </c>
      <c r="B140" s="117" t="inlineStr">
        <is>
          <t>PEP</t>
        </is>
      </c>
      <c r="C140" s="105" t="n">
        <v>2025</v>
      </c>
      <c r="D140" s="106" t="inlineStr">
        <is>
          <t>Q4</t>
        </is>
      </c>
      <c r="E140" s="109" t="inlineStr">
        <is>
          <t>Ben/DeepSeek</t>
        </is>
      </c>
      <c r="F140" s="106" t="inlineStr">
        <is>
          <t>LLM</t>
        </is>
      </c>
      <c r="G140" s="128" t="n">
        <v>0.195</v>
      </c>
      <c r="H140" s="106" t="inlineStr">
        <is>
          <t>HOLD</t>
        </is>
      </c>
      <c r="I140" s="128" t="n"/>
      <c r="J140" s="125" t="n">
        <v>46056</v>
      </c>
      <c r="K140" s="126" t="n">
        <v>46055</v>
      </c>
      <c r="L140" s="129" t="n">
        <v>155.2</v>
      </c>
      <c r="M140" s="126" t="n">
        <v>46056</v>
      </c>
      <c r="N140" s="129" t="n">
        <v>156.6</v>
      </c>
      <c r="O140" s="132" t="n">
        <v>0.010094</v>
      </c>
      <c r="P140" s="107" t="n">
        <v>0.009021</v>
      </c>
      <c r="Q140" s="106" t="inlineStr">
        <is>
          <t>FLAT</t>
        </is>
      </c>
      <c r="R140" s="106" t="inlineStr">
        <is>
          <t>YES</t>
        </is>
      </c>
      <c r="S140" s="105" t="n">
        <v>0</v>
      </c>
      <c r="T140" s="107" t="n">
        <v>0</v>
      </c>
      <c r="U140" s="130" t="inlineStr">
        <is>
          <t>w=[0.55,0.45,0,0] thr=(+0.25,-0.05), deployed default (risk-accepted, PSR=0.0/perm p=0.150 at N=161, not rechecked at N=268)</t>
        </is>
      </c>
      <c r="W140" t="inlineStr">
        <is>
          <t>release date + stated time</t>
        </is>
      </c>
      <c r="X140" t="inlineStr">
        <is>
          <t>PEP</t>
        </is>
      </c>
      <c r="Y140" t="inlineStr">
        <is>
          <t>2026-02-02</t>
        </is>
      </c>
      <c r="Z140" t="n">
        <v>152.2241</v>
      </c>
      <c r="AA140" t="inlineStr">
        <is>
          <t>2026-02-03</t>
        </is>
      </c>
      <c r="AB140" t="n">
        <v>153.5973</v>
      </c>
      <c r="AC140" t="n">
        <v>0.009020689642925685</v>
      </c>
      <c r="AD140" t="inlineStr">
        <is>
          <t>FLAT</t>
        </is>
      </c>
      <c r="AE140" t="inlineStr">
        <is>
          <t>YES</t>
        </is>
      </c>
      <c r="AF140" t="n">
        <v>0</v>
      </c>
      <c r="AG140">
        <f>IF($A140="","",IFERROR(INDEX(Company_List!$G$3:$G$207,MATCH($A140,Company_List!$A$3:$A$207,0)),"unassigned"))</f>
        <v/>
      </c>
      <c r="AH140" t="inlineStr">
        <is>
          <t>Phase 2/PepsiCo/Q4 2025/PEP-Q4-2025-press-release-SEC-EX99-1.htm; Phase 2/PepsiCo/Q4 2025/PEP-Q4-2025-earnings-call-transcript-InsiderMonkey.html</t>
        </is>
      </c>
      <c r="AI140" t="inlineStr">
        <is>
          <t>https://www.insidermonkey.com/blog/pepsico-inc-nasdaqpep-q4-2025-earnings-call-transcript-1688541/; https://www.sec.gov/Archives/edgar/data/77476/000007747626000009/q420258-kxexhibit991.htm</t>
        </is>
      </c>
      <c r="AJ140" t="inlineStr">
        <is>
          <t>manifest (whole bundle)</t>
        </is>
      </c>
      <c r="AK140">
        <f>IF($A140="","",IF(COUNTIFS(Human_Data_Entry!$A$3:$A$525,$A140)&gt;0,"YES","NO"))</f>
        <v/>
      </c>
      <c r="AL140">
        <f>IF($A140="","",IF(AND($C140&amp;"-"&amp;$D140&gt;=Settings!$B$19,$C140&amp;"-"&amp;$D140&lt;=Settings!$B$20),"IN","OUT"))</f>
        <v/>
      </c>
      <c r="AM140">
        <f>IF(AND(OR($H140="BUY",$H140="SELL"),ISNUMBER($T140)),$T140,"")</f>
        <v/>
      </c>
      <c r="AN140">
        <f>IF(AND(OR($H140="BUY",$H140="SELL"),ISNUMBER($AF140)),$AF140,"")</f>
        <v/>
      </c>
      <c r="AO140">
        <f>IF(ISNUMBER($AM140),ABS(IF(ISNUMBER($G140),$G140,0)-Settings!$B$25),"")</f>
        <v/>
      </c>
      <c r="AP140">
        <f>IF(ISNUMBER($AO140),$AO140*$AM140,"")</f>
        <v/>
      </c>
      <c r="AQ140">
        <f>IF(ISNUMBER($AN140),ABS(IF(ISNUMBER($G140),$G140,0)-Settings!$B$25),"")</f>
        <v/>
      </c>
      <c r="AR140">
        <f>IF(ISNUMBER($AQ140),$AQ140*$AN140,"")</f>
        <v/>
      </c>
      <c r="AS140">
        <f>IF($A140="","",IFERROR(INDEX(Company_List!$H$3:$H$207,MATCH($A140,Company_List!$A$3:$A$207,0)),"unassigned"))</f>
        <v/>
      </c>
      <c r="AT140" t="inlineStr">
        <is>
          <t>not in v1</t>
        </is>
      </c>
      <c r="AU140" t="inlineStr">
        <is>
          <t>no earlier record</t>
        </is>
      </c>
      <c r="AV140" t="n">
        <v>2</v>
      </c>
      <c r="AW140" t="inlineStr">
        <is>
          <t>Insider Monkey (Koala Guide LLC)</t>
        </is>
      </c>
      <c r="AX140" t="inlineStr">
        <is>
          <t>free to read, copyright asserted</t>
        </is>
      </c>
      <c r="AY140" t="inlineStr">
        <is>
          <t>no</t>
        </is>
      </c>
      <c r="AZ140" t="inlineStr">
        <is>
          <t>yes</t>
        </is>
      </c>
    </row>
    <row r="141">
      <c r="A141" s="115" t="inlineStr">
        <is>
          <t>FedEx</t>
        </is>
      </c>
      <c r="B141" s="117" t="inlineStr">
        <is>
          <t>FDX</t>
        </is>
      </c>
      <c r="C141" s="105" t="n">
        <v>2026</v>
      </c>
      <c r="D141" s="106" t="inlineStr">
        <is>
          <t>Q1</t>
        </is>
      </c>
      <c r="E141" s="109" t="inlineStr">
        <is>
          <t>Ben/DeepSeek</t>
        </is>
      </c>
      <c r="F141" s="106" t="inlineStr">
        <is>
          <t>LLM</t>
        </is>
      </c>
      <c r="G141" s="128" t="n">
        <v>-0.055</v>
      </c>
      <c r="H141" s="106" t="inlineStr">
        <is>
          <t>SELL</t>
        </is>
      </c>
      <c r="I141" s="128" t="n"/>
      <c r="J141" s="125" t="n">
        <v>45918</v>
      </c>
      <c r="K141" s="126" t="n">
        <v>45918</v>
      </c>
      <c r="L141" s="129" t="n">
        <v>182.5141</v>
      </c>
      <c r="M141" s="126" t="n">
        <v>45919</v>
      </c>
      <c r="N141" s="129" t="n">
        <v>183.96</v>
      </c>
      <c r="O141" s="132" t="n">
        <v>0.007635</v>
      </c>
      <c r="P141" s="107" t="n">
        <v>0.007946999999999999</v>
      </c>
      <c r="Q141" s="106" t="inlineStr">
        <is>
          <t>FLAT</t>
        </is>
      </c>
      <c r="R141" s="106" t="inlineStr">
        <is>
          <t>NO</t>
        </is>
      </c>
      <c r="S141" s="105" t="n">
        <v>-1</v>
      </c>
      <c r="T141" s="107" t="n">
        <v>-0.008947</v>
      </c>
      <c r="U141" s="130" t="inlineStr">
        <is>
          <t>w=[0.55,0.45,0,0] thr=(+0.25,-0.05), deployed default (risk-accepted, PSR=0.0/perm p=0.150 at N=161, not rechecked at N=268)</t>
        </is>
      </c>
      <c r="W141" t="inlineStr">
        <is>
          <t>price signal — only this window shows an abnormal move</t>
        </is>
      </c>
      <c r="X141" t="inlineStr">
        <is>
          <t>FDX</t>
        </is>
      </c>
      <c r="Y141" t="inlineStr">
        <is>
          <t>2025-09-18</t>
        </is>
      </c>
      <c r="Z141" t="n">
        <v>180.1738</v>
      </c>
      <c r="AA141" t="inlineStr">
        <is>
          <t>2025-09-19</t>
        </is>
      </c>
      <c r="AB141" t="n">
        <v>181.6056</v>
      </c>
      <c r="AC141" t="n">
        <v>0.007947007323929561</v>
      </c>
      <c r="AD141" t="inlineStr">
        <is>
          <t>FLAT</t>
        </is>
      </c>
      <c r="AE141" t="inlineStr">
        <is>
          <t>NO</t>
        </is>
      </c>
      <c r="AF141" t="n">
        <v>-0.008947</v>
      </c>
      <c r="AG141">
        <f>IF($A141="","",IFERROR(INDEX(Company_List!$G$3:$G$207,MATCH($A141,Company_List!$A$3:$A$207,0)),"unassigned"))</f>
        <v/>
      </c>
      <c r="AH141" t="inlineStr">
        <is>
          <t>Phase 2/FedEx/FDX-Q1-FY26-Earnings-Call-Transcript.pdf</t>
        </is>
      </c>
      <c r="AJ141" t="inlineStr">
        <is>
          <t>unique filename match</t>
        </is>
      </c>
      <c r="AK141">
        <f>IF($A141="","",IF(COUNTIFS(Human_Data_Entry!$A$3:$A$525,$A141)&gt;0,"YES","NO"))</f>
        <v/>
      </c>
      <c r="AL141">
        <f>IF($A141="","",IF(AND($C141&amp;"-"&amp;$D141&gt;=Settings!$B$19,$C141&amp;"-"&amp;$D141&lt;=Settings!$B$20),"IN","OUT"))</f>
        <v/>
      </c>
      <c r="AM141">
        <f>IF(AND(OR($H141="BUY",$H141="SELL"),ISNUMBER($T141)),$T141,"")</f>
        <v/>
      </c>
      <c r="AN141">
        <f>IF(AND(OR($H141="BUY",$H141="SELL"),ISNUMBER($AF141)),$AF141,"")</f>
        <v/>
      </c>
      <c r="AO141">
        <f>IF(ISNUMBER($AM141),ABS(IF(ISNUMBER($G141),$G141,0)-Settings!$B$25),"")</f>
        <v/>
      </c>
      <c r="AP141">
        <f>IF(ISNUMBER($AO141),$AO141*$AM141,"")</f>
        <v/>
      </c>
      <c r="AQ141">
        <f>IF(ISNUMBER($AN141),ABS(IF(ISNUMBER($G141),$G141,0)-Settings!$B$25),"")</f>
        <v/>
      </c>
      <c r="AR141">
        <f>IF(ISNUMBER($AQ141),$AQ141*$AN141,"")</f>
        <v/>
      </c>
      <c r="AS141">
        <f>IF($A141="","",IFERROR(INDEX(Company_List!$H$3:$H$207,MATCH($A141,Company_List!$A$3:$A$207,0)),"unassigned"))</f>
        <v/>
      </c>
      <c r="AT141" t="inlineStr">
        <is>
          <t>not in v1</t>
        </is>
      </c>
      <c r="AU141" t="inlineStr">
        <is>
          <t>no earlier record</t>
        </is>
      </c>
      <c r="AV141" t="n">
        <v>1</v>
      </c>
      <c r="AW141" t="inlineStr">
        <is>
          <t>not publisher-identified</t>
        </is>
      </c>
      <c r="AX141" t="inlineStr">
        <is>
          <t>not publisher-identified</t>
        </is>
      </c>
      <c r="AY141" t="inlineStr">
        <is>
          <t>no</t>
        </is>
      </c>
      <c r="AZ141" t="inlineStr">
        <is>
          <t>no</t>
        </is>
      </c>
    </row>
    <row r="142">
      <c r="A142" s="115" t="inlineStr">
        <is>
          <t>FedEx</t>
        </is>
      </c>
      <c r="B142" s="117" t="inlineStr">
        <is>
          <t>FDX</t>
        </is>
      </c>
      <c r="C142" s="105" t="n">
        <v>2026</v>
      </c>
      <c r="D142" s="106" t="inlineStr">
        <is>
          <t>Q2</t>
        </is>
      </c>
      <c r="E142" s="109" t="inlineStr">
        <is>
          <t>Ben/DeepSeek</t>
        </is>
      </c>
      <c r="F142" s="106" t="inlineStr">
        <is>
          <t>LLM</t>
        </is>
      </c>
      <c r="G142" s="128" t="n">
        <v>0.2375</v>
      </c>
      <c r="H142" s="106" t="inlineStr">
        <is>
          <t>HOLD</t>
        </is>
      </c>
      <c r="I142" s="128" t="n"/>
      <c r="J142" s="125" t="n">
        <v>46009</v>
      </c>
      <c r="K142" s="126" t="n">
        <v>46009</v>
      </c>
      <c r="L142" s="129" t="n">
        <v>231.3618</v>
      </c>
      <c r="M142" s="126" t="n">
        <v>46010</v>
      </c>
      <c r="N142" s="129" t="n">
        <v>219.23</v>
      </c>
      <c r="O142" s="132" t="n">
        <v>0.008439</v>
      </c>
      <c r="P142" s="107" t="n">
        <v>-0.052452</v>
      </c>
      <c r="Q142" s="106" t="inlineStr">
        <is>
          <t>DOWN</t>
        </is>
      </c>
      <c r="R142" s="106" t="inlineStr">
        <is>
          <t>NO</t>
        </is>
      </c>
      <c r="S142" s="105" t="n">
        <v>0</v>
      </c>
      <c r="T142" s="107" t="n">
        <v>0</v>
      </c>
      <c r="U142" s="130" t="inlineStr">
        <is>
          <t>w=[0.55,0.45,0,0] thr=(+0.25,-0.05), deployed default (risk-accepted, PSR=0.0/perm p=0.150 at N=161, not rechecked at N=268)</t>
        </is>
      </c>
      <c r="W142" t="inlineStr">
        <is>
          <t>document date + price signal</t>
        </is>
      </c>
      <c r="X142" t="inlineStr">
        <is>
          <t>FDX</t>
        </is>
      </c>
      <c r="Y142" t="inlineStr">
        <is>
          <t>2025-12-18</t>
        </is>
      </c>
      <c r="Z142" t="n">
        <v>229.5658</v>
      </c>
      <c r="AA142" t="inlineStr">
        <is>
          <t>2025-12-19</t>
        </is>
      </c>
      <c r="AB142" t="n">
        <v>217.5246</v>
      </c>
      <c r="AC142" t="n">
        <v>-0.05245197295717229</v>
      </c>
      <c r="AD142" t="inlineStr">
        <is>
          <t>DOWN</t>
        </is>
      </c>
      <c r="AE142" t="inlineStr">
        <is>
          <t>NO</t>
        </is>
      </c>
      <c r="AF142" t="n">
        <v>0</v>
      </c>
      <c r="AG142">
        <f>IF($A142="","",IFERROR(INDEX(Company_List!$G$3:$G$207,MATCH($A142,Company_List!$A$3:$A$207,0)),"unassigned"))</f>
        <v/>
      </c>
      <c r="AH142" t="inlineStr">
        <is>
          <t>Phase 2/FedEx/Earnings-Transcript-Q2FY26.pdf</t>
        </is>
      </c>
      <c r="AJ142" t="inlineStr">
        <is>
          <t>unique filename match</t>
        </is>
      </c>
      <c r="AK142">
        <f>IF($A142="","",IF(COUNTIFS(Human_Data_Entry!$A$3:$A$525,$A142)&gt;0,"YES","NO"))</f>
        <v/>
      </c>
      <c r="AL142">
        <f>IF($A142="","",IF(AND($C142&amp;"-"&amp;$D142&gt;=Settings!$B$19,$C142&amp;"-"&amp;$D142&lt;=Settings!$B$20),"IN","OUT"))</f>
        <v/>
      </c>
      <c r="AM142">
        <f>IF(AND(OR($H142="BUY",$H142="SELL"),ISNUMBER($T142)),$T142,"")</f>
        <v/>
      </c>
      <c r="AN142">
        <f>IF(AND(OR($H142="BUY",$H142="SELL"),ISNUMBER($AF142)),$AF142,"")</f>
        <v/>
      </c>
      <c r="AO142">
        <f>IF(ISNUMBER($AM142),ABS(IF(ISNUMBER($G142),$G142,0)-Settings!$B$25),"")</f>
        <v/>
      </c>
      <c r="AP142">
        <f>IF(ISNUMBER($AO142),$AO142*$AM142,"")</f>
        <v/>
      </c>
      <c r="AQ142">
        <f>IF(ISNUMBER($AN142),ABS(IF(ISNUMBER($G142),$G142,0)-Settings!$B$25),"")</f>
        <v/>
      </c>
      <c r="AR142">
        <f>IF(ISNUMBER($AQ142),$AQ142*$AN142,"")</f>
        <v/>
      </c>
      <c r="AS142">
        <f>IF($A142="","",IFERROR(INDEX(Company_List!$H$3:$H$207,MATCH($A142,Company_List!$A$3:$A$207,0)),"unassigned"))</f>
        <v/>
      </c>
      <c r="AT142" t="inlineStr">
        <is>
          <t>not in v1</t>
        </is>
      </c>
      <c r="AU142" t="inlineStr">
        <is>
          <t>no earlier record</t>
        </is>
      </c>
      <c r="AV142" t="n">
        <v>1</v>
      </c>
      <c r="AW142" t="inlineStr">
        <is>
          <t>not publisher-identified</t>
        </is>
      </c>
      <c r="AX142" t="inlineStr">
        <is>
          <t>not publisher-identified</t>
        </is>
      </c>
      <c r="AY142" t="inlineStr">
        <is>
          <t>no</t>
        </is>
      </c>
      <c r="AZ142" t="inlineStr">
        <is>
          <t>no</t>
        </is>
      </c>
    </row>
    <row r="143">
      <c r="A143" s="115" t="inlineStr">
        <is>
          <t>FedEx</t>
        </is>
      </c>
      <c r="B143" s="117" t="inlineStr">
        <is>
          <t>FDX</t>
        </is>
      </c>
      <c r="C143" s="105" t="n">
        <v>2026</v>
      </c>
      <c r="D143" s="106" t="inlineStr">
        <is>
          <t>Q3</t>
        </is>
      </c>
      <c r="E143" s="109" t="inlineStr">
        <is>
          <t>Ben/DeepSeek</t>
        </is>
      </c>
      <c r="F143" s="106" t="inlineStr">
        <is>
          <t>LLM</t>
        </is>
      </c>
      <c r="G143" s="128" t="n">
        <v>0.2575</v>
      </c>
      <c r="H143" s="106" t="inlineStr">
        <is>
          <t>BUY</t>
        </is>
      </c>
      <c r="I143" s="128" t="n"/>
      <c r="J143" s="125" t="n">
        <v>46100</v>
      </c>
      <c r="K143" s="126" t="n">
        <v>46100</v>
      </c>
      <c r="L143" s="129" t="n">
        <v>286.9541</v>
      </c>
      <c r="M143" s="126" t="n">
        <v>46101</v>
      </c>
      <c r="N143" s="129" t="n">
        <v>306.87</v>
      </c>
      <c r="O143" s="132" t="n">
        <v>0.008489</v>
      </c>
      <c r="P143" s="107" t="n">
        <v>0.06938900000000001</v>
      </c>
      <c r="Q143" s="106" t="inlineStr">
        <is>
          <t>UP</t>
        </is>
      </c>
      <c r="R143" s="106" t="inlineStr">
        <is>
          <t>YES</t>
        </is>
      </c>
      <c r="S143" s="105" t="n">
        <v>1</v>
      </c>
      <c r="T143" s="107" t="n">
        <v>0.06838900000000001</v>
      </c>
      <c r="U143" s="130" t="inlineStr">
        <is>
          <t>w=[0.55,0.45,0,0] thr=(+0.25,-0.05), deployed default (risk-accepted, PSR=0.0/perm p=0.150 at N=161, not rechecked at N=268)</t>
        </is>
      </c>
      <c r="W143" t="inlineStr">
        <is>
          <t>price signal — only this window shows an abnormal move</t>
        </is>
      </c>
      <c r="X143" t="inlineStr">
        <is>
          <t>FDX</t>
        </is>
      </c>
      <c r="Y143" t="inlineStr">
        <is>
          <t>2026-03-19</t>
        </is>
      </c>
      <c r="Z143" t="n">
        <v>285.8809</v>
      </c>
      <c r="AA143" t="inlineStr">
        <is>
          <t>2026-03-20</t>
        </is>
      </c>
      <c r="AB143" t="n">
        <v>305.7177</v>
      </c>
      <c r="AC143" t="n">
        <v>0.06938857023244727</v>
      </c>
      <c r="AD143" t="inlineStr">
        <is>
          <t>UP</t>
        </is>
      </c>
      <c r="AE143" t="inlineStr">
        <is>
          <t>YES</t>
        </is>
      </c>
      <c r="AF143" t="n">
        <v>0.06838900000000001</v>
      </c>
      <c r="AG143">
        <f>IF($A143="","",IFERROR(INDEX(Company_List!$G$3:$G$207,MATCH($A143,Company_List!$A$3:$A$207,0)),"unassigned"))</f>
        <v/>
      </c>
      <c r="AH143" t="inlineStr">
        <is>
          <t>Phase 2/FedEx/Earnings-Transcript-Q3FY26.pdf</t>
        </is>
      </c>
      <c r="AJ143" t="inlineStr">
        <is>
          <t>unique filename match</t>
        </is>
      </c>
      <c r="AK143">
        <f>IF($A143="","",IF(COUNTIFS(Human_Data_Entry!$A$3:$A$525,$A143)&gt;0,"YES","NO"))</f>
        <v/>
      </c>
      <c r="AL143">
        <f>IF($A143="","",IF(AND($C143&amp;"-"&amp;$D143&gt;=Settings!$B$19,$C143&amp;"-"&amp;$D143&lt;=Settings!$B$20),"IN","OUT"))</f>
        <v/>
      </c>
      <c r="AM143">
        <f>IF(AND(OR($H143="BUY",$H143="SELL"),ISNUMBER($T143)),$T143,"")</f>
        <v/>
      </c>
      <c r="AN143">
        <f>IF(AND(OR($H143="BUY",$H143="SELL"),ISNUMBER($AF143)),$AF143,"")</f>
        <v/>
      </c>
      <c r="AO143">
        <f>IF(ISNUMBER($AM143),ABS(IF(ISNUMBER($G143),$G143,0)-Settings!$B$25),"")</f>
        <v/>
      </c>
      <c r="AP143">
        <f>IF(ISNUMBER($AO143),$AO143*$AM143,"")</f>
        <v/>
      </c>
      <c r="AQ143">
        <f>IF(ISNUMBER($AN143),ABS(IF(ISNUMBER($G143),$G143,0)-Settings!$B$25),"")</f>
        <v/>
      </c>
      <c r="AR143">
        <f>IF(ISNUMBER($AQ143),$AQ143*$AN143,"")</f>
        <v/>
      </c>
      <c r="AS143">
        <f>IF($A143="","",IFERROR(INDEX(Company_List!$H$3:$H$207,MATCH($A143,Company_List!$A$3:$A$207,0)),"unassigned"))</f>
        <v/>
      </c>
      <c r="AT143" t="inlineStr">
        <is>
          <t>not in v1</t>
        </is>
      </c>
      <c r="AU143" t="inlineStr">
        <is>
          <t>no earlier record</t>
        </is>
      </c>
      <c r="AV143" t="n">
        <v>1</v>
      </c>
      <c r="AW143" t="inlineStr">
        <is>
          <t>not publisher-identified</t>
        </is>
      </c>
      <c r="AX143" t="inlineStr">
        <is>
          <t>not publisher-identified</t>
        </is>
      </c>
      <c r="AY143" t="inlineStr">
        <is>
          <t>no</t>
        </is>
      </c>
      <c r="AZ143" t="inlineStr">
        <is>
          <t>no</t>
        </is>
      </c>
    </row>
    <row r="144">
      <c r="A144" s="115" t="inlineStr">
        <is>
          <t>FedEx</t>
        </is>
      </c>
      <c r="B144" s="117" t="inlineStr">
        <is>
          <t>FDX</t>
        </is>
      </c>
      <c r="C144" s="105" t="n">
        <v>2026</v>
      </c>
      <c r="D144" s="106" t="inlineStr">
        <is>
          <t>Q4</t>
        </is>
      </c>
      <c r="E144" s="109" t="inlineStr">
        <is>
          <t>Ben/DeepSeek</t>
        </is>
      </c>
      <c r="F144" s="106" t="inlineStr">
        <is>
          <t>LLM</t>
        </is>
      </c>
      <c r="G144" s="128" t="n">
        <v>0.0575</v>
      </c>
      <c r="H144" s="106" t="inlineStr">
        <is>
          <t>HOLD</t>
        </is>
      </c>
      <c r="I144" s="128" t="n"/>
      <c r="J144" s="125" t="n">
        <v>46196</v>
      </c>
      <c r="K144" s="126" t="n">
        <v>46196</v>
      </c>
      <c r="L144" s="129" t="n">
        <v>317.24</v>
      </c>
      <c r="M144" s="126" t="n">
        <v>46197</v>
      </c>
      <c r="N144" s="129" t="n">
        <v>314.77</v>
      </c>
      <c r="O144" s="132" t="n">
        <v>0.009436</v>
      </c>
      <c r="P144" s="107" t="n">
        <v>-0.007786</v>
      </c>
      <c r="Q144" s="106" t="inlineStr">
        <is>
          <t>FLAT</t>
        </is>
      </c>
      <c r="R144" s="106" t="inlineStr">
        <is>
          <t>YES</t>
        </is>
      </c>
      <c r="S144" s="105" t="n">
        <v>0</v>
      </c>
      <c r="T144" s="107" t="n">
        <v>0</v>
      </c>
      <c r="U144" s="130" t="inlineStr">
        <is>
          <t>w=[0.55,0.45,0,0] thr=(+0.25,-0.05), deployed default (risk-accepted, PSR=0.0/perm p=0.150 at N=161, not rechecked at N=268)</t>
        </is>
      </c>
      <c r="W144" t="inlineStr">
        <is>
          <t>price signal — only this window shows an abnormal move</t>
        </is>
      </c>
      <c r="X144" t="inlineStr">
        <is>
          <t>FDX</t>
        </is>
      </c>
      <c r="Y144" t="inlineStr">
        <is>
          <t>2026-06-23</t>
        </is>
      </c>
      <c r="Z144" t="n">
        <v>317.24</v>
      </c>
      <c r="AA144" t="inlineStr">
        <is>
          <t>2026-06-24</t>
        </is>
      </c>
      <c r="AB144" t="n">
        <v>314.77</v>
      </c>
      <c r="AC144" t="n">
        <v>-0.007785906814585286</v>
      </c>
      <c r="AD144" t="inlineStr">
        <is>
          <t>FLAT</t>
        </is>
      </c>
      <c r="AE144" t="inlineStr">
        <is>
          <t>YES</t>
        </is>
      </c>
      <c r="AF144" t="n">
        <v>0</v>
      </c>
      <c r="AG144">
        <f>IF($A144="","",IFERROR(INDEX(Company_List!$G$3:$G$207,MATCH($A144,Company_List!$A$3:$A$207,0)),"unassigned"))</f>
        <v/>
      </c>
      <c r="AH144" t="inlineStr">
        <is>
          <t>Phase 2/FedEx/Earnings-Transcript-Q4FY26.pdf</t>
        </is>
      </c>
      <c r="AJ144" t="inlineStr">
        <is>
          <t>unique filename match</t>
        </is>
      </c>
      <c r="AK144">
        <f>IF($A144="","",IF(COUNTIFS(Human_Data_Entry!$A$3:$A$525,$A144)&gt;0,"YES","NO"))</f>
        <v/>
      </c>
      <c r="AL144">
        <f>IF($A144="","",IF(AND($C144&amp;"-"&amp;$D144&gt;=Settings!$B$19,$C144&amp;"-"&amp;$D144&lt;=Settings!$B$20),"IN","OUT"))</f>
        <v/>
      </c>
      <c r="AM144">
        <f>IF(AND(OR($H144="BUY",$H144="SELL"),ISNUMBER($T144)),$T144,"")</f>
        <v/>
      </c>
      <c r="AN144">
        <f>IF(AND(OR($H144="BUY",$H144="SELL"),ISNUMBER($AF144)),$AF144,"")</f>
        <v/>
      </c>
      <c r="AO144">
        <f>IF(ISNUMBER($AM144),ABS(IF(ISNUMBER($G144),$G144,0)-Settings!$B$25),"")</f>
        <v/>
      </c>
      <c r="AP144">
        <f>IF(ISNUMBER($AO144),$AO144*$AM144,"")</f>
        <v/>
      </c>
      <c r="AQ144">
        <f>IF(ISNUMBER($AN144),ABS(IF(ISNUMBER($G144),$G144,0)-Settings!$B$25),"")</f>
        <v/>
      </c>
      <c r="AR144">
        <f>IF(ISNUMBER($AQ144),$AQ144*$AN144,"")</f>
        <v/>
      </c>
      <c r="AS144">
        <f>IF($A144="","",IFERROR(INDEX(Company_List!$H$3:$H$207,MATCH($A144,Company_List!$A$3:$A$207,0)),"unassigned"))</f>
        <v/>
      </c>
      <c r="AT144" t="inlineStr">
        <is>
          <t>not in v1</t>
        </is>
      </c>
      <c r="AU144" t="inlineStr">
        <is>
          <t>no earlier record</t>
        </is>
      </c>
      <c r="AV144" t="n">
        <v>1</v>
      </c>
      <c r="AW144" t="inlineStr">
        <is>
          <t>not publisher-identified</t>
        </is>
      </c>
      <c r="AX144" t="inlineStr">
        <is>
          <t>not publisher-identified</t>
        </is>
      </c>
      <c r="AY144" t="inlineStr">
        <is>
          <t>no</t>
        </is>
      </c>
      <c r="AZ144" t="inlineStr">
        <is>
          <t>no</t>
        </is>
      </c>
    </row>
    <row r="145">
      <c r="A145" s="115" t="inlineStr">
        <is>
          <t>Lockheed Martin</t>
        </is>
      </c>
      <c r="B145" s="117" t="inlineStr">
        <is>
          <t>LMT</t>
        </is>
      </c>
      <c r="C145" s="105" t="n">
        <v>2025</v>
      </c>
      <c r="D145" s="106" t="inlineStr">
        <is>
          <t>Q1</t>
        </is>
      </c>
      <c r="E145" s="109" t="inlineStr">
        <is>
          <t>Ben/DeepSeek</t>
        </is>
      </c>
      <c r="F145" s="106" t="inlineStr">
        <is>
          <t>LLM</t>
        </is>
      </c>
      <c r="G145" s="128" t="n">
        <v>-0.0525</v>
      </c>
      <c r="H145" s="106" t="inlineStr">
        <is>
          <t>SELL</t>
        </is>
      </c>
      <c r="I145" s="128" t="n"/>
      <c r="J145" s="125" t="n">
        <v>45769</v>
      </c>
      <c r="K145" s="126" t="n">
        <v>45768</v>
      </c>
      <c r="L145" s="129" t="n">
        <v>458.33</v>
      </c>
      <c r="M145" s="126" t="n">
        <v>45769</v>
      </c>
      <c r="N145" s="129" t="n">
        <v>458.05</v>
      </c>
      <c r="O145" s="132" t="n">
        <v>0.008798</v>
      </c>
      <c r="P145" s="107" t="n">
        <v>-0.000611</v>
      </c>
      <c r="Q145" s="106" t="inlineStr">
        <is>
          <t>FLAT</t>
        </is>
      </c>
      <c r="R145" s="106" t="inlineStr">
        <is>
          <t>NO</t>
        </is>
      </c>
      <c r="S145" s="105" t="n">
        <v>-1</v>
      </c>
      <c r="T145" s="107" t="n">
        <v>-0.000389</v>
      </c>
      <c r="U145" s="130" t="inlineStr">
        <is>
          <t>w=[0.55,0.45,0,0] thr=(+0.25,-0.05), deployed default (risk-accepted, PSR=0.0/perm p=0.150 at N=161, not rechecked at N=268)</t>
        </is>
      </c>
      <c r="W145" t="inlineStr">
        <is>
          <t>earnings calendar, seconded by the issuer's habit</t>
        </is>
      </c>
      <c r="X145" t="inlineStr">
        <is>
          <t>LMT</t>
        </is>
      </c>
      <c r="Y145" t="inlineStr">
        <is>
          <t>2025-04-21</t>
        </is>
      </c>
      <c r="Z145" t="n">
        <v>443.2397</v>
      </c>
      <c r="AA145" t="inlineStr">
        <is>
          <t>2025-04-22</t>
        </is>
      </c>
      <c r="AB145" t="n">
        <v>442.969</v>
      </c>
      <c r="AC145" t="n">
        <v>-0.0006108604790666978</v>
      </c>
      <c r="AD145" t="inlineStr">
        <is>
          <t>FLAT</t>
        </is>
      </c>
      <c r="AE145" t="inlineStr">
        <is>
          <t>NO</t>
        </is>
      </c>
      <c r="AF145" t="n">
        <v>-0.000389</v>
      </c>
      <c r="AG145">
        <f>IF($A145="","",IFERROR(INDEX(Company_List!$G$3:$G$207,MATCH($A145,Company_List!$A$3:$A$207,0)),"unassigned"))</f>
        <v/>
      </c>
      <c r="AH145"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J145" t="inlineStr">
        <is>
          <t>whole bundle (Document = All)</t>
        </is>
      </c>
      <c r="AK145">
        <f>IF($A145="","",IF(COUNTIFS(Human_Data_Entry!$A$3:$A$525,$A145)&gt;0,"YES","NO"))</f>
        <v/>
      </c>
      <c r="AL145">
        <f>IF($A145="","",IF(AND($C145&amp;"-"&amp;$D145&gt;=Settings!$B$19,$C145&amp;"-"&amp;$D145&lt;=Settings!$B$20),"IN","OUT"))</f>
        <v/>
      </c>
      <c r="AM145">
        <f>IF(AND(OR($H145="BUY",$H145="SELL"),ISNUMBER($T145)),$T145,"")</f>
        <v/>
      </c>
      <c r="AN145">
        <f>IF(AND(OR($H145="BUY",$H145="SELL"),ISNUMBER($AF145)),$AF145,"")</f>
        <v/>
      </c>
      <c r="AO145">
        <f>IF(ISNUMBER($AM145),ABS(IF(ISNUMBER($G145),$G145,0)-Settings!$B$25),"")</f>
        <v/>
      </c>
      <c r="AP145">
        <f>IF(ISNUMBER($AO145),$AO145*$AM145,"")</f>
        <v/>
      </c>
      <c r="AQ145">
        <f>IF(ISNUMBER($AN145),ABS(IF(ISNUMBER($G145),$G145,0)-Settings!$B$25),"")</f>
        <v/>
      </c>
      <c r="AR145">
        <f>IF(ISNUMBER($AQ145),$AQ145*$AN145,"")</f>
        <v/>
      </c>
      <c r="AS145">
        <f>IF($A145="","",IFERROR(INDEX(Company_List!$H$3:$H$207,MATCH($A145,Company_List!$A$3:$A$207,0)),"unassigned"))</f>
        <v/>
      </c>
      <c r="AT145" t="inlineStr">
        <is>
          <t>not in v1</t>
        </is>
      </c>
      <c r="AU145" t="inlineStr">
        <is>
          <t>no earlier record</t>
        </is>
      </c>
      <c r="AV145" t="n">
        <v>4</v>
      </c>
      <c r="AW145" t="inlineStr">
        <is>
          <t>not publisher-identified</t>
        </is>
      </c>
      <c r="AX145" t="inlineStr">
        <is>
          <t>not publisher-identified</t>
        </is>
      </c>
      <c r="AY145" t="inlineStr">
        <is>
          <t>no</t>
        </is>
      </c>
      <c r="AZ145" t="inlineStr">
        <is>
          <t>no</t>
        </is>
      </c>
    </row>
    <row r="146">
      <c r="A146" s="115" t="inlineStr">
        <is>
          <t>Lockheed Martin</t>
        </is>
      </c>
      <c r="B146" s="117" t="inlineStr">
        <is>
          <t>LMT</t>
        </is>
      </c>
      <c r="C146" s="105" t="n">
        <v>2025</v>
      </c>
      <c r="D146" s="106" t="inlineStr">
        <is>
          <t>Q2</t>
        </is>
      </c>
      <c r="E146" s="109" t="inlineStr">
        <is>
          <t>Ben/DeepSeek</t>
        </is>
      </c>
      <c r="F146" s="106" t="inlineStr">
        <is>
          <t>LLM</t>
        </is>
      </c>
      <c r="G146" s="128" t="n">
        <v>-0.23</v>
      </c>
      <c r="H146" s="106" t="inlineStr">
        <is>
          <t>SELL</t>
        </is>
      </c>
      <c r="I146" s="128" t="n"/>
      <c r="J146" s="125" t="n">
        <v>45860</v>
      </c>
      <c r="K146" s="126" t="n">
        <v>45859</v>
      </c>
      <c r="L146" s="129" t="n">
        <v>460.53</v>
      </c>
      <c r="M146" s="126" t="n">
        <v>45860</v>
      </c>
      <c r="N146" s="129" t="n">
        <v>422.75</v>
      </c>
      <c r="O146" s="132" t="n">
        <v>0.010601</v>
      </c>
      <c r="P146" s="107" t="n">
        <v>-0.082036</v>
      </c>
      <c r="Q146" s="106" t="inlineStr">
        <is>
          <t>DOWN</t>
        </is>
      </c>
      <c r="R146" s="106" t="inlineStr">
        <is>
          <t>YES</t>
        </is>
      </c>
      <c r="S146" s="105" t="n">
        <v>-1</v>
      </c>
      <c r="T146" s="107" t="n">
        <v>0.081036</v>
      </c>
      <c r="U146" s="130" t="inlineStr">
        <is>
          <t>w=[0.55,0.45,0,0] thr=(+0.25,-0.05), deployed default (risk-accepted, PSR=0.0/perm p=0.150 at N=161, not rechecked at N=268)</t>
        </is>
      </c>
      <c r="W146" t="inlineStr">
        <is>
          <t>price signal</t>
        </is>
      </c>
      <c r="X146" t="inlineStr">
        <is>
          <t>LMT</t>
        </is>
      </c>
      <c r="Y146" t="inlineStr">
        <is>
          <t>2025-07-21</t>
        </is>
      </c>
      <c r="Z146" t="n">
        <v>448.435</v>
      </c>
      <c r="AA146" t="inlineStr">
        <is>
          <t>2025-07-22</t>
        </is>
      </c>
      <c r="AB146" t="n">
        <v>411.6473</v>
      </c>
      <c r="AC146" t="n">
        <v>-0.08203590110123288</v>
      </c>
      <c r="AD146" t="inlineStr">
        <is>
          <t>DOWN</t>
        </is>
      </c>
      <c r="AE146" t="inlineStr">
        <is>
          <t>YES</t>
        </is>
      </c>
      <c r="AF146" t="n">
        <v>0.081036</v>
      </c>
      <c r="AG146">
        <f>IF($A146="","",IFERROR(INDEX(Company_List!$G$3:$G$207,MATCH($A146,Company_List!$A$3:$A$207,0)),"unassigned"))</f>
        <v/>
      </c>
      <c r="AH146"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J146" t="inlineStr">
        <is>
          <t>whole bundle (Document = All)</t>
        </is>
      </c>
      <c r="AK146">
        <f>IF($A146="","",IF(COUNTIFS(Human_Data_Entry!$A$3:$A$525,$A146)&gt;0,"YES","NO"))</f>
        <v/>
      </c>
      <c r="AL146">
        <f>IF($A146="","",IF(AND($C146&amp;"-"&amp;$D146&gt;=Settings!$B$19,$C146&amp;"-"&amp;$D146&lt;=Settings!$B$20),"IN","OUT"))</f>
        <v/>
      </c>
      <c r="AM146">
        <f>IF(AND(OR($H146="BUY",$H146="SELL"),ISNUMBER($T146)),$T146,"")</f>
        <v/>
      </c>
      <c r="AN146">
        <f>IF(AND(OR($H146="BUY",$H146="SELL"),ISNUMBER($AF146)),$AF146,"")</f>
        <v/>
      </c>
      <c r="AO146">
        <f>IF(ISNUMBER($AM146),ABS(IF(ISNUMBER($G146),$G146,0)-Settings!$B$25),"")</f>
        <v/>
      </c>
      <c r="AP146">
        <f>IF(ISNUMBER($AO146),$AO146*$AM146,"")</f>
        <v/>
      </c>
      <c r="AQ146">
        <f>IF(ISNUMBER($AN146),ABS(IF(ISNUMBER($G146),$G146,0)-Settings!$B$25),"")</f>
        <v/>
      </c>
      <c r="AR146">
        <f>IF(ISNUMBER($AQ146),$AQ146*$AN146,"")</f>
        <v/>
      </c>
      <c r="AS146">
        <f>IF($A146="","",IFERROR(INDEX(Company_List!$H$3:$H$207,MATCH($A146,Company_List!$A$3:$A$207,0)),"unassigned"))</f>
        <v/>
      </c>
      <c r="AT146" t="inlineStr">
        <is>
          <t>not in v1</t>
        </is>
      </c>
      <c r="AU146" t="inlineStr">
        <is>
          <t>no earlier record</t>
        </is>
      </c>
      <c r="AV146" t="n">
        <v>4</v>
      </c>
      <c r="AW146" t="inlineStr">
        <is>
          <t>not publisher-identified</t>
        </is>
      </c>
      <c r="AX146" t="inlineStr">
        <is>
          <t>not publisher-identified</t>
        </is>
      </c>
      <c r="AY146" t="inlineStr">
        <is>
          <t>no</t>
        </is>
      </c>
      <c r="AZ146" t="inlineStr">
        <is>
          <t>no</t>
        </is>
      </c>
    </row>
    <row r="147">
      <c r="A147" s="115" t="inlineStr">
        <is>
          <t>Lockheed Martin</t>
        </is>
      </c>
      <c r="B147" s="117" t="inlineStr">
        <is>
          <t>LMT</t>
        </is>
      </c>
      <c r="C147" s="105" t="n">
        <v>2025</v>
      </c>
      <c r="D147" s="106" t="inlineStr">
        <is>
          <t>Q3</t>
        </is>
      </c>
      <c r="E147" s="109" t="inlineStr">
        <is>
          <t>Ben/DeepSeek</t>
        </is>
      </c>
      <c r="F147" s="106" t="inlineStr">
        <is>
          <t>LLM</t>
        </is>
      </c>
      <c r="G147" s="128" t="n">
        <v>0.4375</v>
      </c>
      <c r="H147" s="106" t="inlineStr">
        <is>
          <t>BUY</t>
        </is>
      </c>
      <c r="I147" s="128" t="n"/>
      <c r="J147" s="125" t="n">
        <v>45951</v>
      </c>
      <c r="K147" s="126" t="n">
        <v>45950</v>
      </c>
      <c r="L147" s="129" t="n">
        <v>505.9</v>
      </c>
      <c r="M147" s="126" t="n">
        <v>45951</v>
      </c>
      <c r="N147" s="129" t="n">
        <v>482.71</v>
      </c>
      <c r="O147" s="132" t="n">
        <v>0.009089</v>
      </c>
      <c r="P147" s="107" t="n">
        <v>-0.045839</v>
      </c>
      <c r="Q147" s="106" t="inlineStr">
        <is>
          <t>DOWN</t>
        </is>
      </c>
      <c r="R147" s="106" t="inlineStr">
        <is>
          <t>NO</t>
        </is>
      </c>
      <c r="S147" s="105" t="n">
        <v>1</v>
      </c>
      <c r="T147" s="107" t="n">
        <v>-0.046839</v>
      </c>
      <c r="U147" s="130" t="inlineStr">
        <is>
          <t>w=[0.55,0.45,0,0] thr=(+0.25,-0.05), deployed default (risk-accepted, PSR=0.0/perm p=0.150 at N=161, not rechecked at N=268)</t>
        </is>
      </c>
      <c r="W147" t="inlineStr">
        <is>
          <t>price signal</t>
        </is>
      </c>
      <c r="X147" t="inlineStr">
        <is>
          <t>LMT</t>
        </is>
      </c>
      <c r="Y147" t="inlineStr">
        <is>
          <t>2025-10-20</t>
        </is>
      </c>
      <c r="Z147" t="n">
        <v>496.2074</v>
      </c>
      <c r="AA147" t="inlineStr">
        <is>
          <t>2025-10-21</t>
        </is>
      </c>
      <c r="AB147" t="n">
        <v>473.4617</v>
      </c>
      <c r="AC147" t="n">
        <v>-0.0458391078337796</v>
      </c>
      <c r="AD147" t="inlineStr">
        <is>
          <t>DOWN</t>
        </is>
      </c>
      <c r="AE147" t="inlineStr">
        <is>
          <t>NO</t>
        </is>
      </c>
      <c r="AF147" t="n">
        <v>-0.046839</v>
      </c>
      <c r="AG147">
        <f>IF($A147="","",IFERROR(INDEX(Company_List!$G$3:$G$207,MATCH($A147,Company_List!$A$3:$A$207,0)),"unassigned"))</f>
        <v/>
      </c>
      <c r="AH147"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J147" t="inlineStr">
        <is>
          <t>whole bundle (Document = All)</t>
        </is>
      </c>
      <c r="AK147">
        <f>IF($A147="","",IF(COUNTIFS(Human_Data_Entry!$A$3:$A$525,$A147)&gt;0,"YES","NO"))</f>
        <v/>
      </c>
      <c r="AL147">
        <f>IF($A147="","",IF(AND($C147&amp;"-"&amp;$D147&gt;=Settings!$B$19,$C147&amp;"-"&amp;$D147&lt;=Settings!$B$20),"IN","OUT"))</f>
        <v/>
      </c>
      <c r="AM147">
        <f>IF(AND(OR($H147="BUY",$H147="SELL"),ISNUMBER($T147)),$T147,"")</f>
        <v/>
      </c>
      <c r="AN147">
        <f>IF(AND(OR($H147="BUY",$H147="SELL"),ISNUMBER($AF147)),$AF147,"")</f>
        <v/>
      </c>
      <c r="AO147">
        <f>IF(ISNUMBER($AM147),ABS(IF(ISNUMBER($G147),$G147,0)-Settings!$B$25),"")</f>
        <v/>
      </c>
      <c r="AP147">
        <f>IF(ISNUMBER($AO147),$AO147*$AM147,"")</f>
        <v/>
      </c>
      <c r="AQ147">
        <f>IF(ISNUMBER($AN147),ABS(IF(ISNUMBER($G147),$G147,0)-Settings!$B$25),"")</f>
        <v/>
      </c>
      <c r="AR147">
        <f>IF(ISNUMBER($AQ147),$AQ147*$AN147,"")</f>
        <v/>
      </c>
      <c r="AS147">
        <f>IF($A147="","",IFERROR(INDEX(Company_List!$H$3:$H$207,MATCH($A147,Company_List!$A$3:$A$207,0)),"unassigned"))</f>
        <v/>
      </c>
      <c r="AT147" t="inlineStr">
        <is>
          <t>not in v1</t>
        </is>
      </c>
      <c r="AU147" t="inlineStr">
        <is>
          <t>no earlier record</t>
        </is>
      </c>
      <c r="AV147" t="n">
        <v>5</v>
      </c>
      <c r="AW147" t="inlineStr">
        <is>
          <t>not publisher-identified</t>
        </is>
      </c>
      <c r="AX147" t="inlineStr">
        <is>
          <t>not publisher-identified</t>
        </is>
      </c>
      <c r="AY147" t="inlineStr">
        <is>
          <t>no</t>
        </is>
      </c>
      <c r="AZ147" t="inlineStr">
        <is>
          <t>no</t>
        </is>
      </c>
    </row>
    <row r="148">
      <c r="A148" s="115" t="inlineStr">
        <is>
          <t>Lockheed Martin</t>
        </is>
      </c>
      <c r="B148" s="117" t="inlineStr">
        <is>
          <t>LMT</t>
        </is>
      </c>
      <c r="C148" s="105" t="n">
        <v>2025</v>
      </c>
      <c r="D148" s="106" t="inlineStr">
        <is>
          <t>Q4</t>
        </is>
      </c>
      <c r="E148" s="109" t="inlineStr">
        <is>
          <t>Ben/DeepSeek</t>
        </is>
      </c>
      <c r="F148" s="106" t="inlineStr">
        <is>
          <t>LLM</t>
        </is>
      </c>
      <c r="G148" s="128" t="n">
        <v>0.415</v>
      </c>
      <c r="H148" s="106" t="inlineStr">
        <is>
          <t>BUY</t>
        </is>
      </c>
      <c r="I148" s="128" t="n"/>
      <c r="J148" s="125" t="n">
        <v>46051</v>
      </c>
      <c r="K148" s="126" t="n">
        <v>46050</v>
      </c>
      <c r="L148" s="129" t="n">
        <v>597.27</v>
      </c>
      <c r="M148" s="126" t="n">
        <v>46051</v>
      </c>
      <c r="N148" s="129" t="n">
        <v>609.24</v>
      </c>
      <c r="O148" s="132" t="n">
        <v>0.009294999999999999</v>
      </c>
      <c r="P148" s="107" t="n">
        <v>0.020041</v>
      </c>
      <c r="Q148" s="106" t="inlineStr">
        <is>
          <t>UP</t>
        </is>
      </c>
      <c r="R148" s="106" t="inlineStr">
        <is>
          <t>YES</t>
        </is>
      </c>
      <c r="S148" s="105" t="n">
        <v>1</v>
      </c>
      <c r="T148" s="107" t="n">
        <v>0.019041</v>
      </c>
      <c r="U148" s="130" t="inlineStr">
        <is>
          <t>w=[0.55,0.45,0,0] thr=(+0.25,-0.05), deployed default (risk-accepted, PSR=0.0/perm p=0.150 at N=161, not rechecked at N=268)</t>
        </is>
      </c>
      <c r="W148" t="inlineStr">
        <is>
          <t>release date + stated time</t>
        </is>
      </c>
      <c r="X148" t="inlineStr">
        <is>
          <t>LMT</t>
        </is>
      </c>
      <c r="Y148" t="inlineStr">
        <is>
          <t>2026-01-28</t>
        </is>
      </c>
      <c r="Z148" t="n">
        <v>590.2745</v>
      </c>
      <c r="AA148" t="inlineStr">
        <is>
          <t>2026-01-29</t>
        </is>
      </c>
      <c r="AB148" t="n">
        <v>602.1043</v>
      </c>
      <c r="AC148" t="n">
        <v>0.02004118399790735</v>
      </c>
      <c r="AD148" t="inlineStr">
        <is>
          <t>UP</t>
        </is>
      </c>
      <c r="AE148" t="inlineStr">
        <is>
          <t>YES</t>
        </is>
      </c>
      <c r="AF148" t="n">
        <v>0.019041</v>
      </c>
      <c r="AG148">
        <f>IF($A148="","",IFERROR(INDEX(Company_List!$G$3:$G$207,MATCH($A148,Company_List!$A$3:$A$207,0)),"unassigned"))</f>
        <v/>
      </c>
      <c r="AH148"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J148" t="inlineStr">
        <is>
          <t>whole bundle (Document = All)</t>
        </is>
      </c>
      <c r="AK148">
        <f>IF($A148="","",IF(COUNTIFS(Human_Data_Entry!$A$3:$A$525,$A148)&gt;0,"YES","NO"))</f>
        <v/>
      </c>
      <c r="AL148">
        <f>IF($A148="","",IF(AND($C148&amp;"-"&amp;$D148&gt;=Settings!$B$19,$C148&amp;"-"&amp;$D148&lt;=Settings!$B$20),"IN","OUT"))</f>
        <v/>
      </c>
      <c r="AM148">
        <f>IF(AND(OR($H148="BUY",$H148="SELL"),ISNUMBER($T148)),$T148,"")</f>
        <v/>
      </c>
      <c r="AN148">
        <f>IF(AND(OR($H148="BUY",$H148="SELL"),ISNUMBER($AF148)),$AF148,"")</f>
        <v/>
      </c>
      <c r="AO148">
        <f>IF(ISNUMBER($AM148),ABS(IF(ISNUMBER($G148),$G148,0)-Settings!$B$25),"")</f>
        <v/>
      </c>
      <c r="AP148">
        <f>IF(ISNUMBER($AO148),$AO148*$AM148,"")</f>
        <v/>
      </c>
      <c r="AQ148">
        <f>IF(ISNUMBER($AN148),ABS(IF(ISNUMBER($G148),$G148,0)-Settings!$B$25),"")</f>
        <v/>
      </c>
      <c r="AR148">
        <f>IF(ISNUMBER($AQ148),$AQ148*$AN148,"")</f>
        <v/>
      </c>
      <c r="AS148">
        <f>IF($A148="","",IFERROR(INDEX(Company_List!$H$3:$H$207,MATCH($A148,Company_List!$A$3:$A$207,0)),"unassigned"))</f>
        <v/>
      </c>
      <c r="AT148" t="inlineStr">
        <is>
          <t>not in v1</t>
        </is>
      </c>
      <c r="AU148" t="inlineStr">
        <is>
          <t>no earlier record</t>
        </is>
      </c>
      <c r="AV148" t="n">
        <v>5</v>
      </c>
      <c r="AW148" t="inlineStr">
        <is>
          <t>not publisher-identified</t>
        </is>
      </c>
      <c r="AX148" t="inlineStr">
        <is>
          <t>not publisher-identified</t>
        </is>
      </c>
      <c r="AY148" t="inlineStr">
        <is>
          <t>no</t>
        </is>
      </c>
      <c r="AZ148" t="inlineStr">
        <is>
          <t>no</t>
        </is>
      </c>
    </row>
    <row r="149">
      <c r="A149" s="115" t="inlineStr">
        <is>
          <t>Novo Nordisk</t>
        </is>
      </c>
      <c r="B149" s="117" t="inlineStr">
        <is>
          <t>NVO</t>
        </is>
      </c>
      <c r="C149" s="105" t="n">
        <v>2025</v>
      </c>
      <c r="D149" s="106" t="inlineStr">
        <is>
          <t>Q1</t>
        </is>
      </c>
      <c r="E149" s="109" t="inlineStr">
        <is>
          <t>Ben/DeepSeek</t>
        </is>
      </c>
      <c r="F149" s="106" t="inlineStr">
        <is>
          <t>LLM</t>
        </is>
      </c>
      <c r="G149" s="128" t="n">
        <v>-0.41</v>
      </c>
      <c r="H149" s="106" t="inlineStr">
        <is>
          <t>SELL</t>
        </is>
      </c>
      <c r="I149" s="128" t="n"/>
      <c r="J149" s="125" t="n">
        <v>45784</v>
      </c>
      <c r="K149" s="126" t="n">
        <v>45783</v>
      </c>
      <c r="L149" s="129" t="n">
        <v>66.29000000000001</v>
      </c>
      <c r="M149" s="126" t="n">
        <v>45784</v>
      </c>
      <c r="N149" s="129" t="n">
        <v>69.34999999999999</v>
      </c>
      <c r="O149" s="132" t="n">
        <v>0.01434</v>
      </c>
      <c r="P149" s="107" t="n">
        <v>0.046161</v>
      </c>
      <c r="Q149" s="106" t="inlineStr">
        <is>
          <t>UP</t>
        </is>
      </c>
      <c r="R149" s="106" t="inlineStr">
        <is>
          <t>NO</t>
        </is>
      </c>
      <c r="S149" s="105" t="n">
        <v>-1</v>
      </c>
      <c r="T149" s="107" t="n">
        <v>-0.047161</v>
      </c>
      <c r="U149" s="130" t="inlineStr">
        <is>
          <t>w=[0.55,0.45,0,0] thr=(+0.25,-0.05), deployed default (risk-accepted, PSR=0.0/perm p=0.150 at N=161, not rechecked at N=268)</t>
        </is>
      </c>
      <c r="W149" t="inlineStr">
        <is>
          <t>repriced on the issuer's primary listing</t>
        </is>
      </c>
      <c r="X149" t="inlineStr">
        <is>
          <t>NOVO-B.CO</t>
        </is>
      </c>
      <c r="Y149" t="inlineStr">
        <is>
          <t>2025-05-06</t>
        </is>
      </c>
      <c r="Z149" t="n">
        <v>421.4183</v>
      </c>
      <c r="AA149" t="inlineStr">
        <is>
          <t>2025-05-07</t>
        </is>
      </c>
      <c r="AB149" t="n">
        <v>421.3705</v>
      </c>
      <c r="AC149" t="n">
        <v>-0.0001132916695550904</v>
      </c>
      <c r="AD149" t="inlineStr">
        <is>
          <t>FLAT</t>
        </is>
      </c>
      <c r="AE149" t="inlineStr">
        <is>
          <t>NO</t>
        </is>
      </c>
      <c r="AF149" t="n">
        <v>-0.000887</v>
      </c>
      <c r="AG149">
        <f>IF($A149="","",IFERROR(INDEX(Company_List!$G$3:$G$207,MATCH($A149,Company_List!$A$3:$A$207,0)),"unassigned"))</f>
        <v/>
      </c>
      <c r="AH149" t="inlineStr">
        <is>
          <t>Phase 2/Novo Nordisk/Q1/ca250507-q1-2025-updated.pdf; Phase 2/Novo Nordisk/Q1/Q1-2025-investor-presentation.pdf; Phase 2/Novo Nordisk/Q1/Q1-2025-financial-workbook.xlsx; Phase 2/Novo Nordisk/Q1/Q1 2025 Novo Nordisk A:S Earnings Call Transcript.pdf</t>
        </is>
      </c>
      <c r="AJ149" t="inlineStr">
        <is>
          <t>whole bundle (Document = All)</t>
        </is>
      </c>
      <c r="AK149">
        <f>IF($A149="","",IF(COUNTIFS(Human_Data_Entry!$A$3:$A$525,$A149)&gt;0,"YES","NO"))</f>
        <v/>
      </c>
      <c r="AL149">
        <f>IF($A149="","",IF(AND($C149&amp;"-"&amp;$D149&gt;=Settings!$B$19,$C149&amp;"-"&amp;$D149&lt;=Settings!$B$20),"IN","OUT"))</f>
        <v/>
      </c>
      <c r="AM149">
        <f>IF(AND(OR($H149="BUY",$H149="SELL"),ISNUMBER($T149)),$T149,"")</f>
        <v/>
      </c>
      <c r="AN149">
        <f>IF(AND(OR($H149="BUY",$H149="SELL"),ISNUMBER($AF149)),$AF149,"")</f>
        <v/>
      </c>
      <c r="AO149">
        <f>IF(ISNUMBER($AM149),ABS(IF(ISNUMBER($G149),$G149,0)-Settings!$B$25),"")</f>
        <v/>
      </c>
      <c r="AP149">
        <f>IF(ISNUMBER($AO149),$AO149*$AM149,"")</f>
        <v/>
      </c>
      <c r="AQ149">
        <f>IF(ISNUMBER($AN149),ABS(IF(ISNUMBER($G149),$G149,0)-Settings!$B$25),"")</f>
        <v/>
      </c>
      <c r="AR149">
        <f>IF(ISNUMBER($AQ149),$AQ149*$AN149,"")</f>
        <v/>
      </c>
      <c r="AS149">
        <f>IF($A149="","",IFERROR(INDEX(Company_List!$H$3:$H$207,MATCH($A149,Company_List!$A$3:$A$207,0)),"unassigned"))</f>
        <v/>
      </c>
      <c r="AT149" t="inlineStr">
        <is>
          <t>not in v1</t>
        </is>
      </c>
      <c r="AU149" t="inlineStr">
        <is>
          <t>no earlier record</t>
        </is>
      </c>
      <c r="AV149" t="n">
        <v>4</v>
      </c>
      <c r="AW149" t="inlineStr">
        <is>
          <t>not publisher-identified</t>
        </is>
      </c>
      <c r="AX149" t="inlineStr">
        <is>
          <t>not publisher-identified</t>
        </is>
      </c>
      <c r="AY149" t="inlineStr">
        <is>
          <t>no</t>
        </is>
      </c>
      <c r="AZ149" t="inlineStr">
        <is>
          <t>no</t>
        </is>
      </c>
    </row>
    <row r="150">
      <c r="A150" s="115" t="inlineStr">
        <is>
          <t>Novo Nordisk</t>
        </is>
      </c>
      <c r="B150" s="117" t="inlineStr">
        <is>
          <t>NVO</t>
        </is>
      </c>
      <c r="C150" s="105" t="n">
        <v>2025</v>
      </c>
      <c r="D150" s="106" t="inlineStr">
        <is>
          <t>Q2</t>
        </is>
      </c>
      <c r="E150" s="109" t="inlineStr">
        <is>
          <t>Ben/DeepSeek</t>
        </is>
      </c>
      <c r="F150" s="106" t="inlineStr">
        <is>
          <t>LLM</t>
        </is>
      </c>
      <c r="G150" s="128" t="n">
        <v>-0.23</v>
      </c>
      <c r="H150" s="106" t="inlineStr">
        <is>
          <t>SELL</t>
        </is>
      </c>
      <c r="I150" s="128" t="n"/>
      <c r="J150" s="125" t="n">
        <v>45875</v>
      </c>
      <c r="K150" s="126" t="n">
        <v>45874</v>
      </c>
      <c r="L150" s="129" t="n">
        <v>47.22</v>
      </c>
      <c r="M150" s="126" t="n">
        <v>45875</v>
      </c>
      <c r="N150" s="129" t="n">
        <v>45.97</v>
      </c>
      <c r="O150" s="132" t="n">
        <v>0.016154</v>
      </c>
      <c r="P150" s="107" t="n">
        <v>-0.026472</v>
      </c>
      <c r="Q150" s="106" t="inlineStr">
        <is>
          <t>DOWN</t>
        </is>
      </c>
      <c r="R150" s="106" t="inlineStr">
        <is>
          <t>YES</t>
        </is>
      </c>
      <c r="S150" s="105" t="n">
        <v>-1</v>
      </c>
      <c r="T150" s="107" t="n">
        <v>0.025472</v>
      </c>
      <c r="U150" s="130" t="inlineStr">
        <is>
          <t>w=[0.55,0.45,0,0] thr=(+0.25,-0.05), deployed default (risk-accepted, PSR=0.0/perm p=0.150 at N=161, not rechecked at N=268)</t>
        </is>
      </c>
      <c r="W150" t="inlineStr">
        <is>
          <t>repriced on the issuer's primary listing</t>
        </is>
      </c>
      <c r="X150" t="inlineStr">
        <is>
          <t>NOVO-B.CO</t>
        </is>
      </c>
      <c r="Y150" t="inlineStr">
        <is>
          <t>2025-08-05</t>
        </is>
      </c>
      <c r="Z150" t="n">
        <v>292.284</v>
      </c>
      <c r="AA150" t="inlineStr">
        <is>
          <t>2025-08-06</t>
        </is>
      </c>
      <c r="AB150" t="n">
        <v>296.2015</v>
      </c>
      <c r="AC150" t="n">
        <v>0.01340307368649402</v>
      </c>
      <c r="AD150" t="inlineStr">
        <is>
          <t>FLAT</t>
        </is>
      </c>
      <c r="AE150" t="inlineStr">
        <is>
          <t>NO</t>
        </is>
      </c>
      <c r="AF150" t="n">
        <v>-0.014403</v>
      </c>
      <c r="AG150">
        <f>IF($A150="","",IFERROR(INDEX(Company_List!$G$3:$G$207,MATCH($A150,Company_List!$A$3:$A$207,0)),"unassigned"))</f>
        <v/>
      </c>
      <c r="AH150" t="inlineStr">
        <is>
          <t>Phase 2/Novo Nordisk/Q2/Q2-2025-investor-presentation-updated.pdf; Phase 2/Novo Nordisk/Q2/Q2-2025-financial-workbook.xlsx; Phase 2/Novo Nordisk/Q2/Q2 2025 Novo Nordisk A:S Earnings Call Transcript.pdf</t>
        </is>
      </c>
      <c r="AJ150" t="inlineStr">
        <is>
          <t>whole bundle (Document = All)</t>
        </is>
      </c>
      <c r="AK150">
        <f>IF($A150="","",IF(COUNTIFS(Human_Data_Entry!$A$3:$A$525,$A150)&gt;0,"YES","NO"))</f>
        <v/>
      </c>
      <c r="AL150">
        <f>IF($A150="","",IF(AND($C150&amp;"-"&amp;$D150&gt;=Settings!$B$19,$C150&amp;"-"&amp;$D150&lt;=Settings!$B$20),"IN","OUT"))</f>
        <v/>
      </c>
      <c r="AM150">
        <f>IF(AND(OR($H150="BUY",$H150="SELL"),ISNUMBER($T150)),$T150,"")</f>
        <v/>
      </c>
      <c r="AN150">
        <f>IF(AND(OR($H150="BUY",$H150="SELL"),ISNUMBER($AF150)),$AF150,"")</f>
        <v/>
      </c>
      <c r="AO150">
        <f>IF(ISNUMBER($AM150),ABS(IF(ISNUMBER($G150),$G150,0)-Settings!$B$25),"")</f>
        <v/>
      </c>
      <c r="AP150">
        <f>IF(ISNUMBER($AO150),$AO150*$AM150,"")</f>
        <v/>
      </c>
      <c r="AQ150">
        <f>IF(ISNUMBER($AN150),ABS(IF(ISNUMBER($G150),$G150,0)-Settings!$B$25),"")</f>
        <v/>
      </c>
      <c r="AR150">
        <f>IF(ISNUMBER($AQ150),$AQ150*$AN150,"")</f>
        <v/>
      </c>
      <c r="AS150">
        <f>IF($A150="","",IFERROR(INDEX(Company_List!$H$3:$H$207,MATCH($A150,Company_List!$A$3:$A$207,0)),"unassigned"))</f>
        <v/>
      </c>
      <c r="AT150" t="inlineStr">
        <is>
          <t>not in v1</t>
        </is>
      </c>
      <c r="AU150" t="inlineStr">
        <is>
          <t>no earlier record</t>
        </is>
      </c>
      <c r="AV150" t="n">
        <v>3</v>
      </c>
      <c r="AW150" t="inlineStr">
        <is>
          <t>not publisher-identified</t>
        </is>
      </c>
      <c r="AX150" t="inlineStr">
        <is>
          <t>not publisher-identified</t>
        </is>
      </c>
      <c r="AY150" t="inlineStr">
        <is>
          <t>no</t>
        </is>
      </c>
      <c r="AZ150" t="inlineStr">
        <is>
          <t>no</t>
        </is>
      </c>
    </row>
    <row r="151">
      <c r="A151" s="115" t="inlineStr">
        <is>
          <t>Novo Nordisk</t>
        </is>
      </c>
      <c r="B151" s="117" t="inlineStr">
        <is>
          <t>NVO</t>
        </is>
      </c>
      <c r="C151" s="105" t="n">
        <v>2025</v>
      </c>
      <c r="D151" s="106" t="inlineStr">
        <is>
          <t>Q3</t>
        </is>
      </c>
      <c r="E151" s="109" t="inlineStr">
        <is>
          <t>Ben/DeepSeek</t>
        </is>
      </c>
      <c r="F151" s="106" t="inlineStr">
        <is>
          <t>LLM</t>
        </is>
      </c>
      <c r="G151" s="128" t="n">
        <v>-0.14</v>
      </c>
      <c r="H151" s="106" t="inlineStr">
        <is>
          <t>SELL</t>
        </is>
      </c>
      <c r="I151" s="128" t="n"/>
      <c r="J151" s="125" t="n">
        <v>45966</v>
      </c>
      <c r="K151" s="126" t="n">
        <v>45965</v>
      </c>
      <c r="L151" s="129" t="n">
        <v>48.25</v>
      </c>
      <c r="M151" s="126" t="n">
        <v>45966</v>
      </c>
      <c r="N151" s="129" t="n">
        <v>46.98</v>
      </c>
      <c r="O151" s="132" t="n">
        <v>0.016243</v>
      </c>
      <c r="P151" s="107" t="n">
        <v>-0.026321</v>
      </c>
      <c r="Q151" s="106" t="inlineStr">
        <is>
          <t>DOWN</t>
        </is>
      </c>
      <c r="R151" s="106" t="inlineStr">
        <is>
          <t>YES</t>
        </is>
      </c>
      <c r="S151" s="105" t="n">
        <v>-1</v>
      </c>
      <c r="T151" s="107" t="n">
        <v>0.025321</v>
      </c>
      <c r="U151" s="130" t="inlineStr">
        <is>
          <t>w=[0.55,0.45,0,0] thr=(+0.25,-0.05), deployed default (risk-accepted, PSR=0.0/perm p=0.150 at N=161, not rechecked at N=268)</t>
        </is>
      </c>
      <c r="W151" t="inlineStr">
        <is>
          <t>repriced on the issuer's primary listing</t>
        </is>
      </c>
      <c r="X151" t="inlineStr">
        <is>
          <t>NOVO-B.CO</t>
        </is>
      </c>
      <c r="Y151" t="inlineStr">
        <is>
          <t>2025-11-04</t>
        </is>
      </c>
      <c r="Z151" t="n">
        <v>304.6911</v>
      </c>
      <c r="AA151" t="inlineStr">
        <is>
          <t>2025-11-05</t>
        </is>
      </c>
      <c r="AB151" t="n">
        <v>293.1879</v>
      </c>
      <c r="AC151" t="n">
        <v>-0.03775387126395204</v>
      </c>
      <c r="AD151" t="inlineStr">
        <is>
          <t>DOWN</t>
        </is>
      </c>
      <c r="AE151" t="inlineStr">
        <is>
          <t>YES</t>
        </is>
      </c>
      <c r="AF151" t="n">
        <v>0.036754</v>
      </c>
      <c r="AG151">
        <f>IF($A151="","",IFERROR(INDEX(Company_List!$G$3:$G$207,MATCH($A151,Company_List!$A$3:$A$207,0)),"unassigned"))</f>
        <v/>
      </c>
      <c r="AH151" t="inlineStr">
        <is>
          <t>Phase 2/Novo Nordisk/Q3/ca251105-q3-2025.pdf; Phase 2/Novo Nordisk/Q3/Q3-investor-presentation-2025.pdf; Phase 2/Novo Nordisk/Q3/Q3-2025-financial-workbook.xlsx; Phase 2/Novo Nordisk/Q3/Novo Nordisk (NVO) Q3 2025 Earnings Transcript | The Motley Fool.pdf</t>
        </is>
      </c>
      <c r="AJ151" t="inlineStr">
        <is>
          <t>whole bundle (Document = All)</t>
        </is>
      </c>
      <c r="AK151">
        <f>IF($A151="","",IF(COUNTIFS(Human_Data_Entry!$A$3:$A$525,$A151)&gt;0,"YES","NO"))</f>
        <v/>
      </c>
      <c r="AL151">
        <f>IF($A151="","",IF(AND($C151&amp;"-"&amp;$D151&gt;=Settings!$B$19,$C151&amp;"-"&amp;$D151&lt;=Settings!$B$20),"IN","OUT"))</f>
        <v/>
      </c>
      <c r="AM151">
        <f>IF(AND(OR($H151="BUY",$H151="SELL"),ISNUMBER($T151)),$T151,"")</f>
        <v/>
      </c>
      <c r="AN151">
        <f>IF(AND(OR($H151="BUY",$H151="SELL"),ISNUMBER($AF151)),$AF151,"")</f>
        <v/>
      </c>
      <c r="AO151">
        <f>IF(ISNUMBER($AM151),ABS(IF(ISNUMBER($G151),$G151,0)-Settings!$B$25),"")</f>
        <v/>
      </c>
      <c r="AP151">
        <f>IF(ISNUMBER($AO151),$AO151*$AM151,"")</f>
        <v/>
      </c>
      <c r="AQ151">
        <f>IF(ISNUMBER($AN151),ABS(IF(ISNUMBER($G151),$G151,0)-Settings!$B$25),"")</f>
        <v/>
      </c>
      <c r="AR151">
        <f>IF(ISNUMBER($AQ151),$AQ151*$AN151,"")</f>
        <v/>
      </c>
      <c r="AS151">
        <f>IF($A151="","",IFERROR(INDEX(Company_List!$H$3:$H$207,MATCH($A151,Company_List!$A$3:$A$207,0)),"unassigned"))</f>
        <v/>
      </c>
      <c r="AT151" t="inlineStr">
        <is>
          <t>not in v1</t>
        </is>
      </c>
      <c r="AU151" t="inlineStr">
        <is>
          <t>no earlier record</t>
        </is>
      </c>
      <c r="AV151" t="n">
        <v>4</v>
      </c>
      <c r="AW151" t="inlineStr">
        <is>
          <t>The Motley Fool</t>
        </is>
      </c>
      <c r="AX151" t="inlineStr">
        <is>
          <t>free to read, copyright asserted</t>
        </is>
      </c>
      <c r="AY151" t="inlineStr">
        <is>
          <t>no</t>
        </is>
      </c>
      <c r="AZ151" t="inlineStr">
        <is>
          <t>no</t>
        </is>
      </c>
    </row>
    <row r="152">
      <c r="A152" s="115" t="inlineStr">
        <is>
          <t>Novo Nordisk</t>
        </is>
      </c>
      <c r="B152" s="117" t="inlineStr">
        <is>
          <t>NVO</t>
        </is>
      </c>
      <c r="C152" s="105" t="n">
        <v>2025</v>
      </c>
      <c r="D152" s="106" t="inlineStr">
        <is>
          <t>Q4</t>
        </is>
      </c>
      <c r="E152" s="109" t="inlineStr">
        <is>
          <t>Ben/DeepSeek</t>
        </is>
      </c>
      <c r="F152" s="106" t="inlineStr">
        <is>
          <t>LLM</t>
        </is>
      </c>
      <c r="G152" s="128" t="n">
        <v>-0.1625</v>
      </c>
      <c r="H152" s="106" t="inlineStr">
        <is>
          <t>SELL</t>
        </is>
      </c>
      <c r="I152" s="128" t="n"/>
      <c r="J152" s="125" t="n">
        <v>46056</v>
      </c>
      <c r="K152" s="126" t="n">
        <v>46055</v>
      </c>
      <c r="L152" s="129" t="n">
        <v>58.93</v>
      </c>
      <c r="M152" s="126" t="n">
        <v>46056</v>
      </c>
      <c r="N152" s="129" t="n">
        <v>58.35</v>
      </c>
      <c r="O152" s="132" t="n">
        <v>0.026719</v>
      </c>
      <c r="P152" s="107" t="n">
        <v>-0.009842</v>
      </c>
      <c r="Q152" s="106" t="inlineStr">
        <is>
          <t>FLAT</t>
        </is>
      </c>
      <c r="R152" s="106" t="inlineStr">
        <is>
          <t>NO</t>
        </is>
      </c>
      <c r="S152" s="105" t="n">
        <v>-1</v>
      </c>
      <c r="T152" s="107" t="n">
        <v>0.008841999999999999</v>
      </c>
      <c r="U152" s="130" t="inlineStr">
        <is>
          <t>w=[0.55,0.45,0,0] thr=(+0.25,-0.05), deployed default (risk-accepted, PSR=0.0/perm p=0.150 at N=161, not rechecked at N=268)</t>
        </is>
      </c>
      <c r="W152" t="inlineStr">
        <is>
          <t>repriced on the issuer's primary listing</t>
        </is>
      </c>
      <c r="X152" t="inlineStr">
        <is>
          <t>NOVO-B.CO</t>
        </is>
      </c>
      <c r="Y152" t="inlineStr">
        <is>
          <t>2026-02-03</t>
        </is>
      </c>
      <c r="Z152" t="n">
        <v>355.5374</v>
      </c>
      <c r="AA152" t="inlineStr">
        <is>
          <t>2026-02-04</t>
        </is>
      </c>
      <c r="AB152" t="n">
        <v>291.9312</v>
      </c>
      <c r="AC152" t="n">
        <v>-0.1789015603144252</v>
      </c>
      <c r="AD152" t="inlineStr">
        <is>
          <t>DOWN</t>
        </is>
      </c>
      <c r="AE152" t="inlineStr">
        <is>
          <t>YES</t>
        </is>
      </c>
      <c r="AF152" t="n">
        <v>0.177902</v>
      </c>
      <c r="AG152">
        <f>IF($A152="","",IFERROR(INDEX(Company_List!$G$3:$G$207,MATCH($A152,Company_List!$A$3:$A$207,0)),"unassigned"))</f>
        <v/>
      </c>
      <c r="AH152"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J152" t="inlineStr">
        <is>
          <t>whole bundle (Document = All)</t>
        </is>
      </c>
      <c r="AK152">
        <f>IF($A152="","",IF(COUNTIFS(Human_Data_Entry!$A$3:$A$525,$A152)&gt;0,"YES","NO"))</f>
        <v/>
      </c>
      <c r="AL152">
        <f>IF($A152="","",IF(AND($C152&amp;"-"&amp;$D152&gt;=Settings!$B$19,$C152&amp;"-"&amp;$D152&lt;=Settings!$B$20),"IN","OUT"))</f>
        <v/>
      </c>
      <c r="AM152">
        <f>IF(AND(OR($H152="BUY",$H152="SELL"),ISNUMBER($T152)),$T152,"")</f>
        <v/>
      </c>
      <c r="AN152">
        <f>IF(AND(OR($H152="BUY",$H152="SELL"),ISNUMBER($AF152)),$AF152,"")</f>
        <v/>
      </c>
      <c r="AO152">
        <f>IF(ISNUMBER($AM152),ABS(IF(ISNUMBER($G152),$G152,0)-Settings!$B$25),"")</f>
        <v/>
      </c>
      <c r="AP152">
        <f>IF(ISNUMBER($AO152),$AO152*$AM152,"")</f>
        <v/>
      </c>
      <c r="AQ152">
        <f>IF(ISNUMBER($AN152),ABS(IF(ISNUMBER($G152),$G152,0)-Settings!$B$25),"")</f>
        <v/>
      </c>
      <c r="AR152">
        <f>IF(ISNUMBER($AQ152),$AQ152*$AN152,"")</f>
        <v/>
      </c>
      <c r="AS152">
        <f>IF($A152="","",IFERROR(INDEX(Company_List!$H$3:$H$207,MATCH($A152,Company_List!$A$3:$A$207,0)),"unassigned"))</f>
        <v/>
      </c>
      <c r="AT152" t="inlineStr">
        <is>
          <t>not in v1</t>
        </is>
      </c>
      <c r="AU152" t="inlineStr">
        <is>
          <t>no earlier record</t>
        </is>
      </c>
      <c r="AV152" t="n">
        <v>5</v>
      </c>
      <c r="AW152" t="inlineStr">
        <is>
          <t>not publisher-identified</t>
        </is>
      </c>
      <c r="AX152" t="inlineStr">
        <is>
          <t>not publisher-identified</t>
        </is>
      </c>
      <c r="AY152" t="inlineStr">
        <is>
          <t>no</t>
        </is>
      </c>
      <c r="AZ152" t="inlineStr">
        <is>
          <t>no</t>
        </is>
      </c>
    </row>
    <row r="153">
      <c r="A153" s="115" t="inlineStr">
        <is>
          <t>Hilton</t>
        </is>
      </c>
      <c r="B153" s="117" t="inlineStr">
        <is>
          <t>HLT</t>
        </is>
      </c>
      <c r="C153" s="105" t="n">
        <v>2025</v>
      </c>
      <c r="D153" s="106" t="inlineStr">
        <is>
          <t>Q1</t>
        </is>
      </c>
      <c r="E153" s="109" t="inlineStr">
        <is>
          <t>Ben/DeepSeek</t>
        </is>
      </c>
      <c r="F153" s="106" t="inlineStr">
        <is>
          <t>LLM</t>
        </is>
      </c>
      <c r="G153" s="128" t="n">
        <v>-0.41</v>
      </c>
      <c r="H153" s="106" t="inlineStr">
        <is>
          <t>SELL</t>
        </is>
      </c>
      <c r="I153" s="128" t="n"/>
      <c r="J153" s="125" t="n">
        <v>45776</v>
      </c>
      <c r="K153" s="126" t="n">
        <v>45775</v>
      </c>
      <c r="L153" s="129" t="n">
        <v>221.6</v>
      </c>
      <c r="M153" s="126" t="n">
        <v>45776</v>
      </c>
      <c r="N153" s="129" t="n">
        <v>224.6</v>
      </c>
      <c r="O153" s="132" t="n"/>
      <c r="P153" s="107" t="n">
        <v>0.013538</v>
      </c>
      <c r="Q153" s="106" t="inlineStr">
        <is>
          <t>FLAT</t>
        </is>
      </c>
      <c r="R153" s="106" t="inlineStr">
        <is>
          <t>NO</t>
        </is>
      </c>
      <c r="S153" s="105" t="n">
        <v>-1</v>
      </c>
      <c r="T153" s="107" t="n">
        <v>-0.014538</v>
      </c>
      <c r="U153" s="130" t="inlineStr">
        <is>
          <t>w=[0.55,0.45,0,0] thr=(+0.25,-0.05), deployed default (risk-accepted, PSR=0.0/perm p=0.150 at N=161, not rechecked at N=268) | Token Cost unavailable: predates cost_log tracking, not backfillable</t>
        </is>
      </c>
      <c r="W153" t="inlineStr">
        <is>
          <t>price signal</t>
        </is>
      </c>
      <c r="X153" t="inlineStr">
        <is>
          <t>HLT</t>
        </is>
      </c>
      <c r="Y153" t="inlineStr">
        <is>
          <t>2025-04-28</t>
        </is>
      </c>
      <c r="Z153" t="n">
        <v>221.0122</v>
      </c>
      <c r="AA153" t="inlineStr">
        <is>
          <t>2025-04-29</t>
        </is>
      </c>
      <c r="AB153" t="n">
        <v>224.0043</v>
      </c>
      <c r="AC153" t="n">
        <v>0.01353784273014375</v>
      </c>
      <c r="AD153" t="inlineStr">
        <is>
          <t>FLAT</t>
        </is>
      </c>
      <c r="AE153" t="inlineStr">
        <is>
          <t>NO</t>
        </is>
      </c>
      <c r="AF153" t="n">
        <v>-0.014538</v>
      </c>
      <c r="AG153">
        <f>IF($A153="","",IFERROR(INDEX(Company_List!$G$3:$G$207,MATCH($A153,Company_List!$A$3:$A$207,0)),"unassigned"))</f>
        <v/>
      </c>
      <c r="AH153" t="inlineStr">
        <is>
          <t>Phase 2/Hilton/hilton-1q-2025-earnings-call-transcript.pdf</t>
        </is>
      </c>
      <c r="AJ153" t="inlineStr">
        <is>
          <t>unique filename match</t>
        </is>
      </c>
      <c r="AK153">
        <f>IF($A153="","",IF(COUNTIFS(Human_Data_Entry!$A$3:$A$525,$A153)&gt;0,"YES","NO"))</f>
        <v/>
      </c>
      <c r="AL153">
        <f>IF($A153="","",IF(AND($C153&amp;"-"&amp;$D153&gt;=Settings!$B$19,$C153&amp;"-"&amp;$D153&lt;=Settings!$B$20),"IN","OUT"))</f>
        <v/>
      </c>
      <c r="AM153">
        <f>IF(AND(OR($H153="BUY",$H153="SELL"),ISNUMBER($T153)),$T153,"")</f>
        <v/>
      </c>
      <c r="AN153">
        <f>IF(AND(OR($H153="BUY",$H153="SELL"),ISNUMBER($AF153)),$AF153,"")</f>
        <v/>
      </c>
      <c r="AO153">
        <f>IF(ISNUMBER($AM153),ABS(IF(ISNUMBER($G153),$G153,0)-Settings!$B$25),"")</f>
        <v/>
      </c>
      <c r="AP153">
        <f>IF(ISNUMBER($AO153),$AO153*$AM153,"")</f>
        <v/>
      </c>
      <c r="AQ153">
        <f>IF(ISNUMBER($AN153),ABS(IF(ISNUMBER($G153),$G153,0)-Settings!$B$25),"")</f>
        <v/>
      </c>
      <c r="AR153">
        <f>IF(ISNUMBER($AQ153),$AQ153*$AN153,"")</f>
        <v/>
      </c>
      <c r="AS153">
        <f>IF($A153="","",IFERROR(INDEX(Company_List!$H$3:$H$207,MATCH($A153,Company_List!$A$3:$A$207,0)),"unassigned"))</f>
        <v/>
      </c>
      <c r="AT153" t="inlineStr">
        <is>
          <t>not in v1</t>
        </is>
      </c>
      <c r="AU153" t="inlineStr">
        <is>
          <t>no earlier record</t>
        </is>
      </c>
      <c r="AV153" t="n">
        <v>1</v>
      </c>
      <c r="AW153" t="inlineStr">
        <is>
          <t>S&amp;P Global Market Intelligence (Capital IQ)</t>
        </is>
      </c>
      <c r="AX153" t="inlineStr">
        <is>
          <t>licensed vendor</t>
        </is>
      </c>
      <c r="AY153" t="inlineStr">
        <is>
          <t>no</t>
        </is>
      </c>
      <c r="AZ153" t="inlineStr">
        <is>
          <t>no</t>
        </is>
      </c>
    </row>
    <row r="154">
      <c r="A154" s="115" t="inlineStr">
        <is>
          <t>Hilton</t>
        </is>
      </c>
      <c r="B154" s="117" t="inlineStr">
        <is>
          <t>HLT</t>
        </is>
      </c>
      <c r="C154" s="105" t="n">
        <v>2026</v>
      </c>
      <c r="D154" s="106" t="inlineStr">
        <is>
          <t>Q1</t>
        </is>
      </c>
      <c r="E154" s="109" t="inlineStr">
        <is>
          <t>Ben/DeepSeek</t>
        </is>
      </c>
      <c r="F154" s="106" t="inlineStr">
        <is>
          <t>LLM</t>
        </is>
      </c>
      <c r="G154" s="128" t="n">
        <v>0.14</v>
      </c>
      <c r="H154" s="106" t="inlineStr">
        <is>
          <t>HOLD</t>
        </is>
      </c>
      <c r="I154" s="128" t="n"/>
      <c r="J154" s="125" t="n">
        <v>46140</v>
      </c>
      <c r="K154" s="126" t="n">
        <v>46139</v>
      </c>
      <c r="L154" s="129" t="n">
        <v>332.45</v>
      </c>
      <c r="M154" s="126" t="n">
        <v>46140</v>
      </c>
      <c r="N154" s="129" t="n">
        <v>323.42</v>
      </c>
      <c r="O154" s="132" t="n">
        <v>0.009619000000000001</v>
      </c>
      <c r="P154" s="107" t="n">
        <v>-0.027162</v>
      </c>
      <c r="Q154" s="106" t="inlineStr">
        <is>
          <t>DOWN</t>
        </is>
      </c>
      <c r="R154" s="106" t="inlineStr">
        <is>
          <t>NO</t>
        </is>
      </c>
      <c r="S154" s="105" t="n">
        <v>0</v>
      </c>
      <c r="T154" s="107" t="n">
        <v>0</v>
      </c>
      <c r="U154" s="130" t="inlineStr">
        <is>
          <t>w=[0.55,0.45,0,0] thr=(+0.25,-0.05), deployed default (risk-accepted, PSR=0.0/perm p=0.150 at N=161, not rechecked at N=268)</t>
        </is>
      </c>
      <c r="W154" t="inlineStr">
        <is>
          <t>recorded price identified against every pulled series</t>
        </is>
      </c>
      <c r="X154" t="inlineStr">
        <is>
          <t>HLT</t>
        </is>
      </c>
      <c r="Y154" t="inlineStr">
        <is>
          <t>2026-04-27</t>
        </is>
      </c>
      <c r="Z154" t="n">
        <v>332.2955</v>
      </c>
      <c r="AA154" t="inlineStr">
        <is>
          <t>2026-04-28</t>
        </is>
      </c>
      <c r="AB154" t="n">
        <v>323.2697</v>
      </c>
      <c r="AC154" t="n">
        <v>-0.02716192317131351</v>
      </c>
      <c r="AD154" t="inlineStr">
        <is>
          <t>DOWN</t>
        </is>
      </c>
      <c r="AE154" t="inlineStr">
        <is>
          <t>NO</t>
        </is>
      </c>
      <c r="AF154" t="n">
        <v>0</v>
      </c>
      <c r="AG154">
        <f>IF($A154="","",IFERROR(INDEX(Company_List!$G$3:$G$207,MATCH($A154,Company_List!$A$3:$A$207,0)),"unassigned"))</f>
        <v/>
      </c>
      <c r="AH154" t="inlineStr">
        <is>
          <t>Phase 2/Hilton/hilton-q1-2026-earnings-transcript.pdf</t>
        </is>
      </c>
      <c r="AJ154" t="inlineStr">
        <is>
          <t>unique filename match</t>
        </is>
      </c>
      <c r="AK154">
        <f>IF($A154="","",IF(COUNTIFS(Human_Data_Entry!$A$3:$A$525,$A154)&gt;0,"YES","NO"))</f>
        <v/>
      </c>
      <c r="AL154">
        <f>IF($A154="","",IF(AND($C154&amp;"-"&amp;$D154&gt;=Settings!$B$19,$C154&amp;"-"&amp;$D154&lt;=Settings!$B$20),"IN","OUT"))</f>
        <v/>
      </c>
      <c r="AM154">
        <f>IF(AND(OR($H154="BUY",$H154="SELL"),ISNUMBER($T154)),$T154,"")</f>
        <v/>
      </c>
      <c r="AN154">
        <f>IF(AND(OR($H154="BUY",$H154="SELL"),ISNUMBER($AF154)),$AF154,"")</f>
        <v/>
      </c>
      <c r="AO154">
        <f>IF(ISNUMBER($AM154),ABS(IF(ISNUMBER($G154),$G154,0)-Settings!$B$25),"")</f>
        <v/>
      </c>
      <c r="AP154">
        <f>IF(ISNUMBER($AO154),$AO154*$AM154,"")</f>
        <v/>
      </c>
      <c r="AQ154">
        <f>IF(ISNUMBER($AN154),ABS(IF(ISNUMBER($G154),$G154,0)-Settings!$B$25),"")</f>
        <v/>
      </c>
      <c r="AR154">
        <f>IF(ISNUMBER($AQ154),$AQ154*$AN154,"")</f>
        <v/>
      </c>
      <c r="AS154">
        <f>IF($A154="","",IFERROR(INDEX(Company_List!$H$3:$H$207,MATCH($A154,Company_List!$A$3:$A$207,0)),"unassigned"))</f>
        <v/>
      </c>
      <c r="AT154" t="inlineStr">
        <is>
          <t>not in v1</t>
        </is>
      </c>
      <c r="AU154" t="inlineStr">
        <is>
          <t>no earlier record</t>
        </is>
      </c>
      <c r="AV154" t="n">
        <v>1</v>
      </c>
      <c r="AW154" t="inlineStr">
        <is>
          <t>S&amp;P Global Market Intelligence (Capital IQ)</t>
        </is>
      </c>
      <c r="AX154" t="inlineStr">
        <is>
          <t>licensed vendor</t>
        </is>
      </c>
      <c r="AY154" t="inlineStr">
        <is>
          <t>no</t>
        </is>
      </c>
      <c r="AZ154" t="inlineStr">
        <is>
          <t>no</t>
        </is>
      </c>
    </row>
    <row r="155">
      <c r="A155" s="115" t="inlineStr">
        <is>
          <t>Hilton</t>
        </is>
      </c>
      <c r="B155" s="117" t="inlineStr">
        <is>
          <t>HLT</t>
        </is>
      </c>
      <c r="C155" s="105" t="n">
        <v>2025</v>
      </c>
      <c r="D155" s="106" t="inlineStr">
        <is>
          <t>Q2</t>
        </is>
      </c>
      <c r="E155" s="109" t="inlineStr">
        <is>
          <t>Ben/DeepSeek</t>
        </is>
      </c>
      <c r="F155" s="106" t="inlineStr">
        <is>
          <t>LLM</t>
        </is>
      </c>
      <c r="G155" s="128" t="n">
        <v>0.1275</v>
      </c>
      <c r="H155" s="106" t="inlineStr">
        <is>
          <t>HOLD</t>
        </is>
      </c>
      <c r="I155" s="128" t="n"/>
      <c r="J155" s="125" t="n">
        <v>45861</v>
      </c>
      <c r="K155" s="126" t="n">
        <v>45860</v>
      </c>
      <c r="L155" s="129" t="n">
        <v>273.84</v>
      </c>
      <c r="M155" s="126" t="n">
        <v>45861</v>
      </c>
      <c r="N155" s="129" t="n">
        <v>264.9</v>
      </c>
      <c r="O155" s="132" t="n"/>
      <c r="P155" s="107" t="n">
        <v>-0.032647</v>
      </c>
      <c r="Q155" s="106" t="inlineStr">
        <is>
          <t>DOWN</t>
        </is>
      </c>
      <c r="R155" s="106" t="inlineStr">
        <is>
          <t>NO</t>
        </is>
      </c>
      <c r="S155" s="105" t="n">
        <v>0</v>
      </c>
      <c r="T155" s="107" t="n">
        <v>0</v>
      </c>
      <c r="U155" s="130" t="inlineStr">
        <is>
          <t>w=[0.55,0.45,0,0] thr=(+0.25,-0.05), deployed default (risk-accepted, PSR=0.0/perm p=0.150 at N=161, not rechecked at N=268) | Token Cost unavailable: predates cost_log tracking, not backfillable</t>
        </is>
      </c>
      <c r="W155" t="inlineStr">
        <is>
          <t>price signal</t>
        </is>
      </c>
      <c r="X155" t="inlineStr">
        <is>
          <t>HLT</t>
        </is>
      </c>
      <c r="Y155" t="inlineStr">
        <is>
          <t>2025-07-22</t>
        </is>
      </c>
      <c r="Z155" t="n">
        <v>273.2798</v>
      </c>
      <c r="AA155" t="inlineStr">
        <is>
          <t>2025-07-23</t>
        </is>
      </c>
      <c r="AB155" t="n">
        <v>264.3581</v>
      </c>
      <c r="AC155" t="n">
        <v>-0.03264686799542926</v>
      </c>
      <c r="AD155" t="inlineStr">
        <is>
          <t>DOWN</t>
        </is>
      </c>
      <c r="AE155" t="inlineStr">
        <is>
          <t>NO</t>
        </is>
      </c>
      <c r="AF155" t="n">
        <v>0</v>
      </c>
      <c r="AG155">
        <f>IF($A155="","",IFERROR(INDEX(Company_List!$G$3:$G$207,MATCH($A155,Company_List!$A$3:$A$207,0)),"unassigned"))</f>
        <v/>
      </c>
      <c r="AH155" t="inlineStr">
        <is>
          <t>Phase 2/Hilton/hilton-2q-2025-earnings-call-july-23-2025.pdf</t>
        </is>
      </c>
      <c r="AJ155" t="inlineStr">
        <is>
          <t>unique filename match</t>
        </is>
      </c>
      <c r="AK155">
        <f>IF($A155="","",IF(COUNTIFS(Human_Data_Entry!$A$3:$A$525,$A155)&gt;0,"YES","NO"))</f>
        <v/>
      </c>
      <c r="AL155">
        <f>IF($A155="","",IF(AND($C155&amp;"-"&amp;$D155&gt;=Settings!$B$19,$C155&amp;"-"&amp;$D155&lt;=Settings!$B$20),"IN","OUT"))</f>
        <v/>
      </c>
      <c r="AM155">
        <f>IF(AND(OR($H155="BUY",$H155="SELL"),ISNUMBER($T155)),$T155,"")</f>
        <v/>
      </c>
      <c r="AN155">
        <f>IF(AND(OR($H155="BUY",$H155="SELL"),ISNUMBER($AF155)),$AF155,"")</f>
        <v/>
      </c>
      <c r="AO155">
        <f>IF(ISNUMBER($AM155),ABS(IF(ISNUMBER($G155),$G155,0)-Settings!$B$25),"")</f>
        <v/>
      </c>
      <c r="AP155">
        <f>IF(ISNUMBER($AO155),$AO155*$AM155,"")</f>
        <v/>
      </c>
      <c r="AQ155">
        <f>IF(ISNUMBER($AN155),ABS(IF(ISNUMBER($G155),$G155,0)-Settings!$B$25),"")</f>
        <v/>
      </c>
      <c r="AR155">
        <f>IF(ISNUMBER($AQ155),$AQ155*$AN155,"")</f>
        <v/>
      </c>
      <c r="AS155">
        <f>IF($A155="","",IFERROR(INDEX(Company_List!$H$3:$H$207,MATCH($A155,Company_List!$A$3:$A$207,0)),"unassigned"))</f>
        <v/>
      </c>
      <c r="AT155" t="inlineStr">
        <is>
          <t>not in v1</t>
        </is>
      </c>
      <c r="AU155" t="inlineStr">
        <is>
          <t>no earlier record</t>
        </is>
      </c>
      <c r="AV155" t="n">
        <v>1</v>
      </c>
      <c r="AW155" t="inlineStr">
        <is>
          <t>S&amp;P Global Market Intelligence (Capital IQ)</t>
        </is>
      </c>
      <c r="AX155" t="inlineStr">
        <is>
          <t>licensed vendor</t>
        </is>
      </c>
      <c r="AY155" t="inlineStr">
        <is>
          <t>no</t>
        </is>
      </c>
      <c r="AZ155" t="inlineStr">
        <is>
          <t>no</t>
        </is>
      </c>
    </row>
    <row r="156">
      <c r="A156" s="115" t="inlineStr">
        <is>
          <t>Hilton</t>
        </is>
      </c>
      <c r="B156" s="117" t="inlineStr">
        <is>
          <t>HLT</t>
        </is>
      </c>
      <c r="C156" s="105" t="n">
        <v>2024</v>
      </c>
      <c r="D156" s="106" t="inlineStr">
        <is>
          <t>Q3</t>
        </is>
      </c>
      <c r="E156" s="109" t="inlineStr">
        <is>
          <t>Ben/DeepSeek</t>
        </is>
      </c>
      <c r="F156" s="106" t="inlineStr">
        <is>
          <t>LLM</t>
        </is>
      </c>
      <c r="G156" s="128" t="n">
        <v>0.2</v>
      </c>
      <c r="H156" s="106" t="inlineStr">
        <is>
          <t>HOLD</t>
        </is>
      </c>
      <c r="I156" s="128" t="n"/>
      <c r="J156" s="125" t="n">
        <v>45588</v>
      </c>
      <c r="K156" s="126" t="n">
        <v>45587</v>
      </c>
      <c r="L156" s="129" t="n">
        <v>238.13</v>
      </c>
      <c r="M156" s="126" t="n">
        <v>45588</v>
      </c>
      <c r="N156" s="129" t="n">
        <v>237.5</v>
      </c>
      <c r="O156" s="132" t="n">
        <v>0.009795</v>
      </c>
      <c r="P156" s="107" t="n">
        <v>-0.002646</v>
      </c>
      <c r="Q156" s="106" t="inlineStr">
        <is>
          <t>FLAT</t>
        </is>
      </c>
      <c r="R156" s="106" t="inlineStr">
        <is>
          <t>YES</t>
        </is>
      </c>
      <c r="S156" s="105" t="n">
        <v>0</v>
      </c>
      <c r="T156" s="107" t="n">
        <v>0</v>
      </c>
      <c r="U156" s="130" t="inlineStr">
        <is>
          <t>w=[0.55,0.45,0,0] thr=(+0.25,-0.05), deployed default (risk-accepted, PSR=0.0/perm p=0.150 at N=161, not rechecked at N=268)</t>
        </is>
      </c>
      <c r="W156" t="inlineStr">
        <is>
          <t>recorded price identified against every pulled series</t>
        </is>
      </c>
      <c r="X156" t="inlineStr">
        <is>
          <t>HLT</t>
        </is>
      </c>
      <c r="Y156" t="inlineStr">
        <is>
          <t>2024-10-22</t>
        </is>
      </c>
      <c r="Z156" t="n">
        <v>237.223</v>
      </c>
      <c r="AA156" t="inlineStr">
        <is>
          <t>2024-10-23</t>
        </is>
      </c>
      <c r="AB156" t="n">
        <v>236.5954</v>
      </c>
      <c r="AC156" t="n">
        <v>-0.002645619719489599</v>
      </c>
      <c r="AD156" t="inlineStr">
        <is>
          <t>FLAT</t>
        </is>
      </c>
      <c r="AE156" t="inlineStr">
        <is>
          <t>YES</t>
        </is>
      </c>
      <c r="AF156" t="n">
        <v>0</v>
      </c>
      <c r="AG156">
        <f>IF($A156="","",IFERROR(INDEX(Company_List!$G$3:$G$207,MATCH($A156,Company_List!$A$3:$A$207,0)),"unassigned"))</f>
        <v/>
      </c>
      <c r="AH156" t="inlineStr">
        <is>
          <t>Phase 2/Hilton/hilton-3q-2024-earnings-call-october-22-2025.pdf</t>
        </is>
      </c>
      <c r="AJ156" t="inlineStr">
        <is>
          <t>unique filename match</t>
        </is>
      </c>
      <c r="AK156">
        <f>IF($A156="","",IF(COUNTIFS(Human_Data_Entry!$A$3:$A$525,$A156)&gt;0,"YES","NO"))</f>
        <v/>
      </c>
      <c r="AL156">
        <f>IF($A156="","",IF(AND($C156&amp;"-"&amp;$D156&gt;=Settings!$B$19,$C156&amp;"-"&amp;$D156&lt;=Settings!$B$20),"IN","OUT"))</f>
        <v/>
      </c>
      <c r="AM156">
        <f>IF(AND(OR($H156="BUY",$H156="SELL"),ISNUMBER($T156)),$T156,"")</f>
        <v/>
      </c>
      <c r="AN156">
        <f>IF(AND(OR($H156="BUY",$H156="SELL"),ISNUMBER($AF156)),$AF156,"")</f>
        <v/>
      </c>
      <c r="AO156">
        <f>IF(ISNUMBER($AM156),ABS(IF(ISNUMBER($G156),$G156,0)-Settings!$B$25),"")</f>
        <v/>
      </c>
      <c r="AP156">
        <f>IF(ISNUMBER($AO156),$AO156*$AM156,"")</f>
        <v/>
      </c>
      <c r="AQ156">
        <f>IF(ISNUMBER($AN156),ABS(IF(ISNUMBER($G156),$G156,0)-Settings!$B$25),"")</f>
        <v/>
      </c>
      <c r="AR156">
        <f>IF(ISNUMBER($AQ156),$AQ156*$AN156,"")</f>
        <v/>
      </c>
      <c r="AS156">
        <f>IF($A156="","",IFERROR(INDEX(Company_List!$H$3:$H$207,MATCH($A156,Company_List!$A$3:$A$207,0)),"unassigned"))</f>
        <v/>
      </c>
      <c r="AT156" t="inlineStr">
        <is>
          <t>not in v1</t>
        </is>
      </c>
      <c r="AU156" t="inlineStr">
        <is>
          <t>no earlier record</t>
        </is>
      </c>
      <c r="AV156" t="n">
        <v>1</v>
      </c>
      <c r="AW156" t="inlineStr">
        <is>
          <t>S&amp;P Global Market Intelligence (Capital IQ)</t>
        </is>
      </c>
      <c r="AX156" t="inlineStr">
        <is>
          <t>licensed vendor</t>
        </is>
      </c>
      <c r="AY156" t="inlineStr">
        <is>
          <t>no</t>
        </is>
      </c>
      <c r="AZ156" t="inlineStr">
        <is>
          <t>no</t>
        </is>
      </c>
    </row>
    <row r="157">
      <c r="A157" s="115" t="inlineStr">
        <is>
          <t>Hilton</t>
        </is>
      </c>
      <c r="B157" s="117" t="inlineStr">
        <is>
          <t>HLT</t>
        </is>
      </c>
      <c r="C157" s="105" t="n">
        <v>2025</v>
      </c>
      <c r="D157" s="106" t="inlineStr">
        <is>
          <t>Q4</t>
        </is>
      </c>
      <c r="E157" s="109" t="inlineStr">
        <is>
          <t>Ben/DeepSeek</t>
        </is>
      </c>
      <c r="F157" s="106" t="inlineStr">
        <is>
          <t>LLM</t>
        </is>
      </c>
      <c r="G157" s="128" t="n">
        <v>0.2775</v>
      </c>
      <c r="H157" s="106" t="inlineStr">
        <is>
          <t>BUY</t>
        </is>
      </c>
      <c r="I157" s="128" t="n"/>
      <c r="J157" s="125" t="n">
        <v>46064</v>
      </c>
      <c r="K157" s="126" t="n">
        <v>46063</v>
      </c>
      <c r="L157" s="129" t="n">
        <v>323.7</v>
      </c>
      <c r="M157" s="126" t="n">
        <v>46064</v>
      </c>
      <c r="N157" s="129" t="n">
        <v>321.76</v>
      </c>
      <c r="O157" s="132" t="n">
        <v>0.009900000000000001</v>
      </c>
      <c r="P157" s="107" t="n">
        <v>-0.005993000000000001</v>
      </c>
      <c r="Q157" s="106" t="inlineStr">
        <is>
          <t>FLAT</t>
        </is>
      </c>
      <c r="R157" s="106" t="inlineStr">
        <is>
          <t>NO</t>
        </is>
      </c>
      <c r="S157" s="105" t="n">
        <v>1</v>
      </c>
      <c r="T157" s="107" t="n">
        <v>-0.006993</v>
      </c>
      <c r="U157" s="130" t="inlineStr">
        <is>
          <t>w=[0.55,0.45,0,0] thr=(+0.25,-0.05), deployed default (risk-accepted, PSR=0.0/perm p=0.150 at N=161, not rechecked at N=268)</t>
        </is>
      </c>
      <c r="W157" t="inlineStr">
        <is>
          <t>price signal</t>
        </is>
      </c>
      <c r="X157" t="inlineStr">
        <is>
          <t>HLT</t>
        </is>
      </c>
      <c r="Y157" t="inlineStr">
        <is>
          <t>2026-02-10</t>
        </is>
      </c>
      <c r="Z157" t="n">
        <v>323.3969</v>
      </c>
      <c r="AA157" t="inlineStr">
        <is>
          <t>2026-02-11</t>
        </is>
      </c>
      <c r="AB157" t="n">
        <v>321.4587</v>
      </c>
      <c r="AC157" t="n">
        <v>-0.00599322139387343</v>
      </c>
      <c r="AD157" t="inlineStr">
        <is>
          <t>FLAT</t>
        </is>
      </c>
      <c r="AE157" t="inlineStr">
        <is>
          <t>NO</t>
        </is>
      </c>
      <c r="AF157" t="n">
        <v>-0.006993</v>
      </c>
      <c r="AG157">
        <f>IF($A157="","",IFERROR(INDEX(Company_List!$G$3:$G$207,MATCH($A157,Company_List!$A$3:$A$207,0)),"unassigned"))</f>
        <v/>
      </c>
      <c r="AH157" t="inlineStr">
        <is>
          <t>Phase 2/Hilton/hilton-q4-2025-earnings-transcript-combined.pdf</t>
        </is>
      </c>
      <c r="AJ157" t="inlineStr">
        <is>
          <t>unique filename match</t>
        </is>
      </c>
      <c r="AK157">
        <f>IF($A157="","",IF(COUNTIFS(Human_Data_Entry!$A$3:$A$525,$A157)&gt;0,"YES","NO"))</f>
        <v/>
      </c>
      <c r="AL157">
        <f>IF($A157="","",IF(AND($C157&amp;"-"&amp;$D157&gt;=Settings!$B$19,$C157&amp;"-"&amp;$D157&lt;=Settings!$B$20),"IN","OUT"))</f>
        <v/>
      </c>
      <c r="AM157">
        <f>IF(AND(OR($H157="BUY",$H157="SELL"),ISNUMBER($T157)),$T157,"")</f>
        <v/>
      </c>
      <c r="AN157">
        <f>IF(AND(OR($H157="BUY",$H157="SELL"),ISNUMBER($AF157)),$AF157,"")</f>
        <v/>
      </c>
      <c r="AO157">
        <f>IF(ISNUMBER($AM157),ABS(IF(ISNUMBER($G157),$G157,0)-Settings!$B$25),"")</f>
        <v/>
      </c>
      <c r="AP157">
        <f>IF(ISNUMBER($AO157),$AO157*$AM157,"")</f>
        <v/>
      </c>
      <c r="AQ157">
        <f>IF(ISNUMBER($AN157),ABS(IF(ISNUMBER($G157),$G157,0)-Settings!$B$25),"")</f>
        <v/>
      </c>
      <c r="AR157">
        <f>IF(ISNUMBER($AQ157),$AQ157*$AN157,"")</f>
        <v/>
      </c>
      <c r="AS157">
        <f>IF($A157="","",IFERROR(INDEX(Company_List!$H$3:$H$207,MATCH($A157,Company_List!$A$3:$A$207,0)),"unassigned"))</f>
        <v/>
      </c>
      <c r="AT157" t="inlineStr">
        <is>
          <t>not in v1</t>
        </is>
      </c>
      <c r="AU157" t="inlineStr">
        <is>
          <t>no earlier record</t>
        </is>
      </c>
      <c r="AV157" t="n">
        <v>1</v>
      </c>
      <c r="AW157" t="inlineStr">
        <is>
          <t>S&amp;P Global Market Intelligence (Capital IQ)</t>
        </is>
      </c>
      <c r="AX157" t="inlineStr">
        <is>
          <t>licensed vendor</t>
        </is>
      </c>
      <c r="AY157" t="inlineStr">
        <is>
          <t>no</t>
        </is>
      </c>
      <c r="AZ157" t="inlineStr">
        <is>
          <t>no</t>
        </is>
      </c>
    </row>
    <row r="158">
      <c r="A158" s="115" t="inlineStr">
        <is>
          <t>LVMH</t>
        </is>
      </c>
      <c r="B158" s="117" t="inlineStr">
        <is>
          <t>MC.PA</t>
        </is>
      </c>
      <c r="C158" s="105" t="n">
        <v>2025</v>
      </c>
      <c r="D158" s="106" t="inlineStr">
        <is>
          <t>Q2</t>
        </is>
      </c>
      <c r="E158" s="109" t="inlineStr">
        <is>
          <t>Ben/DeepSeek</t>
        </is>
      </c>
      <c r="F158" s="106" t="inlineStr">
        <is>
          <t>LLM</t>
        </is>
      </c>
      <c r="G158" s="128" t="n">
        <v>-0.0375</v>
      </c>
      <c r="H158" s="106" t="inlineStr">
        <is>
          <t>HOLD</t>
        </is>
      </c>
      <c r="I158" s="128" t="n"/>
      <c r="J158" s="125" t="n">
        <v>45862</v>
      </c>
      <c r="K158" s="126" t="n">
        <v>45862</v>
      </c>
      <c r="L158" s="129" t="n">
        <v>470.25</v>
      </c>
      <c r="M158" s="126" t="n">
        <v>45863</v>
      </c>
      <c r="N158" s="129" t="n">
        <v>464.95</v>
      </c>
      <c r="O158" s="132" t="n">
        <v>0.005054</v>
      </c>
      <c r="P158" s="107" t="n">
        <v>-0.011271</v>
      </c>
      <c r="Q158" s="106" t="inlineStr">
        <is>
          <t>FLAT</t>
        </is>
      </c>
      <c r="R158" s="106" t="inlineStr">
        <is>
          <t>YES</t>
        </is>
      </c>
      <c r="S158" s="105" t="n">
        <v>0</v>
      </c>
      <c r="T158" s="107" t="n">
        <v>0</v>
      </c>
      <c r="U158" s="130" t="inlineStr">
        <is>
          <t>w=[0.55,0.45,0,0] thr=(+0.25,-0.05), deployed default (risk-accepted, PSR=0.0/perm p=0.150 at N=161, not rechecked at N=268)</t>
        </is>
      </c>
      <c r="W158" t="inlineStr">
        <is>
          <t>release time published by the issuer</t>
        </is>
      </c>
      <c r="X158" t="inlineStr">
        <is>
          <t>MC.PA</t>
        </is>
      </c>
      <c r="Y158" t="inlineStr">
        <is>
          <t>2025-07-24</t>
        </is>
      </c>
      <c r="Z158" t="n">
        <v>458.7454</v>
      </c>
      <c r="AA158" t="inlineStr">
        <is>
          <t>2025-07-25</t>
        </is>
      </c>
      <c r="AB158" t="n">
        <v>453.5751</v>
      </c>
      <c r="AC158" t="n">
        <v>-0.01127059128188342</v>
      </c>
      <c r="AD158" t="inlineStr">
        <is>
          <t>FLAT</t>
        </is>
      </c>
      <c r="AE158" t="inlineStr">
        <is>
          <t>YES</t>
        </is>
      </c>
      <c r="AF158" t="n">
        <v>0</v>
      </c>
      <c r="AG158">
        <f>IF($A158="","",IFERROR(INDEX(Company_List!$G$3:$G$207,MATCH($A158,Company_List!$A$3:$A$207,0)),"unassigned"))</f>
        <v/>
      </c>
      <c r="AH158" t="inlineStr">
        <is>
          <t>Phase 2/LVMH/2025-Q2/MC.PA-2025-Q2-results-LVMH-IR.pdf</t>
        </is>
      </c>
      <c r="AJ158" t="inlineStr">
        <is>
          <t>manifest</t>
        </is>
      </c>
      <c r="AK158">
        <f>IF($A158="","",IF(COUNTIFS(Human_Data_Entry!$A$3:$A$525,$A158)&gt;0,"YES","NO"))</f>
        <v/>
      </c>
      <c r="AL158">
        <f>IF($A158="","",IF(AND($C158&amp;"-"&amp;$D158&gt;=Settings!$B$19,$C158&amp;"-"&amp;$D158&lt;=Settings!$B$20),"IN","OUT"))</f>
        <v/>
      </c>
      <c r="AM158">
        <f>IF(AND(OR($H158="BUY",$H158="SELL"),ISNUMBER($T158)),$T158,"")</f>
        <v/>
      </c>
      <c r="AN158">
        <f>IF(AND(OR($H158="BUY",$H158="SELL"),ISNUMBER($AF158)),$AF158,"")</f>
        <v/>
      </c>
      <c r="AO158">
        <f>IF(ISNUMBER($AM158),ABS(IF(ISNUMBER($G158),$G158,0)-Settings!$B$25),"")</f>
        <v/>
      </c>
      <c r="AP158">
        <f>IF(ISNUMBER($AO158),$AO158*$AM158,"")</f>
        <v/>
      </c>
      <c r="AQ158">
        <f>IF(ISNUMBER($AN158),ABS(IF(ISNUMBER($G158),$G158,0)-Settings!$B$25),"")</f>
        <v/>
      </c>
      <c r="AR158">
        <f>IF(ISNUMBER($AQ158),$AQ158*$AN158,"")</f>
        <v/>
      </c>
      <c r="AS158">
        <f>IF($A158="","",IFERROR(INDEX(Company_List!$H$3:$H$207,MATCH($A158,Company_List!$A$3:$A$207,0)),"unassigned"))</f>
        <v/>
      </c>
      <c r="AT158" t="inlineStr">
        <is>
          <t>not in v1</t>
        </is>
      </c>
      <c r="AU158" t="inlineStr">
        <is>
          <t>no earlier record</t>
        </is>
      </c>
      <c r="AV158" t="n">
        <v>1</v>
      </c>
      <c r="AW158" t="inlineStr">
        <is>
          <t>not publisher-identified</t>
        </is>
      </c>
      <c r="AX158" t="inlineStr">
        <is>
          <t>not publisher-identified</t>
        </is>
      </c>
      <c r="AY158" t="inlineStr">
        <is>
          <t>no</t>
        </is>
      </c>
      <c r="AZ158" t="inlineStr">
        <is>
          <t>yes</t>
        </is>
      </c>
    </row>
    <row r="159">
      <c r="A159" s="115" t="inlineStr">
        <is>
          <t>LVMH</t>
        </is>
      </c>
      <c r="B159" s="117" t="inlineStr">
        <is>
          <t>MC.PA</t>
        </is>
      </c>
      <c r="C159" s="105" t="n">
        <v>2025</v>
      </c>
      <c r="D159" s="106" t="inlineStr">
        <is>
          <t>Q4</t>
        </is>
      </c>
      <c r="E159" s="109" t="inlineStr">
        <is>
          <t>Ben/DeepSeek</t>
        </is>
      </c>
      <c r="F159" s="106" t="inlineStr">
        <is>
          <t>LLM</t>
        </is>
      </c>
      <c r="G159" s="128" t="n">
        <v>0.1125</v>
      </c>
      <c r="H159" s="106" t="inlineStr">
        <is>
          <t>HOLD</t>
        </is>
      </c>
      <c r="I159" s="128" t="n"/>
      <c r="J159" s="125" t="n">
        <v>46049</v>
      </c>
      <c r="K159" s="126" t="n">
        <v>46049</v>
      </c>
      <c r="L159" s="129" t="n">
        <v>589.3</v>
      </c>
      <c r="M159" s="126" t="n">
        <v>46050</v>
      </c>
      <c r="N159" s="129" t="n">
        <v>556</v>
      </c>
      <c r="O159" s="132" t="n">
        <v>0.006732</v>
      </c>
      <c r="P159" s="107" t="n">
        <v>-0.056508</v>
      </c>
      <c r="Q159" s="106" t="inlineStr">
        <is>
          <t>DOWN</t>
        </is>
      </c>
      <c r="R159" s="106" t="inlineStr">
        <is>
          <t>NO</t>
        </is>
      </c>
      <c r="S159" s="105" t="n">
        <v>0</v>
      </c>
      <c r="T159" s="107" t="n">
        <v>0</v>
      </c>
      <c r="U159" s="130" t="inlineStr">
        <is>
          <t>w=[0.55,0.45,0,0] thr=(+0.25,-0.05), deployed default (risk-accepted, PSR=0.0/perm p=0.150 at N=161, not rechecked at N=268)</t>
        </is>
      </c>
      <c r="W159" t="inlineStr">
        <is>
          <t>price signal — only this window shows an abnormal move</t>
        </is>
      </c>
      <c r="X159" t="inlineStr">
        <is>
          <t>MC.PA</t>
        </is>
      </c>
      <c r="Y159" t="inlineStr">
        <is>
          <t>2026-01-27</t>
        </is>
      </c>
      <c r="Z159" t="n">
        <v>579.845</v>
      </c>
      <c r="AA159" t="inlineStr">
        <is>
          <t>2026-01-28</t>
        </is>
      </c>
      <c r="AB159" t="n">
        <v>547.0793</v>
      </c>
      <c r="AC159" t="n">
        <v>-0.05650765892918979</v>
      </c>
      <c r="AD159" t="inlineStr">
        <is>
          <t>DOWN</t>
        </is>
      </c>
      <c r="AE159" t="inlineStr">
        <is>
          <t>NO</t>
        </is>
      </c>
      <c r="AF159" t="n">
        <v>0</v>
      </c>
      <c r="AG159">
        <f>IF($A159="","",IFERROR(INDEX(Company_List!$G$3:$G$207,MATCH($A159,Company_List!$A$3:$A$207,0)),"unassigned"))</f>
        <v/>
      </c>
      <c r="AH159" t="inlineStr">
        <is>
          <t>Phase 2/LVMH/2025-Q4/MC.PA-2025-Q4-results-LVMH-IR.pdf</t>
        </is>
      </c>
      <c r="AJ159" t="inlineStr">
        <is>
          <t>manifest</t>
        </is>
      </c>
      <c r="AK159">
        <f>IF($A159="","",IF(COUNTIFS(Human_Data_Entry!$A$3:$A$525,$A159)&gt;0,"YES","NO"))</f>
        <v/>
      </c>
      <c r="AL159">
        <f>IF($A159="","",IF(AND($C159&amp;"-"&amp;$D159&gt;=Settings!$B$19,$C159&amp;"-"&amp;$D159&lt;=Settings!$B$20),"IN","OUT"))</f>
        <v/>
      </c>
      <c r="AM159">
        <f>IF(AND(OR($H159="BUY",$H159="SELL"),ISNUMBER($T159)),$T159,"")</f>
        <v/>
      </c>
      <c r="AN159">
        <f>IF(AND(OR($H159="BUY",$H159="SELL"),ISNUMBER($AF159)),$AF159,"")</f>
        <v/>
      </c>
      <c r="AO159">
        <f>IF(ISNUMBER($AM159),ABS(IF(ISNUMBER($G159),$G159,0)-Settings!$B$25),"")</f>
        <v/>
      </c>
      <c r="AP159">
        <f>IF(ISNUMBER($AO159),$AO159*$AM159,"")</f>
        <v/>
      </c>
      <c r="AQ159">
        <f>IF(ISNUMBER($AN159),ABS(IF(ISNUMBER($G159),$G159,0)-Settings!$B$25),"")</f>
        <v/>
      </c>
      <c r="AR159">
        <f>IF(ISNUMBER($AQ159),$AQ159*$AN159,"")</f>
        <v/>
      </c>
      <c r="AS159">
        <f>IF($A159="","",IFERROR(INDEX(Company_List!$H$3:$H$207,MATCH($A159,Company_List!$A$3:$A$207,0)),"unassigned"))</f>
        <v/>
      </c>
      <c r="AT159" t="inlineStr">
        <is>
          <t>not in v1</t>
        </is>
      </c>
      <c r="AU159" t="inlineStr">
        <is>
          <t>no earlier record</t>
        </is>
      </c>
      <c r="AV159" t="n">
        <v>1</v>
      </c>
      <c r="AW159" t="inlineStr">
        <is>
          <t>not publisher-identified</t>
        </is>
      </c>
      <c r="AX159" t="inlineStr">
        <is>
          <t>not publisher-identified</t>
        </is>
      </c>
      <c r="AY159" t="inlineStr">
        <is>
          <t>no</t>
        </is>
      </c>
      <c r="AZ159" t="inlineStr">
        <is>
          <t>yes</t>
        </is>
      </c>
    </row>
    <row r="160">
      <c r="A160" s="115" t="inlineStr">
        <is>
          <t>Marriott</t>
        </is>
      </c>
      <c r="B160" s="117" t="inlineStr">
        <is>
          <t>MAR</t>
        </is>
      </c>
      <c r="C160" s="105" t="n">
        <v>2026</v>
      </c>
      <c r="D160" s="106" t="inlineStr">
        <is>
          <t>Q1</t>
        </is>
      </c>
      <c r="E160" s="109" t="inlineStr">
        <is>
          <t>Ben/DeepSeek</t>
        </is>
      </c>
      <c r="F160" s="106" t="inlineStr">
        <is>
          <t>LLM</t>
        </is>
      </c>
      <c r="G160" s="128" t="n">
        <v>0.1675</v>
      </c>
      <c r="H160" s="106" t="inlineStr">
        <is>
          <t>HOLD</t>
        </is>
      </c>
      <c r="I160" s="128" t="n"/>
      <c r="J160" s="125" t="n">
        <v>46148</v>
      </c>
      <c r="K160" s="126" t="n">
        <v>46147</v>
      </c>
      <c r="L160" s="129" t="n">
        <v>354.52</v>
      </c>
      <c r="M160" s="126" t="n">
        <v>46148</v>
      </c>
      <c r="N160" s="129" t="n">
        <v>363.87</v>
      </c>
      <c r="O160" s="132" t="n">
        <v>0.011384</v>
      </c>
      <c r="P160" s="107" t="n">
        <v>0.026374</v>
      </c>
      <c r="Q160" s="106" t="inlineStr">
        <is>
          <t>UP</t>
        </is>
      </c>
      <c r="R160" s="106" t="inlineStr">
        <is>
          <t>NO</t>
        </is>
      </c>
      <c r="S160" s="105" t="n">
        <v>0</v>
      </c>
      <c r="T160" s="107" t="n">
        <v>0</v>
      </c>
      <c r="U160" s="130" t="inlineStr">
        <is>
          <t>w=[0.55,0.45,0,0] thr=(+0.25,-0.05), deployed default (risk-accepted, PSR=0.0/perm p=0.150 at N=161, not rechecked at N=268)</t>
        </is>
      </c>
      <c r="W160" t="inlineStr">
        <is>
          <t>document date + price signal</t>
        </is>
      </c>
      <c r="X160" t="inlineStr">
        <is>
          <t>MAR</t>
        </is>
      </c>
      <c r="Y160" t="inlineStr">
        <is>
          <t>2026-05-05</t>
        </is>
      </c>
      <c r="Z160" t="n">
        <v>353.8216</v>
      </c>
      <c r="AA160" t="inlineStr">
        <is>
          <t>2026-05-06</t>
        </is>
      </c>
      <c r="AB160" t="n">
        <v>363.1532</v>
      </c>
      <c r="AC160" t="n">
        <v>0.02637371097224022</v>
      </c>
      <c r="AD160" t="inlineStr">
        <is>
          <t>UP</t>
        </is>
      </c>
      <c r="AE160" t="inlineStr">
        <is>
          <t>NO</t>
        </is>
      </c>
      <c r="AF160" t="n">
        <v>0</v>
      </c>
      <c r="AG160">
        <f>IF($A160="","",IFERROR(INDEX(Company_List!$G$3:$G$207,MATCH($A160,Company_List!$A$3:$A$207,0)),"unassigned"))</f>
        <v/>
      </c>
      <c r="AH160" t="inlineStr">
        <is>
          <t>Phase 2/Marriott/2026-Q1/MAR-2026-Q1-press-release-SEC-EX-99.htm</t>
        </is>
      </c>
      <c r="AI160" t="inlineStr">
        <is>
          <t>https://www.sec.gov/Archives/edgar/data/1048286/000104828626000012/mar-2026q1xex99earningsrel.htm</t>
        </is>
      </c>
      <c r="AJ160" t="inlineStr">
        <is>
          <t>manifest</t>
        </is>
      </c>
      <c r="AK160">
        <f>IF($A160="","",IF(COUNTIFS(Human_Data_Entry!$A$3:$A$525,$A160)&gt;0,"YES","NO"))</f>
        <v/>
      </c>
      <c r="AL160">
        <f>IF($A160="","",IF(AND($C160&amp;"-"&amp;$D160&gt;=Settings!$B$19,$C160&amp;"-"&amp;$D160&lt;=Settings!$B$20),"IN","OUT"))</f>
        <v/>
      </c>
      <c r="AM160">
        <f>IF(AND(OR($H160="BUY",$H160="SELL"),ISNUMBER($T160)),$T160,"")</f>
        <v/>
      </c>
      <c r="AN160">
        <f>IF(AND(OR($H160="BUY",$H160="SELL"),ISNUMBER($AF160)),$AF160,"")</f>
        <v/>
      </c>
      <c r="AO160">
        <f>IF(ISNUMBER($AM160),ABS(IF(ISNUMBER($G160),$G160,0)-Settings!$B$25),"")</f>
        <v/>
      </c>
      <c r="AP160">
        <f>IF(ISNUMBER($AO160),$AO160*$AM160,"")</f>
        <v/>
      </c>
      <c r="AQ160">
        <f>IF(ISNUMBER($AN160),ABS(IF(ISNUMBER($G160),$G160,0)-Settings!$B$25),"")</f>
        <v/>
      </c>
      <c r="AR160">
        <f>IF(ISNUMBER($AQ160),$AQ160*$AN160,"")</f>
        <v/>
      </c>
      <c r="AS160">
        <f>IF($A160="","",IFERROR(INDEX(Company_List!$H$3:$H$207,MATCH($A160,Company_List!$A$3:$A$207,0)),"unassigned"))</f>
        <v/>
      </c>
      <c r="AT160" t="inlineStr">
        <is>
          <t>not in v1</t>
        </is>
      </c>
      <c r="AU160" t="inlineStr">
        <is>
          <t>no earlier record</t>
        </is>
      </c>
      <c r="AV160" t="n">
        <v>1</v>
      </c>
      <c r="AW160" t="inlineStr">
        <is>
          <t>not publisher-identified</t>
        </is>
      </c>
      <c r="AX160" t="inlineStr">
        <is>
          <t>not publisher-identified</t>
        </is>
      </c>
      <c r="AY160" t="inlineStr">
        <is>
          <t>no</t>
        </is>
      </c>
      <c r="AZ160" t="inlineStr">
        <is>
          <t>yes</t>
        </is>
      </c>
    </row>
    <row r="161">
      <c r="A161" s="115" t="inlineStr">
        <is>
          <t>Marriott</t>
        </is>
      </c>
      <c r="B161" s="117" t="inlineStr">
        <is>
          <t>MAR</t>
        </is>
      </c>
      <c r="C161" s="105" t="n">
        <v>2025</v>
      </c>
      <c r="D161" s="106" t="inlineStr">
        <is>
          <t>Q2</t>
        </is>
      </c>
      <c r="E161" s="109" t="inlineStr">
        <is>
          <t>Ben/DeepSeek</t>
        </is>
      </c>
      <c r="F161" s="106" t="inlineStr">
        <is>
          <t>LLM</t>
        </is>
      </c>
      <c r="G161" s="128" t="n">
        <v>-0.12</v>
      </c>
      <c r="H161" s="106" t="inlineStr">
        <is>
          <t>SELL</t>
        </is>
      </c>
      <c r="I161" s="128" t="n"/>
      <c r="J161" s="125" t="n">
        <v>45874</v>
      </c>
      <c r="K161" s="126" t="n">
        <v>45873</v>
      </c>
      <c r="L161" s="129" t="n">
        <v>259.13</v>
      </c>
      <c r="M161" s="126" t="n">
        <v>45874</v>
      </c>
      <c r="N161" s="129" t="n">
        <v>259.31</v>
      </c>
      <c r="O161" s="132" t="n">
        <v>0.010498</v>
      </c>
      <c r="P161" s="107" t="n">
        <v>0.0006950000000000001</v>
      </c>
      <c r="Q161" s="106" t="inlineStr">
        <is>
          <t>FLAT</t>
        </is>
      </c>
      <c r="R161" s="106" t="inlineStr">
        <is>
          <t>NO</t>
        </is>
      </c>
      <c r="S161" s="105" t="n">
        <v>-1</v>
      </c>
      <c r="T161" s="107" t="n">
        <v>-0.001695</v>
      </c>
      <c r="U161" s="130" t="inlineStr">
        <is>
          <t>w=[0.55,0.45,0,0] thr=(+0.25,-0.05), deployed default (risk-accepted, PSR=0.0/perm p=0.150 at N=161, not rechecked at N=268)</t>
        </is>
      </c>
      <c r="W161" t="inlineStr">
        <is>
          <t>earnings calendar, seconded by the issuer's habit</t>
        </is>
      </c>
      <c r="X161" t="inlineStr">
        <is>
          <t>MAR</t>
        </is>
      </c>
      <c r="Y161" t="inlineStr">
        <is>
          <t>2025-08-04</t>
        </is>
      </c>
      <c r="Z161" t="n">
        <v>256.8576</v>
      </c>
      <c r="AA161" t="inlineStr">
        <is>
          <t>2025-08-05</t>
        </is>
      </c>
      <c r="AB161" t="n">
        <v>257.036</v>
      </c>
      <c r="AC161" t="n">
        <v>0.0006945501161925129</v>
      </c>
      <c r="AD161" t="inlineStr">
        <is>
          <t>FLAT</t>
        </is>
      </c>
      <c r="AE161" t="inlineStr">
        <is>
          <t>NO</t>
        </is>
      </c>
      <c r="AF161" t="n">
        <v>-0.001695</v>
      </c>
      <c r="AG161">
        <f>IF($A161="","",IFERROR(INDEX(Company_List!$G$3:$G$207,MATCH($A161,Company_List!$A$3:$A$207,0)),"unassigned"))</f>
        <v/>
      </c>
      <c r="AH161" t="inlineStr">
        <is>
          <t>Phase 2/Marriott/MAR Q2 2025 TRANSCRIPT 8-5-25 FINAL.pdf</t>
        </is>
      </c>
      <c r="AJ161" t="inlineStr">
        <is>
          <t>unique filename match</t>
        </is>
      </c>
      <c r="AK161">
        <f>IF($A161="","",IF(COUNTIFS(Human_Data_Entry!$A$3:$A$525,$A161)&gt;0,"YES","NO"))</f>
        <v/>
      </c>
      <c r="AL161">
        <f>IF($A161="","",IF(AND($C161&amp;"-"&amp;$D161&gt;=Settings!$B$19,$C161&amp;"-"&amp;$D161&lt;=Settings!$B$20),"IN","OUT"))</f>
        <v/>
      </c>
      <c r="AM161">
        <f>IF(AND(OR($H161="BUY",$H161="SELL"),ISNUMBER($T161)),$T161,"")</f>
        <v/>
      </c>
      <c r="AN161">
        <f>IF(AND(OR($H161="BUY",$H161="SELL"),ISNUMBER($AF161)),$AF161,"")</f>
        <v/>
      </c>
      <c r="AO161">
        <f>IF(ISNUMBER($AM161),ABS(IF(ISNUMBER($G161),$G161,0)-Settings!$B$25),"")</f>
        <v/>
      </c>
      <c r="AP161">
        <f>IF(ISNUMBER($AO161),$AO161*$AM161,"")</f>
        <v/>
      </c>
      <c r="AQ161">
        <f>IF(ISNUMBER($AN161),ABS(IF(ISNUMBER($G161),$G161,0)-Settings!$B$25),"")</f>
        <v/>
      </c>
      <c r="AR161">
        <f>IF(ISNUMBER($AQ161),$AQ161*$AN161,"")</f>
        <v/>
      </c>
      <c r="AS161">
        <f>IF($A161="","",IFERROR(INDEX(Company_List!$H$3:$H$207,MATCH($A161,Company_List!$A$3:$A$207,0)),"unassigned"))</f>
        <v/>
      </c>
      <c r="AT161" t="inlineStr">
        <is>
          <t>not in v1</t>
        </is>
      </c>
      <c r="AU161" t="inlineStr">
        <is>
          <t>no earlier record</t>
        </is>
      </c>
      <c r="AV161" t="n">
        <v>1</v>
      </c>
      <c r="AW161" t="inlineStr">
        <is>
          <t>not publisher-identified</t>
        </is>
      </c>
      <c r="AX161" t="inlineStr">
        <is>
          <t>not publisher-identified</t>
        </is>
      </c>
      <c r="AY161" t="inlineStr">
        <is>
          <t>no</t>
        </is>
      </c>
      <c r="AZ161" t="inlineStr">
        <is>
          <t>no</t>
        </is>
      </c>
    </row>
    <row r="162">
      <c r="A162" s="115" t="inlineStr">
        <is>
          <t>Marriott</t>
        </is>
      </c>
      <c r="B162" s="117" t="inlineStr">
        <is>
          <t>MAR</t>
        </is>
      </c>
      <c r="C162" s="105" t="n">
        <v>2025</v>
      </c>
      <c r="D162" s="106" t="inlineStr">
        <is>
          <t>Q3</t>
        </is>
      </c>
      <c r="E162" s="109" t="inlineStr">
        <is>
          <t>Ben/DeepSeek</t>
        </is>
      </c>
      <c r="F162" s="106" t="inlineStr">
        <is>
          <t>LLM</t>
        </is>
      </c>
      <c r="G162" s="128" t="n">
        <v>0.245</v>
      </c>
      <c r="H162" s="106" t="inlineStr">
        <is>
          <t>HOLD</t>
        </is>
      </c>
      <c r="I162" s="128" t="n"/>
      <c r="J162" s="125" t="n">
        <v>45965</v>
      </c>
      <c r="K162" s="126" t="n">
        <v>45964</v>
      </c>
      <c r="L162" s="129" t="n">
        <v>263.89</v>
      </c>
      <c r="M162" s="126" t="n">
        <v>45965</v>
      </c>
      <c r="N162" s="129" t="n">
        <v>264.4</v>
      </c>
      <c r="O162" s="132" t="n">
        <v>0.009782000000000001</v>
      </c>
      <c r="P162" s="107" t="n">
        <v>0.001933</v>
      </c>
      <c r="Q162" s="106" t="inlineStr">
        <is>
          <t>FLAT</t>
        </is>
      </c>
      <c r="R162" s="106" t="inlineStr">
        <is>
          <t>YES</t>
        </is>
      </c>
      <c r="S162" s="105" t="n">
        <v>0</v>
      </c>
      <c r="T162" s="107" t="n">
        <v>0</v>
      </c>
      <c r="U162" s="130" t="inlineStr">
        <is>
          <t>w=[0.55,0.45,0,0] thr=(+0.25,-0.05), deployed default (risk-accepted, PSR=0.0/perm p=0.150 at N=161, not rechecked at N=268)</t>
        </is>
      </c>
      <c r="W162" t="inlineStr">
        <is>
          <t>document date + price signal</t>
        </is>
      </c>
      <c r="X162" t="inlineStr">
        <is>
          <t>MAR</t>
        </is>
      </c>
      <c r="Y162" t="inlineStr">
        <is>
          <t>2025-11-04</t>
        </is>
      </c>
      <c r="Z162" t="n">
        <v>270.5404</v>
      </c>
      <c r="AA162" t="inlineStr">
        <is>
          <t>2025-11-05</t>
        </is>
      </c>
      <c r="AB162" t="n">
        <v>272.041</v>
      </c>
      <c r="AC162" t="n">
        <v>0.005546668634632643</v>
      </c>
      <c r="AD162" t="inlineStr">
        <is>
          <t>FLAT</t>
        </is>
      </c>
      <c r="AE162" t="inlineStr">
        <is>
          <t>YES</t>
        </is>
      </c>
      <c r="AF162" t="n">
        <v>0</v>
      </c>
      <c r="AG162">
        <f>IF($A162="","",IFERROR(INDEX(Company_List!$G$3:$G$207,MATCH($A162,Company_List!$A$3:$A$207,0)),"unassigned"))</f>
        <v/>
      </c>
      <c r="AH162" t="inlineStr">
        <is>
          <t>Phase 2/Marriott/2025-Q3/MAR-2025-Q3-press-release-SEC-EX-99.htm</t>
        </is>
      </c>
      <c r="AI162" t="inlineStr">
        <is>
          <t>https://www.sec.gov/Archives/edgar/data/1048286/000104828625000011/mar-2025q3xex99earningsrel.htm</t>
        </is>
      </c>
      <c r="AJ162" t="inlineStr">
        <is>
          <t>manifest</t>
        </is>
      </c>
      <c r="AK162">
        <f>IF($A162="","",IF(COUNTIFS(Human_Data_Entry!$A$3:$A$525,$A162)&gt;0,"YES","NO"))</f>
        <v/>
      </c>
      <c r="AL162">
        <f>IF($A162="","",IF(AND($C162&amp;"-"&amp;$D162&gt;=Settings!$B$19,$C162&amp;"-"&amp;$D162&lt;=Settings!$B$20),"IN","OUT"))</f>
        <v/>
      </c>
      <c r="AM162">
        <f>IF(AND(OR($H162="BUY",$H162="SELL"),ISNUMBER($T162)),$T162,"")</f>
        <v/>
      </c>
      <c r="AN162">
        <f>IF(AND(OR($H162="BUY",$H162="SELL"),ISNUMBER($AF162)),$AF162,"")</f>
        <v/>
      </c>
      <c r="AO162">
        <f>IF(ISNUMBER($AM162),ABS(IF(ISNUMBER($G162),$G162,0)-Settings!$B$25),"")</f>
        <v/>
      </c>
      <c r="AP162">
        <f>IF(ISNUMBER($AO162),$AO162*$AM162,"")</f>
        <v/>
      </c>
      <c r="AQ162">
        <f>IF(ISNUMBER($AN162),ABS(IF(ISNUMBER($G162),$G162,0)-Settings!$B$25),"")</f>
        <v/>
      </c>
      <c r="AR162">
        <f>IF(ISNUMBER($AQ162),$AQ162*$AN162,"")</f>
        <v/>
      </c>
      <c r="AS162">
        <f>IF($A162="","",IFERROR(INDEX(Company_List!$H$3:$H$207,MATCH($A162,Company_List!$A$3:$A$207,0)),"unassigned"))</f>
        <v/>
      </c>
      <c r="AT162" t="inlineStr">
        <is>
          <t>not in v1</t>
        </is>
      </c>
      <c r="AU162" t="inlineStr">
        <is>
          <t>no earlier record</t>
        </is>
      </c>
      <c r="AV162" t="n">
        <v>1</v>
      </c>
      <c r="AW162" t="inlineStr">
        <is>
          <t>not publisher-identified</t>
        </is>
      </c>
      <c r="AX162" t="inlineStr">
        <is>
          <t>not publisher-identified</t>
        </is>
      </c>
      <c r="AY162" t="inlineStr">
        <is>
          <t>no</t>
        </is>
      </c>
      <c r="AZ162" t="inlineStr">
        <is>
          <t>yes</t>
        </is>
      </c>
    </row>
    <row r="163">
      <c r="A163" s="115" t="inlineStr">
        <is>
          <t>Marriott</t>
        </is>
      </c>
      <c r="B163" s="117" t="inlineStr">
        <is>
          <t>MAR</t>
        </is>
      </c>
      <c r="C163" s="105" t="n">
        <v>2025</v>
      </c>
      <c r="D163" s="106" t="inlineStr">
        <is>
          <t>Q4</t>
        </is>
      </c>
      <c r="E163" s="109" t="inlineStr">
        <is>
          <t>Ben/DeepSeek</t>
        </is>
      </c>
      <c r="F163" s="106" t="inlineStr">
        <is>
          <t>LLM</t>
        </is>
      </c>
      <c r="G163" s="128" t="n">
        <v>0.305</v>
      </c>
      <c r="H163" s="106" t="inlineStr">
        <is>
          <t>BUY</t>
        </is>
      </c>
      <c r="I163" s="128" t="n"/>
      <c r="J163" s="125" t="n">
        <v>46063</v>
      </c>
      <c r="K163" s="126" t="n">
        <v>46062</v>
      </c>
      <c r="L163" s="129" t="n">
        <v>331.21</v>
      </c>
      <c r="M163" s="126" t="n">
        <v>46063</v>
      </c>
      <c r="N163" s="129" t="n">
        <v>349.91</v>
      </c>
      <c r="O163" s="132" t="n">
        <v>0.012218</v>
      </c>
      <c r="P163" s="107" t="n">
        <v>0.05646</v>
      </c>
      <c r="Q163" s="106" t="inlineStr">
        <is>
          <t>UP</t>
        </is>
      </c>
      <c r="R163" s="106" t="inlineStr">
        <is>
          <t>YES</t>
        </is>
      </c>
      <c r="S163" s="105" t="n">
        <v>1</v>
      </c>
      <c r="T163" s="107" t="n">
        <v>0.05546</v>
      </c>
      <c r="U163" s="130" t="inlineStr">
        <is>
          <t>w=[0.55,0.45,0,0] thr=(+0.25,-0.05), deployed default (risk-accepted, PSR=0.0/perm p=0.150 at N=161, not rechecked at N=268)</t>
        </is>
      </c>
      <c r="W163" t="inlineStr">
        <is>
          <t>recorded price identified against every pulled series</t>
        </is>
      </c>
      <c r="X163" t="inlineStr">
        <is>
          <t>MAR</t>
        </is>
      </c>
      <c r="Y163" t="inlineStr">
        <is>
          <t>2026-02-09</t>
        </is>
      </c>
      <c r="Z163" t="n">
        <v>329.9201</v>
      </c>
      <c r="AA163" t="inlineStr">
        <is>
          <t>2026-02-10</t>
        </is>
      </c>
      <c r="AB163" t="n">
        <v>348.5473</v>
      </c>
      <c r="AC163" t="n">
        <v>0.0564597004331539</v>
      </c>
      <c r="AD163" t="inlineStr">
        <is>
          <t>UP</t>
        </is>
      </c>
      <c r="AE163" t="inlineStr">
        <is>
          <t>YES</t>
        </is>
      </c>
      <c r="AF163" t="n">
        <v>0.05546</v>
      </c>
      <c r="AG163">
        <f>IF($A163="","",IFERROR(INDEX(Company_List!$G$3:$G$207,MATCH($A163,Company_List!$A$3:$A$207,0)),"unassigned"))</f>
        <v/>
      </c>
      <c r="AH163" t="inlineStr">
        <is>
          <t>Phase 2/Marriott/2025-Q4/MAR-2025-Q4-press-release-SEC-EX-99.htm; Phase 2/Marriott/2025-Q4/MAR-2025-Q4-earnings-call-transcript-fool-com.html</t>
        </is>
      </c>
      <c r="AI163" t="inlineStr">
        <is>
          <t>https://www.fool.com/earnings/call-transcripts/2026/02/10/marriott-mar-q4-2025-earnings-call-transcript/; https://www.sec.gov/Archives/edgar/data/1048286/000104828626000005/mar-2025q4xex99earningsrel.htm</t>
        </is>
      </c>
      <c r="AJ163" t="inlineStr">
        <is>
          <t>manifest (whole bundle)</t>
        </is>
      </c>
      <c r="AK163">
        <f>IF($A163="","",IF(COUNTIFS(Human_Data_Entry!$A$3:$A$525,$A163)&gt;0,"YES","NO"))</f>
        <v/>
      </c>
      <c r="AL163">
        <f>IF($A163="","",IF(AND($C163&amp;"-"&amp;$D163&gt;=Settings!$B$19,$C163&amp;"-"&amp;$D163&lt;=Settings!$B$20),"IN","OUT"))</f>
        <v/>
      </c>
      <c r="AM163">
        <f>IF(AND(OR($H163="BUY",$H163="SELL"),ISNUMBER($T163)),$T163,"")</f>
        <v/>
      </c>
      <c r="AN163">
        <f>IF(AND(OR($H163="BUY",$H163="SELL"),ISNUMBER($AF163)),$AF163,"")</f>
        <v/>
      </c>
      <c r="AO163">
        <f>IF(ISNUMBER($AM163),ABS(IF(ISNUMBER($G163),$G163,0)-Settings!$B$25),"")</f>
        <v/>
      </c>
      <c r="AP163">
        <f>IF(ISNUMBER($AO163),$AO163*$AM163,"")</f>
        <v/>
      </c>
      <c r="AQ163">
        <f>IF(ISNUMBER($AN163),ABS(IF(ISNUMBER($G163),$G163,0)-Settings!$B$25),"")</f>
        <v/>
      </c>
      <c r="AR163">
        <f>IF(ISNUMBER($AQ163),$AQ163*$AN163,"")</f>
        <v/>
      </c>
      <c r="AS163">
        <f>IF($A163="","",IFERROR(INDEX(Company_List!$H$3:$H$207,MATCH($A163,Company_List!$A$3:$A$207,0)),"unassigned"))</f>
        <v/>
      </c>
      <c r="AT163" t="inlineStr">
        <is>
          <t>not in v1</t>
        </is>
      </c>
      <c r="AU163" t="inlineStr">
        <is>
          <t>no earlier record</t>
        </is>
      </c>
      <c r="AV163" t="n">
        <v>2</v>
      </c>
      <c r="AW163" t="inlineStr">
        <is>
          <t>The Motley Fool</t>
        </is>
      </c>
      <c r="AX163" t="inlineStr">
        <is>
          <t>free to read, copyright asserted</t>
        </is>
      </c>
      <c r="AY163" t="inlineStr">
        <is>
          <t>no</t>
        </is>
      </c>
      <c r="AZ163" t="inlineStr">
        <is>
          <t>yes</t>
        </is>
      </c>
    </row>
    <row r="164">
      <c r="A164" s="115" t="inlineStr">
        <is>
          <t>Allianz</t>
        </is>
      </c>
      <c r="B164" s="117" t="inlineStr">
        <is>
          <t>ALV.DE</t>
        </is>
      </c>
      <c r="C164" s="105" t="n">
        <v>2025</v>
      </c>
      <c r="D164" s="106" t="inlineStr">
        <is>
          <t>Q1</t>
        </is>
      </c>
      <c r="E164" s="109" t="inlineStr">
        <is>
          <t>Ben/DeepSeek</t>
        </is>
      </c>
      <c r="F164" s="106" t="inlineStr">
        <is>
          <t>LLM</t>
        </is>
      </c>
      <c r="G164" s="128" t="n">
        <v>-0.025</v>
      </c>
      <c r="H164" s="106" t="inlineStr">
        <is>
          <t>HOLD</t>
        </is>
      </c>
      <c r="I164" s="128" t="n"/>
      <c r="J164" s="125" t="n">
        <v>45792</v>
      </c>
      <c r="K164" s="126" t="n">
        <v>45792</v>
      </c>
      <c r="L164" s="129" t="n">
        <v>348.2</v>
      </c>
      <c r="M164" s="126" t="n">
        <v>45793</v>
      </c>
      <c r="N164" s="129" t="n">
        <v>348.5</v>
      </c>
      <c r="O164" s="132" t="n">
        <v>0.010085</v>
      </c>
      <c r="P164" s="107" t="n">
        <v>0.000862</v>
      </c>
      <c r="Q164" s="106" t="inlineStr">
        <is>
          <t>FLAT</t>
        </is>
      </c>
      <c r="R164" s="106" t="inlineStr">
        <is>
          <t>YES</t>
        </is>
      </c>
      <c r="S164" s="105" t="n">
        <v>0</v>
      </c>
      <c r="T164" s="107" t="n">
        <v>0</v>
      </c>
      <c r="U164" s="130" t="inlineStr">
        <is>
          <t>w=[0.55,0.45,0,0] thr=(+0.25,-0.05), deployed default (risk-accepted, PSR=0.0/perm p=0.150 at N=161, not rechecked at N=268)</t>
        </is>
      </c>
      <c r="W164" t="inlineStr">
        <is>
          <t>price signal, re-derived — only this window shows an abnormal move</t>
        </is>
      </c>
      <c r="X164" t="inlineStr">
        <is>
          <t>ALV.DE</t>
        </is>
      </c>
      <c r="Y164" t="inlineStr">
        <is>
          <t>2025-05-14</t>
        </is>
      </c>
      <c r="Z164" t="n">
        <v>336.4189</v>
      </c>
      <c r="AA164" t="inlineStr">
        <is>
          <t>2025-05-15</t>
        </is>
      </c>
      <c r="AB164" t="n">
        <v>327.7193</v>
      </c>
      <c r="AC164" t="n">
        <v>-0.02585961242457969</v>
      </c>
      <c r="AD164" t="inlineStr">
        <is>
          <t>DOWN</t>
        </is>
      </c>
      <c r="AE164" t="inlineStr">
        <is>
          <t>NO</t>
        </is>
      </c>
      <c r="AF164" t="n">
        <v>0</v>
      </c>
      <c r="AG164">
        <f>IF($A164="","",IFERROR(INDEX(Company_List!$G$3:$G$207,MATCH($A164,Company_List!$A$3:$A$207,0)),"unassigned"))</f>
        <v/>
      </c>
      <c r="AH164"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J164" t="inlineStr">
        <is>
          <t>whole bundle (Document = All)</t>
        </is>
      </c>
      <c r="AK164">
        <f>IF($A164="","",IF(COUNTIFS(Human_Data_Entry!$A$3:$A$525,$A164)&gt;0,"YES","NO"))</f>
        <v/>
      </c>
      <c r="AL164">
        <f>IF($A164="","",IF(AND($C164&amp;"-"&amp;$D164&gt;=Settings!$B$19,$C164&amp;"-"&amp;$D164&lt;=Settings!$B$20),"IN","OUT"))</f>
        <v/>
      </c>
      <c r="AM164">
        <f>IF(AND(OR($H164="BUY",$H164="SELL"),ISNUMBER($T164)),$T164,"")</f>
        <v/>
      </c>
      <c r="AN164">
        <f>IF(AND(OR($H164="BUY",$H164="SELL"),ISNUMBER($AF164)),$AF164,"")</f>
        <v/>
      </c>
      <c r="AO164">
        <f>IF(ISNUMBER($AM164),ABS(IF(ISNUMBER($G164),$G164,0)-Settings!$B$25),"")</f>
        <v/>
      </c>
      <c r="AP164">
        <f>IF(ISNUMBER($AO164),$AO164*$AM164,"")</f>
        <v/>
      </c>
      <c r="AQ164">
        <f>IF(ISNUMBER($AN164),ABS(IF(ISNUMBER($G164),$G164,0)-Settings!$B$25),"")</f>
        <v/>
      </c>
      <c r="AR164">
        <f>IF(ISNUMBER($AQ164),$AQ164*$AN164,"")</f>
        <v/>
      </c>
      <c r="AS164">
        <f>IF($A164="","",IFERROR(INDEX(Company_List!$H$3:$H$207,MATCH($A164,Company_List!$A$3:$A$207,0)),"unassigned"))</f>
        <v/>
      </c>
      <c r="AT164" t="inlineStr">
        <is>
          <t>not in v1</t>
        </is>
      </c>
      <c r="AU164" t="inlineStr">
        <is>
          <t>no earlier record</t>
        </is>
      </c>
      <c r="AV164" t="n">
        <v>6</v>
      </c>
      <c r="AW164" t="inlineStr">
        <is>
          <t>MarketScreener (Surperformance SAS)</t>
        </is>
      </c>
      <c r="AX164" t="inlineStr">
        <is>
          <t>licensed vendor</t>
        </is>
      </c>
      <c r="AY164" t="inlineStr">
        <is>
          <t>no</t>
        </is>
      </c>
      <c r="AZ164" t="inlineStr">
        <is>
          <t>no</t>
        </is>
      </c>
    </row>
    <row r="165">
      <c r="A165" s="115" t="inlineStr">
        <is>
          <t>Alphabet</t>
        </is>
      </c>
      <c r="B165" s="117" t="inlineStr">
        <is>
          <t>GOOGL</t>
        </is>
      </c>
      <c r="C165" s="105" t="n">
        <v>2026</v>
      </c>
      <c r="D165" s="106" t="inlineStr">
        <is>
          <t>Q1</t>
        </is>
      </c>
      <c r="E165" s="109" t="inlineStr">
        <is>
          <t>Ben/DeepSeek</t>
        </is>
      </c>
      <c r="F165" s="106" t="inlineStr">
        <is>
          <t>LLM</t>
        </is>
      </c>
      <c r="G165" s="128" t="n">
        <v>0.1675</v>
      </c>
      <c r="H165" s="106" t="inlineStr">
        <is>
          <t>HOLD</t>
        </is>
      </c>
      <c r="I165" s="128" t="n"/>
      <c r="J165" s="125" t="n">
        <v>46141</v>
      </c>
      <c r="K165" s="126" t="n">
        <v>46141</v>
      </c>
      <c r="L165" s="129" t="n">
        <v>349.94</v>
      </c>
      <c r="M165" s="126" t="n">
        <v>46142</v>
      </c>
      <c r="N165" s="129" t="n">
        <v>374.07</v>
      </c>
      <c r="O165" s="132" t="n">
        <v>0.008489</v>
      </c>
      <c r="P165" s="107" t="n">
        <v>0.068955</v>
      </c>
      <c r="Q165" s="106" t="inlineStr">
        <is>
          <t>UP</t>
        </is>
      </c>
      <c r="R165" s="106" t="inlineStr">
        <is>
          <t>NO</t>
        </is>
      </c>
      <c r="S165" s="105" t="n">
        <v>0</v>
      </c>
      <c r="T165" s="107" t="n">
        <v>0</v>
      </c>
      <c r="U165" s="130" t="inlineStr">
        <is>
          <t>w=[0.55,0.45,0,0] thr=(+0.25,-0.05), deployed default (risk-accepted, PSR=0.0/perm p=0.150 at N=161, not rechecked at N=268)</t>
        </is>
      </c>
      <c r="W165" t="inlineStr">
        <is>
          <t>release date + stated time in the document (rater worksheet)</t>
        </is>
      </c>
      <c r="X165" t="inlineStr">
        <is>
          <t>GOOGL</t>
        </is>
      </c>
      <c r="Y165" t="inlineStr">
        <is>
          <t>2026-04-29</t>
        </is>
      </c>
      <c r="Z165" t="n">
        <v>349.7311</v>
      </c>
      <c r="AA165" t="inlineStr">
        <is>
          <t>2026-04-30</t>
        </is>
      </c>
      <c r="AB165" t="n">
        <v>373.8467</v>
      </c>
      <c r="AC165" t="n">
        <v>0.06895467850234777</v>
      </c>
      <c r="AD165" t="inlineStr">
        <is>
          <t>UP</t>
        </is>
      </c>
      <c r="AE165" t="inlineStr">
        <is>
          <t>NO</t>
        </is>
      </c>
      <c r="AF165" t="n">
        <v>0</v>
      </c>
      <c r="AG165">
        <f>IF($A165="","",IFERROR(INDEX(Company_List!$G$3:$G$207,MATCH($A165,Company_List!$A$3:$A$207,0)),"unassigned"))</f>
        <v/>
      </c>
      <c r="AH165" t="inlineStr">
        <is>
          <t>Phase 2/Alphabet/2026-Q1/GOOGL-2026-Q1-press-release-SEC-EX-99-1.htm; Phase 2/Alphabet/2026-Q1/GOOGL-2026-Q1-earnings-call-transcript-fool-com.html</t>
        </is>
      </c>
      <c r="AI165" t="inlineStr">
        <is>
          <t>https://www.fool.com/earnings/call-transcripts/2026/04/29/alphabet-googl-q1-2026-earnings-call-transcript/; https://www.sec.gov/Archives/edgar/data/1652044/000165204426000043/googexhibit991q12026.htm</t>
        </is>
      </c>
      <c r="AJ165" t="inlineStr">
        <is>
          <t>manifest (whole bundle)</t>
        </is>
      </c>
      <c r="AK165">
        <f>IF($A165="","",IF(COUNTIFS(Human_Data_Entry!$A$3:$A$525,$A165)&gt;0,"YES","NO"))</f>
        <v/>
      </c>
      <c r="AL165">
        <f>IF($A165="","",IF(AND($C165&amp;"-"&amp;$D165&gt;=Settings!$B$19,$C165&amp;"-"&amp;$D165&lt;=Settings!$B$20),"IN","OUT"))</f>
        <v/>
      </c>
      <c r="AM165">
        <f>IF(AND(OR($H165="BUY",$H165="SELL"),ISNUMBER($T165)),$T165,"")</f>
        <v/>
      </c>
      <c r="AN165">
        <f>IF(AND(OR($H165="BUY",$H165="SELL"),ISNUMBER($AF165)),$AF165,"")</f>
        <v/>
      </c>
      <c r="AO165">
        <f>IF(ISNUMBER($AM165),ABS(IF(ISNUMBER($G165),$G165,0)-Settings!$B$25),"")</f>
        <v/>
      </c>
      <c r="AP165">
        <f>IF(ISNUMBER($AO165),$AO165*$AM165,"")</f>
        <v/>
      </c>
      <c r="AQ165">
        <f>IF(ISNUMBER($AN165),ABS(IF(ISNUMBER($G165),$G165,0)-Settings!$B$25),"")</f>
        <v/>
      </c>
      <c r="AR165">
        <f>IF(ISNUMBER($AQ165),$AQ165*$AN165,"")</f>
        <v/>
      </c>
      <c r="AS165">
        <f>IF($A165="","",IFERROR(INDEX(Company_List!$H$3:$H$207,MATCH($A165,Company_List!$A$3:$A$207,0)),"unassigned"))</f>
        <v/>
      </c>
      <c r="AT165" t="inlineStr">
        <is>
          <t>not in v1</t>
        </is>
      </c>
      <c r="AU165" t="inlineStr">
        <is>
          <t>no earlier record</t>
        </is>
      </c>
      <c r="AV165" t="n">
        <v>2</v>
      </c>
      <c r="AW165" t="inlineStr">
        <is>
          <t>The Motley Fool</t>
        </is>
      </c>
      <c r="AX165" t="inlineStr">
        <is>
          <t>free to read, copyright asserted</t>
        </is>
      </c>
      <c r="AY165" t="inlineStr">
        <is>
          <t>no</t>
        </is>
      </c>
      <c r="AZ165" t="inlineStr">
        <is>
          <t>yes</t>
        </is>
      </c>
    </row>
    <row r="166">
      <c r="A166" s="115" t="inlineStr">
        <is>
          <t>Alphabet</t>
        </is>
      </c>
      <c r="B166" s="117" t="inlineStr">
        <is>
          <t>GOOGL</t>
        </is>
      </c>
      <c r="C166" s="105" t="n">
        <v>2025</v>
      </c>
      <c r="D166" s="106" t="inlineStr">
        <is>
          <t>Q3</t>
        </is>
      </c>
      <c r="E166" s="109" t="inlineStr">
        <is>
          <t>Ben/DeepSeek</t>
        </is>
      </c>
      <c r="F166" s="106" t="inlineStr">
        <is>
          <t>LLM</t>
        </is>
      </c>
      <c r="G166" s="128" t="n">
        <v>0.3275</v>
      </c>
      <c r="H166" s="106" t="inlineStr">
        <is>
          <t>BUY</t>
        </is>
      </c>
      <c r="I166" s="128" t="n"/>
      <c r="J166" s="125" t="n">
        <v>45959</v>
      </c>
      <c r="K166" s="126" t="n">
        <v>45959</v>
      </c>
      <c r="L166" s="129" t="n">
        <v>274.57</v>
      </c>
      <c r="M166" s="126" t="n">
        <v>45960</v>
      </c>
      <c r="N166" s="129" t="n">
        <v>291.59</v>
      </c>
      <c r="O166" s="132" t="n">
        <v>0.008614</v>
      </c>
      <c r="P166" s="107" t="n">
        <v>0.061988</v>
      </c>
      <c r="Q166" s="106" t="inlineStr">
        <is>
          <t>UP</t>
        </is>
      </c>
      <c r="R166" s="106" t="inlineStr">
        <is>
          <t>YES</t>
        </is>
      </c>
      <c r="S166" s="105" t="n">
        <v>1</v>
      </c>
      <c r="T166" s="107" t="n">
        <v>0.060988</v>
      </c>
      <c r="U166" s="130" t="inlineStr">
        <is>
          <t>w=[0.55,0.45,0,0] thr=(+0.25,-0.05), deployed default (risk-accepted, PSR=0.0/perm p=0.150 at N=161, not rechecked at N=268)</t>
        </is>
      </c>
      <c r="W166" t="inlineStr">
        <is>
          <t>release date + stated time in the document (rater worksheet)</t>
        </is>
      </c>
      <c r="X166" t="inlineStr">
        <is>
          <t>GOOGL</t>
        </is>
      </c>
      <c r="Y166" t="inlineStr">
        <is>
          <t>2025-10-29</t>
        </is>
      </c>
      <c r="Z166" t="n">
        <v>274.0338</v>
      </c>
      <c r="AA166" t="inlineStr">
        <is>
          <t>2025-10-30</t>
        </is>
      </c>
      <c r="AB166" t="n">
        <v>291.0206</v>
      </c>
      <c r="AC166" t="n">
        <v>0.06198793072815025</v>
      </c>
      <c r="AD166" t="inlineStr">
        <is>
          <t>UP</t>
        </is>
      </c>
      <c r="AE166" t="inlineStr">
        <is>
          <t>YES</t>
        </is>
      </c>
      <c r="AF166" t="n">
        <v>0.060988</v>
      </c>
      <c r="AG166">
        <f>IF($A166="","",IFERROR(INDEX(Company_List!$G$3:$G$207,MATCH($A166,Company_List!$A$3:$A$207,0)),"unassigned"))</f>
        <v/>
      </c>
      <c r="AH166" t="inlineStr">
        <is>
          <t>Phase 2/Alphabet/2025-Q3/GOOGL-2025-Q3-press-release-SEC-EX-99-1.htm; Phase 2/Alphabet/2025-Q3/GOOGL-2025-Q3-earnings-call-transcript-fool-com.html</t>
        </is>
      </c>
      <c r="AI166" t="inlineStr">
        <is>
          <t>https://www.fool.com/earnings/call-transcripts/2025/10/30/alphabet-goog-q3-2025-earnings-call-transcript/; https://www.sec.gov/Archives/edgar/data/1652044/000165204425000087/googexhibit991q32025.htm</t>
        </is>
      </c>
      <c r="AJ166" t="inlineStr">
        <is>
          <t>manifest (whole bundle)</t>
        </is>
      </c>
      <c r="AK166">
        <f>IF($A166="","",IF(COUNTIFS(Human_Data_Entry!$A$3:$A$525,$A166)&gt;0,"YES","NO"))</f>
        <v/>
      </c>
      <c r="AL166">
        <f>IF($A166="","",IF(AND($C166&amp;"-"&amp;$D166&gt;=Settings!$B$19,$C166&amp;"-"&amp;$D166&lt;=Settings!$B$20),"IN","OUT"))</f>
        <v/>
      </c>
      <c r="AM166">
        <f>IF(AND(OR($H166="BUY",$H166="SELL"),ISNUMBER($T166)),$T166,"")</f>
        <v/>
      </c>
      <c r="AN166">
        <f>IF(AND(OR($H166="BUY",$H166="SELL"),ISNUMBER($AF166)),$AF166,"")</f>
        <v/>
      </c>
      <c r="AO166">
        <f>IF(ISNUMBER($AM166),ABS(IF(ISNUMBER($G166),$G166,0)-Settings!$B$25),"")</f>
        <v/>
      </c>
      <c r="AP166">
        <f>IF(ISNUMBER($AO166),$AO166*$AM166,"")</f>
        <v/>
      </c>
      <c r="AQ166">
        <f>IF(ISNUMBER($AN166),ABS(IF(ISNUMBER($G166),$G166,0)-Settings!$B$25),"")</f>
        <v/>
      </c>
      <c r="AR166">
        <f>IF(ISNUMBER($AQ166),$AQ166*$AN166,"")</f>
        <v/>
      </c>
      <c r="AS166">
        <f>IF($A166="","",IFERROR(INDEX(Company_List!$H$3:$H$207,MATCH($A166,Company_List!$A$3:$A$207,0)),"unassigned"))</f>
        <v/>
      </c>
      <c r="AT166" t="inlineStr">
        <is>
          <t>not in v1</t>
        </is>
      </c>
      <c r="AU166" t="inlineStr">
        <is>
          <t>no earlier record</t>
        </is>
      </c>
      <c r="AV166" t="n">
        <v>2</v>
      </c>
      <c r="AW166" t="inlineStr">
        <is>
          <t>The Motley Fool</t>
        </is>
      </c>
      <c r="AX166" t="inlineStr">
        <is>
          <t>free to read, copyright asserted</t>
        </is>
      </c>
      <c r="AY166" t="inlineStr">
        <is>
          <t>no</t>
        </is>
      </c>
      <c r="AZ166" t="inlineStr">
        <is>
          <t>yes</t>
        </is>
      </c>
    </row>
    <row r="167">
      <c r="A167" s="115" t="inlineStr">
        <is>
          <t>Alphabet</t>
        </is>
      </c>
      <c r="B167" s="117" t="inlineStr">
        <is>
          <t>GOOGL</t>
        </is>
      </c>
      <c r="C167" s="105" t="n">
        <v>2025</v>
      </c>
      <c r="D167" s="106" t="inlineStr">
        <is>
          <t>Q4</t>
        </is>
      </c>
      <c r="E167" s="109" t="inlineStr">
        <is>
          <t>Ben/DeepSeek</t>
        </is>
      </c>
      <c r="F167" s="106" t="inlineStr">
        <is>
          <t>LLM</t>
        </is>
      </c>
      <c r="G167" s="128" t="n">
        <v>0.305</v>
      </c>
      <c r="H167" s="106" t="inlineStr">
        <is>
          <t>BUY</t>
        </is>
      </c>
      <c r="I167" s="128" t="n"/>
      <c r="J167" s="125" t="n">
        <v>46057</v>
      </c>
      <c r="K167" s="126" t="n">
        <v>46057</v>
      </c>
      <c r="L167" s="129" t="n">
        <v>333.04</v>
      </c>
      <c r="M167" s="126" t="n">
        <v>46058</v>
      </c>
      <c r="N167" s="129" t="n">
        <v>312.22</v>
      </c>
      <c r="O167" s="132" t="n">
        <v>0.008459</v>
      </c>
      <c r="P167" s="107" t="n">
        <v>-0.062515</v>
      </c>
      <c r="Q167" s="106" t="inlineStr">
        <is>
          <t>DOWN</t>
        </is>
      </c>
      <c r="R167" s="106" t="inlineStr">
        <is>
          <t>NO</t>
        </is>
      </c>
      <c r="S167" s="105" t="n">
        <v>1</v>
      </c>
      <c r="T167" s="107" t="n">
        <v>-0.063515</v>
      </c>
      <c r="U167" s="130" t="inlineStr">
        <is>
          <t>w=[0.55,0.45,0,0] thr=(+0.25,-0.05), deployed default (risk-accepted, PSR=0.0/perm p=0.150 at N=161, not rechecked at N=268)</t>
        </is>
      </c>
      <c r="W167" t="inlineStr">
        <is>
          <t>price signal — only this window shows an abnormal move</t>
        </is>
      </c>
      <c r="X167" t="inlineStr">
        <is>
          <t>GOOGL</t>
        </is>
      </c>
      <c r="Y167" t="inlineStr">
        <is>
          <t>2026-02-04</t>
        </is>
      </c>
      <c r="Z167" t="n">
        <v>332.6071</v>
      </c>
      <c r="AA167" t="inlineStr">
        <is>
          <t>2026-02-05</t>
        </is>
      </c>
      <c r="AB167" t="n">
        <v>311.8141</v>
      </c>
      <c r="AC167" t="n">
        <v>-0.0625150549714361</v>
      </c>
      <c r="AD167" t="inlineStr">
        <is>
          <t>DOWN</t>
        </is>
      </c>
      <c r="AE167" t="inlineStr">
        <is>
          <t>NO</t>
        </is>
      </c>
      <c r="AF167" t="n">
        <v>-0.063515</v>
      </c>
      <c r="AG167">
        <f>IF($A167="","",IFERROR(INDEX(Company_List!$G$3:$G$207,MATCH($A167,Company_List!$A$3:$A$207,0)),"unassigned"))</f>
        <v/>
      </c>
      <c r="AH167" t="inlineStr">
        <is>
          <t>Phase 2/Alphabet/2025-Q4/GOOGL-2025-Q4-press-release-SEC-EX-99-1.htm</t>
        </is>
      </c>
      <c r="AI167" t="inlineStr">
        <is>
          <t>https://www.sec.gov/Archives/edgar/data/1652044/000165204426000012/googexhibit991q42025.htm</t>
        </is>
      </c>
      <c r="AJ167" t="inlineStr">
        <is>
          <t>manifest</t>
        </is>
      </c>
      <c r="AK167">
        <f>IF($A167="","",IF(COUNTIFS(Human_Data_Entry!$A$3:$A$525,$A167)&gt;0,"YES","NO"))</f>
        <v/>
      </c>
      <c r="AL167">
        <f>IF($A167="","",IF(AND($C167&amp;"-"&amp;$D167&gt;=Settings!$B$19,$C167&amp;"-"&amp;$D167&lt;=Settings!$B$20),"IN","OUT"))</f>
        <v/>
      </c>
      <c r="AM167">
        <f>IF(AND(OR($H167="BUY",$H167="SELL"),ISNUMBER($T167)),$T167,"")</f>
        <v/>
      </c>
      <c r="AN167">
        <f>IF(AND(OR($H167="BUY",$H167="SELL"),ISNUMBER($AF167)),$AF167,"")</f>
        <v/>
      </c>
      <c r="AO167">
        <f>IF(ISNUMBER($AM167),ABS(IF(ISNUMBER($G167),$G167,0)-Settings!$B$25),"")</f>
        <v/>
      </c>
      <c r="AP167">
        <f>IF(ISNUMBER($AO167),$AO167*$AM167,"")</f>
        <v/>
      </c>
      <c r="AQ167">
        <f>IF(ISNUMBER($AN167),ABS(IF(ISNUMBER($G167),$G167,0)-Settings!$B$25),"")</f>
        <v/>
      </c>
      <c r="AR167">
        <f>IF(ISNUMBER($AQ167),$AQ167*$AN167,"")</f>
        <v/>
      </c>
      <c r="AS167">
        <f>IF($A167="","",IFERROR(INDEX(Company_List!$H$3:$H$207,MATCH($A167,Company_List!$A$3:$A$207,0)),"unassigned"))</f>
        <v/>
      </c>
      <c r="AT167" t="inlineStr">
        <is>
          <t>not in v1</t>
        </is>
      </c>
      <c r="AU167" t="inlineStr">
        <is>
          <t>no earlier record</t>
        </is>
      </c>
      <c r="AV167" t="n">
        <v>1</v>
      </c>
      <c r="AW167" t="inlineStr">
        <is>
          <t>not publisher-identified</t>
        </is>
      </c>
      <c r="AX167" t="inlineStr">
        <is>
          <t>not publisher-identified</t>
        </is>
      </c>
      <c r="AY167" t="inlineStr">
        <is>
          <t>no</t>
        </is>
      </c>
      <c r="AZ167" t="inlineStr">
        <is>
          <t>yes</t>
        </is>
      </c>
    </row>
    <row r="168">
      <c r="A168" s="115" t="inlineStr">
        <is>
          <t>Booking Holdings</t>
        </is>
      </c>
      <c r="B168" s="117" t="inlineStr">
        <is>
          <t>BKNG</t>
        </is>
      </c>
      <c r="C168" s="105" t="n">
        <v>2025</v>
      </c>
      <c r="D168" s="106" t="inlineStr">
        <is>
          <t>Q2</t>
        </is>
      </c>
      <c r="E168" s="109" t="inlineStr">
        <is>
          <t>Ben/DeepSeek</t>
        </is>
      </c>
      <c r="F168" s="106" t="inlineStr">
        <is>
          <t>LLM</t>
        </is>
      </c>
      <c r="G168" s="128" t="n">
        <v>0.21</v>
      </c>
      <c r="H168" s="106" t="inlineStr">
        <is>
          <t>HOLD</t>
        </is>
      </c>
      <c r="I168" s="128" t="n"/>
      <c r="J168" s="125" t="n">
        <v>45867</v>
      </c>
      <c r="K168" s="126" t="n">
        <v>45867</v>
      </c>
      <c r="L168" s="129" t="n">
        <v>223.6308</v>
      </c>
      <c r="M168" s="126" t="n">
        <v>45868</v>
      </c>
      <c r="N168" s="129" t="n">
        <v>219.6</v>
      </c>
      <c r="O168" s="132" t="n">
        <v>0.006053</v>
      </c>
      <c r="P168" s="107" t="n">
        <v>-0.018024</v>
      </c>
      <c r="Q168" s="106" t="inlineStr">
        <is>
          <t>FLAT</t>
        </is>
      </c>
      <c r="R168" s="106" t="inlineStr">
        <is>
          <t>YES</t>
        </is>
      </c>
      <c r="S168" s="105" t="n">
        <v>0</v>
      </c>
      <c r="T168" s="107" t="n">
        <v>0</v>
      </c>
      <c r="U168" s="130" t="inlineStr">
        <is>
          <t>w=[0.55,0.45,0,0] thr=(+0.25,-0.05), deployed default (risk-accepted, PSR=0.0/perm p=0.150 at N=161, not rechecked at N=268)</t>
        </is>
      </c>
      <c r="W168" t="inlineStr">
        <is>
          <t>release date + stated time in the document (rater worksheet)</t>
        </is>
      </c>
      <c r="X168" t="inlineStr">
        <is>
          <t>BKNG</t>
        </is>
      </c>
      <c r="Y168" t="inlineStr">
        <is>
          <t>2025-07-29</t>
        </is>
      </c>
      <c r="Z168" t="n">
        <v>221.7555</v>
      </c>
      <c r="AA168" t="inlineStr">
        <is>
          <t>2025-07-30</t>
        </is>
      </c>
      <c r="AB168" t="n">
        <v>217.7585</v>
      </c>
      <c r="AC168" t="n">
        <v>-0.01802440648764589</v>
      </c>
      <c r="AD168" t="inlineStr">
        <is>
          <t>FLAT</t>
        </is>
      </c>
      <c r="AE168" t="inlineStr">
        <is>
          <t>YES</t>
        </is>
      </c>
      <c r="AF168" t="n">
        <v>0</v>
      </c>
      <c r="AG168">
        <f>IF($A168="","",IFERROR(INDEX(Company_List!$G$3:$G$207,MATCH($A168,Company_List!$A$3:$A$207,0)),"unassigned"))</f>
        <v/>
      </c>
      <c r="AH168" t="inlineStr">
        <is>
          <t>Phase 3/Readings/Booking Holdings/Q2/Booking-Holdings-Inc-BKNG-US-Q2-2025-Earnings-Call-29-July-2025-4_30-PM-ET.pdf</t>
        </is>
      </c>
      <c r="AJ168" t="inlineStr">
        <is>
          <t>unique filename match</t>
        </is>
      </c>
      <c r="AK168">
        <f>IF($A168="","",IF(COUNTIFS(Human_Data_Entry!$A$3:$A$525,$A168)&gt;0,"YES","NO"))</f>
        <v/>
      </c>
      <c r="AL168">
        <f>IF($A168="","",IF(AND($C168&amp;"-"&amp;$D168&gt;=Settings!$B$19,$C168&amp;"-"&amp;$D168&lt;=Settings!$B$20),"IN","OUT"))</f>
        <v/>
      </c>
      <c r="AM168">
        <f>IF(AND(OR($H168="BUY",$H168="SELL"),ISNUMBER($T168)),$T168,"")</f>
        <v/>
      </c>
      <c r="AN168">
        <f>IF(AND(OR($H168="BUY",$H168="SELL"),ISNUMBER($AF168)),$AF168,"")</f>
        <v/>
      </c>
      <c r="AO168">
        <f>IF(ISNUMBER($AM168),ABS(IF(ISNUMBER($G168),$G168,0)-Settings!$B$25),"")</f>
        <v/>
      </c>
      <c r="AP168">
        <f>IF(ISNUMBER($AO168),$AO168*$AM168,"")</f>
        <v/>
      </c>
      <c r="AQ168">
        <f>IF(ISNUMBER($AN168),ABS(IF(ISNUMBER($G168),$G168,0)-Settings!$B$25),"")</f>
        <v/>
      </c>
      <c r="AR168">
        <f>IF(ISNUMBER($AQ168),$AQ168*$AN168,"")</f>
        <v/>
      </c>
      <c r="AS168">
        <f>IF($A168="","",IFERROR(INDEX(Company_List!$H$3:$H$207,MATCH($A168,Company_List!$A$3:$A$207,0)),"unassigned"))</f>
        <v/>
      </c>
      <c r="AT168" t="inlineStr">
        <is>
          <t>not in v1</t>
        </is>
      </c>
      <c r="AU168" t="inlineStr">
        <is>
          <t>no earlier record</t>
        </is>
      </c>
      <c r="AV168" t="n">
        <v>1</v>
      </c>
      <c r="AW168" t="inlineStr">
        <is>
          <t>FactSet CallStreet</t>
        </is>
      </c>
      <c r="AX168" t="inlineStr">
        <is>
          <t>licensed vendor</t>
        </is>
      </c>
      <c r="AY168" t="inlineStr">
        <is>
          <t>no</t>
        </is>
      </c>
      <c r="AZ168" t="inlineStr">
        <is>
          <t>no</t>
        </is>
      </c>
    </row>
    <row r="169">
      <c r="A169" s="115" t="inlineStr">
        <is>
          <t>Booking Holdings</t>
        </is>
      </c>
      <c r="B169" s="117" t="inlineStr">
        <is>
          <t>BKNG</t>
        </is>
      </c>
      <c r="C169" s="105" t="n">
        <v>2025</v>
      </c>
      <c r="D169" s="106" t="inlineStr">
        <is>
          <t>Q3</t>
        </is>
      </c>
      <c r="E169" s="109" t="inlineStr">
        <is>
          <t>Ben/DeepSeek</t>
        </is>
      </c>
      <c r="F169" s="106" t="inlineStr">
        <is>
          <t>LLM</t>
        </is>
      </c>
      <c r="G169" s="128" t="n">
        <v>0.4375</v>
      </c>
      <c r="H169" s="106" t="inlineStr">
        <is>
          <t>BUY</t>
        </is>
      </c>
      <c r="I169" s="128" t="n"/>
      <c r="J169" s="125" t="n">
        <v>45958</v>
      </c>
      <c r="K169" s="126" t="n">
        <v>45958</v>
      </c>
      <c r="L169" s="129" t="n">
        <v>204.8228</v>
      </c>
      <c r="M169" s="126" t="n">
        <v>45959</v>
      </c>
      <c r="N169" s="129" t="n">
        <v>208</v>
      </c>
      <c r="O169" s="132" t="n">
        <v>0.009389</v>
      </c>
      <c r="P169" s="107" t="n">
        <v>0.015514</v>
      </c>
      <c r="Q169" s="106" t="inlineStr">
        <is>
          <t>FLAT</t>
        </is>
      </c>
      <c r="R169" s="106" t="inlineStr">
        <is>
          <t>NO</t>
        </is>
      </c>
      <c r="S169" s="105" t="n">
        <v>1</v>
      </c>
      <c r="T169" s="107" t="n">
        <v>0.014514</v>
      </c>
      <c r="U169" s="130" t="inlineStr">
        <is>
          <t>w=[0.55,0.45,0,0] thr=(+0.25,-0.05), deployed default (risk-accepted, PSR=0.0/perm p=0.150 at N=161, not rechecked at N=268)</t>
        </is>
      </c>
      <c r="W169" t="inlineStr">
        <is>
          <t>release date + stated time in the document (rater worksheet)</t>
        </is>
      </c>
      <c r="X169" t="inlineStr">
        <is>
          <t>BKNG</t>
        </is>
      </c>
      <c r="Y169" t="inlineStr">
        <is>
          <t>2025-10-28</t>
        </is>
      </c>
      <c r="Z169" t="n">
        <v>203.4549</v>
      </c>
      <c r="AA169" t="inlineStr">
        <is>
          <t>2025-10-29</t>
        </is>
      </c>
      <c r="AB169" t="n">
        <v>206.6113</v>
      </c>
      <c r="AC169" t="n">
        <v>0.01551397903404391</v>
      </c>
      <c r="AD169" t="inlineStr">
        <is>
          <t>FLAT</t>
        </is>
      </c>
      <c r="AE169" t="inlineStr">
        <is>
          <t>NO</t>
        </is>
      </c>
      <c r="AF169" t="n">
        <v>0.014514</v>
      </c>
      <c r="AG169">
        <f>IF($A169="","",IFERROR(INDEX(Company_List!$G$3:$G$207,MATCH($A169,Company_List!$A$3:$A$207,0)),"unassigned"))</f>
        <v/>
      </c>
      <c r="AH169" t="inlineStr">
        <is>
          <t>Phase 3/Readings/Booking Holdings/Q3/CORRECTED-TRANSCRIPT_-Booking-Holdings-Inc-BKNG-US-Q3-2025-Earnings-Call-28-October-2025-4_30-PM-ET.pdf</t>
        </is>
      </c>
      <c r="AJ169" t="inlineStr">
        <is>
          <t>unique filename match</t>
        </is>
      </c>
      <c r="AK169">
        <f>IF($A169="","",IF(COUNTIFS(Human_Data_Entry!$A$3:$A$525,$A169)&gt;0,"YES","NO"))</f>
        <v/>
      </c>
      <c r="AL169">
        <f>IF($A169="","",IF(AND($C169&amp;"-"&amp;$D169&gt;=Settings!$B$19,$C169&amp;"-"&amp;$D169&lt;=Settings!$B$20),"IN","OUT"))</f>
        <v/>
      </c>
      <c r="AM169">
        <f>IF(AND(OR($H169="BUY",$H169="SELL"),ISNUMBER($T169)),$T169,"")</f>
        <v/>
      </c>
      <c r="AN169">
        <f>IF(AND(OR($H169="BUY",$H169="SELL"),ISNUMBER($AF169)),$AF169,"")</f>
        <v/>
      </c>
      <c r="AO169">
        <f>IF(ISNUMBER($AM169),ABS(IF(ISNUMBER($G169),$G169,0)-Settings!$B$25),"")</f>
        <v/>
      </c>
      <c r="AP169">
        <f>IF(ISNUMBER($AO169),$AO169*$AM169,"")</f>
        <v/>
      </c>
      <c r="AQ169">
        <f>IF(ISNUMBER($AN169),ABS(IF(ISNUMBER($G169),$G169,0)-Settings!$B$25),"")</f>
        <v/>
      </c>
      <c r="AR169">
        <f>IF(ISNUMBER($AQ169),$AQ169*$AN169,"")</f>
        <v/>
      </c>
      <c r="AS169">
        <f>IF($A169="","",IFERROR(INDEX(Company_List!$H$3:$H$207,MATCH($A169,Company_List!$A$3:$A$207,0)),"unassigned"))</f>
        <v/>
      </c>
      <c r="AT169" t="inlineStr">
        <is>
          <t>not in v1</t>
        </is>
      </c>
      <c r="AU169" t="inlineStr">
        <is>
          <t>no earlier record</t>
        </is>
      </c>
      <c r="AV169" t="n">
        <v>1</v>
      </c>
      <c r="AW169" t="inlineStr">
        <is>
          <t>FactSet CallStreet</t>
        </is>
      </c>
      <c r="AX169" t="inlineStr">
        <is>
          <t>licensed vendor</t>
        </is>
      </c>
      <c r="AY169" t="inlineStr">
        <is>
          <t>no</t>
        </is>
      </c>
      <c r="AZ169" t="inlineStr">
        <is>
          <t>no</t>
        </is>
      </c>
    </row>
    <row r="170">
      <c r="A170" s="115" t="inlineStr">
        <is>
          <t>Booking Holdings</t>
        </is>
      </c>
      <c r="B170" s="117" t="inlineStr">
        <is>
          <t>BKNG</t>
        </is>
      </c>
      <c r="C170" s="105" t="n">
        <v>2025</v>
      </c>
      <c r="D170" s="106" t="inlineStr">
        <is>
          <t>Q4</t>
        </is>
      </c>
      <c r="E170" s="109" t="inlineStr">
        <is>
          <t>Ben/DeepSeek</t>
        </is>
      </c>
      <c r="F170" s="106" t="inlineStr">
        <is>
          <t>LLM</t>
        </is>
      </c>
      <c r="G170" s="128" t="n">
        <v>0.12</v>
      </c>
      <c r="H170" s="106" t="inlineStr">
        <is>
          <t>HOLD</t>
        </is>
      </c>
      <c r="I170" s="128" t="n"/>
      <c r="J170" s="125" t="n">
        <v>46071</v>
      </c>
      <c r="K170" s="126" t="n">
        <v>46071</v>
      </c>
      <c r="L170" s="129" t="n">
        <v>170.7996</v>
      </c>
      <c r="M170" s="126" t="n">
        <v>46072</v>
      </c>
      <c r="N170" s="129" t="n">
        <v>163.55</v>
      </c>
      <c r="O170" s="132" t="n">
        <v>0.009997000000000001</v>
      </c>
      <c r="P170" s="107" t="n">
        <v>-0.042417</v>
      </c>
      <c r="Q170" s="106" t="inlineStr">
        <is>
          <t>DOWN</t>
        </is>
      </c>
      <c r="R170" s="106" t="inlineStr">
        <is>
          <t>NO</t>
        </is>
      </c>
      <c r="S170" s="105" t="n">
        <v>0</v>
      </c>
      <c r="T170" s="107" t="n">
        <v>0</v>
      </c>
      <c r="U170" s="130" t="inlineStr">
        <is>
          <t>w=[0.55,0.45,0,0] thr=(+0.25,-0.05), deployed default (risk-accepted, PSR=0.0/perm p=0.150 at N=161, not rechecked at N=268)</t>
        </is>
      </c>
      <c r="W170" t="inlineStr">
        <is>
          <t>release date + stated time in the document (rater worksheet)</t>
        </is>
      </c>
      <c r="X170" t="inlineStr">
        <is>
          <t>BKNG</t>
        </is>
      </c>
      <c r="Y170" t="inlineStr">
        <is>
          <t>2026-02-18</t>
        </is>
      </c>
      <c r="Z170" t="n">
        <v>169.9835</v>
      </c>
      <c r="AA170" t="inlineStr">
        <is>
          <t>2026-02-19</t>
        </is>
      </c>
      <c r="AB170" t="n">
        <v>162.7733</v>
      </c>
      <c r="AC170" t="n">
        <v>-0.04241706599239561</v>
      </c>
      <c r="AD170" t="inlineStr">
        <is>
          <t>DOWN</t>
        </is>
      </c>
      <c r="AE170" t="inlineStr">
        <is>
          <t>NO</t>
        </is>
      </c>
      <c r="AF170" t="n">
        <v>0</v>
      </c>
      <c r="AG170">
        <f>IF($A170="","",IFERROR(INDEX(Company_List!$G$3:$G$207,MATCH($A170,Company_List!$A$3:$A$207,0)),"unassigned"))</f>
        <v/>
      </c>
      <c r="AH170" t="inlineStr">
        <is>
          <t>Phase 3/Readings/Booking Holdings/Q4/CORRECTED-TRANSCRIPT_-Booking-Holdings-Inc-BKNG-US-Q4-2025-Earnings-Call-18-February-2026-4_30-PM-ET.pdf</t>
        </is>
      </c>
      <c r="AJ170" t="inlineStr">
        <is>
          <t>unique filename match</t>
        </is>
      </c>
      <c r="AK170">
        <f>IF($A170="","",IF(COUNTIFS(Human_Data_Entry!$A$3:$A$525,$A170)&gt;0,"YES","NO"))</f>
        <v/>
      </c>
      <c r="AL170">
        <f>IF($A170="","",IF(AND($C170&amp;"-"&amp;$D170&gt;=Settings!$B$19,$C170&amp;"-"&amp;$D170&lt;=Settings!$B$20),"IN","OUT"))</f>
        <v/>
      </c>
      <c r="AM170">
        <f>IF(AND(OR($H170="BUY",$H170="SELL"),ISNUMBER($T170)),$T170,"")</f>
        <v/>
      </c>
      <c r="AN170">
        <f>IF(AND(OR($H170="BUY",$H170="SELL"),ISNUMBER($AF170)),$AF170,"")</f>
        <v/>
      </c>
      <c r="AO170">
        <f>IF(ISNUMBER($AM170),ABS(IF(ISNUMBER($G170),$G170,0)-Settings!$B$25),"")</f>
        <v/>
      </c>
      <c r="AP170">
        <f>IF(ISNUMBER($AO170),$AO170*$AM170,"")</f>
        <v/>
      </c>
      <c r="AQ170">
        <f>IF(ISNUMBER($AN170),ABS(IF(ISNUMBER($G170),$G170,0)-Settings!$B$25),"")</f>
        <v/>
      </c>
      <c r="AR170">
        <f>IF(ISNUMBER($AQ170),$AQ170*$AN170,"")</f>
        <v/>
      </c>
      <c r="AS170">
        <f>IF($A170="","",IFERROR(INDEX(Company_List!$H$3:$H$207,MATCH($A170,Company_List!$A$3:$A$207,0)),"unassigned"))</f>
        <v/>
      </c>
      <c r="AT170" t="inlineStr">
        <is>
          <t>not in v1</t>
        </is>
      </c>
      <c r="AU170" t="inlineStr">
        <is>
          <t>no earlier record</t>
        </is>
      </c>
      <c r="AV170" t="n">
        <v>1</v>
      </c>
      <c r="AW170" t="inlineStr">
        <is>
          <t>FactSet CallStreet</t>
        </is>
      </c>
      <c r="AX170" t="inlineStr">
        <is>
          <t>licensed vendor</t>
        </is>
      </c>
      <c r="AY170" t="inlineStr">
        <is>
          <t>no</t>
        </is>
      </c>
      <c r="AZ170" t="inlineStr">
        <is>
          <t>no</t>
        </is>
      </c>
    </row>
    <row r="171">
      <c r="A171" s="115" t="inlineStr">
        <is>
          <t>Broadcom</t>
        </is>
      </c>
      <c r="B171" s="117" t="inlineStr">
        <is>
          <t>AVGO</t>
        </is>
      </c>
      <c r="C171" s="105" t="n">
        <v>2026</v>
      </c>
      <c r="D171" s="106" t="inlineStr">
        <is>
          <t>Q1</t>
        </is>
      </c>
      <c r="E171" s="109" t="inlineStr">
        <is>
          <t>Ben/DeepSeek</t>
        </is>
      </c>
      <c r="F171" s="106" t="inlineStr">
        <is>
          <t>LLM</t>
        </is>
      </c>
      <c r="G171" s="128" t="n">
        <v>0.4225</v>
      </c>
      <c r="H171" s="106" t="inlineStr">
        <is>
          <t>BUY</t>
        </is>
      </c>
      <c r="I171" s="128" t="n"/>
      <c r="J171" s="125" t="n">
        <v>46085</v>
      </c>
      <c r="K171" s="126" t="n">
        <v>46085</v>
      </c>
      <c r="L171" s="129" t="n">
        <v>317.53</v>
      </c>
      <c r="M171" s="126" t="n">
        <v>46086</v>
      </c>
      <c r="N171" s="129" t="n">
        <v>330.18</v>
      </c>
      <c r="O171" s="132" t="n">
        <v>0.009482000000000001</v>
      </c>
      <c r="P171" s="107" t="n">
        <v>0.039839</v>
      </c>
      <c r="Q171" s="106" t="inlineStr">
        <is>
          <t>UP</t>
        </is>
      </c>
      <c r="R171" s="106" t="inlineStr">
        <is>
          <t>YES</t>
        </is>
      </c>
      <c r="S171" s="105" t="n">
        <v>1</v>
      </c>
      <c r="T171" s="107" t="n">
        <v>0.038839</v>
      </c>
      <c r="U171" s="130" t="inlineStr">
        <is>
          <t>w=[0.55,0.45,0,0] thr=(+0.25,-0.05), deployed default (risk-accepted, PSR=0.0/perm p=0.150 at N=161, not rechecked at N=268)</t>
        </is>
      </c>
      <c r="W171" t="inlineStr">
        <is>
          <t>release date + stated time in the document (rater worksheet)</t>
        </is>
      </c>
      <c r="X171" t="inlineStr">
        <is>
          <t>AVGO</t>
        </is>
      </c>
      <c r="Y171" t="inlineStr">
        <is>
          <t>2026-03-04</t>
        </is>
      </c>
      <c r="Z171" t="n">
        <v>316.3646</v>
      </c>
      <c r="AA171" t="inlineStr">
        <is>
          <t>2026-03-05</t>
        </is>
      </c>
      <c r="AB171" t="n">
        <v>328.9682</v>
      </c>
      <c r="AC171" t="n">
        <v>0.03983872131246651</v>
      </c>
      <c r="AD171" t="inlineStr">
        <is>
          <t>UP</t>
        </is>
      </c>
      <c r="AE171" t="inlineStr">
        <is>
          <t>YES</t>
        </is>
      </c>
      <c r="AF171" t="n">
        <v>0.038839</v>
      </c>
      <c r="AG171">
        <f>IF($A171="","",IFERROR(INDEX(Company_List!$G$3:$G$207,MATCH($A171,Company_List!$A$3:$A$207,0)),"unassigned"))</f>
        <v/>
      </c>
      <c r="AH171" t="inlineStr">
        <is>
          <t>Phase 2/Broadcom/2026-Q1/AVGO-2026-Q1-press-release-SEC-EX-99-1.htm; Phase 2/Broadcom/2026-Q1/AVGO-2026-Q1-earnings-call-transcript-fool-com.html</t>
        </is>
      </c>
      <c r="AI171" t="inlineStr">
        <is>
          <t>https://www.fool.com/earnings/call-transcripts/2026/03/04/broadcom-avgo-q1-2026-earnings-call-transcript/; https://www.sec.gov/Archives/edgar/data/1730168/000173016826000011/avgo-02012026x8kxex99.htm</t>
        </is>
      </c>
      <c r="AJ171" t="inlineStr">
        <is>
          <t>manifest (whole bundle)</t>
        </is>
      </c>
      <c r="AK171">
        <f>IF($A171="","",IF(COUNTIFS(Human_Data_Entry!$A$3:$A$525,$A171)&gt;0,"YES","NO"))</f>
        <v/>
      </c>
      <c r="AL171">
        <f>IF($A171="","",IF(AND($C171&amp;"-"&amp;$D171&gt;=Settings!$B$19,$C171&amp;"-"&amp;$D171&lt;=Settings!$B$20),"IN","OUT"))</f>
        <v/>
      </c>
      <c r="AM171">
        <f>IF(AND(OR($H171="BUY",$H171="SELL"),ISNUMBER($T171)),$T171,"")</f>
        <v/>
      </c>
      <c r="AN171">
        <f>IF(AND(OR($H171="BUY",$H171="SELL"),ISNUMBER($AF171)),$AF171,"")</f>
        <v/>
      </c>
      <c r="AO171">
        <f>IF(ISNUMBER($AM171),ABS(IF(ISNUMBER($G171),$G171,0)-Settings!$B$25),"")</f>
        <v/>
      </c>
      <c r="AP171">
        <f>IF(ISNUMBER($AO171),$AO171*$AM171,"")</f>
        <v/>
      </c>
      <c r="AQ171">
        <f>IF(ISNUMBER($AN171),ABS(IF(ISNUMBER($G171),$G171,0)-Settings!$B$25),"")</f>
        <v/>
      </c>
      <c r="AR171">
        <f>IF(ISNUMBER($AQ171),$AQ171*$AN171,"")</f>
        <v/>
      </c>
      <c r="AS171">
        <f>IF($A171="","",IFERROR(INDEX(Company_List!$H$3:$H$207,MATCH($A171,Company_List!$A$3:$A$207,0)),"unassigned"))</f>
        <v/>
      </c>
      <c r="AT171" t="inlineStr">
        <is>
          <t>not in v1</t>
        </is>
      </c>
      <c r="AU171" t="inlineStr">
        <is>
          <t>no earlier record</t>
        </is>
      </c>
      <c r="AV171" t="n">
        <v>2</v>
      </c>
      <c r="AW171" t="inlineStr">
        <is>
          <t>The Motley Fool</t>
        </is>
      </c>
      <c r="AX171" t="inlineStr">
        <is>
          <t>free to read, copyright asserted</t>
        </is>
      </c>
      <c r="AY171" t="inlineStr">
        <is>
          <t>no</t>
        </is>
      </c>
      <c r="AZ171" t="inlineStr">
        <is>
          <t>yes</t>
        </is>
      </c>
    </row>
    <row r="172">
      <c r="A172" s="115" t="inlineStr">
        <is>
          <t>Broadcom</t>
        </is>
      </c>
      <c r="B172" s="117" t="inlineStr">
        <is>
          <t>AVGO</t>
        </is>
      </c>
      <c r="C172" s="105" t="n">
        <v>2025</v>
      </c>
      <c r="D172" s="106" t="inlineStr">
        <is>
          <t>Q3</t>
        </is>
      </c>
      <c r="E172" s="109" t="inlineStr">
        <is>
          <t>Ben/DeepSeek</t>
        </is>
      </c>
      <c r="F172" s="106" t="inlineStr">
        <is>
          <t>LLM</t>
        </is>
      </c>
      <c r="G172" s="128" t="n">
        <v>0.3025</v>
      </c>
      <c r="H172" s="106" t="inlineStr">
        <is>
          <t>BUY</t>
        </is>
      </c>
      <c r="I172" s="128" t="n"/>
      <c r="J172" s="125" t="n">
        <v>45904</v>
      </c>
      <c r="K172" s="126" t="n">
        <v>45904</v>
      </c>
      <c r="L172" s="129" t="n">
        <v>306.1</v>
      </c>
      <c r="M172" s="126" t="n">
        <v>45905</v>
      </c>
      <c r="N172" s="129" t="n">
        <v>355.78</v>
      </c>
      <c r="O172" s="132" t="n">
        <v>0.010265</v>
      </c>
      <c r="P172" s="107" t="n">
        <v>0.1623</v>
      </c>
      <c r="Q172" s="106" t="inlineStr">
        <is>
          <t>UP</t>
        </is>
      </c>
      <c r="R172" s="106" t="inlineStr">
        <is>
          <t>YES</t>
        </is>
      </c>
      <c r="S172" s="105" t="n">
        <v>1</v>
      </c>
      <c r="T172" s="107" t="n">
        <v>0.1613</v>
      </c>
      <c r="U172" s="130" t="inlineStr">
        <is>
          <t>w=[0.55,0.45,0,0] thr=(+0.25,-0.05), deployed default (risk-accepted, PSR=0.0/perm p=0.150 at N=161, not rechecked at N=268)</t>
        </is>
      </c>
      <c r="W172" t="inlineStr">
        <is>
          <t>price signal — only this window shows an abnormal move</t>
        </is>
      </c>
      <c r="X172" t="inlineStr">
        <is>
          <t>AVGO</t>
        </is>
      </c>
      <c r="Y172" t="inlineStr">
        <is>
          <t>2025-09-04</t>
        </is>
      </c>
      <c r="Z172" t="n">
        <v>303.8735</v>
      </c>
      <c r="AA172" t="inlineStr">
        <is>
          <t>2025-09-05</t>
        </is>
      </c>
      <c r="AB172" t="n">
        <v>353.1921</v>
      </c>
      <c r="AC172" t="n">
        <v>0.1622998755933408</v>
      </c>
      <c r="AD172" t="inlineStr">
        <is>
          <t>UP</t>
        </is>
      </c>
      <c r="AE172" t="inlineStr">
        <is>
          <t>YES</t>
        </is>
      </c>
      <c r="AF172" t="n">
        <v>0.1613</v>
      </c>
      <c r="AG172">
        <f>IF($A172="","",IFERROR(INDEX(Company_List!$G$3:$G$207,MATCH($A172,Company_List!$A$3:$A$207,0)),"unassigned"))</f>
        <v/>
      </c>
      <c r="AH172" t="inlineStr">
        <is>
          <t>Phase 2/Broadcom/2025-Q3/AVGO-2025-Q3-press-release-SEC-EX-99-1.htm</t>
        </is>
      </c>
      <c r="AI172" t="inlineStr">
        <is>
          <t>https://www.sec.gov/Archives/edgar/data/1730168/000173016825000094/avgo-08032025x8kxex99.htm</t>
        </is>
      </c>
      <c r="AJ172" t="inlineStr">
        <is>
          <t>manifest</t>
        </is>
      </c>
      <c r="AK172">
        <f>IF($A172="","",IF(COUNTIFS(Human_Data_Entry!$A$3:$A$525,$A172)&gt;0,"YES","NO"))</f>
        <v/>
      </c>
      <c r="AL172">
        <f>IF($A172="","",IF(AND($C172&amp;"-"&amp;$D172&gt;=Settings!$B$19,$C172&amp;"-"&amp;$D172&lt;=Settings!$B$20),"IN","OUT"))</f>
        <v/>
      </c>
      <c r="AM172">
        <f>IF(AND(OR($H172="BUY",$H172="SELL"),ISNUMBER($T172)),$T172,"")</f>
        <v/>
      </c>
      <c r="AN172">
        <f>IF(AND(OR($H172="BUY",$H172="SELL"),ISNUMBER($AF172)),$AF172,"")</f>
        <v/>
      </c>
      <c r="AO172">
        <f>IF(ISNUMBER($AM172),ABS(IF(ISNUMBER($G172),$G172,0)-Settings!$B$25),"")</f>
        <v/>
      </c>
      <c r="AP172">
        <f>IF(ISNUMBER($AO172),$AO172*$AM172,"")</f>
        <v/>
      </c>
      <c r="AQ172">
        <f>IF(ISNUMBER($AN172),ABS(IF(ISNUMBER($G172),$G172,0)-Settings!$B$25),"")</f>
        <v/>
      </c>
      <c r="AR172">
        <f>IF(ISNUMBER($AQ172),$AQ172*$AN172,"")</f>
        <v/>
      </c>
      <c r="AS172">
        <f>IF($A172="","",IFERROR(INDEX(Company_List!$H$3:$H$207,MATCH($A172,Company_List!$A$3:$A$207,0)),"unassigned"))</f>
        <v/>
      </c>
      <c r="AT172" t="inlineStr">
        <is>
          <t>not in v1</t>
        </is>
      </c>
      <c r="AU172" t="inlineStr">
        <is>
          <t>no earlier record</t>
        </is>
      </c>
      <c r="AV172" t="n">
        <v>1</v>
      </c>
      <c r="AW172" t="inlineStr">
        <is>
          <t>not publisher-identified</t>
        </is>
      </c>
      <c r="AX172" t="inlineStr">
        <is>
          <t>not publisher-identified</t>
        </is>
      </c>
      <c r="AY172" t="inlineStr">
        <is>
          <t>no</t>
        </is>
      </c>
      <c r="AZ172" t="inlineStr">
        <is>
          <t>yes</t>
        </is>
      </c>
    </row>
    <row r="173">
      <c r="A173" s="115" t="inlineStr">
        <is>
          <t>Broadcom</t>
        </is>
      </c>
      <c r="B173" s="117" t="inlineStr">
        <is>
          <t>AVGO</t>
        </is>
      </c>
      <c r="C173" s="105" t="n">
        <v>2025</v>
      </c>
      <c r="D173" s="106" t="inlineStr">
        <is>
          <t>Q4</t>
        </is>
      </c>
      <c r="E173" s="109" t="inlineStr">
        <is>
          <t>Ben/DeepSeek</t>
        </is>
      </c>
      <c r="F173" s="106" t="inlineStr">
        <is>
          <t>LLM</t>
        </is>
      </c>
      <c r="G173" s="128" t="n">
        <v>0.3475</v>
      </c>
      <c r="H173" s="106" t="inlineStr">
        <is>
          <t>BUY</t>
        </is>
      </c>
      <c r="I173" s="128" t="n"/>
      <c r="J173" s="125" t="n">
        <v>46002</v>
      </c>
      <c r="K173" s="126" t="n">
        <v>46002</v>
      </c>
      <c r="L173" s="129" t="n">
        <v>406.37</v>
      </c>
      <c r="M173" s="126" t="n">
        <v>46003</v>
      </c>
      <c r="N173" s="129" t="n">
        <v>379.96</v>
      </c>
      <c r="O173" s="132" t="n">
        <v>0.010147</v>
      </c>
      <c r="P173" s="107" t="n">
        <v>-0.06498999999999999</v>
      </c>
      <c r="Q173" s="106" t="inlineStr">
        <is>
          <t>DOWN</t>
        </is>
      </c>
      <c r="R173" s="106" t="inlineStr">
        <is>
          <t>NO</t>
        </is>
      </c>
      <c r="S173" s="105" t="n">
        <v>1</v>
      </c>
      <c r="T173" s="107" t="n">
        <v>-0.06598999999999999</v>
      </c>
      <c r="U173" s="130" t="inlineStr">
        <is>
          <t>w=[0.55,0.45,0,0] thr=(+0.25,-0.05), deployed default (risk-accepted, PSR=0.0/perm p=0.150 at N=161, not rechecked at N=268)</t>
        </is>
      </c>
      <c r="W173" t="inlineStr">
        <is>
          <t>release date + stated time in the document (rater worksheet)</t>
        </is>
      </c>
      <c r="X173" t="inlineStr">
        <is>
          <t>AVGO</t>
        </is>
      </c>
      <c r="Y173" t="inlineStr">
        <is>
          <t>2025-12-11</t>
        </is>
      </c>
      <c r="Z173" t="n">
        <v>404.1053</v>
      </c>
      <c r="AA173" t="inlineStr">
        <is>
          <t>2025-12-12</t>
        </is>
      </c>
      <c r="AB173" t="n">
        <v>377.8425</v>
      </c>
      <c r="AC173" t="n">
        <v>-0.06499001492387034</v>
      </c>
      <c r="AD173" t="inlineStr">
        <is>
          <t>DOWN</t>
        </is>
      </c>
      <c r="AE173" t="inlineStr">
        <is>
          <t>NO</t>
        </is>
      </c>
      <c r="AF173" t="n">
        <v>-0.06598999999999999</v>
      </c>
      <c r="AG173">
        <f>IF($A173="","",IFERROR(INDEX(Company_List!$G$3:$G$207,MATCH($A173,Company_List!$A$3:$A$207,0)),"unassigned"))</f>
        <v/>
      </c>
      <c r="AH173" t="inlineStr">
        <is>
          <t>Phase 2/Broadcom/2025-Q4/AVGO-2025-Q4-press-release-SEC-EX-99-1.htm; Phase 2/Broadcom/2025-Q4/AVGO-2025-Q4-earnings-call-transcript-fool-com.html</t>
        </is>
      </c>
      <c r="AI173" t="inlineStr">
        <is>
          <t>https://www.fool.com/earnings/call-transcripts/2025/12/12/broadcom-avgo-q4-2025-earnings-call-transcript/; https://www.sec.gov/Archives/edgar/data/1730168/000173016825000116/avgo-11022025x8kxex99.htm</t>
        </is>
      </c>
      <c r="AJ173" t="inlineStr">
        <is>
          <t>manifest (whole bundle)</t>
        </is>
      </c>
      <c r="AK173">
        <f>IF($A173="","",IF(COUNTIFS(Human_Data_Entry!$A$3:$A$525,$A173)&gt;0,"YES","NO"))</f>
        <v/>
      </c>
      <c r="AL173">
        <f>IF($A173="","",IF(AND($C173&amp;"-"&amp;$D173&gt;=Settings!$B$19,$C173&amp;"-"&amp;$D173&lt;=Settings!$B$20),"IN","OUT"))</f>
        <v/>
      </c>
      <c r="AM173">
        <f>IF(AND(OR($H173="BUY",$H173="SELL"),ISNUMBER($T173)),$T173,"")</f>
        <v/>
      </c>
      <c r="AN173">
        <f>IF(AND(OR($H173="BUY",$H173="SELL"),ISNUMBER($AF173)),$AF173,"")</f>
        <v/>
      </c>
      <c r="AO173">
        <f>IF(ISNUMBER($AM173),ABS(IF(ISNUMBER($G173),$G173,0)-Settings!$B$25),"")</f>
        <v/>
      </c>
      <c r="AP173">
        <f>IF(ISNUMBER($AO173),$AO173*$AM173,"")</f>
        <v/>
      </c>
      <c r="AQ173">
        <f>IF(ISNUMBER($AN173),ABS(IF(ISNUMBER($G173),$G173,0)-Settings!$B$25),"")</f>
        <v/>
      </c>
      <c r="AR173">
        <f>IF(ISNUMBER($AQ173),$AQ173*$AN173,"")</f>
        <v/>
      </c>
      <c r="AS173">
        <f>IF($A173="","",IFERROR(INDEX(Company_List!$H$3:$H$207,MATCH($A173,Company_List!$A$3:$A$207,0)),"unassigned"))</f>
        <v/>
      </c>
      <c r="AT173" t="inlineStr">
        <is>
          <t>not in v1</t>
        </is>
      </c>
      <c r="AU173" t="inlineStr">
        <is>
          <t>no earlier record</t>
        </is>
      </c>
      <c r="AV173" t="n">
        <v>2</v>
      </c>
      <c r="AW173" t="inlineStr">
        <is>
          <t>The Motley Fool</t>
        </is>
      </c>
      <c r="AX173" t="inlineStr">
        <is>
          <t>free to read, copyright asserted</t>
        </is>
      </c>
      <c r="AY173" t="inlineStr">
        <is>
          <t>no</t>
        </is>
      </c>
      <c r="AZ173" t="inlineStr">
        <is>
          <t>yes</t>
        </is>
      </c>
    </row>
    <row r="174">
      <c r="A174" s="115" t="inlineStr">
        <is>
          <t>Caterpillar</t>
        </is>
      </c>
      <c r="B174" s="117" t="inlineStr">
        <is>
          <t>CAT</t>
        </is>
      </c>
      <c r="C174" s="105" t="n">
        <v>2025</v>
      </c>
      <c r="D174" s="106" t="inlineStr">
        <is>
          <t>Q2</t>
        </is>
      </c>
      <c r="E174" s="109" t="inlineStr">
        <is>
          <t>Ben/DeepSeek</t>
        </is>
      </c>
      <c r="F174" s="106" t="inlineStr">
        <is>
          <t>LLM</t>
        </is>
      </c>
      <c r="G174" s="128" t="n">
        <v>0.1825</v>
      </c>
      <c r="H174" s="106" t="inlineStr">
        <is>
          <t>HOLD</t>
        </is>
      </c>
      <c r="I174" s="128" t="n"/>
      <c r="J174" s="125" t="n">
        <v>45874</v>
      </c>
      <c r="K174" s="126" t="n">
        <v>45873</v>
      </c>
      <c r="L174" s="129" t="n">
        <v>433.7</v>
      </c>
      <c r="M174" s="126" t="n">
        <v>45874</v>
      </c>
      <c r="N174" s="129" t="n">
        <v>427.65</v>
      </c>
      <c r="O174" s="132" t="n">
        <v>0.011489</v>
      </c>
      <c r="P174" s="107" t="n">
        <v>-0.01395</v>
      </c>
      <c r="Q174" s="106" t="inlineStr">
        <is>
          <t>FLAT</t>
        </is>
      </c>
      <c r="R174" s="106" t="inlineStr">
        <is>
          <t>YES</t>
        </is>
      </c>
      <c r="S174" s="105" t="n">
        <v>0</v>
      </c>
      <c r="T174" s="107" t="n">
        <v>0</v>
      </c>
      <c r="U174" s="130" t="inlineStr">
        <is>
          <t>w=[0.55,0.45,0,0] thr=(+0.25,-0.05), deployed default (risk-accepted, PSR=0.0/perm p=0.150 at N=161, not rechecked at N=268)</t>
        </is>
      </c>
      <c r="W174" t="inlineStr">
        <is>
          <t>release date + stated time in the document (rater worksheet)</t>
        </is>
      </c>
      <c r="X174" t="inlineStr">
        <is>
          <t>CAT</t>
        </is>
      </c>
      <c r="Y174" t="inlineStr">
        <is>
          <t>2025-08-04</t>
        </is>
      </c>
      <c r="Z174" t="n">
        <v>429.8309</v>
      </c>
      <c r="AA174" t="inlineStr">
        <is>
          <t>2025-08-05</t>
        </is>
      </c>
      <c r="AB174" t="n">
        <v>423.8348</v>
      </c>
      <c r="AC174" t="n">
        <v>-0.01394978226728581</v>
      </c>
      <c r="AD174" t="inlineStr">
        <is>
          <t>FLAT</t>
        </is>
      </c>
      <c r="AE174" t="inlineStr">
        <is>
          <t>YES</t>
        </is>
      </c>
      <c r="AF174" t="n">
        <v>0</v>
      </c>
      <c r="AG174">
        <f>IF($A174="","",IFERROR(INDEX(Company_List!$G$3:$G$207,MATCH($A174,Company_List!$A$3:$A$207,0)),"unassigned"))</f>
        <v/>
      </c>
      <c r="AH174" t="inlineStr">
        <is>
          <t>Phase 2/Caterpillar/2025-Q2/CAT-2025-Q2-press-release-SEC-EX-99-1.htm; Phase 2/Caterpillar/2025-Q2/CAT-2025-Q2-earnings-call-transcript-news-alphastreet-com.html; Phase 2/Caterpillar/2025-Q2/CAT-2025-Q2-quarterly-financial-statements-SEC-10-Q.htm</t>
        </is>
      </c>
      <c r="AI174" t="inlineStr">
        <is>
          <t>https://news.alphastreet.com/caterpillar-inc-cat-q2-2025-earnings-call-transcript/; https://www.sec.gov/Archives/edgar/data/18230/000001823025000037/ex991toformcat2q2025earnin.htm; https://www.sec.gov/Archives/edgar/data/18230/000001823025000040/cat-20250630.htm</t>
        </is>
      </c>
      <c r="AJ174" t="inlineStr">
        <is>
          <t>manifest (whole bundle)</t>
        </is>
      </c>
      <c r="AK174">
        <f>IF($A174="","",IF(COUNTIFS(Human_Data_Entry!$A$3:$A$525,$A174)&gt;0,"YES","NO"))</f>
        <v/>
      </c>
      <c r="AL174">
        <f>IF($A174="","",IF(AND($C174&amp;"-"&amp;$D174&gt;=Settings!$B$19,$C174&amp;"-"&amp;$D174&lt;=Settings!$B$20),"IN","OUT"))</f>
        <v/>
      </c>
      <c r="AM174">
        <f>IF(AND(OR($H174="BUY",$H174="SELL"),ISNUMBER($T174)),$T174,"")</f>
        <v/>
      </c>
      <c r="AN174">
        <f>IF(AND(OR($H174="BUY",$H174="SELL"),ISNUMBER($AF174)),$AF174,"")</f>
        <v/>
      </c>
      <c r="AO174">
        <f>IF(ISNUMBER($AM174),ABS(IF(ISNUMBER($G174),$G174,0)-Settings!$B$25),"")</f>
        <v/>
      </c>
      <c r="AP174">
        <f>IF(ISNUMBER($AO174),$AO174*$AM174,"")</f>
        <v/>
      </c>
      <c r="AQ174">
        <f>IF(ISNUMBER($AN174),ABS(IF(ISNUMBER($G174),$G174,0)-Settings!$B$25),"")</f>
        <v/>
      </c>
      <c r="AR174">
        <f>IF(ISNUMBER($AQ174),$AQ174*$AN174,"")</f>
        <v/>
      </c>
      <c r="AS174">
        <f>IF($A174="","",IFERROR(INDEX(Company_List!$H$3:$H$207,MATCH($A174,Company_List!$A$3:$A$207,0)),"unassigned"))</f>
        <v/>
      </c>
      <c r="AT174" t="inlineStr">
        <is>
          <t>not in v1</t>
        </is>
      </c>
      <c r="AU174" t="inlineStr">
        <is>
          <t>no earlier record</t>
        </is>
      </c>
      <c r="AV174" t="n">
        <v>3</v>
      </c>
      <c r="AW174" t="inlineStr">
        <is>
          <t>not publisher-identified</t>
        </is>
      </c>
      <c r="AX174" t="inlineStr">
        <is>
          <t>not publisher-identified</t>
        </is>
      </c>
      <c r="AY174" t="inlineStr">
        <is>
          <t>one of several</t>
        </is>
      </c>
      <c r="AZ174" t="inlineStr">
        <is>
          <t>yes</t>
        </is>
      </c>
    </row>
    <row r="175">
      <c r="A175" s="115" t="inlineStr">
        <is>
          <t>Caterpillar</t>
        </is>
      </c>
      <c r="B175" s="117" t="inlineStr">
        <is>
          <t>CAT</t>
        </is>
      </c>
      <c r="C175" s="105" t="n">
        <v>2025</v>
      </c>
      <c r="D175" s="106" t="inlineStr">
        <is>
          <t>Q3</t>
        </is>
      </c>
      <c r="E175" s="109" t="inlineStr">
        <is>
          <t>Ben/DeepSeek</t>
        </is>
      </c>
      <c r="F175" s="106" t="inlineStr">
        <is>
          <t>LLM</t>
        </is>
      </c>
      <c r="G175" s="128" t="n">
        <v>0.3</v>
      </c>
      <c r="H175" s="106" t="inlineStr">
        <is>
          <t>BUY</t>
        </is>
      </c>
      <c r="I175" s="128" t="n"/>
      <c r="J175" s="125" t="n">
        <v>45959</v>
      </c>
      <c r="K175" s="126" t="n">
        <v>45958</v>
      </c>
      <c r="L175" s="129" t="n">
        <v>524.47</v>
      </c>
      <c r="M175" s="126" t="n">
        <v>45959</v>
      </c>
      <c r="N175" s="129" t="n">
        <v>558.1799999999999</v>
      </c>
      <c r="O175" s="132" t="n">
        <v>0.011062</v>
      </c>
      <c r="P175" s="107" t="n">
        <v>0.064274</v>
      </c>
      <c r="Q175" s="106" t="inlineStr">
        <is>
          <t>UP</t>
        </is>
      </c>
      <c r="R175" s="106" t="inlineStr">
        <is>
          <t>YES</t>
        </is>
      </c>
      <c r="S175" s="105" t="n">
        <v>1</v>
      </c>
      <c r="T175" s="107" t="n">
        <v>0.063274</v>
      </c>
      <c r="U175" s="130" t="inlineStr">
        <is>
          <t>w=[0.55,0.45,0,0] thr=(+0.25,-0.05), deployed default (risk-accepted, PSR=0.0/perm p=0.150 at N=161, not rechecked at N=268)</t>
        </is>
      </c>
      <c r="W175" t="inlineStr">
        <is>
          <t>price signal — only this window shows an abnormal move</t>
        </is>
      </c>
      <c r="X175" t="inlineStr">
        <is>
          <t>CAT</t>
        </is>
      </c>
      <c r="Y175" t="inlineStr">
        <is>
          <t>2025-10-28</t>
        </is>
      </c>
      <c r="Z175" t="n">
        <v>521.2844</v>
      </c>
      <c r="AA175" t="inlineStr">
        <is>
          <t>2025-10-29</t>
        </is>
      </c>
      <c r="AB175" t="n">
        <v>554.7897</v>
      </c>
      <c r="AC175" t="n">
        <v>0.06427438246325795</v>
      </c>
      <c r="AD175" t="inlineStr">
        <is>
          <t>UP</t>
        </is>
      </c>
      <c r="AE175" t="inlineStr">
        <is>
          <t>YES</t>
        </is>
      </c>
      <c r="AF175" t="n">
        <v>0.063274</v>
      </c>
      <c r="AG175">
        <f>IF($A175="","",IFERROR(INDEX(Company_List!$G$3:$G$207,MATCH($A175,Company_List!$A$3:$A$207,0)),"unassigned"))</f>
        <v/>
      </c>
      <c r="AH175" t="inlineStr">
        <is>
          <t>Phase 2/Caterpillar/2025-Q3/CAT-2025-Q3-press-release-SEC-EX-99-1.htm; Phase 2/Caterpillar/2025-Q3/CAT-2025-Q3-earnings-call-transcript-caterpillar-q4cdn.pdf</t>
        </is>
      </c>
      <c r="AI175" t="inlineStr">
        <is>
          <t>https://s25.q4cdn.com/358376879/files/doc_financials/2025/q3/3Q-2025-Caterpillar-Inc-Earnings-Call-Transcript_-10-29-2025.pdf; https://www.sec.gov/Archives/edgar/data/18230/000001823025000043/ex991toformcat3q2025earnin.htm</t>
        </is>
      </c>
      <c r="AJ175" t="inlineStr">
        <is>
          <t>manifest (whole bundle)</t>
        </is>
      </c>
      <c r="AK175">
        <f>IF($A175="","",IF(COUNTIFS(Human_Data_Entry!$A$3:$A$525,$A175)&gt;0,"YES","NO"))</f>
        <v/>
      </c>
      <c r="AL175">
        <f>IF($A175="","",IF(AND($C175&amp;"-"&amp;$D175&gt;=Settings!$B$19,$C175&amp;"-"&amp;$D175&lt;=Settings!$B$20),"IN","OUT"))</f>
        <v/>
      </c>
      <c r="AM175">
        <f>IF(AND(OR($H175="BUY",$H175="SELL"),ISNUMBER($T175)),$T175,"")</f>
        <v/>
      </c>
      <c r="AN175">
        <f>IF(AND(OR($H175="BUY",$H175="SELL"),ISNUMBER($AF175)),$AF175,"")</f>
        <v/>
      </c>
      <c r="AO175">
        <f>IF(ISNUMBER($AM175),ABS(IF(ISNUMBER($G175),$G175,0)-Settings!$B$25),"")</f>
        <v/>
      </c>
      <c r="AP175">
        <f>IF(ISNUMBER($AO175),$AO175*$AM175,"")</f>
        <v/>
      </c>
      <c r="AQ175">
        <f>IF(ISNUMBER($AN175),ABS(IF(ISNUMBER($G175),$G175,0)-Settings!$B$25),"")</f>
        <v/>
      </c>
      <c r="AR175">
        <f>IF(ISNUMBER($AQ175),$AQ175*$AN175,"")</f>
        <v/>
      </c>
      <c r="AS175">
        <f>IF($A175="","",IFERROR(INDEX(Company_List!$H$3:$H$207,MATCH($A175,Company_List!$A$3:$A$207,0)),"unassigned"))</f>
        <v/>
      </c>
      <c r="AT175" t="inlineStr">
        <is>
          <t>not in v1</t>
        </is>
      </c>
      <c r="AU175" t="inlineStr">
        <is>
          <t>no earlier record</t>
        </is>
      </c>
      <c r="AV175" t="n">
        <v>2</v>
      </c>
      <c r="AW175" t="inlineStr">
        <is>
          <t>not publisher-identified</t>
        </is>
      </c>
      <c r="AX175" t="inlineStr">
        <is>
          <t>not publisher-identified</t>
        </is>
      </c>
      <c r="AY175" t="inlineStr">
        <is>
          <t>no</t>
        </is>
      </c>
      <c r="AZ175" t="inlineStr">
        <is>
          <t>yes</t>
        </is>
      </c>
    </row>
    <row r="176">
      <c r="A176" s="115" t="inlineStr">
        <is>
          <t>Caterpillar</t>
        </is>
      </c>
      <c r="B176" s="117" t="inlineStr">
        <is>
          <t>CAT</t>
        </is>
      </c>
      <c r="C176" s="105" t="n">
        <v>2025</v>
      </c>
      <c r="D176" s="106" t="inlineStr">
        <is>
          <t>Q4</t>
        </is>
      </c>
      <c r="E176" s="109" t="inlineStr">
        <is>
          <t>Ben/DeepSeek</t>
        </is>
      </c>
      <c r="F176" s="106" t="inlineStr">
        <is>
          <t>LLM</t>
        </is>
      </c>
      <c r="G176" s="128" t="n">
        <v>0.2775</v>
      </c>
      <c r="H176" s="106" t="inlineStr">
        <is>
          <t>BUY</t>
        </is>
      </c>
      <c r="I176" s="128" t="n"/>
      <c r="J176" s="125" t="n">
        <v>46051</v>
      </c>
      <c r="K176" s="126" t="n">
        <v>46050</v>
      </c>
      <c r="L176" s="129" t="n">
        <v>643.28</v>
      </c>
      <c r="M176" s="126" t="n">
        <v>46051</v>
      </c>
      <c r="N176" s="129" t="n">
        <v>655.17</v>
      </c>
      <c r="O176" s="132" t="n">
        <v>0.009695</v>
      </c>
      <c r="P176" s="107" t="n">
        <v>0.018483</v>
      </c>
      <c r="Q176" s="106" t="inlineStr">
        <is>
          <t>FLAT</t>
        </is>
      </c>
      <c r="R176" s="106" t="inlineStr">
        <is>
          <t>NO</t>
        </is>
      </c>
      <c r="S176" s="105" t="n">
        <v>1</v>
      </c>
      <c r="T176" s="107" t="n">
        <v>0.017483</v>
      </c>
      <c r="U176" s="130" t="inlineStr">
        <is>
          <t>w=[0.55,0.45,0,0] thr=(+0.25,-0.05), deployed default (risk-accepted, PSR=0.0/perm p=0.150 at N=161, not rechecked at N=268)</t>
        </is>
      </c>
      <c r="W176" t="inlineStr">
        <is>
          <t>earnings calendar, seconded independently</t>
        </is>
      </c>
      <c r="X176" t="inlineStr">
        <is>
          <t>CAT</t>
        </is>
      </c>
      <c r="Y176" t="inlineStr">
        <is>
          <t>2026-01-28</t>
        </is>
      </c>
      <c r="Z176" t="n">
        <v>640.8688</v>
      </c>
      <c r="AA176" t="inlineStr">
        <is>
          <t>2026-01-29</t>
        </is>
      </c>
      <c r="AB176" t="n">
        <v>652.7142</v>
      </c>
      <c r="AC176" t="n">
        <v>0.01848338545033264</v>
      </c>
      <c r="AD176" t="inlineStr">
        <is>
          <t>FLAT</t>
        </is>
      </c>
      <c r="AE176" t="inlineStr">
        <is>
          <t>NO</t>
        </is>
      </c>
      <c r="AF176" t="n">
        <v>0.017483</v>
      </c>
      <c r="AG176">
        <f>IF($A176="","",IFERROR(INDEX(Company_List!$G$3:$G$207,MATCH($A176,Company_List!$A$3:$A$207,0)),"unassigned"))</f>
        <v/>
      </c>
      <c r="AH176" t="inlineStr">
        <is>
          <t>Phase 2/Caterpillar/2025-Q4/CAT-2025-Q4-press-release-SEC-EX-99-1.htm; Phase 2/Caterpillar/2025-Q4/CAT-2025-Q4-earnings-call-transcript-fool-com.html</t>
        </is>
      </c>
      <c r="AI176" t="inlineStr">
        <is>
          <t>https://www.fool.com/earnings/call-transcripts/2026/01/29/caterpillar-cat-q4-2025-earnings-call-transcript/; https://www.sec.gov/Archives/edgar/data/18230/000001823026000003/cat_exx991x4qx2025xearning.htm</t>
        </is>
      </c>
      <c r="AJ176" t="inlineStr">
        <is>
          <t>manifest (whole bundle)</t>
        </is>
      </c>
      <c r="AK176">
        <f>IF($A176="","",IF(COUNTIFS(Human_Data_Entry!$A$3:$A$525,$A176)&gt;0,"YES","NO"))</f>
        <v/>
      </c>
      <c r="AL176">
        <f>IF($A176="","",IF(AND($C176&amp;"-"&amp;$D176&gt;=Settings!$B$19,$C176&amp;"-"&amp;$D176&lt;=Settings!$B$20),"IN","OUT"))</f>
        <v/>
      </c>
      <c r="AM176">
        <f>IF(AND(OR($H176="BUY",$H176="SELL"),ISNUMBER($T176)),$T176,"")</f>
        <v/>
      </c>
      <c r="AN176">
        <f>IF(AND(OR($H176="BUY",$H176="SELL"),ISNUMBER($AF176)),$AF176,"")</f>
        <v/>
      </c>
      <c r="AO176">
        <f>IF(ISNUMBER($AM176),ABS(IF(ISNUMBER($G176),$G176,0)-Settings!$B$25),"")</f>
        <v/>
      </c>
      <c r="AP176">
        <f>IF(ISNUMBER($AO176),$AO176*$AM176,"")</f>
        <v/>
      </c>
      <c r="AQ176">
        <f>IF(ISNUMBER($AN176),ABS(IF(ISNUMBER($G176),$G176,0)-Settings!$B$25),"")</f>
        <v/>
      </c>
      <c r="AR176">
        <f>IF(ISNUMBER($AQ176),$AQ176*$AN176,"")</f>
        <v/>
      </c>
      <c r="AS176">
        <f>IF($A176="","",IFERROR(INDEX(Company_List!$H$3:$H$207,MATCH($A176,Company_List!$A$3:$A$207,0)),"unassigned"))</f>
        <v/>
      </c>
      <c r="AT176" t="inlineStr">
        <is>
          <t>not in v1</t>
        </is>
      </c>
      <c r="AU176" t="inlineStr">
        <is>
          <t>no earlier record</t>
        </is>
      </c>
      <c r="AV176" t="n">
        <v>2</v>
      </c>
      <c r="AW176" t="inlineStr">
        <is>
          <t>The Motley Fool</t>
        </is>
      </c>
      <c r="AX176" t="inlineStr">
        <is>
          <t>free to read, copyright asserted</t>
        </is>
      </c>
      <c r="AY176" t="inlineStr">
        <is>
          <t>no</t>
        </is>
      </c>
      <c r="AZ176" t="inlineStr">
        <is>
          <t>yes</t>
        </is>
      </c>
    </row>
    <row r="177">
      <c r="A177" s="115" t="inlineStr">
        <is>
          <t>Chipotle</t>
        </is>
      </c>
      <c r="B177" s="117" t="inlineStr">
        <is>
          <t>CMG</t>
        </is>
      </c>
      <c r="C177" s="105" t="n">
        <v>2025</v>
      </c>
      <c r="D177" s="106" t="inlineStr">
        <is>
          <t>Q1</t>
        </is>
      </c>
      <c r="E177" s="109" t="inlineStr">
        <is>
          <t>Ben/DeepSeek</t>
        </is>
      </c>
      <c r="F177" s="106" t="inlineStr">
        <is>
          <t>LLM</t>
        </is>
      </c>
      <c r="G177" s="128" t="n">
        <v>-0.3275</v>
      </c>
      <c r="H177" s="106" t="inlineStr">
        <is>
          <t>SELL</t>
        </is>
      </c>
      <c r="I177" s="128" t="n"/>
      <c r="J177" s="125" t="n">
        <v>45770</v>
      </c>
      <c r="K177" s="126" t="n">
        <v>45770</v>
      </c>
      <c r="L177" s="129" t="n">
        <v>48.76</v>
      </c>
      <c r="M177" s="126" t="n">
        <v>45771</v>
      </c>
      <c r="N177" s="129" t="n">
        <v>49.2</v>
      </c>
      <c r="O177" s="132" t="n">
        <v>0.008163</v>
      </c>
      <c r="P177" s="107" t="n">
        <v>0.009023999999999999</v>
      </c>
      <c r="Q177" s="106" t="inlineStr">
        <is>
          <t>FLAT</t>
        </is>
      </c>
      <c r="R177" s="106" t="inlineStr">
        <is>
          <t>NO</t>
        </is>
      </c>
      <c r="S177" s="105" t="n">
        <v>-1</v>
      </c>
      <c r="T177" s="107" t="n">
        <v>-0.010024</v>
      </c>
      <c r="U177" s="130" t="inlineStr">
        <is>
          <t>w=[0.55,0.45,0,0] thr=(+0.25,-0.05), deployed default (risk-accepted, PSR=0.0/perm p=0.150 at N=161, not rechecked at N=268)</t>
        </is>
      </c>
      <c r="W177" t="inlineStr">
        <is>
          <t>price signal</t>
        </is>
      </c>
      <c r="X177" t="inlineStr">
        <is>
          <t>CMG</t>
        </is>
      </c>
      <c r="Y177" t="inlineStr">
        <is>
          <t>2025-04-22</t>
        </is>
      </c>
      <c r="Z177" t="n">
        <v>47.1</v>
      </c>
      <c r="AA177" t="inlineStr">
        <is>
          <t>2025-04-23</t>
        </is>
      </c>
      <c r="AB177" t="n">
        <v>48.87</v>
      </c>
      <c r="AC177" t="n">
        <v>0.03757964066155588</v>
      </c>
      <c r="AD177" t="inlineStr">
        <is>
          <t>UP</t>
        </is>
      </c>
      <c r="AE177" t="inlineStr">
        <is>
          <t>NO</t>
        </is>
      </c>
      <c r="AF177" t="n">
        <v>-0.03858</v>
      </c>
      <c r="AG177">
        <f>IF($A177="","",IFERROR(INDEX(Company_List!$G$3:$G$207,MATCH($A177,Company_List!$A$3:$A$207,0)),"unassigned"))</f>
        <v/>
      </c>
      <c r="AH177" t="inlineStr">
        <is>
          <t>Phase 3/Readings/Chipotle/2025-Q1/CMG-2025-Q1-press-release-SEC-EX-99-1.htm</t>
        </is>
      </c>
      <c r="AI177" t="inlineStr">
        <is>
          <t>https://www.sec.gov/Archives/edgar/data/1058090/000105809025000028/cmg-20250423xex991.htm</t>
        </is>
      </c>
      <c r="AJ177" t="inlineStr">
        <is>
          <t>manifest</t>
        </is>
      </c>
      <c r="AK177">
        <f>IF($A177="","",IF(COUNTIFS(Human_Data_Entry!$A$3:$A$525,$A177)&gt;0,"YES","NO"))</f>
        <v/>
      </c>
      <c r="AL177">
        <f>IF($A177="","",IF(AND($C177&amp;"-"&amp;$D177&gt;=Settings!$B$19,$C177&amp;"-"&amp;$D177&lt;=Settings!$B$20),"IN","OUT"))</f>
        <v/>
      </c>
      <c r="AM177">
        <f>IF(AND(OR($H177="BUY",$H177="SELL"),ISNUMBER($T177)),$T177,"")</f>
        <v/>
      </c>
      <c r="AN177">
        <f>IF(AND(OR($H177="BUY",$H177="SELL"),ISNUMBER($AF177)),$AF177,"")</f>
        <v/>
      </c>
      <c r="AO177">
        <f>IF(ISNUMBER($AM177),ABS(IF(ISNUMBER($G177),$G177,0)-Settings!$B$25),"")</f>
        <v/>
      </c>
      <c r="AP177">
        <f>IF(ISNUMBER($AO177),$AO177*$AM177,"")</f>
        <v/>
      </c>
      <c r="AQ177">
        <f>IF(ISNUMBER($AN177),ABS(IF(ISNUMBER($G177),$G177,0)-Settings!$B$25),"")</f>
        <v/>
      </c>
      <c r="AR177">
        <f>IF(ISNUMBER($AQ177),$AQ177*$AN177,"")</f>
        <v/>
      </c>
      <c r="AS177">
        <f>IF($A177="","",IFERROR(INDEX(Company_List!$H$3:$H$207,MATCH($A177,Company_List!$A$3:$A$207,0)),"unassigned"))</f>
        <v/>
      </c>
      <c r="AT177" t="inlineStr">
        <is>
          <t>not in v1</t>
        </is>
      </c>
      <c r="AU177" t="inlineStr">
        <is>
          <t>no earlier record</t>
        </is>
      </c>
      <c r="AV177" t="n">
        <v>1</v>
      </c>
      <c r="AW177" t="inlineStr">
        <is>
          <t>not publisher-identified</t>
        </is>
      </c>
      <c r="AX177" t="inlineStr">
        <is>
          <t>not publisher-identified</t>
        </is>
      </c>
      <c r="AY177" t="inlineStr">
        <is>
          <t>no</t>
        </is>
      </c>
      <c r="AZ177" t="inlineStr">
        <is>
          <t>yes</t>
        </is>
      </c>
    </row>
    <row r="178">
      <c r="A178" s="115" t="inlineStr">
        <is>
          <t>Chipotle</t>
        </is>
      </c>
      <c r="B178" s="117" t="inlineStr">
        <is>
          <t>CMG</t>
        </is>
      </c>
      <c r="C178" s="105" t="n">
        <v>2025</v>
      </c>
      <c r="D178" s="106" t="inlineStr">
        <is>
          <t>Q2</t>
        </is>
      </c>
      <c r="E178" s="109" t="inlineStr">
        <is>
          <t>Ben/DeepSeek</t>
        </is>
      </c>
      <c r="F178" s="106" t="inlineStr">
        <is>
          <t>LLM</t>
        </is>
      </c>
      <c r="G178" s="128" t="n">
        <v>-0.1475</v>
      </c>
      <c r="H178" s="106" t="inlineStr">
        <is>
          <t>SELL</t>
        </is>
      </c>
      <c r="I178" s="128" t="n"/>
      <c r="J178" s="125" t="n">
        <v>45861</v>
      </c>
      <c r="K178" s="126" t="n">
        <v>45861</v>
      </c>
      <c r="L178" s="129" t="n">
        <v>52.78</v>
      </c>
      <c r="M178" s="126" t="n">
        <v>45862</v>
      </c>
      <c r="N178" s="129" t="n">
        <v>46.2</v>
      </c>
      <c r="O178" s="132" t="n">
        <v>0.008980999999999999</v>
      </c>
      <c r="P178" s="107" t="n">
        <v>-0.124668</v>
      </c>
      <c r="Q178" s="106" t="inlineStr">
        <is>
          <t>DOWN</t>
        </is>
      </c>
      <c r="R178" s="106" t="inlineStr">
        <is>
          <t>YES</t>
        </is>
      </c>
      <c r="S178" s="105" t="n">
        <v>-1</v>
      </c>
      <c r="T178" s="107" t="n">
        <v>0.123668</v>
      </c>
      <c r="U178" s="130" t="inlineStr">
        <is>
          <t>w=[0.55,0.45,0,0] thr=(+0.25,-0.05), deployed default (risk-accepted, PSR=0.0/perm p=0.150 at N=161, not rechecked at N=268)</t>
        </is>
      </c>
      <c r="W178" t="inlineStr">
        <is>
          <t>price signal — only this window shows an abnormal move</t>
        </is>
      </c>
      <c r="X178" t="inlineStr">
        <is>
          <t>CMG</t>
        </is>
      </c>
      <c r="Y178" t="inlineStr">
        <is>
          <t>2025-07-23</t>
        </is>
      </c>
      <c r="Z178" t="n">
        <v>52.78</v>
      </c>
      <c r="AA178" t="inlineStr">
        <is>
          <t>2025-07-24</t>
        </is>
      </c>
      <c r="AB178" t="n">
        <v>46.2</v>
      </c>
      <c r="AC178" t="n">
        <v>-0.12466839948216</v>
      </c>
      <c r="AD178" t="inlineStr">
        <is>
          <t>DOWN</t>
        </is>
      </c>
      <c r="AE178" t="inlineStr">
        <is>
          <t>YES</t>
        </is>
      </c>
      <c r="AF178" t="n">
        <v>0.123668</v>
      </c>
      <c r="AG178">
        <f>IF($A178="","",IFERROR(INDEX(Company_List!$G$3:$G$207,MATCH($A178,Company_List!$A$3:$A$207,0)),"unassigned"))</f>
        <v/>
      </c>
      <c r="AH178" t="inlineStr">
        <is>
          <t>Phase 3/Readings/Chipotle/2025-Q2/CMG-2025-Q2-press-release-SEC-EX-99-1.htm</t>
        </is>
      </c>
      <c r="AI178" t="inlineStr">
        <is>
          <t>https://www.sec.gov/Archives/edgar/data/1058090/000105809025000055/cmg-20250723xex991.htm</t>
        </is>
      </c>
      <c r="AJ178" t="inlineStr">
        <is>
          <t>manifest</t>
        </is>
      </c>
      <c r="AK178">
        <f>IF($A178="","",IF(COUNTIFS(Human_Data_Entry!$A$3:$A$525,$A178)&gt;0,"YES","NO"))</f>
        <v/>
      </c>
      <c r="AL178">
        <f>IF($A178="","",IF(AND($C178&amp;"-"&amp;$D178&gt;=Settings!$B$19,$C178&amp;"-"&amp;$D178&lt;=Settings!$B$20),"IN","OUT"))</f>
        <v/>
      </c>
      <c r="AM178">
        <f>IF(AND(OR($H178="BUY",$H178="SELL"),ISNUMBER($T178)),$T178,"")</f>
        <v/>
      </c>
      <c r="AN178">
        <f>IF(AND(OR($H178="BUY",$H178="SELL"),ISNUMBER($AF178)),$AF178,"")</f>
        <v/>
      </c>
      <c r="AO178">
        <f>IF(ISNUMBER($AM178),ABS(IF(ISNUMBER($G178),$G178,0)-Settings!$B$25),"")</f>
        <v/>
      </c>
      <c r="AP178">
        <f>IF(ISNUMBER($AO178),$AO178*$AM178,"")</f>
        <v/>
      </c>
      <c r="AQ178">
        <f>IF(ISNUMBER($AN178),ABS(IF(ISNUMBER($G178),$G178,0)-Settings!$B$25),"")</f>
        <v/>
      </c>
      <c r="AR178">
        <f>IF(ISNUMBER($AQ178),$AQ178*$AN178,"")</f>
        <v/>
      </c>
      <c r="AS178">
        <f>IF($A178="","",IFERROR(INDEX(Company_List!$H$3:$H$207,MATCH($A178,Company_List!$A$3:$A$207,0)),"unassigned"))</f>
        <v/>
      </c>
      <c r="AT178" t="inlineStr">
        <is>
          <t>not in v1</t>
        </is>
      </c>
      <c r="AU178" t="inlineStr">
        <is>
          <t>no earlier record</t>
        </is>
      </c>
      <c r="AV178" t="n">
        <v>1</v>
      </c>
      <c r="AW178" t="inlineStr">
        <is>
          <t>not publisher-identified</t>
        </is>
      </c>
      <c r="AX178" t="inlineStr">
        <is>
          <t>not publisher-identified</t>
        </is>
      </c>
      <c r="AY178" t="inlineStr">
        <is>
          <t>no</t>
        </is>
      </c>
      <c r="AZ178" t="inlineStr">
        <is>
          <t>yes</t>
        </is>
      </c>
    </row>
    <row r="179">
      <c r="A179" s="115" t="inlineStr">
        <is>
          <t>Chipotle</t>
        </is>
      </c>
      <c r="B179" s="117" t="inlineStr">
        <is>
          <t>CMG</t>
        </is>
      </c>
      <c r="C179" s="105" t="n">
        <v>2025</v>
      </c>
      <c r="D179" s="106" t="inlineStr">
        <is>
          <t>Q3</t>
        </is>
      </c>
      <c r="E179" s="109" t="inlineStr">
        <is>
          <t>Ben/DeepSeek</t>
        </is>
      </c>
      <c r="F179" s="106" t="inlineStr">
        <is>
          <t>LLM</t>
        </is>
      </c>
      <c r="G179" s="128" t="n">
        <v>-0.14</v>
      </c>
      <c r="H179" s="106" t="inlineStr">
        <is>
          <t>SELL</t>
        </is>
      </c>
      <c r="I179" s="128" t="n"/>
      <c r="J179" s="125" t="n">
        <v>45959</v>
      </c>
      <c r="K179" s="126" t="n">
        <v>45959</v>
      </c>
      <c r="L179" s="129" t="n">
        <v>39.76</v>
      </c>
      <c r="M179" s="126" t="n">
        <v>45960</v>
      </c>
      <c r="N179" s="129" t="n">
        <v>31.27</v>
      </c>
      <c r="O179" s="132" t="n">
        <v>0.006659</v>
      </c>
      <c r="P179" s="107" t="n">
        <v>-0.213531</v>
      </c>
      <c r="Q179" s="106" t="inlineStr">
        <is>
          <t>DOWN</t>
        </is>
      </c>
      <c r="R179" s="106" t="inlineStr">
        <is>
          <t>YES</t>
        </is>
      </c>
      <c r="S179" s="105" t="n">
        <v>-1</v>
      </c>
      <c r="T179" s="107" t="n">
        <v>0.212531</v>
      </c>
      <c r="U179" s="130" t="inlineStr">
        <is>
          <t>w=[0.55,0.45,0,0] thr=(+0.25,-0.05), deployed default (risk-accepted, PSR=0.0/perm p=0.150 at N=161, not rechecked at N=268)</t>
        </is>
      </c>
      <c r="W179" t="inlineStr">
        <is>
          <t>price signal — both moved; this one dominates</t>
        </is>
      </c>
      <c r="X179" t="inlineStr">
        <is>
          <t>CMG</t>
        </is>
      </c>
      <c r="Y179" t="inlineStr">
        <is>
          <t>2025-10-29</t>
        </is>
      </c>
      <c r="Z179" t="n">
        <v>39.76</v>
      </c>
      <c r="AA179" t="inlineStr">
        <is>
          <t>2025-10-30</t>
        </is>
      </c>
      <c r="AB179" t="n">
        <v>31.27</v>
      </c>
      <c r="AC179" t="n">
        <v>-0.213531147561929</v>
      </c>
      <c r="AD179" t="inlineStr">
        <is>
          <t>DOWN</t>
        </is>
      </c>
      <c r="AE179" t="inlineStr">
        <is>
          <t>YES</t>
        </is>
      </c>
      <c r="AF179" t="n">
        <v>0.212531</v>
      </c>
      <c r="AG179">
        <f>IF($A179="","",IFERROR(INDEX(Company_List!$G$3:$G$207,MATCH($A179,Company_List!$A$3:$A$207,0)),"unassigned"))</f>
        <v/>
      </c>
      <c r="AH179" t="inlineStr">
        <is>
          <t>Phase 3/Readings/Chipotle/2025-Q3/CMG-2025-Q3-press-release-SEC-EX-99-1.htm</t>
        </is>
      </c>
      <c r="AI179" t="inlineStr">
        <is>
          <t>https://www.sec.gov/Archives/edgar/data/1058090/000105809025000086/cmg-20251029xex991.htm</t>
        </is>
      </c>
      <c r="AJ179" t="inlineStr">
        <is>
          <t>manifest</t>
        </is>
      </c>
      <c r="AK179">
        <f>IF($A179="","",IF(COUNTIFS(Human_Data_Entry!$A$3:$A$525,$A179)&gt;0,"YES","NO"))</f>
        <v/>
      </c>
      <c r="AL179">
        <f>IF($A179="","",IF(AND($C179&amp;"-"&amp;$D179&gt;=Settings!$B$19,$C179&amp;"-"&amp;$D179&lt;=Settings!$B$20),"IN","OUT"))</f>
        <v/>
      </c>
      <c r="AM179">
        <f>IF(AND(OR($H179="BUY",$H179="SELL"),ISNUMBER($T179)),$T179,"")</f>
        <v/>
      </c>
      <c r="AN179">
        <f>IF(AND(OR($H179="BUY",$H179="SELL"),ISNUMBER($AF179)),$AF179,"")</f>
        <v/>
      </c>
      <c r="AO179">
        <f>IF(ISNUMBER($AM179),ABS(IF(ISNUMBER($G179),$G179,0)-Settings!$B$25),"")</f>
        <v/>
      </c>
      <c r="AP179">
        <f>IF(ISNUMBER($AO179),$AO179*$AM179,"")</f>
        <v/>
      </c>
      <c r="AQ179">
        <f>IF(ISNUMBER($AN179),ABS(IF(ISNUMBER($G179),$G179,0)-Settings!$B$25),"")</f>
        <v/>
      </c>
      <c r="AR179">
        <f>IF(ISNUMBER($AQ179),$AQ179*$AN179,"")</f>
        <v/>
      </c>
      <c r="AS179">
        <f>IF($A179="","",IFERROR(INDEX(Company_List!$H$3:$H$207,MATCH($A179,Company_List!$A$3:$A$207,0)),"unassigned"))</f>
        <v/>
      </c>
      <c r="AT179" t="inlineStr">
        <is>
          <t>not in v1</t>
        </is>
      </c>
      <c r="AU179" t="inlineStr">
        <is>
          <t>no earlier record</t>
        </is>
      </c>
      <c r="AV179" t="n">
        <v>1</v>
      </c>
      <c r="AW179" t="inlineStr">
        <is>
          <t>not publisher-identified</t>
        </is>
      </c>
      <c r="AX179" t="inlineStr">
        <is>
          <t>not publisher-identified</t>
        </is>
      </c>
      <c r="AY179" t="inlineStr">
        <is>
          <t>no</t>
        </is>
      </c>
      <c r="AZ179" t="inlineStr">
        <is>
          <t>yes</t>
        </is>
      </c>
    </row>
    <row r="180">
      <c r="A180" s="115" t="inlineStr">
        <is>
          <t>Chipotle</t>
        </is>
      </c>
      <c r="B180" s="117" t="inlineStr">
        <is>
          <t>CMG</t>
        </is>
      </c>
      <c r="C180" s="105" t="n">
        <v>2025</v>
      </c>
      <c r="D180" s="106" t="inlineStr">
        <is>
          <t>Q4</t>
        </is>
      </c>
      <c r="E180" s="109" t="inlineStr">
        <is>
          <t>Ben/DeepSeek</t>
        </is>
      </c>
      <c r="F180" s="106" t="inlineStr">
        <is>
          <t>LLM</t>
        </is>
      </c>
      <c r="G180" s="128" t="n">
        <v>0.0025</v>
      </c>
      <c r="H180" s="106" t="inlineStr">
        <is>
          <t>HOLD</t>
        </is>
      </c>
      <c r="I180" s="128" t="n"/>
      <c r="J180" s="125" t="n">
        <v>46056</v>
      </c>
      <c r="K180" s="126" t="n">
        <v>46056</v>
      </c>
      <c r="L180" s="129" t="n">
        <v>39.17</v>
      </c>
      <c r="M180" s="126" t="n">
        <v>46057</v>
      </c>
      <c r="N180" s="129" t="n">
        <v>37.72</v>
      </c>
      <c r="O180" s="132" t="n">
        <v>0.009308</v>
      </c>
      <c r="P180" s="107" t="n">
        <v>-0.037018</v>
      </c>
      <c r="Q180" s="106" t="inlineStr">
        <is>
          <t>DOWN</t>
        </is>
      </c>
      <c r="R180" s="106" t="inlineStr">
        <is>
          <t>NO</t>
        </is>
      </c>
      <c r="S180" s="105" t="n">
        <v>0</v>
      </c>
      <c r="T180" s="107" t="n">
        <v>0</v>
      </c>
      <c r="U180" s="130" t="inlineStr">
        <is>
          <t>w=[0.55,0.45,0,0] thr=(+0.25,-0.05), deployed default (risk-accepted, PSR=0.0/perm p=0.150 at N=161, not rechecked at N=268)</t>
        </is>
      </c>
      <c r="W180" t="inlineStr">
        <is>
          <t>price signal — only this window shows an abnormal move</t>
        </is>
      </c>
      <c r="X180" t="inlineStr">
        <is>
          <t>CMG</t>
        </is>
      </c>
      <c r="Y180" t="inlineStr">
        <is>
          <t>2026-02-03</t>
        </is>
      </c>
      <c r="Z180" t="n">
        <v>39.17</v>
      </c>
      <c r="AA180" t="inlineStr">
        <is>
          <t>2026-02-04</t>
        </is>
      </c>
      <c r="AB180" t="n">
        <v>37.72</v>
      </c>
      <c r="AC180" t="n">
        <v>-0.03701805141782229</v>
      </c>
      <c r="AD180" t="inlineStr">
        <is>
          <t>DOWN</t>
        </is>
      </c>
      <c r="AE180" t="inlineStr">
        <is>
          <t>NO</t>
        </is>
      </c>
      <c r="AF180" t="n">
        <v>0</v>
      </c>
      <c r="AG180">
        <f>IF($A180="","",IFERROR(INDEX(Company_List!$G$3:$G$207,MATCH($A180,Company_List!$A$3:$A$207,0)),"unassigned"))</f>
        <v/>
      </c>
      <c r="AH180" t="inlineStr">
        <is>
          <t>Phase 3/Readings/Chipotle/2026-02-03-CHIPOTLE-ANNOUNCES-FOURTH-QUARTER-AND-FULL-YEAR-2025-RESULTS-IR.pdf</t>
        </is>
      </c>
      <c r="AJ180" t="inlineStr">
        <is>
          <t>unique filename match</t>
        </is>
      </c>
      <c r="AK180">
        <f>IF($A180="","",IF(COUNTIFS(Human_Data_Entry!$A$3:$A$525,$A180)&gt;0,"YES","NO"))</f>
        <v/>
      </c>
      <c r="AL180">
        <f>IF($A180="","",IF(AND($C180&amp;"-"&amp;$D180&gt;=Settings!$B$19,$C180&amp;"-"&amp;$D180&lt;=Settings!$B$20),"IN","OUT"))</f>
        <v/>
      </c>
      <c r="AM180">
        <f>IF(AND(OR($H180="BUY",$H180="SELL"),ISNUMBER($T180)),$T180,"")</f>
        <v/>
      </c>
      <c r="AN180">
        <f>IF(AND(OR($H180="BUY",$H180="SELL"),ISNUMBER($AF180)),$AF180,"")</f>
        <v/>
      </c>
      <c r="AO180">
        <f>IF(ISNUMBER($AM180),ABS(IF(ISNUMBER($G180),$G180,0)-Settings!$B$25),"")</f>
        <v/>
      </c>
      <c r="AP180">
        <f>IF(ISNUMBER($AO180),$AO180*$AM180,"")</f>
        <v/>
      </c>
      <c r="AQ180">
        <f>IF(ISNUMBER($AN180),ABS(IF(ISNUMBER($G180),$G180,0)-Settings!$B$25),"")</f>
        <v/>
      </c>
      <c r="AR180">
        <f>IF(ISNUMBER($AQ180),$AQ180*$AN180,"")</f>
        <v/>
      </c>
      <c r="AS180">
        <f>IF($A180="","",IFERROR(INDEX(Company_List!$H$3:$H$207,MATCH($A180,Company_List!$A$3:$A$207,0)),"unassigned"))</f>
        <v/>
      </c>
      <c r="AT180" t="inlineStr">
        <is>
          <t>not in v1</t>
        </is>
      </c>
      <c r="AU180" t="inlineStr">
        <is>
          <t>no earlier record</t>
        </is>
      </c>
      <c r="AV180" t="n">
        <v>1</v>
      </c>
      <c r="AW180" t="inlineStr">
        <is>
          <t>not publisher-identified</t>
        </is>
      </c>
      <c r="AX180" t="inlineStr">
        <is>
          <t>not publisher-identified</t>
        </is>
      </c>
      <c r="AY180" t="inlineStr">
        <is>
          <t>no</t>
        </is>
      </c>
      <c r="AZ180" t="inlineStr">
        <is>
          <t>no</t>
        </is>
      </c>
    </row>
    <row r="181">
      <c r="A181" s="115" t="inlineStr">
        <is>
          <t>Comcast Corporation</t>
        </is>
      </c>
      <c r="B181" s="117" t="inlineStr">
        <is>
          <t>CMCSA</t>
        </is>
      </c>
      <c r="C181" s="105" t="n">
        <v>2025</v>
      </c>
      <c r="D181" s="106" t="inlineStr">
        <is>
          <t>Q1</t>
        </is>
      </c>
      <c r="E181" s="109" t="inlineStr">
        <is>
          <t>Ben/DeepSeek</t>
        </is>
      </c>
      <c r="F181" s="106" t="inlineStr">
        <is>
          <t>LLM</t>
        </is>
      </c>
      <c r="G181" s="128" t="n">
        <v>-0.245</v>
      </c>
      <c r="H181" s="106" t="inlineStr">
        <is>
          <t>SELL</t>
        </is>
      </c>
      <c r="I181" s="128" t="n"/>
      <c r="J181" s="125" t="n">
        <v>45771</v>
      </c>
      <c r="K181" s="126" t="n">
        <v>45770</v>
      </c>
      <c r="L181" s="129" t="n">
        <v>32.3055</v>
      </c>
      <c r="M181" s="126" t="n">
        <v>45771</v>
      </c>
      <c r="N181" s="129" t="n">
        <v>29.97</v>
      </c>
      <c r="O181" s="132" t="n">
        <v>0.010085</v>
      </c>
      <c r="P181" s="107" t="n">
        <v>-0.072237</v>
      </c>
      <c r="Q181" s="106" t="inlineStr">
        <is>
          <t>DOWN</t>
        </is>
      </c>
      <c r="R181" s="106" t="inlineStr">
        <is>
          <t>YES</t>
        </is>
      </c>
      <c r="S181" s="105" t="n">
        <v>-1</v>
      </c>
      <c r="T181" s="107" t="n">
        <v>0.07123699999999999</v>
      </c>
      <c r="U181" s="130" t="inlineStr">
        <is>
          <t>w=[0.55,0.45,0,0] thr=(+0.25,-0.05), deployed default (risk-accepted, PSR=0.0/perm p=0.150 at N=161, not rechecked at N=268)</t>
        </is>
      </c>
      <c r="W181" t="inlineStr">
        <is>
          <t>release date + stated time in the document (document)</t>
        </is>
      </c>
      <c r="X181" t="inlineStr">
        <is>
          <t>CMCSA</t>
        </is>
      </c>
      <c r="Y181" t="inlineStr">
        <is>
          <t>2025-04-23</t>
        </is>
      </c>
      <c r="Z181" t="n">
        <v>30.5329</v>
      </c>
      <c r="AA181" t="inlineStr">
        <is>
          <t>2025-04-24</t>
        </is>
      </c>
      <c r="AB181" t="n">
        <v>28.3273</v>
      </c>
      <c r="AC181" t="n">
        <v>-0.07223681702027766</v>
      </c>
      <c r="AD181" t="inlineStr">
        <is>
          <t>DOWN</t>
        </is>
      </c>
      <c r="AE181" t="inlineStr">
        <is>
          <t>YES</t>
        </is>
      </c>
      <c r="AF181" t="n">
        <v>0.07123699999999999</v>
      </c>
      <c r="AG181">
        <f>IF($A181="","",IFERROR(INDEX(Company_List!$G$3:$G$207,MATCH($A181,Company_List!$A$3:$A$207,0)),"unassigned"))</f>
        <v/>
      </c>
      <c r="AH181" t="inlineStr">
        <is>
          <t>Phase 3/Readings/Comcast/CMCSA-USQ_Transcript_2025-04-24.pdf</t>
        </is>
      </c>
      <c r="AJ181" t="inlineStr">
        <is>
          <t>unique filename match</t>
        </is>
      </c>
      <c r="AK181">
        <f>IF($A181="","",IF(COUNTIFS(Human_Data_Entry!$A$3:$A$525,$A181)&gt;0,"YES","NO"))</f>
        <v/>
      </c>
      <c r="AL181">
        <f>IF($A181="","",IF(AND($C181&amp;"-"&amp;$D181&gt;=Settings!$B$19,$C181&amp;"-"&amp;$D181&lt;=Settings!$B$20),"IN","OUT"))</f>
        <v/>
      </c>
      <c r="AM181">
        <f>IF(AND(OR($H181="BUY",$H181="SELL"),ISNUMBER($T181)),$T181,"")</f>
        <v/>
      </c>
      <c r="AN181">
        <f>IF(AND(OR($H181="BUY",$H181="SELL"),ISNUMBER($AF181)),$AF181,"")</f>
        <v/>
      </c>
      <c r="AO181">
        <f>IF(ISNUMBER($AM181),ABS(IF(ISNUMBER($G181),$G181,0)-Settings!$B$25),"")</f>
        <v/>
      </c>
      <c r="AP181">
        <f>IF(ISNUMBER($AO181),$AO181*$AM181,"")</f>
        <v/>
      </c>
      <c r="AQ181">
        <f>IF(ISNUMBER($AN181),ABS(IF(ISNUMBER($G181),$G181,0)-Settings!$B$25),"")</f>
        <v/>
      </c>
      <c r="AR181">
        <f>IF(ISNUMBER($AQ181),$AQ181*$AN181,"")</f>
        <v/>
      </c>
      <c r="AS181">
        <f>IF($A181="","",IFERROR(INDEX(Company_List!$H$3:$H$207,MATCH($A181,Company_List!$A$3:$A$207,0)),"unassigned"))</f>
        <v/>
      </c>
      <c r="AT181" t="inlineStr">
        <is>
          <t>not in v1</t>
        </is>
      </c>
      <c r="AU181" t="inlineStr">
        <is>
          <t>no earlier record</t>
        </is>
      </c>
      <c r="AV181" t="n">
        <v>1</v>
      </c>
      <c r="AW181" t="inlineStr">
        <is>
          <t>Refinitiv / LSEG StreetEvents</t>
        </is>
      </c>
      <c r="AX181" t="inlineStr">
        <is>
          <t>licensed vendor</t>
        </is>
      </c>
      <c r="AY181" t="inlineStr">
        <is>
          <t>no</t>
        </is>
      </c>
      <c r="AZ181" t="inlineStr">
        <is>
          <t>no</t>
        </is>
      </c>
    </row>
    <row r="182">
      <c r="A182" s="115" t="inlineStr">
        <is>
          <t>Comcast Corporation</t>
        </is>
      </c>
      <c r="B182" s="117" t="inlineStr">
        <is>
          <t>CMCSA</t>
        </is>
      </c>
      <c r="C182" s="105" t="n">
        <v>2026</v>
      </c>
      <c r="D182" s="106" t="inlineStr">
        <is>
          <t>Q1</t>
        </is>
      </c>
      <c r="E182" s="109" t="inlineStr">
        <is>
          <t>Ben/DeepSeek</t>
        </is>
      </c>
      <c r="F182" s="106" t="inlineStr">
        <is>
          <t>LLM</t>
        </is>
      </c>
      <c r="G182" s="128" t="n">
        <v>0.0025</v>
      </c>
      <c r="H182" s="106" t="inlineStr">
        <is>
          <t>HOLD</t>
        </is>
      </c>
      <c r="I182" s="128" t="n"/>
      <c r="J182" s="125" t="n">
        <v>46135</v>
      </c>
      <c r="K182" s="126" t="n">
        <v>46134</v>
      </c>
      <c r="L182" s="129" t="n">
        <v>29.37</v>
      </c>
      <c r="M182" s="126" t="n">
        <v>46135</v>
      </c>
      <c r="N182" s="129" t="n">
        <v>30.5</v>
      </c>
      <c r="O182" s="132" t="n">
        <v>0.010047</v>
      </c>
      <c r="P182" s="107" t="n">
        <v>0.038475</v>
      </c>
      <c r="Q182" s="106" t="inlineStr">
        <is>
          <t>UP</t>
        </is>
      </c>
      <c r="R182" s="106" t="inlineStr">
        <is>
          <t>NO</t>
        </is>
      </c>
      <c r="S182" s="105" t="n">
        <v>0</v>
      </c>
      <c r="T182" s="107" t="n">
        <v>0</v>
      </c>
      <c r="U182" s="130" t="inlineStr">
        <is>
          <t>w=[0.55,0.45,0,0] thr=(+0.25,-0.05), deployed default (risk-accepted, PSR=0.0/perm p=0.150 at N=161, not rechecked at N=268)</t>
        </is>
      </c>
      <c r="W182" t="inlineStr">
        <is>
          <t>release date + stated time in the document (document)</t>
        </is>
      </c>
      <c r="X182" t="inlineStr">
        <is>
          <t>CMCSA</t>
        </is>
      </c>
      <c r="Y182" t="inlineStr">
        <is>
          <t>2026-04-22</t>
        </is>
      </c>
      <c r="Z182" t="n">
        <v>28.9752</v>
      </c>
      <c r="AA182" t="inlineStr">
        <is>
          <t>2026-04-23</t>
        </is>
      </c>
      <c r="AB182" t="n">
        <v>30.09</v>
      </c>
      <c r="AC182" t="n">
        <v>0.03847460761580832</v>
      </c>
      <c r="AD182" t="inlineStr">
        <is>
          <t>UP</t>
        </is>
      </c>
      <c r="AE182" t="inlineStr">
        <is>
          <t>NO</t>
        </is>
      </c>
      <c r="AF182" t="n">
        <v>0</v>
      </c>
      <c r="AG182">
        <f>IF($A182="","",IFERROR(INDEX(Company_List!$G$3:$G$207,MATCH($A182,Company_List!$A$3:$A$207,0)),"unassigned"))</f>
        <v/>
      </c>
      <c r="AH182" t="inlineStr">
        <is>
          <t>Phase 3/Readings/Comcast/CMCSA-USQ_Transcript_2026-04-23.pdf</t>
        </is>
      </c>
      <c r="AJ182" t="inlineStr">
        <is>
          <t>unique filename match</t>
        </is>
      </c>
      <c r="AK182">
        <f>IF($A182="","",IF(COUNTIFS(Human_Data_Entry!$A$3:$A$525,$A182)&gt;0,"YES","NO"))</f>
        <v/>
      </c>
      <c r="AL182">
        <f>IF($A182="","",IF(AND($C182&amp;"-"&amp;$D182&gt;=Settings!$B$19,$C182&amp;"-"&amp;$D182&lt;=Settings!$B$20),"IN","OUT"))</f>
        <v/>
      </c>
      <c r="AM182">
        <f>IF(AND(OR($H182="BUY",$H182="SELL"),ISNUMBER($T182)),$T182,"")</f>
        <v/>
      </c>
      <c r="AN182">
        <f>IF(AND(OR($H182="BUY",$H182="SELL"),ISNUMBER($AF182)),$AF182,"")</f>
        <v/>
      </c>
      <c r="AO182">
        <f>IF(ISNUMBER($AM182),ABS(IF(ISNUMBER($G182),$G182,0)-Settings!$B$25),"")</f>
        <v/>
      </c>
      <c r="AP182">
        <f>IF(ISNUMBER($AO182),$AO182*$AM182,"")</f>
        <v/>
      </c>
      <c r="AQ182">
        <f>IF(ISNUMBER($AN182),ABS(IF(ISNUMBER($G182),$G182,0)-Settings!$B$25),"")</f>
        <v/>
      </c>
      <c r="AR182">
        <f>IF(ISNUMBER($AQ182),$AQ182*$AN182,"")</f>
        <v/>
      </c>
      <c r="AS182">
        <f>IF($A182="","",IFERROR(INDEX(Company_List!$H$3:$H$207,MATCH($A182,Company_List!$A$3:$A$207,0)),"unassigned"))</f>
        <v/>
      </c>
      <c r="AT182" t="inlineStr">
        <is>
          <t>not in v1</t>
        </is>
      </c>
      <c r="AU182" t="inlineStr">
        <is>
          <t>no earlier record</t>
        </is>
      </c>
      <c r="AV182" t="n">
        <v>1</v>
      </c>
      <c r="AW182" t="inlineStr">
        <is>
          <t>Refinitiv / LSEG StreetEvents</t>
        </is>
      </c>
      <c r="AX182" t="inlineStr">
        <is>
          <t>licensed vendor</t>
        </is>
      </c>
      <c r="AY182" t="inlineStr">
        <is>
          <t>no</t>
        </is>
      </c>
      <c r="AZ182" t="inlineStr">
        <is>
          <t>no</t>
        </is>
      </c>
    </row>
    <row r="183">
      <c r="A183" s="115" t="inlineStr">
        <is>
          <t>Comcast Corporation</t>
        </is>
      </c>
      <c r="B183" s="117" t="inlineStr">
        <is>
          <t>CMCSA</t>
        </is>
      </c>
      <c r="C183" s="105" t="n">
        <v>2025</v>
      </c>
      <c r="D183" s="106" t="inlineStr">
        <is>
          <t>Q2</t>
        </is>
      </c>
      <c r="E183" s="109" t="inlineStr">
        <is>
          <t>Ben/DeepSeek</t>
        </is>
      </c>
      <c r="F183" s="106" t="inlineStr">
        <is>
          <t>LLM</t>
        </is>
      </c>
      <c r="G183" s="128" t="n">
        <v>0.1</v>
      </c>
      <c r="H183" s="106" t="inlineStr">
        <is>
          <t>HOLD</t>
        </is>
      </c>
      <c r="I183" s="128" t="n"/>
      <c r="J183" s="125" t="n">
        <v>45869</v>
      </c>
      <c r="K183" s="126" t="n">
        <v>45868</v>
      </c>
      <c r="L183" s="129" t="n">
        <v>30.4592</v>
      </c>
      <c r="M183" s="126" t="n">
        <v>45869</v>
      </c>
      <c r="N183" s="129" t="n">
        <v>31.86</v>
      </c>
      <c r="O183" s="132" t="n">
        <v>0.010375</v>
      </c>
      <c r="P183" s="107" t="n">
        <v>0.045846</v>
      </c>
      <c r="Q183" s="106" t="inlineStr">
        <is>
          <t>UP</t>
        </is>
      </c>
      <c r="R183" s="106" t="inlineStr">
        <is>
          <t>NO</t>
        </is>
      </c>
      <c r="S183" s="105" t="n">
        <v>0</v>
      </c>
      <c r="T183" s="107" t="n">
        <v>0</v>
      </c>
      <c r="U183" s="130" t="inlineStr">
        <is>
          <t>w=[0.55,0.45,0,0] thr=(+0.25,-0.05), deployed default (risk-accepted, PSR=0.0/perm p=0.150 at N=161, not rechecked at N=268)</t>
        </is>
      </c>
      <c r="W183" t="inlineStr">
        <is>
          <t>release date + stated time in the document (document)</t>
        </is>
      </c>
      <c r="X183" t="inlineStr">
        <is>
          <t>CMCSA</t>
        </is>
      </c>
      <c r="Y183" t="inlineStr">
        <is>
          <t>2025-07-30</t>
        </is>
      </c>
      <c r="Z183" t="n">
        <v>29.0518</v>
      </c>
      <c r="AA183" t="inlineStr">
        <is>
          <t>2025-07-31</t>
        </is>
      </c>
      <c r="AB183" t="n">
        <v>30.3838</v>
      </c>
      <c r="AC183" t="n">
        <v>0.04584623937001522</v>
      </c>
      <c r="AD183" t="inlineStr">
        <is>
          <t>UP</t>
        </is>
      </c>
      <c r="AE183" t="inlineStr">
        <is>
          <t>NO</t>
        </is>
      </c>
      <c r="AF183" t="n">
        <v>0</v>
      </c>
      <c r="AG183">
        <f>IF($A183="","",IFERROR(INDEX(Company_List!$G$3:$G$207,MATCH($A183,Company_List!$A$3:$A$207,0)),"unassigned"))</f>
        <v/>
      </c>
      <c r="AH183" t="inlineStr">
        <is>
          <t>Phase 3/Readings/Comcast/CMCSA-USQ_Transcript_2025-07-31.pdf</t>
        </is>
      </c>
      <c r="AJ183" t="inlineStr">
        <is>
          <t>unique filename match</t>
        </is>
      </c>
      <c r="AK183">
        <f>IF($A183="","",IF(COUNTIFS(Human_Data_Entry!$A$3:$A$525,$A183)&gt;0,"YES","NO"))</f>
        <v/>
      </c>
      <c r="AL183">
        <f>IF($A183="","",IF(AND($C183&amp;"-"&amp;$D183&gt;=Settings!$B$19,$C183&amp;"-"&amp;$D183&lt;=Settings!$B$20),"IN","OUT"))</f>
        <v/>
      </c>
      <c r="AM183">
        <f>IF(AND(OR($H183="BUY",$H183="SELL"),ISNUMBER($T183)),$T183,"")</f>
        <v/>
      </c>
      <c r="AN183">
        <f>IF(AND(OR($H183="BUY",$H183="SELL"),ISNUMBER($AF183)),$AF183,"")</f>
        <v/>
      </c>
      <c r="AO183">
        <f>IF(ISNUMBER($AM183),ABS(IF(ISNUMBER($G183),$G183,0)-Settings!$B$25),"")</f>
        <v/>
      </c>
      <c r="AP183">
        <f>IF(ISNUMBER($AO183),$AO183*$AM183,"")</f>
        <v/>
      </c>
      <c r="AQ183">
        <f>IF(ISNUMBER($AN183),ABS(IF(ISNUMBER($G183),$G183,0)-Settings!$B$25),"")</f>
        <v/>
      </c>
      <c r="AR183">
        <f>IF(ISNUMBER($AQ183),$AQ183*$AN183,"")</f>
        <v/>
      </c>
      <c r="AS183">
        <f>IF($A183="","",IFERROR(INDEX(Company_List!$H$3:$H$207,MATCH($A183,Company_List!$A$3:$A$207,0)),"unassigned"))</f>
        <v/>
      </c>
      <c r="AT183" t="inlineStr">
        <is>
          <t>not in v1</t>
        </is>
      </c>
      <c r="AU183" t="inlineStr">
        <is>
          <t>no earlier record</t>
        </is>
      </c>
      <c r="AV183" t="n">
        <v>1</v>
      </c>
      <c r="AW183" t="inlineStr">
        <is>
          <t>Refinitiv / LSEG StreetEvents</t>
        </is>
      </c>
      <c r="AX183" t="inlineStr">
        <is>
          <t>licensed vendor</t>
        </is>
      </c>
      <c r="AY183" t="inlineStr">
        <is>
          <t>no</t>
        </is>
      </c>
      <c r="AZ183" t="inlineStr">
        <is>
          <t>no</t>
        </is>
      </c>
    </row>
    <row r="184">
      <c r="A184" s="115" t="inlineStr">
        <is>
          <t>Comcast Corporation</t>
        </is>
      </c>
      <c r="B184" s="117" t="inlineStr">
        <is>
          <t>CMCSA</t>
        </is>
      </c>
      <c r="C184" s="105" t="n">
        <v>2025</v>
      </c>
      <c r="D184" s="106" t="inlineStr">
        <is>
          <t>Q4</t>
        </is>
      </c>
      <c r="E184" s="109" t="inlineStr">
        <is>
          <t>Ben/DeepSeek</t>
        </is>
      </c>
      <c r="F184" s="106" t="inlineStr">
        <is>
          <t>LLM</t>
        </is>
      </c>
      <c r="G184" s="128" t="n">
        <v>-0.0525</v>
      </c>
      <c r="H184" s="106" t="inlineStr">
        <is>
          <t>SELL</t>
        </is>
      </c>
      <c r="I184" s="128" t="n"/>
      <c r="J184" s="125" t="n">
        <v>46051</v>
      </c>
      <c r="K184" s="126" t="n">
        <v>46050</v>
      </c>
      <c r="L184" s="129" t="n">
        <v>28.41</v>
      </c>
      <c r="M184" s="126" t="n">
        <v>46051</v>
      </c>
      <c r="N184" s="129" t="n">
        <v>27.63</v>
      </c>
      <c r="O184" s="132" t="n">
        <v>0.010751</v>
      </c>
      <c r="P184" s="107" t="n">
        <v>-0.027455</v>
      </c>
      <c r="Q184" s="106" t="inlineStr">
        <is>
          <t>DOWN</t>
        </is>
      </c>
      <c r="R184" s="106" t="inlineStr">
        <is>
          <t>YES</t>
        </is>
      </c>
      <c r="S184" s="105" t="n">
        <v>-1</v>
      </c>
      <c r="T184" s="107" t="n">
        <v>0.026455</v>
      </c>
      <c r="U184" s="130" t="inlineStr">
        <is>
          <t>w=[0.55,0.45,0,0] thr=(+0.25,-0.05), deployed default (risk-accepted, PSR=0.0/perm p=0.150 at N=161, not rechecked at N=268)</t>
        </is>
      </c>
      <c r="W184" t="inlineStr">
        <is>
          <t>earnings calendar, seconded independently</t>
        </is>
      </c>
      <c r="X184" t="inlineStr">
        <is>
          <t>CMCSA</t>
        </is>
      </c>
      <c r="Y184" t="inlineStr">
        <is>
          <t>2026-01-28</t>
        </is>
      </c>
      <c r="Z184" t="n">
        <v>27.706</v>
      </c>
      <c r="AA184" t="inlineStr">
        <is>
          <t>2026-01-29</t>
        </is>
      </c>
      <c r="AB184" t="n">
        <v>26.9453</v>
      </c>
      <c r="AC184" t="n">
        <v>-0.02745509297290409</v>
      </c>
      <c r="AD184" t="inlineStr">
        <is>
          <t>DOWN</t>
        </is>
      </c>
      <c r="AE184" t="inlineStr">
        <is>
          <t>YES</t>
        </is>
      </c>
      <c r="AF184" t="n">
        <v>0.026455</v>
      </c>
      <c r="AG184">
        <f>IF($A184="","",IFERROR(INDEX(Company_List!$G$3:$G$207,MATCH($A184,Company_List!$A$3:$A$207,0)),"unassigned"))</f>
        <v/>
      </c>
      <c r="AH184" t="inlineStr">
        <is>
          <t>Phase 3/Readings/Comcast/2025-Q4/CMCSA-2025-Q4-press-release-SEC-EX-99-1.htm; Phase 3/Readings/Comcast/2025-Q4/CMCSA-2025-Q4-earnings-call-transcript-fool-com.html</t>
        </is>
      </c>
      <c r="AI184" t="inlineStr">
        <is>
          <t>https://www.fool.com/earnings/call-transcripts/2026/01/29/comcast-cmcsa-q4-2025-earnings-call-transcript/; https://www.sec.gov/Archives/edgar/data/1166691/000162828026003964/ex991-12312025.htm</t>
        </is>
      </c>
      <c r="AJ184" t="inlineStr">
        <is>
          <t>manifest (whole bundle)</t>
        </is>
      </c>
      <c r="AK184">
        <f>IF($A184="","",IF(COUNTIFS(Human_Data_Entry!$A$3:$A$525,$A184)&gt;0,"YES","NO"))</f>
        <v/>
      </c>
      <c r="AL184">
        <f>IF($A184="","",IF(AND($C184&amp;"-"&amp;$D184&gt;=Settings!$B$19,$C184&amp;"-"&amp;$D184&lt;=Settings!$B$20),"IN","OUT"))</f>
        <v/>
      </c>
      <c r="AM184">
        <f>IF(AND(OR($H184="BUY",$H184="SELL"),ISNUMBER($T184)),$T184,"")</f>
        <v/>
      </c>
      <c r="AN184">
        <f>IF(AND(OR($H184="BUY",$H184="SELL"),ISNUMBER($AF184)),$AF184,"")</f>
        <v/>
      </c>
      <c r="AO184">
        <f>IF(ISNUMBER($AM184),ABS(IF(ISNUMBER($G184),$G184,0)-Settings!$B$25),"")</f>
        <v/>
      </c>
      <c r="AP184">
        <f>IF(ISNUMBER($AO184),$AO184*$AM184,"")</f>
        <v/>
      </c>
      <c r="AQ184">
        <f>IF(ISNUMBER($AN184),ABS(IF(ISNUMBER($G184),$G184,0)-Settings!$B$25),"")</f>
        <v/>
      </c>
      <c r="AR184">
        <f>IF(ISNUMBER($AQ184),$AQ184*$AN184,"")</f>
        <v/>
      </c>
      <c r="AS184">
        <f>IF($A184="","",IFERROR(INDEX(Company_List!$H$3:$H$207,MATCH($A184,Company_List!$A$3:$A$207,0)),"unassigned"))</f>
        <v/>
      </c>
      <c r="AT184" t="inlineStr">
        <is>
          <t>not in v1</t>
        </is>
      </c>
      <c r="AU184" t="inlineStr">
        <is>
          <t>no earlier record</t>
        </is>
      </c>
      <c r="AV184" t="n">
        <v>2</v>
      </c>
      <c r="AW184" t="inlineStr">
        <is>
          <t>The Motley Fool</t>
        </is>
      </c>
      <c r="AX184" t="inlineStr">
        <is>
          <t>free to read, copyright asserted</t>
        </is>
      </c>
      <c r="AY184" t="inlineStr">
        <is>
          <t>no</t>
        </is>
      </c>
      <c r="AZ184" t="inlineStr">
        <is>
          <t>yes</t>
        </is>
      </c>
    </row>
    <row r="185">
      <c r="A185" s="115" t="inlineStr">
        <is>
          <t>Dell</t>
        </is>
      </c>
      <c r="B185" s="117" t="inlineStr">
        <is>
          <t>DELL</t>
        </is>
      </c>
      <c r="C185" s="105" t="n">
        <v>2025</v>
      </c>
      <c r="D185" s="106" t="inlineStr">
        <is>
          <t>Q1</t>
        </is>
      </c>
      <c r="E185" s="109" t="inlineStr">
        <is>
          <t>Ben/DeepSeek</t>
        </is>
      </c>
      <c r="F185" s="106" t="inlineStr">
        <is>
          <t>LLM</t>
        </is>
      </c>
      <c r="G185" s="128" t="n">
        <v>-0.06</v>
      </c>
      <c r="H185" s="106" t="inlineStr">
        <is>
          <t>SELL</t>
        </is>
      </c>
      <c r="I185" s="128" t="n"/>
      <c r="J185" s="125" t="n">
        <v>45806</v>
      </c>
      <c r="K185" s="126" t="n">
        <v>45806</v>
      </c>
      <c r="L185" s="129" t="n">
        <v>113.63</v>
      </c>
      <c r="M185" s="126" t="n">
        <v>45807</v>
      </c>
      <c r="N185" s="129" t="n">
        <v>112.48</v>
      </c>
      <c r="O185" s="132" t="n">
        <v>0.008055</v>
      </c>
      <c r="P185" s="107" t="n">
        <v>-0.010121</v>
      </c>
      <c r="Q185" s="106" t="inlineStr">
        <is>
          <t>FLAT</t>
        </is>
      </c>
      <c r="R185" s="106" t="inlineStr">
        <is>
          <t>NO</t>
        </is>
      </c>
      <c r="S185" s="105" t="n">
        <v>-1</v>
      </c>
      <c r="T185" s="107" t="n">
        <v>0.009121000000000001</v>
      </c>
      <c r="U185" s="130" t="inlineStr">
        <is>
          <t>w=[0.55,0.45,0,0] thr=(+0.25,-0.05), deployed default (risk-accepted, PSR=0.0/perm p=0.150 at N=161, not rechecked at N=268)</t>
        </is>
      </c>
      <c r="W185" t="inlineStr">
        <is>
          <t>EDGAR acceptance timestamp on the Item 2.02 8-K</t>
        </is>
      </c>
      <c r="X185" t="inlineStr">
        <is>
          <t>DELL</t>
        </is>
      </c>
      <c r="Y185" t="inlineStr">
        <is>
          <t>2025-05-29</t>
        </is>
      </c>
      <c r="Z185" t="n">
        <v>111.7435</v>
      </c>
      <c r="AA185" t="inlineStr">
        <is>
          <t>2025-05-30</t>
        </is>
      </c>
      <c r="AB185" t="n">
        <v>110.6126</v>
      </c>
      <c r="AC185" t="n">
        <v>-0.01012049540171797</v>
      </c>
      <c r="AD185" t="inlineStr">
        <is>
          <t>FLAT</t>
        </is>
      </c>
      <c r="AE185" t="inlineStr">
        <is>
          <t>NO</t>
        </is>
      </c>
      <c r="AF185" t="n">
        <v>0.00912</v>
      </c>
      <c r="AG185">
        <f>IF($A185="","",IFERROR(INDEX(Company_List!$G$3:$G$207,MATCH($A185,Company_List!$A$3:$A$207,0)),"unassigned"))</f>
        <v/>
      </c>
      <c r="AH185" t="inlineStr">
        <is>
          <t>Phase 3/Readings/Dell/Q1/Q1 FY25 Performance Review (2).pdf; Phase 3/Readings/Dell/Q1/Q1 FY25 Financial Tables.pdf; Phase 3/Readings/Dell/Q1/Q1 FY25 Financial Results Press Release.pdf; Phase 3/Readings/Dell/Q1/DELL Q1FY25 Earnings Transcript.pdf</t>
        </is>
      </c>
      <c r="AJ185" t="inlineStr">
        <is>
          <t>whole bundle (Document = All)</t>
        </is>
      </c>
      <c r="AK185">
        <f>IF($A185="","",IF(COUNTIFS(Human_Data_Entry!$A$3:$A$525,$A185)&gt;0,"YES","NO"))</f>
        <v/>
      </c>
      <c r="AL185">
        <f>IF($A185="","",IF(AND($C185&amp;"-"&amp;$D185&gt;=Settings!$B$19,$C185&amp;"-"&amp;$D185&lt;=Settings!$B$20),"IN","OUT"))</f>
        <v/>
      </c>
      <c r="AM185">
        <f>IF(AND(OR($H185="BUY",$H185="SELL"),ISNUMBER($T185)),$T185,"")</f>
        <v/>
      </c>
      <c r="AN185">
        <f>IF(AND(OR($H185="BUY",$H185="SELL"),ISNUMBER($AF185)),$AF185,"")</f>
        <v/>
      </c>
      <c r="AO185">
        <f>IF(ISNUMBER($AM185),ABS(IF(ISNUMBER($G185),$G185,0)-Settings!$B$25),"")</f>
        <v/>
      </c>
      <c r="AP185">
        <f>IF(ISNUMBER($AO185),$AO185*$AM185,"")</f>
        <v/>
      </c>
      <c r="AQ185">
        <f>IF(ISNUMBER($AN185),ABS(IF(ISNUMBER($G185),$G185,0)-Settings!$B$25),"")</f>
        <v/>
      </c>
      <c r="AR185">
        <f>IF(ISNUMBER($AQ185),$AQ185*$AN185,"")</f>
        <v/>
      </c>
      <c r="AS185">
        <f>IF($A185="","",IFERROR(INDEX(Company_List!$H$3:$H$207,MATCH($A185,Company_List!$A$3:$A$207,0)),"unassigned"))</f>
        <v/>
      </c>
      <c r="AT185" t="inlineStr">
        <is>
          <t>not in v1</t>
        </is>
      </c>
      <c r="AU185" t="inlineStr">
        <is>
          <t>no earlier record</t>
        </is>
      </c>
      <c r="AV185" t="n">
        <v>4</v>
      </c>
      <c r="AW185" t="inlineStr">
        <is>
          <t>not publisher-identified</t>
        </is>
      </c>
      <c r="AX185" t="inlineStr">
        <is>
          <t>not publisher-identified</t>
        </is>
      </c>
      <c r="AY185" t="inlineStr">
        <is>
          <t>no</t>
        </is>
      </c>
      <c r="AZ185" t="inlineStr">
        <is>
          <t>no</t>
        </is>
      </c>
    </row>
    <row r="186">
      <c r="A186" s="115" t="inlineStr">
        <is>
          <t>Dell</t>
        </is>
      </c>
      <c r="B186" s="117" t="inlineStr">
        <is>
          <t>DELL</t>
        </is>
      </c>
      <c r="C186" s="105" t="n">
        <v>2025</v>
      </c>
      <c r="D186" s="106" t="inlineStr">
        <is>
          <t>Q3</t>
        </is>
      </c>
      <c r="E186" s="109" t="inlineStr">
        <is>
          <t>Ben/DeepSeek</t>
        </is>
      </c>
      <c r="F186" s="106" t="inlineStr">
        <is>
          <t>LLM</t>
        </is>
      </c>
      <c r="G186" s="128" t="n">
        <v>0.3475</v>
      </c>
      <c r="H186" s="106" t="inlineStr">
        <is>
          <t>BUY</t>
        </is>
      </c>
      <c r="I186" s="128" t="n"/>
      <c r="J186" s="125" t="n">
        <v>45986</v>
      </c>
      <c r="K186" s="126" t="n">
        <v>45986</v>
      </c>
      <c r="L186" s="129" t="n">
        <v>125.92</v>
      </c>
      <c r="M186" s="126" t="n">
        <v>45987</v>
      </c>
      <c r="N186" s="129" t="n">
        <v>133.58</v>
      </c>
      <c r="O186" s="132" t="n">
        <v>0.008812</v>
      </c>
      <c r="P186" s="107" t="n">
        <v>0.060832</v>
      </c>
      <c r="Q186" s="106" t="inlineStr">
        <is>
          <t>UP</t>
        </is>
      </c>
      <c r="R186" s="106" t="inlineStr">
        <is>
          <t>YES</t>
        </is>
      </c>
      <c r="S186" s="105" t="n">
        <v>1</v>
      </c>
      <c r="T186" s="107" t="n">
        <v>0.059832</v>
      </c>
      <c r="U186" s="130" t="inlineStr">
        <is>
          <t>w=[0.55,0.45,0,0] thr=(+0.25,-0.05), deployed default (risk-accepted, PSR=0.0/perm p=0.150 at N=161, not rechecked at N=268)</t>
        </is>
      </c>
      <c r="W186" t="inlineStr">
        <is>
          <t>EDGAR acceptance timestamp on the Item 2.02 8-K</t>
        </is>
      </c>
      <c r="X186" t="inlineStr">
        <is>
          <t>DELL</t>
        </is>
      </c>
      <c r="Y186" t="inlineStr">
        <is>
          <t>2025-11-25</t>
        </is>
      </c>
      <c r="Z186" t="n">
        <v>124.7786</v>
      </c>
      <c r="AA186" t="inlineStr">
        <is>
          <t>2025-11-26</t>
        </is>
      </c>
      <c r="AB186" t="n">
        <v>132.3692</v>
      </c>
      <c r="AC186" t="n">
        <v>0.06083227510001989</v>
      </c>
      <c r="AD186" t="inlineStr">
        <is>
          <t>UP</t>
        </is>
      </c>
      <c r="AE186" t="inlineStr">
        <is>
          <t>YES</t>
        </is>
      </c>
      <c r="AF186" t="n">
        <v>0.059832</v>
      </c>
      <c r="AG186">
        <f>IF($A186="","",IFERROR(INDEX(Company_List!$G$3:$G$207,MATCH($A186,Company_List!$A$3:$A$207,0)),"unassigned"))</f>
        <v/>
      </c>
      <c r="AH186" t="inlineStr">
        <is>
          <t>Phase 3/Readings/Dell/Q3/Q3 FY25 Performance Review.pdf; Phase 3/Readings/Dell/Q3/Q3 FY25 Financial Tables.pdf; Phase 3/Readings/Dell/Q3/Q3 FY25 Financial Results Press Release.pdf; Phase 3/Readings/Dell/Q3/DELL Q3FY25 Earnings Transcript.pdf</t>
        </is>
      </c>
      <c r="AJ186" t="inlineStr">
        <is>
          <t>whole bundle (Document = All)</t>
        </is>
      </c>
      <c r="AK186">
        <f>IF($A186="","",IF(COUNTIFS(Human_Data_Entry!$A$3:$A$525,$A186)&gt;0,"YES","NO"))</f>
        <v/>
      </c>
      <c r="AL186">
        <f>IF($A186="","",IF(AND($C186&amp;"-"&amp;$D186&gt;=Settings!$B$19,$C186&amp;"-"&amp;$D186&lt;=Settings!$B$20),"IN","OUT"))</f>
        <v/>
      </c>
      <c r="AM186">
        <f>IF(AND(OR($H186="BUY",$H186="SELL"),ISNUMBER($T186)),$T186,"")</f>
        <v/>
      </c>
      <c r="AN186">
        <f>IF(AND(OR($H186="BUY",$H186="SELL"),ISNUMBER($AF186)),$AF186,"")</f>
        <v/>
      </c>
      <c r="AO186">
        <f>IF(ISNUMBER($AM186),ABS(IF(ISNUMBER($G186),$G186,0)-Settings!$B$25),"")</f>
        <v/>
      </c>
      <c r="AP186">
        <f>IF(ISNUMBER($AO186),$AO186*$AM186,"")</f>
        <v/>
      </c>
      <c r="AQ186">
        <f>IF(ISNUMBER($AN186),ABS(IF(ISNUMBER($G186),$G186,0)-Settings!$B$25),"")</f>
        <v/>
      </c>
      <c r="AR186">
        <f>IF(ISNUMBER($AQ186),$AQ186*$AN186,"")</f>
        <v/>
      </c>
      <c r="AS186">
        <f>IF($A186="","",IFERROR(INDEX(Company_List!$H$3:$H$207,MATCH($A186,Company_List!$A$3:$A$207,0)),"unassigned"))</f>
        <v/>
      </c>
      <c r="AT186" t="inlineStr">
        <is>
          <t>not in v1</t>
        </is>
      </c>
      <c r="AU186" t="inlineStr">
        <is>
          <t>no earlier record</t>
        </is>
      </c>
      <c r="AV186" t="n">
        <v>4</v>
      </c>
      <c r="AW186" t="inlineStr">
        <is>
          <t>not publisher-identified</t>
        </is>
      </c>
      <c r="AX186" t="inlineStr">
        <is>
          <t>not publisher-identified</t>
        </is>
      </c>
      <c r="AY186" t="inlineStr">
        <is>
          <t>no</t>
        </is>
      </c>
      <c r="AZ186" t="inlineStr">
        <is>
          <t>no</t>
        </is>
      </c>
    </row>
    <row r="187">
      <c r="A187" s="115" t="inlineStr">
        <is>
          <t>Dell</t>
        </is>
      </c>
      <c r="B187" s="117" t="inlineStr">
        <is>
          <t>DELL</t>
        </is>
      </c>
      <c r="C187" s="105" t="n">
        <v>2025</v>
      </c>
      <c r="D187" s="106" t="inlineStr">
        <is>
          <t>Q4</t>
        </is>
      </c>
      <c r="E187" s="109" t="inlineStr">
        <is>
          <t>Ben/DeepSeek</t>
        </is>
      </c>
      <c r="F187" s="106" t="inlineStr">
        <is>
          <t>LLM</t>
        </is>
      </c>
      <c r="G187" s="128" t="n">
        <v>0.2575</v>
      </c>
      <c r="H187" s="106" t="inlineStr">
        <is>
          <t>BUY</t>
        </is>
      </c>
      <c r="I187" s="128" t="n"/>
      <c r="J187" s="125" t="n">
        <v>46079</v>
      </c>
      <c r="K187" s="126" t="n">
        <v>46079</v>
      </c>
      <c r="L187" s="129" t="n">
        <v>121.45</v>
      </c>
      <c r="M187" s="126" t="n">
        <v>46080</v>
      </c>
      <c r="N187" s="129" t="n">
        <v>137.37</v>
      </c>
      <c r="O187" s="132" t="n">
        <v>0.009397000000000001</v>
      </c>
      <c r="P187" s="107" t="n">
        <v>0.131083</v>
      </c>
      <c r="Q187" s="106" t="inlineStr">
        <is>
          <t>UP</t>
        </is>
      </c>
      <c r="R187" s="106" t="inlineStr">
        <is>
          <t>YES</t>
        </is>
      </c>
      <c r="S187" s="105" t="n">
        <v>1</v>
      </c>
      <c r="T187" s="107" t="n">
        <v>0.130083</v>
      </c>
      <c r="U187" s="130" t="inlineStr">
        <is>
          <t>w=[0.55,0.45,0,0] thr=(+0.25,-0.05), deployed default (risk-accepted, PSR=0.0/perm p=0.150 at N=161, not rechecked at N=268)</t>
        </is>
      </c>
      <c r="W187" t="inlineStr">
        <is>
          <t>price signal, re-derived — only this window shows an abnormal move</t>
        </is>
      </c>
      <c r="X187" t="inlineStr">
        <is>
          <t>DELL</t>
        </is>
      </c>
      <c r="Y187" t="inlineStr">
        <is>
          <t>2026-02-26</t>
        </is>
      </c>
      <c r="Z187" t="n">
        <v>120.8756</v>
      </c>
      <c r="AA187" t="inlineStr">
        <is>
          <t>2026-02-27</t>
        </is>
      </c>
      <c r="AB187" t="n">
        <v>136.7203</v>
      </c>
      <c r="AC187" t="n">
        <v>0.1310828116306988</v>
      </c>
      <c r="AD187" t="inlineStr">
        <is>
          <t>UP</t>
        </is>
      </c>
      <c r="AE187" t="inlineStr">
        <is>
          <t>YES</t>
        </is>
      </c>
      <c r="AF187" t="n">
        <v>0.130083</v>
      </c>
      <c r="AG187">
        <f>IF($A187="","",IFERROR(INDEX(Company_List!$G$3:$G$207,MATCH($A187,Company_List!$A$3:$A$207,0)),"unassigned"))</f>
        <v/>
      </c>
      <c r="AH187" t="inlineStr">
        <is>
          <t>Phase 3/Readings/Dell/Q4/Q4 FY25 Financial Tables.pdf; Phase 3/Readings/Dell/Q4/Q4 FY25 Financial Results Press Release.pdf; Phase 3/Readings/Dell/Q4/DELL Q4FY25 Earnings Transcript.pdf</t>
        </is>
      </c>
      <c r="AJ187" t="inlineStr">
        <is>
          <t>whole bundle (Document = All)</t>
        </is>
      </c>
      <c r="AK187">
        <f>IF($A187="","",IF(COUNTIFS(Human_Data_Entry!$A$3:$A$525,$A187)&gt;0,"YES","NO"))</f>
        <v/>
      </c>
      <c r="AL187">
        <f>IF($A187="","",IF(AND($C187&amp;"-"&amp;$D187&gt;=Settings!$B$19,$C187&amp;"-"&amp;$D187&lt;=Settings!$B$20),"IN","OUT"))</f>
        <v/>
      </c>
      <c r="AM187">
        <f>IF(AND(OR($H187="BUY",$H187="SELL"),ISNUMBER($T187)),$T187,"")</f>
        <v/>
      </c>
      <c r="AN187">
        <f>IF(AND(OR($H187="BUY",$H187="SELL"),ISNUMBER($AF187)),$AF187,"")</f>
        <v/>
      </c>
      <c r="AO187">
        <f>IF(ISNUMBER($AM187),ABS(IF(ISNUMBER($G187),$G187,0)-Settings!$B$25),"")</f>
        <v/>
      </c>
      <c r="AP187">
        <f>IF(ISNUMBER($AO187),$AO187*$AM187,"")</f>
        <v/>
      </c>
      <c r="AQ187">
        <f>IF(ISNUMBER($AN187),ABS(IF(ISNUMBER($G187),$G187,0)-Settings!$B$25),"")</f>
        <v/>
      </c>
      <c r="AR187">
        <f>IF(ISNUMBER($AQ187),$AQ187*$AN187,"")</f>
        <v/>
      </c>
      <c r="AS187">
        <f>IF($A187="","",IFERROR(INDEX(Company_List!$H$3:$H$207,MATCH($A187,Company_List!$A$3:$A$207,0)),"unassigned"))</f>
        <v/>
      </c>
      <c r="AT187" t="inlineStr">
        <is>
          <t>not in v1</t>
        </is>
      </c>
      <c r="AU187" t="inlineStr">
        <is>
          <t>no earlier record</t>
        </is>
      </c>
      <c r="AV187" t="n">
        <v>3</v>
      </c>
      <c r="AW187" t="inlineStr">
        <is>
          <t>not publisher-identified</t>
        </is>
      </c>
      <c r="AX187" t="inlineStr">
        <is>
          <t>not publisher-identified</t>
        </is>
      </c>
      <c r="AY187" t="inlineStr">
        <is>
          <t>no</t>
        </is>
      </c>
      <c r="AZ187" t="inlineStr">
        <is>
          <t>no</t>
        </is>
      </c>
    </row>
    <row r="188">
      <c r="A188" s="115" t="inlineStr">
        <is>
          <t>Delta Air Lines</t>
        </is>
      </c>
      <c r="B188" s="117" t="inlineStr">
        <is>
          <t>DAL</t>
        </is>
      </c>
      <c r="C188" s="105" t="n">
        <v>2025</v>
      </c>
      <c r="D188" s="106" t="inlineStr">
        <is>
          <t>Q1</t>
        </is>
      </c>
      <c r="E188" s="109" t="inlineStr">
        <is>
          <t>Ben/DeepSeek</t>
        </is>
      </c>
      <c r="F188" s="106" t="inlineStr">
        <is>
          <t>LLM</t>
        </is>
      </c>
      <c r="G188" s="128" t="n">
        <v>-0.41</v>
      </c>
      <c r="H188" s="106" t="inlineStr">
        <is>
          <t>SELL</t>
        </is>
      </c>
      <c r="I188" s="128" t="n"/>
      <c r="J188" s="125" t="n">
        <v>45756</v>
      </c>
      <c r="K188" s="126" t="n">
        <v>45755</v>
      </c>
      <c r="L188" s="129" t="n">
        <v>35.88</v>
      </c>
      <c r="M188" s="126" t="n">
        <v>45756</v>
      </c>
      <c r="N188" s="129" t="n">
        <v>36.91</v>
      </c>
      <c r="O188" s="132" t="n">
        <v>0.012117</v>
      </c>
      <c r="P188" s="107" t="n">
        <v>0.028707</v>
      </c>
      <c r="Q188" s="106" t="inlineStr">
        <is>
          <t>UP</t>
        </is>
      </c>
      <c r="R188" s="106" t="inlineStr">
        <is>
          <t>NO</t>
        </is>
      </c>
      <c r="S188" s="105" t="n">
        <v>-1</v>
      </c>
      <c r="T188" s="107" t="n">
        <v>-0.029707</v>
      </c>
      <c r="U188" s="130" t="inlineStr">
        <is>
          <t>w=[0.55,0.45,0,0] thr=(+0.25,-0.05), deployed default (risk-accepted, PSR=0.0/perm p=0.150 at N=161, not rechecked at N=268)</t>
        </is>
      </c>
      <c r="W188" t="inlineStr">
        <is>
          <t>price signal, re-derived — both moved; this one dominates</t>
        </is>
      </c>
      <c r="X188" t="inlineStr">
        <is>
          <t>DAL</t>
        </is>
      </c>
      <c r="Y188" t="inlineStr">
        <is>
          <t>2025-04-08</t>
        </is>
      </c>
      <c r="Z188" t="n">
        <v>35.2635</v>
      </c>
      <c r="AA188" t="inlineStr">
        <is>
          <t>2025-04-09</t>
        </is>
      </c>
      <c r="AB188" t="n">
        <v>36.2758</v>
      </c>
      <c r="AC188" t="n">
        <v>0.02870683073156623</v>
      </c>
      <c r="AD188" t="inlineStr">
        <is>
          <t>UP</t>
        </is>
      </c>
      <c r="AE188" t="inlineStr">
        <is>
          <t>NO</t>
        </is>
      </c>
      <c r="AF188" t="n">
        <v>-0.029707</v>
      </c>
      <c r="AG188">
        <f>IF($A188="","",IFERROR(INDEX(Company_List!$G$3:$G$207,MATCH($A188,Company_List!$A$3:$A$207,0)),"unassigned"))</f>
        <v/>
      </c>
      <c r="AH188" t="inlineStr">
        <is>
          <t>Phase 3/Readings/Delta/2025-Q1/DAL-2025-Q1-press-release-SEC-EX-99-1.htm</t>
        </is>
      </c>
      <c r="AI188" t="inlineStr">
        <is>
          <t>https://www.sec.gov/Archives/edgar/data/27904/000168316825002353/delta_ex9901.htm</t>
        </is>
      </c>
      <c r="AJ188" t="inlineStr">
        <is>
          <t>manifest</t>
        </is>
      </c>
      <c r="AK188">
        <f>IF($A188="","",IF(COUNTIFS(Human_Data_Entry!$A$3:$A$525,$A188)&gt;0,"YES","NO"))</f>
        <v/>
      </c>
      <c r="AL188">
        <f>IF($A188="","",IF(AND($C188&amp;"-"&amp;$D188&gt;=Settings!$B$19,$C188&amp;"-"&amp;$D188&lt;=Settings!$B$20),"IN","OUT"))</f>
        <v/>
      </c>
      <c r="AM188">
        <f>IF(AND(OR($H188="BUY",$H188="SELL"),ISNUMBER($T188)),$T188,"")</f>
        <v/>
      </c>
      <c r="AN188">
        <f>IF(AND(OR($H188="BUY",$H188="SELL"),ISNUMBER($AF188)),$AF188,"")</f>
        <v/>
      </c>
      <c r="AO188">
        <f>IF(ISNUMBER($AM188),ABS(IF(ISNUMBER($G188),$G188,0)-Settings!$B$25),"")</f>
        <v/>
      </c>
      <c r="AP188">
        <f>IF(ISNUMBER($AO188),$AO188*$AM188,"")</f>
        <v/>
      </c>
      <c r="AQ188">
        <f>IF(ISNUMBER($AN188),ABS(IF(ISNUMBER($G188),$G188,0)-Settings!$B$25),"")</f>
        <v/>
      </c>
      <c r="AR188">
        <f>IF(ISNUMBER($AQ188),$AQ188*$AN188,"")</f>
        <v/>
      </c>
      <c r="AS188">
        <f>IF($A188="","",IFERROR(INDEX(Company_List!$H$3:$H$207,MATCH($A188,Company_List!$A$3:$A$207,0)),"unassigned"))</f>
        <v/>
      </c>
      <c r="AT188" t="inlineStr">
        <is>
          <t>not in v1</t>
        </is>
      </c>
      <c r="AU188" t="inlineStr">
        <is>
          <t>no earlier record</t>
        </is>
      </c>
      <c r="AV188" t="n">
        <v>1</v>
      </c>
      <c r="AW188" t="inlineStr">
        <is>
          <t>not publisher-identified</t>
        </is>
      </c>
      <c r="AX188" t="inlineStr">
        <is>
          <t>not publisher-identified</t>
        </is>
      </c>
      <c r="AY188" t="inlineStr">
        <is>
          <t>no</t>
        </is>
      </c>
      <c r="AZ188" t="inlineStr">
        <is>
          <t>yes</t>
        </is>
      </c>
    </row>
    <row r="189">
      <c r="A189" s="115" t="inlineStr">
        <is>
          <t>Delta Air Lines</t>
        </is>
      </c>
      <c r="B189" s="117" t="inlineStr">
        <is>
          <t>DAL</t>
        </is>
      </c>
      <c r="C189" s="105" t="n">
        <v>2025</v>
      </c>
      <c r="D189" s="106" t="inlineStr">
        <is>
          <t>Q2</t>
        </is>
      </c>
      <c r="E189" s="109" t="inlineStr">
        <is>
          <t>Ben/DeepSeek</t>
        </is>
      </c>
      <c r="F189" s="106" t="inlineStr">
        <is>
          <t>LLM</t>
        </is>
      </c>
      <c r="G189" s="128" t="n">
        <v>0.1825</v>
      </c>
      <c r="H189" s="106" t="inlineStr">
        <is>
          <t>HOLD</t>
        </is>
      </c>
      <c r="I189" s="128" t="n"/>
      <c r="J189" s="125" t="n">
        <v>45848</v>
      </c>
      <c r="K189" s="126" t="n">
        <v>45847</v>
      </c>
      <c r="L189" s="129" t="n">
        <v>50.7</v>
      </c>
      <c r="M189" s="126" t="n">
        <v>45848</v>
      </c>
      <c r="N189" s="129" t="n">
        <v>56.2</v>
      </c>
      <c r="O189" s="132" t="n">
        <v>0.013468</v>
      </c>
      <c r="P189" s="107" t="n">
        <v>0.108481</v>
      </c>
      <c r="Q189" s="106" t="inlineStr">
        <is>
          <t>UP</t>
        </is>
      </c>
      <c r="R189" s="106" t="inlineStr">
        <is>
          <t>NO</t>
        </is>
      </c>
      <c r="S189" s="105" t="n">
        <v>0</v>
      </c>
      <c r="T189" s="107" t="n">
        <v>0</v>
      </c>
      <c r="U189" s="130" t="inlineStr">
        <is>
          <t>w=[0.55,0.45,0,0] thr=(+0.25,-0.05), deployed default (risk-accepted, PSR=0.0/perm p=0.150 at N=161, not rechecked at N=268)</t>
        </is>
      </c>
      <c r="W189" t="inlineStr">
        <is>
          <t>price signal, re-derived — only this window shows an abnormal move</t>
        </is>
      </c>
      <c r="X189" t="inlineStr">
        <is>
          <t>DAL</t>
        </is>
      </c>
      <c r="Y189" t="inlineStr">
        <is>
          <t>2025-07-09</t>
        </is>
      </c>
      <c r="Z189" t="n">
        <v>49.9754</v>
      </c>
      <c r="AA189" t="inlineStr">
        <is>
          <t>2025-07-10</t>
        </is>
      </c>
      <c r="AB189" t="n">
        <v>55.3968</v>
      </c>
      <c r="AC189" t="n">
        <v>0.1084811517633692</v>
      </c>
      <c r="AD189" t="inlineStr">
        <is>
          <t>UP</t>
        </is>
      </c>
      <c r="AE189" t="inlineStr">
        <is>
          <t>NO</t>
        </is>
      </c>
      <c r="AF189" t="n">
        <v>0</v>
      </c>
      <c r="AG189">
        <f>IF($A189="","",IFERROR(INDEX(Company_List!$G$3:$G$207,MATCH($A189,Company_List!$A$3:$A$207,0)),"unassigned"))</f>
        <v/>
      </c>
      <c r="AH189" t="inlineStr">
        <is>
          <t>Phase 3/Readings/Delta/Q2/Delta-Air-Lines-Announces-Second-Quarter-2025.pdf; Phase 3/Readings/Delta/Q2/CORRECTED-TRANSCRIPT_-Delta-Air-Lines-Inc-DAL-US-Q2-2025-Earnings-Call.pdf</t>
        </is>
      </c>
      <c r="AJ189" t="inlineStr">
        <is>
          <t>whole bundle (Document = All)</t>
        </is>
      </c>
      <c r="AK189">
        <f>IF($A189="","",IF(COUNTIFS(Human_Data_Entry!$A$3:$A$525,$A189)&gt;0,"YES","NO"))</f>
        <v/>
      </c>
      <c r="AL189">
        <f>IF($A189="","",IF(AND($C189&amp;"-"&amp;$D189&gt;=Settings!$B$19,$C189&amp;"-"&amp;$D189&lt;=Settings!$B$20),"IN","OUT"))</f>
        <v/>
      </c>
      <c r="AM189">
        <f>IF(AND(OR($H189="BUY",$H189="SELL"),ISNUMBER($T189)),$T189,"")</f>
        <v/>
      </c>
      <c r="AN189">
        <f>IF(AND(OR($H189="BUY",$H189="SELL"),ISNUMBER($AF189)),$AF189,"")</f>
        <v/>
      </c>
      <c r="AO189">
        <f>IF(ISNUMBER($AM189),ABS(IF(ISNUMBER($G189),$G189,0)-Settings!$B$25),"")</f>
        <v/>
      </c>
      <c r="AP189">
        <f>IF(ISNUMBER($AO189),$AO189*$AM189,"")</f>
        <v/>
      </c>
      <c r="AQ189">
        <f>IF(ISNUMBER($AN189),ABS(IF(ISNUMBER($G189),$G189,0)-Settings!$B$25),"")</f>
        <v/>
      </c>
      <c r="AR189">
        <f>IF(ISNUMBER($AQ189),$AQ189*$AN189,"")</f>
        <v/>
      </c>
      <c r="AS189">
        <f>IF($A189="","",IFERROR(INDEX(Company_List!$H$3:$H$207,MATCH($A189,Company_List!$A$3:$A$207,0)),"unassigned"))</f>
        <v/>
      </c>
      <c r="AT189" t="inlineStr">
        <is>
          <t>not in v1</t>
        </is>
      </c>
      <c r="AU189" t="inlineStr">
        <is>
          <t>no earlier record</t>
        </is>
      </c>
      <c r="AV189" t="n">
        <v>2</v>
      </c>
      <c r="AW189" t="inlineStr">
        <is>
          <t>FactSet CallStreet</t>
        </is>
      </c>
      <c r="AX189" t="inlineStr">
        <is>
          <t>licensed vendor</t>
        </is>
      </c>
      <c r="AY189" t="inlineStr">
        <is>
          <t>no</t>
        </is>
      </c>
      <c r="AZ189" t="inlineStr">
        <is>
          <t>no</t>
        </is>
      </c>
    </row>
    <row r="190">
      <c r="A190" s="115" t="inlineStr">
        <is>
          <t>Delta Air Lines</t>
        </is>
      </c>
      <c r="B190" s="117" t="inlineStr">
        <is>
          <t>DAL</t>
        </is>
      </c>
      <c r="C190" s="105" t="n">
        <v>2025</v>
      </c>
      <c r="D190" s="106" t="inlineStr">
        <is>
          <t>Q3</t>
        </is>
      </c>
      <c r="E190" s="109" t="inlineStr">
        <is>
          <t>Ben/DeepSeek</t>
        </is>
      </c>
      <c r="F190" s="106" t="inlineStr">
        <is>
          <t>LLM</t>
        </is>
      </c>
      <c r="G190" s="128" t="n">
        <v>0.3275</v>
      </c>
      <c r="H190" s="106" t="inlineStr">
        <is>
          <t>BUY</t>
        </is>
      </c>
      <c r="I190" s="128" t="n"/>
      <c r="J190" s="125" t="n">
        <v>45939</v>
      </c>
      <c r="K190" s="126" t="n">
        <v>45938</v>
      </c>
      <c r="L190" s="129" t="n">
        <v>57.12</v>
      </c>
      <c r="M190" s="126" t="n">
        <v>45939</v>
      </c>
      <c r="N190" s="129" t="n">
        <v>61.9</v>
      </c>
      <c r="O190" s="132" t="n">
        <v>0.01336</v>
      </c>
      <c r="P190" s="107" t="n">
        <v>0.08368399999999999</v>
      </c>
      <c r="Q190" s="106" t="inlineStr">
        <is>
          <t>UP</t>
        </is>
      </c>
      <c r="R190" s="106" t="inlineStr">
        <is>
          <t>YES</t>
        </is>
      </c>
      <c r="S190" s="105" t="n">
        <v>1</v>
      </c>
      <c r="T190" s="107" t="n">
        <v>0.08268399999999999</v>
      </c>
      <c r="U190" s="130" t="inlineStr">
        <is>
          <t>w=[0.55,0.45,0,0] thr=(+0.25,-0.05), deployed default (risk-accepted, PSR=0.0/perm p=0.150 at N=161, not rechecked at N=268)</t>
        </is>
      </c>
      <c r="W190" t="inlineStr">
        <is>
          <t>price signal, re-derived — only this window shows an abnormal move</t>
        </is>
      </c>
      <c r="X190" t="inlineStr">
        <is>
          <t>DAL</t>
        </is>
      </c>
      <c r="Y190" t="inlineStr">
        <is>
          <t>2025-10-08</t>
        </is>
      </c>
      <c r="Z190" t="n">
        <v>56.5019</v>
      </c>
      <c r="AA190" t="inlineStr">
        <is>
          <t>2025-10-09</t>
        </is>
      </c>
      <c r="AB190" t="n">
        <v>61.2301</v>
      </c>
      <c r="AC190" t="n">
        <v>0.08368354782184646</v>
      </c>
      <c r="AD190" t="inlineStr">
        <is>
          <t>UP</t>
        </is>
      </c>
      <c r="AE190" t="inlineStr">
        <is>
          <t>YES</t>
        </is>
      </c>
      <c r="AF190" t="n">
        <v>0.08268399999999999</v>
      </c>
      <c r="AG190">
        <f>IF($A190="","",IFERROR(INDEX(Company_List!$G$3:$G$207,MATCH($A190,Company_List!$A$3:$A$207,0)),"unassigned"))</f>
        <v/>
      </c>
      <c r="AH190" t="inlineStr">
        <is>
          <t>Phase 3/Readings/Delta/Q3/Delta-Air-Lines-Announces-Third-Quarter-2025.pdf; Phase 3/Readings/Delta/Q3/CORRECTED-TRANSCRIPT-Delta-Air-Lines-Inc-DAL-US-Q3-2025-Earnings-Call.pdf</t>
        </is>
      </c>
      <c r="AJ190" t="inlineStr">
        <is>
          <t>whole bundle (Document = All)</t>
        </is>
      </c>
      <c r="AK190">
        <f>IF($A190="","",IF(COUNTIFS(Human_Data_Entry!$A$3:$A$525,$A190)&gt;0,"YES","NO"))</f>
        <v/>
      </c>
      <c r="AL190">
        <f>IF($A190="","",IF(AND($C190&amp;"-"&amp;$D190&gt;=Settings!$B$19,$C190&amp;"-"&amp;$D190&lt;=Settings!$B$20),"IN","OUT"))</f>
        <v/>
      </c>
      <c r="AM190">
        <f>IF(AND(OR($H190="BUY",$H190="SELL"),ISNUMBER($T190)),$T190,"")</f>
        <v/>
      </c>
      <c r="AN190">
        <f>IF(AND(OR($H190="BUY",$H190="SELL"),ISNUMBER($AF190)),$AF190,"")</f>
        <v/>
      </c>
      <c r="AO190">
        <f>IF(ISNUMBER($AM190),ABS(IF(ISNUMBER($G190),$G190,0)-Settings!$B$25),"")</f>
        <v/>
      </c>
      <c r="AP190">
        <f>IF(ISNUMBER($AO190),$AO190*$AM190,"")</f>
        <v/>
      </c>
      <c r="AQ190">
        <f>IF(ISNUMBER($AN190),ABS(IF(ISNUMBER($G190),$G190,0)-Settings!$B$25),"")</f>
        <v/>
      </c>
      <c r="AR190">
        <f>IF(ISNUMBER($AQ190),$AQ190*$AN190,"")</f>
        <v/>
      </c>
      <c r="AS190">
        <f>IF($A190="","",IFERROR(INDEX(Company_List!$H$3:$H$207,MATCH($A190,Company_List!$A$3:$A$207,0)),"unassigned"))</f>
        <v/>
      </c>
      <c r="AT190" t="inlineStr">
        <is>
          <t>not in v1</t>
        </is>
      </c>
      <c r="AU190" t="inlineStr">
        <is>
          <t>no earlier record</t>
        </is>
      </c>
      <c r="AV190" t="n">
        <v>2</v>
      </c>
      <c r="AW190" t="inlineStr">
        <is>
          <t>FactSet CallStreet</t>
        </is>
      </c>
      <c r="AX190" t="inlineStr">
        <is>
          <t>licensed vendor</t>
        </is>
      </c>
      <c r="AY190" t="inlineStr">
        <is>
          <t>no</t>
        </is>
      </c>
      <c r="AZ190" t="inlineStr">
        <is>
          <t>no</t>
        </is>
      </c>
    </row>
    <row r="191">
      <c r="A191" s="115" t="inlineStr">
        <is>
          <t>Delta Air Lines</t>
        </is>
      </c>
      <c r="B191" s="117" t="inlineStr">
        <is>
          <t>DAL</t>
        </is>
      </c>
      <c r="C191" s="105" t="n">
        <v>2025</v>
      </c>
      <c r="D191" s="106" t="inlineStr">
        <is>
          <t>Q4</t>
        </is>
      </c>
      <c r="E191" s="109" t="inlineStr">
        <is>
          <t>Ben/DeepSeek</t>
        </is>
      </c>
      <c r="F191" s="106" t="inlineStr">
        <is>
          <t>LLM</t>
        </is>
      </c>
      <c r="G191" s="128" t="n">
        <v>0.415</v>
      </c>
      <c r="H191" s="106" t="inlineStr">
        <is>
          <t>BUY</t>
        </is>
      </c>
      <c r="I191" s="128" t="n"/>
      <c r="J191" s="125" t="n">
        <v>46035</v>
      </c>
      <c r="K191" s="126" t="n">
        <v>46034</v>
      </c>
      <c r="L191" s="129" t="n">
        <v>71.03</v>
      </c>
      <c r="M191" s="126" t="n">
        <v>46035</v>
      </c>
      <c r="N191" s="129" t="n">
        <v>68.09999999999999</v>
      </c>
      <c r="O191" s="132" t="n">
        <v>0.015639</v>
      </c>
      <c r="P191" s="107" t="n">
        <v>-0.04125</v>
      </c>
      <c r="Q191" s="106" t="inlineStr">
        <is>
          <t>DOWN</t>
        </is>
      </c>
      <c r="R191" s="106" t="inlineStr">
        <is>
          <t>NO</t>
        </is>
      </c>
      <c r="S191" s="105" t="n">
        <v>1</v>
      </c>
      <c r="T191" s="107" t="n">
        <v>-0.04225</v>
      </c>
      <c r="U191" s="130" t="inlineStr">
        <is>
          <t>w=[0.55,0.45,0,0] thr=(+0.25,-0.05), deployed default (risk-accepted, PSR=0.0/perm p=0.150 at N=161, not rechecked at N=268)</t>
        </is>
      </c>
      <c r="W191" t="inlineStr">
        <is>
          <t>price signal, re-derived — only this window shows an abnormal move</t>
        </is>
      </c>
      <c r="X191" t="inlineStr">
        <is>
          <t>DAL</t>
        </is>
      </c>
      <c r="Y191" t="inlineStr">
        <is>
          <t>2026-01-12</t>
        </is>
      </c>
      <c r="Z191" t="n">
        <v>70.4761</v>
      </c>
      <c r="AA191" t="inlineStr">
        <is>
          <t>2026-01-13</t>
        </is>
      </c>
      <c r="AB191" t="n">
        <v>67.5689</v>
      </c>
      <c r="AC191" t="n">
        <v>-0.04125015395831894</v>
      </c>
      <c r="AD191" t="inlineStr">
        <is>
          <t>DOWN</t>
        </is>
      </c>
      <c r="AE191" t="inlineStr">
        <is>
          <t>NO</t>
        </is>
      </c>
      <c r="AF191" t="n">
        <v>-0.04225</v>
      </c>
      <c r="AG191">
        <f>IF($A191="","",IFERROR(INDEX(Company_List!$G$3:$G$207,MATCH($A191,Company_List!$A$3:$A$207,0)),"unassigned"))</f>
        <v/>
      </c>
      <c r="AH191" t="inlineStr">
        <is>
          <t>Phase 3/Readings/Delta/Q4/Delta-Air-Lines-Announces-Fourth-Quarter-2025.pdf; Phase 3/Readings/Delta/Q4/DAL-12-31-2025-10K-2-10-26-Filed.pdf; Phase 3/Readings/Delta/Q4/CORRECTED-TRANSCRIPT-Delta-Air-Lines-Inc-DAL-US-Q4-2025-Earnings-Call.pdf</t>
        </is>
      </c>
      <c r="AJ191" t="inlineStr">
        <is>
          <t>whole bundle (Document = All)</t>
        </is>
      </c>
      <c r="AK191">
        <f>IF($A191="","",IF(COUNTIFS(Human_Data_Entry!$A$3:$A$525,$A191)&gt;0,"YES","NO"))</f>
        <v/>
      </c>
      <c r="AL191">
        <f>IF($A191="","",IF(AND($C191&amp;"-"&amp;$D191&gt;=Settings!$B$19,$C191&amp;"-"&amp;$D191&lt;=Settings!$B$20),"IN","OUT"))</f>
        <v/>
      </c>
      <c r="AM191">
        <f>IF(AND(OR($H191="BUY",$H191="SELL"),ISNUMBER($T191)),$T191,"")</f>
        <v/>
      </c>
      <c r="AN191">
        <f>IF(AND(OR($H191="BUY",$H191="SELL"),ISNUMBER($AF191)),$AF191,"")</f>
        <v/>
      </c>
      <c r="AO191">
        <f>IF(ISNUMBER($AM191),ABS(IF(ISNUMBER($G191),$G191,0)-Settings!$B$25),"")</f>
        <v/>
      </c>
      <c r="AP191">
        <f>IF(ISNUMBER($AO191),$AO191*$AM191,"")</f>
        <v/>
      </c>
      <c r="AQ191">
        <f>IF(ISNUMBER($AN191),ABS(IF(ISNUMBER($G191),$G191,0)-Settings!$B$25),"")</f>
        <v/>
      </c>
      <c r="AR191">
        <f>IF(ISNUMBER($AQ191),$AQ191*$AN191,"")</f>
        <v/>
      </c>
      <c r="AS191">
        <f>IF($A191="","",IFERROR(INDEX(Company_List!$H$3:$H$207,MATCH($A191,Company_List!$A$3:$A$207,0)),"unassigned"))</f>
        <v/>
      </c>
      <c r="AT191" t="inlineStr">
        <is>
          <t>not in v1</t>
        </is>
      </c>
      <c r="AU191" t="inlineStr">
        <is>
          <t>no earlier record</t>
        </is>
      </c>
      <c r="AV191" t="n">
        <v>3</v>
      </c>
      <c r="AW191" t="inlineStr">
        <is>
          <t>FactSet CallStreet</t>
        </is>
      </c>
      <c r="AX191" t="inlineStr">
        <is>
          <t>licensed vendor</t>
        </is>
      </c>
      <c r="AY191" t="inlineStr">
        <is>
          <t>one of several</t>
        </is>
      </c>
      <c r="AZ191" t="inlineStr">
        <is>
          <t>no</t>
        </is>
      </c>
    </row>
    <row r="192">
      <c r="A192" s="115" t="inlineStr">
        <is>
          <t>Expedia</t>
        </is>
      </c>
      <c r="B192" s="117" t="inlineStr">
        <is>
          <t>EXPE</t>
        </is>
      </c>
      <c r="C192" s="105" t="n">
        <v>2025</v>
      </c>
      <c r="D192" s="106" t="inlineStr">
        <is>
          <t>Q1</t>
        </is>
      </c>
      <c r="E192" s="109" t="inlineStr">
        <is>
          <t>Ben/DeepSeek</t>
        </is>
      </c>
      <c r="F192" s="106" t="inlineStr">
        <is>
          <t>LLM</t>
        </is>
      </c>
      <c r="G192" s="128" t="n">
        <v>-0.41</v>
      </c>
      <c r="H192" s="106" t="inlineStr">
        <is>
          <t>SELL</t>
        </is>
      </c>
      <c r="I192" s="128" t="n"/>
      <c r="J192" s="125" t="n">
        <v>45785</v>
      </c>
      <c r="K192" s="126" t="n">
        <v>45785</v>
      </c>
      <c r="L192" s="129" t="n">
        <v>168.99</v>
      </c>
      <c r="M192" s="126" t="n">
        <v>45786</v>
      </c>
      <c r="N192" s="129" t="n">
        <v>152.59</v>
      </c>
      <c r="O192" s="132" t="n">
        <v>0.010105</v>
      </c>
      <c r="P192" s="107" t="n">
        <v>-0.09704700000000001</v>
      </c>
      <c r="Q192" s="106" t="inlineStr">
        <is>
          <t>DOWN</t>
        </is>
      </c>
      <c r="R192" s="106" t="inlineStr">
        <is>
          <t>YES</t>
        </is>
      </c>
      <c r="S192" s="105" t="n">
        <v>-1</v>
      </c>
      <c r="T192" s="107" t="n">
        <v>0.09604699999999999</v>
      </c>
      <c r="U192" s="130" t="inlineStr">
        <is>
          <t>w=[0.55,0.45,0,0] thr=(+0.25,-0.05), deployed default (risk-accepted, PSR=0.0/perm p=0.150 at N=161, not rechecked at N=268)</t>
        </is>
      </c>
      <c r="W192" t="inlineStr">
        <is>
          <t>document date + price signal</t>
        </is>
      </c>
      <c r="X192" t="inlineStr">
        <is>
          <t>EXPE</t>
        </is>
      </c>
      <c r="Y192" t="inlineStr">
        <is>
          <t>2025-05-08</t>
        </is>
      </c>
      <c r="Z192" t="n">
        <v>167.2699</v>
      </c>
      <c r="AA192" t="inlineStr">
        <is>
          <t>2025-05-09</t>
        </is>
      </c>
      <c r="AB192" t="n">
        <v>151.0368</v>
      </c>
      <c r="AC192" t="n">
        <v>-0.09704723191489181</v>
      </c>
      <c r="AD192" t="inlineStr">
        <is>
          <t>DOWN</t>
        </is>
      </c>
      <c r="AE192" t="inlineStr">
        <is>
          <t>YES</t>
        </is>
      </c>
      <c r="AF192" t="n">
        <v>0.09604699999999999</v>
      </c>
      <c r="AG192">
        <f>IF($A192="","",IFERROR(INDEX(Company_List!$G$3:$G$207,MATCH($A192,Company_List!$A$3:$A$207,0)),"unassigned"))</f>
        <v/>
      </c>
      <c r="AH192" t="inlineStr">
        <is>
          <t>Phase 3/Readings/Expedia/EXPE-USQ_Transcript_2025-05-08.pdf</t>
        </is>
      </c>
      <c r="AJ192" t="inlineStr">
        <is>
          <t>unique filename match</t>
        </is>
      </c>
      <c r="AK192">
        <f>IF($A192="","",IF(COUNTIFS(Human_Data_Entry!$A$3:$A$525,$A192)&gt;0,"YES","NO"))</f>
        <v/>
      </c>
      <c r="AL192">
        <f>IF($A192="","",IF(AND($C192&amp;"-"&amp;$D192&gt;=Settings!$B$19,$C192&amp;"-"&amp;$D192&lt;=Settings!$B$20),"IN","OUT"))</f>
        <v/>
      </c>
      <c r="AM192">
        <f>IF(AND(OR($H192="BUY",$H192="SELL"),ISNUMBER($T192)),$T192,"")</f>
        <v/>
      </c>
      <c r="AN192">
        <f>IF(AND(OR($H192="BUY",$H192="SELL"),ISNUMBER($AF192)),$AF192,"")</f>
        <v/>
      </c>
      <c r="AO192">
        <f>IF(ISNUMBER($AM192),ABS(IF(ISNUMBER($G192),$G192,0)-Settings!$B$25),"")</f>
        <v/>
      </c>
      <c r="AP192">
        <f>IF(ISNUMBER($AO192),$AO192*$AM192,"")</f>
        <v/>
      </c>
      <c r="AQ192">
        <f>IF(ISNUMBER($AN192),ABS(IF(ISNUMBER($G192),$G192,0)-Settings!$B$25),"")</f>
        <v/>
      </c>
      <c r="AR192">
        <f>IF(ISNUMBER($AQ192),$AQ192*$AN192,"")</f>
        <v/>
      </c>
      <c r="AS192">
        <f>IF($A192="","",IFERROR(INDEX(Company_List!$H$3:$H$207,MATCH($A192,Company_List!$A$3:$A$207,0)),"unassigned"))</f>
        <v/>
      </c>
      <c r="AT192" t="inlineStr">
        <is>
          <t>not in v1</t>
        </is>
      </c>
      <c r="AU192" t="inlineStr">
        <is>
          <t>no earlier record</t>
        </is>
      </c>
      <c r="AV192" t="n">
        <v>1</v>
      </c>
      <c r="AW192" t="inlineStr">
        <is>
          <t>Refinitiv / LSEG StreetEvents</t>
        </is>
      </c>
      <c r="AX192" t="inlineStr">
        <is>
          <t>licensed vendor</t>
        </is>
      </c>
      <c r="AY192" t="inlineStr">
        <is>
          <t>no</t>
        </is>
      </c>
      <c r="AZ192" t="inlineStr">
        <is>
          <t>no</t>
        </is>
      </c>
    </row>
    <row r="193">
      <c r="A193" s="115" t="inlineStr">
        <is>
          <t>Expedia</t>
        </is>
      </c>
      <c r="B193" s="117" t="inlineStr">
        <is>
          <t>EXPE</t>
        </is>
      </c>
      <c r="C193" s="105" t="n">
        <v>2026</v>
      </c>
      <c r="D193" s="106" t="inlineStr">
        <is>
          <t>Q1</t>
        </is>
      </c>
      <c r="E193" s="109" t="inlineStr">
        <is>
          <t>Ben/DeepSeek</t>
        </is>
      </c>
      <c r="F193" s="106" t="inlineStr">
        <is>
          <t>LLM</t>
        </is>
      </c>
      <c r="G193" s="128" t="n">
        <v>0.0025</v>
      </c>
      <c r="H193" s="106" t="inlineStr">
        <is>
          <t>HOLD</t>
        </is>
      </c>
      <c r="I193" s="128" t="n"/>
      <c r="J193" s="125" t="n">
        <v>46149</v>
      </c>
      <c r="K193" s="126" t="n">
        <v>46149</v>
      </c>
      <c r="L193" s="129" t="n">
        <v>252.79</v>
      </c>
      <c r="M193" s="126" t="n">
        <v>46150</v>
      </c>
      <c r="N193" s="129" t="n">
        <v>232.51</v>
      </c>
      <c r="O193" s="132" t="n">
        <v>0.010421</v>
      </c>
      <c r="P193" s="107" t="n">
        <v>-0.080225</v>
      </c>
      <c r="Q193" s="106" t="inlineStr">
        <is>
          <t>DOWN</t>
        </is>
      </c>
      <c r="R193" s="106" t="inlineStr">
        <is>
          <t>NO</t>
        </is>
      </c>
      <c r="S193" s="105" t="n">
        <v>0</v>
      </c>
      <c r="T193" s="107" t="n">
        <v>0</v>
      </c>
      <c r="U193" s="130" t="inlineStr">
        <is>
          <t>w=[0.55,0.45,0,0] thr=(+0.25,-0.05), deployed default (risk-accepted, PSR=0.0/perm p=0.150 at N=161, not rechecked at N=268)</t>
        </is>
      </c>
      <c r="W193" t="inlineStr">
        <is>
          <t>price signal — only this window shows an abnormal move</t>
        </is>
      </c>
      <c r="X193" t="inlineStr">
        <is>
          <t>EXPE</t>
        </is>
      </c>
      <c r="Y193" t="inlineStr">
        <is>
          <t>2026-05-07</t>
        </is>
      </c>
      <c r="Z193" t="n">
        <v>252.2544</v>
      </c>
      <c r="AA193" t="inlineStr">
        <is>
          <t>2026-05-08</t>
        </is>
      </c>
      <c r="AB193" t="n">
        <v>232.0174</v>
      </c>
      <c r="AC193" t="n">
        <v>-0.08022469436591488</v>
      </c>
      <c r="AD193" t="inlineStr">
        <is>
          <t>DOWN</t>
        </is>
      </c>
      <c r="AE193" t="inlineStr">
        <is>
          <t>NO</t>
        </is>
      </c>
      <c r="AF193" t="n">
        <v>0</v>
      </c>
      <c r="AG193">
        <f>IF($A193="","",IFERROR(INDEX(Company_List!$G$3:$G$207,MATCH($A193,Company_List!$A$3:$A$207,0)),"unassigned"))</f>
        <v/>
      </c>
      <c r="AH193" t="inlineStr">
        <is>
          <t>Phase 3/Readings/Expedia/EXPE-USQ_Transcript_2026-05-07.pdf</t>
        </is>
      </c>
      <c r="AJ193" t="inlineStr">
        <is>
          <t>unique filename match</t>
        </is>
      </c>
      <c r="AK193">
        <f>IF($A193="","",IF(COUNTIFS(Human_Data_Entry!$A$3:$A$525,$A193)&gt;0,"YES","NO"))</f>
        <v/>
      </c>
      <c r="AL193">
        <f>IF($A193="","",IF(AND($C193&amp;"-"&amp;$D193&gt;=Settings!$B$19,$C193&amp;"-"&amp;$D193&lt;=Settings!$B$20),"IN","OUT"))</f>
        <v/>
      </c>
      <c r="AM193">
        <f>IF(AND(OR($H193="BUY",$H193="SELL"),ISNUMBER($T193)),$T193,"")</f>
        <v/>
      </c>
      <c r="AN193">
        <f>IF(AND(OR($H193="BUY",$H193="SELL"),ISNUMBER($AF193)),$AF193,"")</f>
        <v/>
      </c>
      <c r="AO193">
        <f>IF(ISNUMBER($AM193),ABS(IF(ISNUMBER($G193),$G193,0)-Settings!$B$25),"")</f>
        <v/>
      </c>
      <c r="AP193">
        <f>IF(ISNUMBER($AO193),$AO193*$AM193,"")</f>
        <v/>
      </c>
      <c r="AQ193">
        <f>IF(ISNUMBER($AN193),ABS(IF(ISNUMBER($G193),$G193,0)-Settings!$B$25),"")</f>
        <v/>
      </c>
      <c r="AR193">
        <f>IF(ISNUMBER($AQ193),$AQ193*$AN193,"")</f>
        <v/>
      </c>
      <c r="AS193">
        <f>IF($A193="","",IFERROR(INDEX(Company_List!$H$3:$H$207,MATCH($A193,Company_List!$A$3:$A$207,0)),"unassigned"))</f>
        <v/>
      </c>
      <c r="AT193" t="inlineStr">
        <is>
          <t>not in v1</t>
        </is>
      </c>
      <c r="AU193" t="inlineStr">
        <is>
          <t>no earlier record</t>
        </is>
      </c>
      <c r="AV193" t="n">
        <v>1</v>
      </c>
      <c r="AW193" t="inlineStr">
        <is>
          <t>Refinitiv / LSEG StreetEvents</t>
        </is>
      </c>
      <c r="AX193" t="inlineStr">
        <is>
          <t>licensed vendor</t>
        </is>
      </c>
      <c r="AY193" t="inlineStr">
        <is>
          <t>no</t>
        </is>
      </c>
      <c r="AZ193" t="inlineStr">
        <is>
          <t>no</t>
        </is>
      </c>
    </row>
    <row r="194">
      <c r="A194" s="115" t="inlineStr">
        <is>
          <t>Expedia</t>
        </is>
      </c>
      <c r="B194" s="117" t="inlineStr">
        <is>
          <t>EXPE</t>
        </is>
      </c>
      <c r="C194" s="105" t="n">
        <v>2025</v>
      </c>
      <c r="D194" s="106" t="inlineStr">
        <is>
          <t>Q2</t>
        </is>
      </c>
      <c r="E194" s="109" t="inlineStr">
        <is>
          <t>Ben/DeepSeek</t>
        </is>
      </c>
      <c r="F194" s="106" t="inlineStr">
        <is>
          <t>LLM</t>
        </is>
      </c>
      <c r="G194" s="128" t="n">
        <v>0.2925</v>
      </c>
      <c r="H194" s="106" t="inlineStr">
        <is>
          <t>BUY</t>
        </is>
      </c>
      <c r="I194" s="128" t="n"/>
      <c r="J194" s="125" t="n">
        <v>45876</v>
      </c>
      <c r="K194" s="126" t="n">
        <v>45876</v>
      </c>
      <c r="L194" s="129" t="n">
        <v>187.61</v>
      </c>
      <c r="M194" s="126" t="n">
        <v>45877</v>
      </c>
      <c r="N194" s="129" t="n">
        <v>211.6</v>
      </c>
      <c r="O194" s="132" t="n">
        <v>0.010357</v>
      </c>
      <c r="P194" s="107" t="n">
        <v>0.127872</v>
      </c>
      <c r="Q194" s="106" t="inlineStr">
        <is>
          <t>UP</t>
        </is>
      </c>
      <c r="R194" s="106" t="inlineStr">
        <is>
          <t>YES</t>
        </is>
      </c>
      <c r="S194" s="105" t="n">
        <v>1</v>
      </c>
      <c r="T194" s="107" t="n">
        <v>0.126872</v>
      </c>
      <c r="U194" s="130" t="inlineStr">
        <is>
          <t>w=[0.55,0.45,0,0] thr=(+0.25,-0.05), deployed default (risk-accepted, PSR=0.0/perm p=0.150 at N=161, not rechecked at N=268)</t>
        </is>
      </c>
      <c r="W194" t="inlineStr">
        <is>
          <t>price signal — only this window shows an abnormal move</t>
        </is>
      </c>
      <c r="X194" t="inlineStr">
        <is>
          <t>EXPE</t>
        </is>
      </c>
      <c r="Y194" t="inlineStr">
        <is>
          <t>2025-08-07</t>
        </is>
      </c>
      <c r="Z194" t="n">
        <v>186.1444</v>
      </c>
      <c r="AA194" t="inlineStr">
        <is>
          <t>2025-08-08</t>
        </is>
      </c>
      <c r="AB194" t="n">
        <v>209.947</v>
      </c>
      <c r="AC194" t="n">
        <v>0.1278717323670675</v>
      </c>
      <c r="AD194" t="inlineStr">
        <is>
          <t>UP</t>
        </is>
      </c>
      <c r="AE194" t="inlineStr">
        <is>
          <t>YES</t>
        </is>
      </c>
      <c r="AF194" t="n">
        <v>0.126872</v>
      </c>
      <c r="AG194">
        <f>IF($A194="","",IFERROR(INDEX(Company_List!$G$3:$G$207,MATCH($A194,Company_List!$A$3:$A$207,0)),"unassigned"))</f>
        <v/>
      </c>
      <c r="AH194" t="inlineStr">
        <is>
          <t>Phase 3/Readings/Expedia/EXPE-USQ_Transcript_2025-08-07.pdf</t>
        </is>
      </c>
      <c r="AJ194" t="inlineStr">
        <is>
          <t>unique filename match</t>
        </is>
      </c>
      <c r="AK194">
        <f>IF($A194="","",IF(COUNTIFS(Human_Data_Entry!$A$3:$A$525,$A194)&gt;0,"YES","NO"))</f>
        <v/>
      </c>
      <c r="AL194">
        <f>IF($A194="","",IF(AND($C194&amp;"-"&amp;$D194&gt;=Settings!$B$19,$C194&amp;"-"&amp;$D194&lt;=Settings!$B$20),"IN","OUT"))</f>
        <v/>
      </c>
      <c r="AM194">
        <f>IF(AND(OR($H194="BUY",$H194="SELL"),ISNUMBER($T194)),$T194,"")</f>
        <v/>
      </c>
      <c r="AN194">
        <f>IF(AND(OR($H194="BUY",$H194="SELL"),ISNUMBER($AF194)),$AF194,"")</f>
        <v/>
      </c>
      <c r="AO194">
        <f>IF(ISNUMBER($AM194),ABS(IF(ISNUMBER($G194),$G194,0)-Settings!$B$25),"")</f>
        <v/>
      </c>
      <c r="AP194">
        <f>IF(ISNUMBER($AO194),$AO194*$AM194,"")</f>
        <v/>
      </c>
      <c r="AQ194">
        <f>IF(ISNUMBER($AN194),ABS(IF(ISNUMBER($G194),$G194,0)-Settings!$B$25),"")</f>
        <v/>
      </c>
      <c r="AR194">
        <f>IF(ISNUMBER($AQ194),$AQ194*$AN194,"")</f>
        <v/>
      </c>
      <c r="AS194">
        <f>IF($A194="","",IFERROR(INDEX(Company_List!$H$3:$H$207,MATCH($A194,Company_List!$A$3:$A$207,0)),"unassigned"))</f>
        <v/>
      </c>
      <c r="AT194" t="inlineStr">
        <is>
          <t>not in v1</t>
        </is>
      </c>
      <c r="AU194" t="inlineStr">
        <is>
          <t>no earlier record</t>
        </is>
      </c>
      <c r="AV194" t="n">
        <v>1</v>
      </c>
      <c r="AW194" t="inlineStr">
        <is>
          <t>Refinitiv / LSEG StreetEvents</t>
        </is>
      </c>
      <c r="AX194" t="inlineStr">
        <is>
          <t>licensed vendor</t>
        </is>
      </c>
      <c r="AY194" t="inlineStr">
        <is>
          <t>no</t>
        </is>
      </c>
      <c r="AZ194" t="inlineStr">
        <is>
          <t>no</t>
        </is>
      </c>
    </row>
    <row r="195">
      <c r="A195" s="115" t="inlineStr">
        <is>
          <t>Expedia</t>
        </is>
      </c>
      <c r="B195" s="117" t="inlineStr">
        <is>
          <t>EXPE</t>
        </is>
      </c>
      <c r="C195" s="105" t="n">
        <v>2025</v>
      </c>
      <c r="D195" s="106" t="inlineStr">
        <is>
          <t>Q4</t>
        </is>
      </c>
      <c r="E195" s="109" t="inlineStr">
        <is>
          <t>Ben/DeepSeek</t>
        </is>
      </c>
      <c r="F195" s="106" t="inlineStr">
        <is>
          <t>LLM</t>
        </is>
      </c>
      <c r="G195" s="128" t="n">
        <v>0.2775</v>
      </c>
      <c r="H195" s="106" t="inlineStr">
        <is>
          <t>BUY</t>
        </is>
      </c>
      <c r="I195" s="128" t="n"/>
      <c r="J195" s="125" t="n">
        <v>46065</v>
      </c>
      <c r="K195" s="126" t="n">
        <v>46065</v>
      </c>
      <c r="L195" s="129" t="n">
        <v>227.24</v>
      </c>
      <c r="M195" s="126" t="n">
        <v>46066</v>
      </c>
      <c r="N195" s="129" t="n">
        <v>212</v>
      </c>
      <c r="O195" s="132" t="n">
        <v>0.011038</v>
      </c>
      <c r="P195" s="107" t="n">
        <v>-0.067066</v>
      </c>
      <c r="Q195" s="106" t="inlineStr">
        <is>
          <t>DOWN</t>
        </is>
      </c>
      <c r="R195" s="106" t="inlineStr">
        <is>
          <t>NO</t>
        </is>
      </c>
      <c r="S195" s="105" t="n">
        <v>1</v>
      </c>
      <c r="T195" s="107" t="n">
        <v>-0.068066</v>
      </c>
      <c r="U195" s="130" t="inlineStr">
        <is>
          <t>w=[0.55,0.45,0,0] thr=(+0.25,-0.05), deployed default (risk-accepted, PSR=0.0/perm p=0.150 at N=161, not rechecked at N=268)</t>
        </is>
      </c>
      <c r="W195" t="inlineStr">
        <is>
          <t>price signal — both moved; this one dominates</t>
        </is>
      </c>
      <c r="X195" t="inlineStr">
        <is>
          <t>EXPE</t>
        </is>
      </c>
      <c r="Y195" t="inlineStr">
        <is>
          <t>2026-02-12</t>
        </is>
      </c>
      <c r="Z195" t="n">
        <v>226.2677</v>
      </c>
      <c r="AA195" t="inlineStr">
        <is>
          <t>2026-02-13</t>
        </is>
      </c>
      <c r="AB195" t="n">
        <v>211.0929</v>
      </c>
      <c r="AC195" t="n">
        <v>-0.06706572422558535</v>
      </c>
      <c r="AD195" t="inlineStr">
        <is>
          <t>DOWN</t>
        </is>
      </c>
      <c r="AE195" t="inlineStr">
        <is>
          <t>NO</t>
        </is>
      </c>
      <c r="AF195" t="n">
        <v>-0.068066</v>
      </c>
      <c r="AG195">
        <f>IF($A195="","",IFERROR(INDEX(Company_List!$G$3:$G$207,MATCH($A195,Company_List!$A$3:$A$207,0)),"unassigned"))</f>
        <v/>
      </c>
      <c r="AH195" t="inlineStr">
        <is>
          <t>Phase 3/Readings/Expedia/EXPE-USQ_Transcript_2026-02-12.pdf</t>
        </is>
      </c>
      <c r="AJ195" t="inlineStr">
        <is>
          <t>unique filename match</t>
        </is>
      </c>
      <c r="AK195">
        <f>IF($A195="","",IF(COUNTIFS(Human_Data_Entry!$A$3:$A$525,$A195)&gt;0,"YES","NO"))</f>
        <v/>
      </c>
      <c r="AL195">
        <f>IF($A195="","",IF(AND($C195&amp;"-"&amp;$D195&gt;=Settings!$B$19,$C195&amp;"-"&amp;$D195&lt;=Settings!$B$20),"IN","OUT"))</f>
        <v/>
      </c>
      <c r="AM195">
        <f>IF(AND(OR($H195="BUY",$H195="SELL"),ISNUMBER($T195)),$T195,"")</f>
        <v/>
      </c>
      <c r="AN195">
        <f>IF(AND(OR($H195="BUY",$H195="SELL"),ISNUMBER($AF195)),$AF195,"")</f>
        <v/>
      </c>
      <c r="AO195">
        <f>IF(ISNUMBER($AM195),ABS(IF(ISNUMBER($G195),$G195,0)-Settings!$B$25),"")</f>
        <v/>
      </c>
      <c r="AP195">
        <f>IF(ISNUMBER($AO195),$AO195*$AM195,"")</f>
        <v/>
      </c>
      <c r="AQ195">
        <f>IF(ISNUMBER($AN195),ABS(IF(ISNUMBER($G195),$G195,0)-Settings!$B$25),"")</f>
        <v/>
      </c>
      <c r="AR195">
        <f>IF(ISNUMBER($AQ195),$AQ195*$AN195,"")</f>
        <v/>
      </c>
      <c r="AS195">
        <f>IF($A195="","",IFERROR(INDEX(Company_List!$H$3:$H$207,MATCH($A195,Company_List!$A$3:$A$207,0)),"unassigned"))</f>
        <v/>
      </c>
      <c r="AT195" t="inlineStr">
        <is>
          <t>not in v1</t>
        </is>
      </c>
      <c r="AU195" t="inlineStr">
        <is>
          <t>no earlier record</t>
        </is>
      </c>
      <c r="AV195" t="n">
        <v>1</v>
      </c>
      <c r="AW195" t="inlineStr">
        <is>
          <t>Refinitiv / LSEG StreetEvents</t>
        </is>
      </c>
      <c r="AX195" t="inlineStr">
        <is>
          <t>licensed vendor</t>
        </is>
      </c>
      <c r="AY195" t="inlineStr">
        <is>
          <t>no</t>
        </is>
      </c>
      <c r="AZ195" t="inlineStr">
        <is>
          <t>no</t>
        </is>
      </c>
    </row>
    <row r="196">
      <c r="A196" s="115" t="inlineStr">
        <is>
          <t>General Mills</t>
        </is>
      </c>
      <c r="B196" s="117" t="inlineStr">
        <is>
          <t>GIS</t>
        </is>
      </c>
      <c r="C196" s="105" t="n">
        <v>2026</v>
      </c>
      <c r="D196" s="106" t="inlineStr">
        <is>
          <t>Q2</t>
        </is>
      </c>
      <c r="E196" s="109" t="inlineStr">
        <is>
          <t>Ben/DeepSeek</t>
        </is>
      </c>
      <c r="F196" s="106" t="inlineStr">
        <is>
          <t>LLM</t>
        </is>
      </c>
      <c r="G196" s="128" t="n">
        <v>0.1</v>
      </c>
      <c r="H196" s="106" t="inlineStr">
        <is>
          <t>HOLD</t>
        </is>
      </c>
      <c r="I196" s="128" t="n"/>
      <c r="J196" s="125" t="n">
        <v>46008</v>
      </c>
      <c r="K196" s="126" t="n">
        <v>46007</v>
      </c>
      <c r="L196" s="129" t="n">
        <v>47.02</v>
      </c>
      <c r="M196" s="126" t="n">
        <v>46008</v>
      </c>
      <c r="N196" s="129" t="n">
        <v>48</v>
      </c>
      <c r="O196" s="132" t="n">
        <v>0.010246</v>
      </c>
      <c r="P196" s="107" t="n">
        <v>0.020842</v>
      </c>
      <c r="Q196" s="106" t="inlineStr">
        <is>
          <t>UP</t>
        </is>
      </c>
      <c r="R196" s="106" t="inlineStr">
        <is>
          <t>NO</t>
        </is>
      </c>
      <c r="S196" s="105" t="n">
        <v>0</v>
      </c>
      <c r="T196" s="107" t="n">
        <v>0</v>
      </c>
      <c r="U196" s="130" t="inlineStr">
        <is>
          <t>w=[0.55,0.45,0,0] thr=(+0.25,-0.05), deployed default (risk-accepted, PSR=0.0/perm p=0.150 at N=161, not rechecked at N=268)</t>
        </is>
      </c>
      <c r="W196" t="inlineStr">
        <is>
          <t>release date + stated time</t>
        </is>
      </c>
      <c r="X196" t="inlineStr">
        <is>
          <t>GIS</t>
        </is>
      </c>
      <c r="Y196" t="inlineStr">
        <is>
          <t>2025-12-16</t>
        </is>
      </c>
      <c r="Z196" t="n">
        <v>44.8215</v>
      </c>
      <c r="AA196" t="inlineStr">
        <is>
          <t>2025-12-17</t>
        </is>
      </c>
      <c r="AB196" t="n">
        <v>45.7556</v>
      </c>
      <c r="AC196" t="n">
        <v>0.02084207104511671</v>
      </c>
      <c r="AD196" t="inlineStr">
        <is>
          <t>UP</t>
        </is>
      </c>
      <c r="AE196" t="inlineStr">
        <is>
          <t>NO</t>
        </is>
      </c>
      <c r="AF196" t="n">
        <v>0</v>
      </c>
      <c r="AG196">
        <f>IF($A196="","",IFERROR(INDEX(Company_List!$G$3:$G$207,MATCH($A196,Company_List!$A$3:$A$207,0)),"unassigned"))</f>
        <v/>
      </c>
      <c r="AH196" t="inlineStr">
        <is>
          <t>Phase 3/Readings/General Mills/GIS Q2 2026 Earnings Transcript.pdf</t>
        </is>
      </c>
      <c r="AJ196" t="inlineStr">
        <is>
          <t>unique filename match</t>
        </is>
      </c>
      <c r="AK196">
        <f>IF($A196="","",IF(COUNTIFS(Human_Data_Entry!$A$3:$A$525,$A196)&gt;0,"YES","NO"))</f>
        <v/>
      </c>
      <c r="AL196">
        <f>IF($A196="","",IF(AND($C196&amp;"-"&amp;$D196&gt;=Settings!$B$19,$C196&amp;"-"&amp;$D196&lt;=Settings!$B$20),"IN","OUT"))</f>
        <v/>
      </c>
      <c r="AM196">
        <f>IF(AND(OR($H196="BUY",$H196="SELL"),ISNUMBER($T196)),$T196,"")</f>
        <v/>
      </c>
      <c r="AN196">
        <f>IF(AND(OR($H196="BUY",$H196="SELL"),ISNUMBER($AF196)),$AF196,"")</f>
        <v/>
      </c>
      <c r="AO196">
        <f>IF(ISNUMBER($AM196),ABS(IF(ISNUMBER($G196),$G196,0)-Settings!$B$25),"")</f>
        <v/>
      </c>
      <c r="AP196">
        <f>IF(ISNUMBER($AO196),$AO196*$AM196,"")</f>
        <v/>
      </c>
      <c r="AQ196">
        <f>IF(ISNUMBER($AN196),ABS(IF(ISNUMBER($G196),$G196,0)-Settings!$B$25),"")</f>
        <v/>
      </c>
      <c r="AR196">
        <f>IF(ISNUMBER($AQ196),$AQ196*$AN196,"")</f>
        <v/>
      </c>
      <c r="AS196">
        <f>IF($A196="","",IFERROR(INDEX(Company_List!$H$3:$H$207,MATCH($A196,Company_List!$A$3:$A$207,0)),"unassigned"))</f>
        <v/>
      </c>
      <c r="AT196" t="inlineStr">
        <is>
          <t>not in v1</t>
        </is>
      </c>
      <c r="AU196" t="inlineStr">
        <is>
          <t>no earlier record</t>
        </is>
      </c>
      <c r="AV196" t="n">
        <v>1</v>
      </c>
      <c r="AW196" t="inlineStr">
        <is>
          <t>The Motley Fool</t>
        </is>
      </c>
      <c r="AX196" t="inlineStr">
        <is>
          <t>free to read, copyright asserted</t>
        </is>
      </c>
      <c r="AY196" t="inlineStr">
        <is>
          <t>no</t>
        </is>
      </c>
      <c r="AZ196" t="inlineStr">
        <is>
          <t>no</t>
        </is>
      </c>
    </row>
    <row r="197">
      <c r="A197" s="115" t="inlineStr">
        <is>
          <t>General Mills</t>
        </is>
      </c>
      <c r="B197" s="117" t="inlineStr">
        <is>
          <t>GIS</t>
        </is>
      </c>
      <c r="C197" s="105" t="n">
        <v>2026</v>
      </c>
      <c r="D197" s="106" t="inlineStr">
        <is>
          <t>Q3</t>
        </is>
      </c>
      <c r="E197" s="109" t="inlineStr">
        <is>
          <t>Ben/DeepSeek</t>
        </is>
      </c>
      <c r="F197" s="106" t="inlineStr">
        <is>
          <t>LLM</t>
        </is>
      </c>
      <c r="G197" s="128" t="n">
        <v>-0.21</v>
      </c>
      <c r="H197" s="106" t="inlineStr">
        <is>
          <t>SELL</t>
        </is>
      </c>
      <c r="I197" s="128" t="n"/>
      <c r="J197" s="125" t="n">
        <v>46099</v>
      </c>
      <c r="K197" s="126" t="n">
        <v>46098</v>
      </c>
      <c r="L197" s="129" t="n">
        <v>38.74</v>
      </c>
      <c r="M197" s="126" t="n">
        <v>46099</v>
      </c>
      <c r="N197" s="129" t="n">
        <v>38.65</v>
      </c>
      <c r="O197" s="132" t="n">
        <v>0.009953999999999999</v>
      </c>
      <c r="P197" s="107" t="n">
        <v>-0.002323</v>
      </c>
      <c r="Q197" s="106" t="inlineStr">
        <is>
          <t>FLAT</t>
        </is>
      </c>
      <c r="R197" s="106" t="inlineStr">
        <is>
          <t>NO</t>
        </is>
      </c>
      <c r="S197" s="105" t="n">
        <v>-1</v>
      </c>
      <c r="T197" s="107" t="n">
        <v>0.001323</v>
      </c>
      <c r="U197" s="130" t="inlineStr">
        <is>
          <t>w=[0.55,0.45,0,0] thr=(+0.25,-0.05), deployed default (risk-accepted, PSR=0.0/perm p=0.150 at N=161, not rechecked at N=268)</t>
        </is>
      </c>
      <c r="W197" t="inlineStr">
        <is>
          <t>release date + stated time</t>
        </is>
      </c>
      <c r="X197" t="inlineStr">
        <is>
          <t>GIS</t>
        </is>
      </c>
      <c r="Y197" t="inlineStr">
        <is>
          <t>2026-03-17</t>
        </is>
      </c>
      <c r="Z197" t="n">
        <v>37.4487</v>
      </c>
      <c r="AA197" t="inlineStr">
        <is>
          <t>2026-03-18</t>
        </is>
      </c>
      <c r="AB197" t="n">
        <v>37.3617</v>
      </c>
      <c r="AC197" t="n">
        <v>-0.00232318938662682</v>
      </c>
      <c r="AD197" t="inlineStr">
        <is>
          <t>FLAT</t>
        </is>
      </c>
      <c r="AE197" t="inlineStr">
        <is>
          <t>NO</t>
        </is>
      </c>
      <c r="AF197" t="n">
        <v>0.001323</v>
      </c>
      <c r="AG197">
        <f>IF($A197="","",IFERROR(INDEX(Company_List!$G$3:$G$207,MATCH($A197,Company_List!$A$3:$A$207,0)),"unassigned"))</f>
        <v/>
      </c>
      <c r="AH197" t="inlineStr">
        <is>
          <t>Phase 3/Readings/General Mills/General Millss 2026 Q3.pdf</t>
        </is>
      </c>
      <c r="AJ197" t="inlineStr">
        <is>
          <t>unique filename match</t>
        </is>
      </c>
      <c r="AK197">
        <f>IF($A197="","",IF(COUNTIFS(Human_Data_Entry!$A$3:$A$525,$A197)&gt;0,"YES","NO"))</f>
        <v/>
      </c>
      <c r="AL197">
        <f>IF($A197="","",IF(AND($C197&amp;"-"&amp;$D197&gt;=Settings!$B$19,$C197&amp;"-"&amp;$D197&lt;=Settings!$B$20),"IN","OUT"))</f>
        <v/>
      </c>
      <c r="AM197">
        <f>IF(AND(OR($H197="BUY",$H197="SELL"),ISNUMBER($T197)),$T197,"")</f>
        <v/>
      </c>
      <c r="AN197">
        <f>IF(AND(OR($H197="BUY",$H197="SELL"),ISNUMBER($AF197)),$AF197,"")</f>
        <v/>
      </c>
      <c r="AO197">
        <f>IF(ISNUMBER($AM197),ABS(IF(ISNUMBER($G197),$G197,0)-Settings!$B$25),"")</f>
        <v/>
      </c>
      <c r="AP197">
        <f>IF(ISNUMBER($AO197),$AO197*$AM197,"")</f>
        <v/>
      </c>
      <c r="AQ197">
        <f>IF(ISNUMBER($AN197),ABS(IF(ISNUMBER($G197),$G197,0)-Settings!$B$25),"")</f>
        <v/>
      </c>
      <c r="AR197">
        <f>IF(ISNUMBER($AQ197),$AQ197*$AN197,"")</f>
        <v/>
      </c>
      <c r="AS197">
        <f>IF($A197="","",IFERROR(INDEX(Company_List!$H$3:$H$207,MATCH($A197,Company_List!$A$3:$A$207,0)),"unassigned"))</f>
        <v/>
      </c>
      <c r="AT197" t="inlineStr">
        <is>
          <t>not in v1</t>
        </is>
      </c>
      <c r="AU197" t="inlineStr">
        <is>
          <t>no earlier record</t>
        </is>
      </c>
      <c r="AV197" t="n">
        <v>1</v>
      </c>
      <c r="AW197" t="inlineStr">
        <is>
          <t>not publisher-identified</t>
        </is>
      </c>
      <c r="AX197" t="inlineStr">
        <is>
          <t>not publisher-identified</t>
        </is>
      </c>
      <c r="AY197" t="inlineStr">
        <is>
          <t>no</t>
        </is>
      </c>
      <c r="AZ197" t="inlineStr">
        <is>
          <t>no</t>
        </is>
      </c>
    </row>
    <row r="198">
      <c r="A198" s="115" t="inlineStr">
        <is>
          <t>General Mills</t>
        </is>
      </c>
      <c r="B198" s="117" t="inlineStr">
        <is>
          <t>GIS</t>
        </is>
      </c>
      <c r="C198" s="105" t="n">
        <v>2026</v>
      </c>
      <c r="D198" s="106" t="inlineStr">
        <is>
          <t>Q4</t>
        </is>
      </c>
      <c r="E198" s="109" t="inlineStr">
        <is>
          <t>Ben/DeepSeek</t>
        </is>
      </c>
      <c r="F198" s="106" t="inlineStr">
        <is>
          <t>LLM</t>
        </is>
      </c>
      <c r="G198" s="128" t="n">
        <v>-0.3</v>
      </c>
      <c r="H198" s="106" t="inlineStr">
        <is>
          <t>SELL</t>
        </is>
      </c>
      <c r="I198" s="128" t="n"/>
      <c r="J198" s="125" t="n">
        <v>46204</v>
      </c>
      <c r="K198" s="126" t="n">
        <v>46203</v>
      </c>
      <c r="L198" s="129" t="n">
        <v>34.8</v>
      </c>
      <c r="M198" s="126" t="n">
        <v>46204</v>
      </c>
      <c r="N198" s="129" t="n">
        <v>37.72</v>
      </c>
      <c r="O198" s="132" t="n">
        <v>0.009717999999999999</v>
      </c>
      <c r="P198" s="107" t="n">
        <v>0.08390800000000001</v>
      </c>
      <c r="Q198" s="106" t="inlineStr">
        <is>
          <t>UP</t>
        </is>
      </c>
      <c r="R198" s="106" t="inlineStr">
        <is>
          <t>NO</t>
        </is>
      </c>
      <c r="S198" s="105" t="n">
        <v>-1</v>
      </c>
      <c r="T198" s="107" t="n">
        <v>-0.084908</v>
      </c>
      <c r="U198" s="130" t="inlineStr">
        <is>
          <t>w=[0.55,0.45,0,0] thr=(+0.25,-0.05), deployed default (risk-accepted, PSR=0.0/perm p=0.150 at N=161, not rechecked at N=268)</t>
        </is>
      </c>
      <c r="W198" t="inlineStr">
        <is>
          <t>release date + stated time</t>
        </is>
      </c>
      <c r="X198" t="inlineStr">
        <is>
          <t>GIS</t>
        </is>
      </c>
      <c r="Y198" t="inlineStr">
        <is>
          <t>2026-06-30</t>
        </is>
      </c>
      <c r="Z198" t="n">
        <v>34.2079</v>
      </c>
      <c r="AA198" t="inlineStr">
        <is>
          <t>2026-07-01</t>
        </is>
      </c>
      <c r="AB198" t="n">
        <v>37.0782</v>
      </c>
      <c r="AC198" t="n">
        <v>0.08390805978829378</v>
      </c>
      <c r="AD198" t="inlineStr">
        <is>
          <t>UP</t>
        </is>
      </c>
      <c r="AE198" t="inlineStr">
        <is>
          <t>NO</t>
        </is>
      </c>
      <c r="AF198" t="n">
        <v>-0.084908</v>
      </c>
      <c r="AG198">
        <f>IF($A198="","",IFERROR(INDEX(Company_List!$G$3:$G$207,MATCH($A198,Company_List!$A$3:$A$207,0)),"unassigned"))</f>
        <v/>
      </c>
      <c r="AH198" t="inlineStr">
        <is>
          <t>Phase 3/Readings/General Mills/GIS Q4 2026 Earnings Call Transcript.pdf</t>
        </is>
      </c>
      <c r="AJ198" t="inlineStr">
        <is>
          <t>unique filename match</t>
        </is>
      </c>
      <c r="AK198">
        <f>IF($A198="","",IF(COUNTIFS(Human_Data_Entry!$A$3:$A$525,$A198)&gt;0,"YES","NO"))</f>
        <v/>
      </c>
      <c r="AL198">
        <f>IF($A198="","",IF(AND($C198&amp;"-"&amp;$D198&gt;=Settings!$B$19,$C198&amp;"-"&amp;$D198&lt;=Settings!$B$20),"IN","OUT"))</f>
        <v/>
      </c>
      <c r="AM198">
        <f>IF(AND(OR($H198="BUY",$H198="SELL"),ISNUMBER($T198)),$T198,"")</f>
        <v/>
      </c>
      <c r="AN198">
        <f>IF(AND(OR($H198="BUY",$H198="SELL"),ISNUMBER($AF198)),$AF198,"")</f>
        <v/>
      </c>
      <c r="AO198">
        <f>IF(ISNUMBER($AM198),ABS(IF(ISNUMBER($G198),$G198,0)-Settings!$B$25),"")</f>
        <v/>
      </c>
      <c r="AP198">
        <f>IF(ISNUMBER($AO198),$AO198*$AM198,"")</f>
        <v/>
      </c>
      <c r="AQ198">
        <f>IF(ISNUMBER($AN198),ABS(IF(ISNUMBER($G198),$G198,0)-Settings!$B$25),"")</f>
        <v/>
      </c>
      <c r="AR198">
        <f>IF(ISNUMBER($AQ198),$AQ198*$AN198,"")</f>
        <v/>
      </c>
      <c r="AS198">
        <f>IF($A198="","",IFERROR(INDEX(Company_List!$H$3:$H$207,MATCH($A198,Company_List!$A$3:$A$207,0)),"unassigned"))</f>
        <v/>
      </c>
      <c r="AT198" t="inlineStr">
        <is>
          <t>not in v1</t>
        </is>
      </c>
      <c r="AU198" t="inlineStr">
        <is>
          <t>no earlier record</t>
        </is>
      </c>
      <c r="AV198" t="n">
        <v>1</v>
      </c>
      <c r="AW198" t="inlineStr">
        <is>
          <t>The Motley Fool</t>
        </is>
      </c>
      <c r="AX198" t="inlineStr">
        <is>
          <t>free to read, copyright asserted</t>
        </is>
      </c>
      <c r="AY198" t="inlineStr">
        <is>
          <t>no</t>
        </is>
      </c>
      <c r="AZ198" t="inlineStr">
        <is>
          <t>no</t>
        </is>
      </c>
    </row>
    <row r="199">
      <c r="A199" s="115" t="inlineStr">
        <is>
          <t>Johnson &amp; Johnson</t>
        </is>
      </c>
      <c r="B199" s="117" t="inlineStr">
        <is>
          <t>JNJ</t>
        </is>
      </c>
      <c r="C199" s="105" t="n">
        <v>2025</v>
      </c>
      <c r="D199" s="106" t="inlineStr">
        <is>
          <t>Q1</t>
        </is>
      </c>
      <c r="E199" s="109" t="inlineStr">
        <is>
          <t>Ben/DeepSeek</t>
        </is>
      </c>
      <c r="F199" s="106" t="inlineStr">
        <is>
          <t>LLM</t>
        </is>
      </c>
      <c r="G199" s="128" t="n">
        <v>0.0025</v>
      </c>
      <c r="H199" s="106" t="inlineStr">
        <is>
          <t>HOLD</t>
        </is>
      </c>
      <c r="I199" s="128" t="n"/>
      <c r="J199" s="125" t="n">
        <v>45762</v>
      </c>
      <c r="K199" s="126" t="n">
        <v>45761</v>
      </c>
      <c r="L199" s="129" t="n">
        <v>154.36</v>
      </c>
      <c r="M199" s="126" t="n">
        <v>45762</v>
      </c>
      <c r="N199" s="129" t="n">
        <v>155.7</v>
      </c>
      <c r="O199" s="132" t="n">
        <v>0.011317</v>
      </c>
      <c r="P199" s="107" t="n">
        <v>0.008680999999999999</v>
      </c>
      <c r="Q199" s="106" t="inlineStr">
        <is>
          <t>FLAT</t>
        </is>
      </c>
      <c r="R199" s="106" t="inlineStr">
        <is>
          <t>YES</t>
        </is>
      </c>
      <c r="S199" s="105" t="n">
        <v>0</v>
      </c>
      <c r="T199" s="107" t="n">
        <v>0</v>
      </c>
      <c r="U199" s="130" t="inlineStr">
        <is>
          <t>w=[0.55,0.45,0,0] thr=(+0.25,-0.05), deployed default (risk-accepted, PSR=0.0/perm p=0.150 at N=161, not rechecked at N=268)</t>
        </is>
      </c>
      <c r="W199" t="inlineStr">
        <is>
          <t>release date + stated time</t>
        </is>
      </c>
      <c r="X199" t="inlineStr">
        <is>
          <t>JNJ</t>
        </is>
      </c>
      <c r="Y199" t="inlineStr">
        <is>
          <t>2025-04-14</t>
        </is>
      </c>
      <c r="Z199" t="n">
        <v>149.3171</v>
      </c>
      <c r="AA199" t="inlineStr">
        <is>
          <t>2025-04-15</t>
        </is>
      </c>
      <c r="AB199" t="n">
        <v>150.6133</v>
      </c>
      <c r="AC199" t="n">
        <v>0.008680939853563819</v>
      </c>
      <c r="AD199" t="inlineStr">
        <is>
          <t>FLAT</t>
        </is>
      </c>
      <c r="AE199" t="inlineStr">
        <is>
          <t>YES</t>
        </is>
      </c>
      <c r="AF199" t="n">
        <v>0</v>
      </c>
      <c r="AG199">
        <f>IF($A199="","",IFERROR(INDEX(Company_List!$G$3:$G$207,MATCH($A199,Company_List!$A$3:$A$207,0)),"unassigned"))</f>
        <v/>
      </c>
      <c r="AH199" t="inlineStr">
        <is>
          <t>Phase 3/Readings/Jonson &amp; Jonson/JNJ_N-Transcript-2025-04-15T12_30.pdf</t>
        </is>
      </c>
      <c r="AJ199" t="inlineStr">
        <is>
          <t>unique filename match</t>
        </is>
      </c>
      <c r="AK199">
        <f>IF($A199="","",IF(COUNTIFS(Human_Data_Entry!$A$3:$A$525,$A199)&gt;0,"YES","NO"))</f>
        <v/>
      </c>
      <c r="AL199">
        <f>IF($A199="","",IF(AND($C199&amp;"-"&amp;$D199&gt;=Settings!$B$19,$C199&amp;"-"&amp;$D199&lt;=Settings!$B$20),"IN","OUT"))</f>
        <v/>
      </c>
      <c r="AM199">
        <f>IF(AND(OR($H199="BUY",$H199="SELL"),ISNUMBER($T199)),$T199,"")</f>
        <v/>
      </c>
      <c r="AN199">
        <f>IF(AND(OR($H199="BUY",$H199="SELL"),ISNUMBER($AF199)),$AF199,"")</f>
        <v/>
      </c>
      <c r="AO199">
        <f>IF(ISNUMBER($AM199),ABS(IF(ISNUMBER($G199),$G199,0)-Settings!$B$25),"")</f>
        <v/>
      </c>
      <c r="AP199">
        <f>IF(ISNUMBER($AO199),$AO199*$AM199,"")</f>
        <v/>
      </c>
      <c r="AQ199">
        <f>IF(ISNUMBER($AN199),ABS(IF(ISNUMBER($G199),$G199,0)-Settings!$B$25),"")</f>
        <v/>
      </c>
      <c r="AR199">
        <f>IF(ISNUMBER($AQ199),$AQ199*$AN199,"")</f>
        <v/>
      </c>
      <c r="AS199">
        <f>IF($A199="","",IFERROR(INDEX(Company_List!$H$3:$H$207,MATCH($A199,Company_List!$A$3:$A$207,0)),"unassigned"))</f>
        <v/>
      </c>
      <c r="AT199" t="inlineStr">
        <is>
          <t>not in v1</t>
        </is>
      </c>
      <c r="AU199" t="inlineStr">
        <is>
          <t>no earlier record</t>
        </is>
      </c>
      <c r="AV199" t="n">
        <v>1</v>
      </c>
      <c r="AW199" t="inlineStr">
        <is>
          <t>Refinitiv / LSEG StreetEvents</t>
        </is>
      </c>
      <c r="AX199" t="inlineStr">
        <is>
          <t>licensed vendor</t>
        </is>
      </c>
      <c r="AY199" t="inlineStr">
        <is>
          <t>no</t>
        </is>
      </c>
      <c r="AZ199" t="inlineStr">
        <is>
          <t>no</t>
        </is>
      </c>
    </row>
    <row r="200">
      <c r="A200" s="115" t="inlineStr">
        <is>
          <t>Johnson &amp; Johnson</t>
        </is>
      </c>
      <c r="B200" s="117" t="inlineStr">
        <is>
          <t>JNJ</t>
        </is>
      </c>
      <c r="C200" s="105" t="n">
        <v>2025</v>
      </c>
      <c r="D200" s="106" t="inlineStr">
        <is>
          <t>Q2</t>
        </is>
      </c>
      <c r="E200" s="109" t="inlineStr">
        <is>
          <t>Ben/DeepSeek</t>
        </is>
      </c>
      <c r="F200" s="106" t="inlineStr">
        <is>
          <t>LLM</t>
        </is>
      </c>
      <c r="G200" s="128" t="n">
        <v>0.3475</v>
      </c>
      <c r="H200" s="106" t="inlineStr">
        <is>
          <t>BUY</t>
        </is>
      </c>
      <c r="I200" s="128" t="n"/>
      <c r="J200" s="125" t="n">
        <v>45854</v>
      </c>
      <c r="K200" s="126" t="n">
        <v>45853</v>
      </c>
      <c r="L200" s="129" t="n">
        <v>155.17</v>
      </c>
      <c r="M200" s="126" t="n">
        <v>45854</v>
      </c>
      <c r="N200" s="129" t="n">
        <v>160.3</v>
      </c>
      <c r="O200" s="132" t="n">
        <v>0.011801</v>
      </c>
      <c r="P200" s="107" t="n">
        <v>0.033061</v>
      </c>
      <c r="Q200" s="106" t="inlineStr">
        <is>
          <t>UP</t>
        </is>
      </c>
      <c r="R200" s="106" t="inlineStr">
        <is>
          <t>YES</t>
        </is>
      </c>
      <c r="S200" s="105" t="n">
        <v>1</v>
      </c>
      <c r="T200" s="107" t="n">
        <v>0.032061</v>
      </c>
      <c r="U200" s="130" t="inlineStr">
        <is>
          <t>w=[0.55,0.45,0,0] thr=(+0.25,-0.05), deployed default (risk-accepted, PSR=0.0/perm p=0.150 at N=161, not rechecked at N=268)</t>
        </is>
      </c>
      <c r="W200" t="inlineStr">
        <is>
          <t>release date + stated time in the document (document)</t>
        </is>
      </c>
      <c r="X200" t="inlineStr">
        <is>
          <t>JNJ</t>
        </is>
      </c>
      <c r="Y200" t="inlineStr">
        <is>
          <t>2025-07-15</t>
        </is>
      </c>
      <c r="Z200" t="n">
        <v>151.3874</v>
      </c>
      <c r="AA200" t="inlineStr">
        <is>
          <t>2025-07-16</t>
        </is>
      </c>
      <c r="AB200" t="n">
        <v>156.3924</v>
      </c>
      <c r="AC200" t="n">
        <v>0.03306050751914497</v>
      </c>
      <c r="AD200" t="inlineStr">
        <is>
          <t>UP</t>
        </is>
      </c>
      <c r="AE200" t="inlineStr">
        <is>
          <t>YES</t>
        </is>
      </c>
      <c r="AF200" t="n">
        <v>0.032061</v>
      </c>
      <c r="AG200">
        <f>IF($A200="","",IFERROR(INDEX(Company_List!$G$3:$G$207,MATCH($A200,Company_List!$A$3:$A$207,0)),"unassigned"))</f>
        <v/>
      </c>
      <c r="AH200" t="inlineStr">
        <is>
          <t>Phase 3/Readings/Jonson &amp; Jonson/JNJ-USQ_Transcript_2025-07-16.pdf</t>
        </is>
      </c>
      <c r="AJ200" t="inlineStr">
        <is>
          <t>unique filename match</t>
        </is>
      </c>
      <c r="AK200">
        <f>IF($A200="","",IF(COUNTIFS(Human_Data_Entry!$A$3:$A$525,$A200)&gt;0,"YES","NO"))</f>
        <v/>
      </c>
      <c r="AL200">
        <f>IF($A200="","",IF(AND($C200&amp;"-"&amp;$D200&gt;=Settings!$B$19,$C200&amp;"-"&amp;$D200&lt;=Settings!$B$20),"IN","OUT"))</f>
        <v/>
      </c>
      <c r="AM200">
        <f>IF(AND(OR($H200="BUY",$H200="SELL"),ISNUMBER($T200)),$T200,"")</f>
        <v/>
      </c>
      <c r="AN200">
        <f>IF(AND(OR($H200="BUY",$H200="SELL"),ISNUMBER($AF200)),$AF200,"")</f>
        <v/>
      </c>
      <c r="AO200">
        <f>IF(ISNUMBER($AM200),ABS(IF(ISNUMBER($G200),$G200,0)-Settings!$B$25),"")</f>
        <v/>
      </c>
      <c r="AP200">
        <f>IF(ISNUMBER($AO200),$AO200*$AM200,"")</f>
        <v/>
      </c>
      <c r="AQ200">
        <f>IF(ISNUMBER($AN200),ABS(IF(ISNUMBER($G200),$G200,0)-Settings!$B$25),"")</f>
        <v/>
      </c>
      <c r="AR200">
        <f>IF(ISNUMBER($AQ200),$AQ200*$AN200,"")</f>
        <v/>
      </c>
      <c r="AS200">
        <f>IF($A200="","",IFERROR(INDEX(Company_List!$H$3:$H$207,MATCH($A200,Company_List!$A$3:$A$207,0)),"unassigned"))</f>
        <v/>
      </c>
      <c r="AT200" t="inlineStr">
        <is>
          <t>not in v1</t>
        </is>
      </c>
      <c r="AU200" t="inlineStr">
        <is>
          <t>no earlier record</t>
        </is>
      </c>
      <c r="AV200" t="n">
        <v>1</v>
      </c>
      <c r="AW200" t="inlineStr">
        <is>
          <t>Refinitiv / LSEG StreetEvents</t>
        </is>
      </c>
      <c r="AX200" t="inlineStr">
        <is>
          <t>licensed vendor</t>
        </is>
      </c>
      <c r="AY200" t="inlineStr">
        <is>
          <t>no</t>
        </is>
      </c>
      <c r="AZ200" t="inlineStr">
        <is>
          <t>no</t>
        </is>
      </c>
    </row>
    <row r="201">
      <c r="A201" s="115" t="inlineStr">
        <is>
          <t>Johnson &amp; Johnson</t>
        </is>
      </c>
      <c r="B201" s="117" t="inlineStr">
        <is>
          <t>JNJ</t>
        </is>
      </c>
      <c r="C201" s="105" t="n">
        <v>2025</v>
      </c>
      <c r="D201" s="106" t="inlineStr">
        <is>
          <t>Q3</t>
        </is>
      </c>
      <c r="E201" s="109" t="inlineStr">
        <is>
          <t>Ben/DeepSeek</t>
        </is>
      </c>
      <c r="F201" s="106" t="inlineStr">
        <is>
          <t>LLM</t>
        </is>
      </c>
      <c r="G201" s="128" t="n">
        <v>0.4375</v>
      </c>
      <c r="H201" s="106" t="inlineStr">
        <is>
          <t>BUY</t>
        </is>
      </c>
      <c r="I201" s="128" t="n"/>
      <c r="J201" s="125" t="n">
        <v>45944</v>
      </c>
      <c r="K201" s="126" t="n">
        <v>45943</v>
      </c>
      <c r="L201" s="129" t="n">
        <v>190.9</v>
      </c>
      <c r="M201" s="126" t="n">
        <v>45944</v>
      </c>
      <c r="N201" s="129" t="n">
        <v>192.92</v>
      </c>
      <c r="O201" s="132" t="n">
        <v>0.011862</v>
      </c>
      <c r="P201" s="107" t="n">
        <v>0.010581</v>
      </c>
      <c r="Q201" s="106" t="inlineStr">
        <is>
          <t>FLAT</t>
        </is>
      </c>
      <c r="R201" s="106" t="inlineStr">
        <is>
          <t>NO</t>
        </is>
      </c>
      <c r="S201" s="105" t="n">
        <v>1</v>
      </c>
      <c r="T201" s="107" t="n">
        <v>0.009580999999999999</v>
      </c>
      <c r="U201" s="130" t="inlineStr">
        <is>
          <t>w=[0.55,0.45,0,0] thr=(+0.25,-0.05), deployed default (risk-accepted, PSR=0.0/perm p=0.150 at N=161, not rechecked at N=268)</t>
        </is>
      </c>
      <c r="W201" t="inlineStr">
        <is>
          <t>release date + stated time in the document (document)</t>
        </is>
      </c>
      <c r="X201" t="inlineStr">
        <is>
          <t>JNJ</t>
        </is>
      </c>
      <c r="Y201" t="inlineStr">
        <is>
          <t>2025-10-13</t>
        </is>
      </c>
      <c r="Z201" t="n">
        <v>187.6135</v>
      </c>
      <c r="AA201" t="inlineStr">
        <is>
          <t>2025-10-14</t>
        </is>
      </c>
      <c r="AB201" t="n">
        <v>189.5987</v>
      </c>
      <c r="AC201" t="n">
        <v>0.01058152825636535</v>
      </c>
      <c r="AD201" t="inlineStr">
        <is>
          <t>FLAT</t>
        </is>
      </c>
      <c r="AE201" t="inlineStr">
        <is>
          <t>NO</t>
        </is>
      </c>
      <c r="AF201" t="n">
        <v>0.009582</v>
      </c>
      <c r="AG201">
        <f>IF($A201="","",IFERROR(INDEX(Company_List!$G$3:$G$207,MATCH($A201,Company_List!$A$3:$A$207,0)),"unassigned"))</f>
        <v/>
      </c>
      <c r="AH201" t="inlineStr">
        <is>
          <t>Phase 3/Readings/Jonson &amp; Jonson/JNJ-USQ_Transcript_2025-10-14.pdf</t>
        </is>
      </c>
      <c r="AJ201" t="inlineStr">
        <is>
          <t>unique filename match</t>
        </is>
      </c>
      <c r="AK201">
        <f>IF($A201="","",IF(COUNTIFS(Human_Data_Entry!$A$3:$A$525,$A201)&gt;0,"YES","NO"))</f>
        <v/>
      </c>
      <c r="AL201">
        <f>IF($A201="","",IF(AND($C201&amp;"-"&amp;$D201&gt;=Settings!$B$19,$C201&amp;"-"&amp;$D201&lt;=Settings!$B$20),"IN","OUT"))</f>
        <v/>
      </c>
      <c r="AM201">
        <f>IF(AND(OR($H201="BUY",$H201="SELL"),ISNUMBER($T201)),$T201,"")</f>
        <v/>
      </c>
      <c r="AN201">
        <f>IF(AND(OR($H201="BUY",$H201="SELL"),ISNUMBER($AF201)),$AF201,"")</f>
        <v/>
      </c>
      <c r="AO201">
        <f>IF(ISNUMBER($AM201),ABS(IF(ISNUMBER($G201),$G201,0)-Settings!$B$25),"")</f>
        <v/>
      </c>
      <c r="AP201">
        <f>IF(ISNUMBER($AO201),$AO201*$AM201,"")</f>
        <v/>
      </c>
      <c r="AQ201">
        <f>IF(ISNUMBER($AN201),ABS(IF(ISNUMBER($G201),$G201,0)-Settings!$B$25),"")</f>
        <v/>
      </c>
      <c r="AR201">
        <f>IF(ISNUMBER($AQ201),$AQ201*$AN201,"")</f>
        <v/>
      </c>
      <c r="AS201">
        <f>IF($A201="","",IFERROR(INDEX(Company_List!$H$3:$H$207,MATCH($A201,Company_List!$A$3:$A$207,0)),"unassigned"))</f>
        <v/>
      </c>
      <c r="AT201" t="inlineStr">
        <is>
          <t>not in v1</t>
        </is>
      </c>
      <c r="AU201" t="inlineStr">
        <is>
          <t>no earlier record</t>
        </is>
      </c>
      <c r="AV201" t="n">
        <v>1</v>
      </c>
      <c r="AW201" t="inlineStr">
        <is>
          <t>Refinitiv / LSEG StreetEvents</t>
        </is>
      </c>
      <c r="AX201" t="inlineStr">
        <is>
          <t>licensed vendor</t>
        </is>
      </c>
      <c r="AY201" t="inlineStr">
        <is>
          <t>no</t>
        </is>
      </c>
      <c r="AZ201" t="inlineStr">
        <is>
          <t>no</t>
        </is>
      </c>
    </row>
    <row r="202">
      <c r="A202" s="115" t="inlineStr">
        <is>
          <t>Kraft Heinz</t>
        </is>
      </c>
      <c r="B202" s="117" t="inlineStr">
        <is>
          <t>KHC</t>
        </is>
      </c>
      <c r="C202" s="105" t="n">
        <v>2025</v>
      </c>
      <c r="D202" s="106" t="inlineStr">
        <is>
          <t>Q4</t>
        </is>
      </c>
      <c r="E202" s="109" t="inlineStr">
        <is>
          <t>Ben/DeepSeek</t>
        </is>
      </c>
      <c r="F202" s="106" t="inlineStr">
        <is>
          <t>LLM</t>
        </is>
      </c>
      <c r="G202" s="128" t="n">
        <v>-0.08</v>
      </c>
      <c r="H202" s="106" t="inlineStr">
        <is>
          <t>SELL</t>
        </is>
      </c>
      <c r="I202" s="128" t="n"/>
      <c r="J202" s="125" t="n"/>
      <c r="K202" s="126" t="n"/>
      <c r="L202" s="129" t="n">
        <v>24.14</v>
      </c>
      <c r="M202" s="126" t="n"/>
      <c r="N202" s="129" t="n"/>
      <c r="O202" s="132" t="n"/>
      <c r="P202" s="107" t="n">
        <v>0</v>
      </c>
      <c r="Q202" s="106" t="inlineStr">
        <is>
          <t>FLAT</t>
        </is>
      </c>
      <c r="R202" s="106" t="inlineStr">
        <is>
          <t>NO</t>
        </is>
      </c>
      <c r="S202" s="105" t="n">
        <v>-1</v>
      </c>
      <c r="T202" s="107" t="n">
        <v>-0.001</v>
      </c>
      <c r="U202" s="130" t="inlineStr">
        <is>
          <t>w=[0.55,0.45,0,0] thr=(+0.25,-0.05), deployed default (risk-accepted, PSR=0.0/perm p=0.150 at N=161, not rechecked at N=268)</t>
        </is>
      </c>
      <c r="W202" t="inlineStr">
        <is>
          <t>release date + stated time</t>
        </is>
      </c>
      <c r="X202" t="inlineStr">
        <is>
          <t>KHC</t>
        </is>
      </c>
      <c r="Y202" t="inlineStr">
        <is>
          <t>2026-02-10</t>
        </is>
      </c>
      <c r="Z202" t="n">
        <v>24.053</v>
      </c>
      <c r="AA202" t="inlineStr">
        <is>
          <t>2026-02-11</t>
        </is>
      </c>
      <c r="AB202" t="n">
        <v>22.9904</v>
      </c>
      <c r="AC202" t="n">
        <v>-0.04417676864599556</v>
      </c>
      <c r="AD202" t="inlineStr">
        <is>
          <t>DOWN</t>
        </is>
      </c>
      <c r="AE202" t="inlineStr">
        <is>
          <t>YES</t>
        </is>
      </c>
      <c r="AF202" t="n">
        <v>0.043177</v>
      </c>
      <c r="AG202">
        <f>IF($A202="","",IFERROR(INDEX(Company_List!$G$3:$G$207,MATCH($A202,Company_List!$A$3:$A$207,0)),"unassigned"))</f>
        <v/>
      </c>
      <c r="AH202" t="inlineStr">
        <is>
          <t>Phase 3/Readings/Kraft Heinz/2025-Q4/KHC-2025-Q4-press-release-SEC-EX-99-1.htm</t>
        </is>
      </c>
      <c r="AI202" t="inlineStr">
        <is>
          <t>https://www.sec.gov/Archives/edgar/data/1637459/000163745926000006/ex991-erq42025.htm</t>
        </is>
      </c>
      <c r="AJ202" t="inlineStr">
        <is>
          <t>manifest</t>
        </is>
      </c>
      <c r="AK202">
        <f>IF($A202="","",IF(COUNTIFS(Human_Data_Entry!$A$3:$A$525,$A202)&gt;0,"YES","NO"))</f>
        <v/>
      </c>
      <c r="AL202">
        <f>IF($A202="","",IF(AND($C202&amp;"-"&amp;$D202&gt;=Settings!$B$19,$C202&amp;"-"&amp;$D202&lt;=Settings!$B$20),"IN","OUT"))</f>
        <v/>
      </c>
      <c r="AM202">
        <f>IF(AND(OR($H202="BUY",$H202="SELL"),ISNUMBER($T202)),$T202,"")</f>
        <v/>
      </c>
      <c r="AN202">
        <f>IF(AND(OR($H202="BUY",$H202="SELL"),ISNUMBER($AF202)),$AF202,"")</f>
        <v/>
      </c>
      <c r="AO202">
        <f>IF(ISNUMBER($AM202),ABS(IF(ISNUMBER($G202),$G202,0)-Settings!$B$25),"")</f>
        <v/>
      </c>
      <c r="AP202">
        <f>IF(ISNUMBER($AO202),$AO202*$AM202,"")</f>
        <v/>
      </c>
      <c r="AQ202">
        <f>IF(ISNUMBER($AN202),ABS(IF(ISNUMBER($G202),$G202,0)-Settings!$B$25),"")</f>
        <v/>
      </c>
      <c r="AR202">
        <f>IF(ISNUMBER($AQ202),$AQ202*$AN202,"")</f>
        <v/>
      </c>
      <c r="AS202">
        <f>IF($A202="","",IFERROR(INDEX(Company_List!$H$3:$H$207,MATCH($A202,Company_List!$A$3:$A$207,0)),"unassigned"))</f>
        <v/>
      </c>
      <c r="AT202" t="inlineStr">
        <is>
          <t>not in v1</t>
        </is>
      </c>
      <c r="AU202" t="inlineStr">
        <is>
          <t>no earlier record</t>
        </is>
      </c>
      <c r="AV202" t="n">
        <v>1</v>
      </c>
      <c r="AW202" t="inlineStr">
        <is>
          <t>not publisher-identified</t>
        </is>
      </c>
      <c r="AX202" t="inlineStr">
        <is>
          <t>not publisher-identified</t>
        </is>
      </c>
      <c r="AY202" t="inlineStr">
        <is>
          <t>no</t>
        </is>
      </c>
      <c r="AZ202" t="inlineStr">
        <is>
          <t>yes</t>
        </is>
      </c>
    </row>
    <row r="203">
      <c r="A203" s="115" t="inlineStr">
        <is>
          <t>Kraft Heinz</t>
        </is>
      </c>
      <c r="B203" s="117" t="inlineStr">
        <is>
          <t>KHC</t>
        </is>
      </c>
      <c r="C203" s="105" t="n">
        <v>2026</v>
      </c>
      <c r="D203" s="106" t="inlineStr">
        <is>
          <t>Q1</t>
        </is>
      </c>
      <c r="E203" s="109" t="inlineStr">
        <is>
          <t>Ben/DeepSeek</t>
        </is>
      </c>
      <c r="F203" s="106" t="inlineStr">
        <is>
          <t>LLM</t>
        </is>
      </c>
      <c r="G203" s="128" t="n">
        <v>-0.245</v>
      </c>
      <c r="H203" s="106" t="inlineStr">
        <is>
          <t>SELL</t>
        </is>
      </c>
      <c r="I203" s="128" t="n"/>
      <c r="J203" s="125" t="n">
        <v>46148</v>
      </c>
      <c r="K203" s="126" t="n">
        <v>46147</v>
      </c>
      <c r="L203" s="129" t="n">
        <v>22.54</v>
      </c>
      <c r="M203" s="126" t="n">
        <v>46148</v>
      </c>
      <c r="N203" s="129" t="n">
        <v>23.17</v>
      </c>
      <c r="O203" s="132" t="n">
        <v>0.005625</v>
      </c>
      <c r="P203" s="107" t="n">
        <v>0.02795</v>
      </c>
      <c r="Q203" s="106" t="inlineStr">
        <is>
          <t>UP</t>
        </is>
      </c>
      <c r="R203" s="106" t="inlineStr">
        <is>
          <t>NO</t>
        </is>
      </c>
      <c r="S203" s="105" t="n">
        <v>-1</v>
      </c>
      <c r="T203" s="107" t="n">
        <v>-0.02895</v>
      </c>
      <c r="U203" s="130" t="inlineStr">
        <is>
          <t>w=[0.55,0.45,0,0] thr=(+0.25,-0.05), deployed default (risk-accepted, PSR=0.0/perm p=0.150 at N=161, not rechecked at N=268)</t>
        </is>
      </c>
      <c r="W203" t="inlineStr">
        <is>
          <t>release date + stated time</t>
        </is>
      </c>
      <c r="X203" t="inlineStr">
        <is>
          <t>KHC</t>
        </is>
      </c>
      <c r="Y203" t="inlineStr">
        <is>
          <t>2026-05-05</t>
        </is>
      </c>
      <c r="Z203" t="n">
        <v>22.1388</v>
      </c>
      <c r="AA203" t="inlineStr">
        <is>
          <t>2026-05-06</t>
        </is>
      </c>
      <c r="AB203" t="n">
        <v>22.7575</v>
      </c>
      <c r="AC203" t="n">
        <v>0.0279503014617634</v>
      </c>
      <c r="AD203" t="inlineStr">
        <is>
          <t>UP</t>
        </is>
      </c>
      <c r="AE203" t="inlineStr">
        <is>
          <t>NO</t>
        </is>
      </c>
      <c r="AF203" t="n">
        <v>-0.02895</v>
      </c>
      <c r="AG203">
        <f>IF($A203="","",IFERROR(INDEX(Company_List!$G$3:$G$207,MATCH($A203,Company_List!$A$3:$A$207,0)),"unassigned"))</f>
        <v/>
      </c>
      <c r="AH203" t="inlineStr">
        <is>
          <t>Phase 3/Readings/Kraft Heinz/KHC Q1 2026 Earnings Transcript.pdf</t>
        </is>
      </c>
      <c r="AJ203" t="inlineStr">
        <is>
          <t>unique filename match</t>
        </is>
      </c>
      <c r="AK203">
        <f>IF($A203="","",IF(COUNTIFS(Human_Data_Entry!$A$3:$A$525,$A203)&gt;0,"YES","NO"))</f>
        <v/>
      </c>
      <c r="AL203">
        <f>IF($A203="","",IF(AND($C203&amp;"-"&amp;$D203&gt;=Settings!$B$19,$C203&amp;"-"&amp;$D203&lt;=Settings!$B$20),"IN","OUT"))</f>
        <v/>
      </c>
      <c r="AM203">
        <f>IF(AND(OR($H203="BUY",$H203="SELL"),ISNUMBER($T203)),$T203,"")</f>
        <v/>
      </c>
      <c r="AN203">
        <f>IF(AND(OR($H203="BUY",$H203="SELL"),ISNUMBER($AF203)),$AF203,"")</f>
        <v/>
      </c>
      <c r="AO203">
        <f>IF(ISNUMBER($AM203),ABS(IF(ISNUMBER($G203),$G203,0)-Settings!$B$25),"")</f>
        <v/>
      </c>
      <c r="AP203">
        <f>IF(ISNUMBER($AO203),$AO203*$AM203,"")</f>
        <v/>
      </c>
      <c r="AQ203">
        <f>IF(ISNUMBER($AN203),ABS(IF(ISNUMBER($G203),$G203,0)-Settings!$B$25),"")</f>
        <v/>
      </c>
      <c r="AR203">
        <f>IF(ISNUMBER($AQ203),$AQ203*$AN203,"")</f>
        <v/>
      </c>
      <c r="AS203">
        <f>IF($A203="","",IFERROR(INDEX(Company_List!$H$3:$H$207,MATCH($A203,Company_List!$A$3:$A$207,0)),"unassigned"))</f>
        <v/>
      </c>
      <c r="AT203" t="inlineStr">
        <is>
          <t>not in v1</t>
        </is>
      </c>
      <c r="AU203" t="inlineStr">
        <is>
          <t>no earlier record</t>
        </is>
      </c>
      <c r="AV203" t="n">
        <v>1</v>
      </c>
      <c r="AW203" t="inlineStr">
        <is>
          <t>The Motley Fool</t>
        </is>
      </c>
      <c r="AX203" t="inlineStr">
        <is>
          <t>free to read, copyright asserted</t>
        </is>
      </c>
      <c r="AY203" t="inlineStr">
        <is>
          <t>no</t>
        </is>
      </c>
      <c r="AZ203" t="inlineStr">
        <is>
          <t>no</t>
        </is>
      </c>
    </row>
    <row r="204">
      <c r="A204" s="115" t="inlineStr">
        <is>
          <t>Kraft Heinz</t>
        </is>
      </c>
      <c r="B204" s="117" t="inlineStr">
        <is>
          <t>KHC</t>
        </is>
      </c>
      <c r="C204" s="105" t="n">
        <v>2024</v>
      </c>
      <c r="D204" s="106" t="inlineStr">
        <is>
          <t>Q4</t>
        </is>
      </c>
      <c r="E204" s="109" t="inlineStr">
        <is>
          <t>Ben/DeepSeek</t>
        </is>
      </c>
      <c r="F204" s="106" t="inlineStr">
        <is>
          <t>LLM</t>
        </is>
      </c>
      <c r="G204" s="128" t="n">
        <v>-0.3</v>
      </c>
      <c r="H204" s="106" t="inlineStr">
        <is>
          <t>SELL</t>
        </is>
      </c>
      <c r="I204" s="128" t="n"/>
      <c r="J204" s="125" t="n">
        <v>45700</v>
      </c>
      <c r="K204" s="126" t="n">
        <v>45699</v>
      </c>
      <c r="L204" s="129" t="n">
        <v>29.58</v>
      </c>
      <c r="M204" s="126" t="n">
        <v>45700</v>
      </c>
      <c r="N204" s="129" t="n">
        <v>27.53</v>
      </c>
      <c r="O204" s="132" t="n">
        <v>0.007239</v>
      </c>
      <c r="P204" s="107" t="n">
        <v>-0.06930399999999999</v>
      </c>
      <c r="Q204" s="106" t="inlineStr">
        <is>
          <t>DOWN</t>
        </is>
      </c>
      <c r="R204" s="106" t="inlineStr">
        <is>
          <t>YES</t>
        </is>
      </c>
      <c r="S204" s="105" t="n">
        <v>-1</v>
      </c>
      <c r="T204" s="107" t="n">
        <v>0.068304</v>
      </c>
      <c r="U204" s="130" t="inlineStr">
        <is>
          <t>w=[0.55,0.45,0,0] thr=(+0.25,-0.05), deployed default (risk-accepted, PSR=0.0/perm p=0.150 at N=161, not rechecked at N=268)</t>
        </is>
      </c>
      <c r="W204" t="inlineStr">
        <is>
          <t>release date + stated time</t>
        </is>
      </c>
      <c r="X204" t="inlineStr">
        <is>
          <t>KHC</t>
        </is>
      </c>
      <c r="Y204" t="inlineStr">
        <is>
          <t>2025-02-11</t>
        </is>
      </c>
      <c r="Z204" t="n">
        <v>26.9607</v>
      </c>
      <c r="AA204" t="inlineStr">
        <is>
          <t>2025-02-12</t>
        </is>
      </c>
      <c r="AB204" t="n">
        <v>25.0922</v>
      </c>
      <c r="AC204" t="n">
        <v>-0.06930362136701343</v>
      </c>
      <c r="AD204" t="inlineStr">
        <is>
          <t>DOWN</t>
        </is>
      </c>
      <c r="AE204" t="inlineStr">
        <is>
          <t>YES</t>
        </is>
      </c>
      <c r="AF204" t="n">
        <v>0.068304</v>
      </c>
      <c r="AG204">
        <f>IF($A204="","",IFERROR(INDEX(Company_List!$G$3:$G$207,MATCH($A204,Company_List!$A$3:$A$207,0)),"unassigned"))</f>
        <v/>
      </c>
      <c r="AH204" t="inlineStr">
        <is>
          <t>Phase 3/Readings/Kraft Heinz/KHC Q4 2024 Results.pdf</t>
        </is>
      </c>
      <c r="AJ204" t="inlineStr">
        <is>
          <t>unique filename match</t>
        </is>
      </c>
      <c r="AK204">
        <f>IF($A204="","",IF(COUNTIFS(Human_Data_Entry!$A$3:$A$525,$A204)&gt;0,"YES","NO"))</f>
        <v/>
      </c>
      <c r="AL204">
        <f>IF($A204="","",IF(AND($C204&amp;"-"&amp;$D204&gt;=Settings!$B$19,$C204&amp;"-"&amp;$D204&lt;=Settings!$B$20),"IN","OUT"))</f>
        <v/>
      </c>
      <c r="AM204">
        <f>IF(AND(OR($H204="BUY",$H204="SELL"),ISNUMBER($T204)),$T204,"")</f>
        <v/>
      </c>
      <c r="AN204">
        <f>IF(AND(OR($H204="BUY",$H204="SELL"),ISNUMBER($AF204)),$AF204,"")</f>
        <v/>
      </c>
      <c r="AO204">
        <f>IF(ISNUMBER($AM204),ABS(IF(ISNUMBER($G204),$G204,0)-Settings!$B$25),"")</f>
        <v/>
      </c>
      <c r="AP204">
        <f>IF(ISNUMBER($AO204),$AO204*$AM204,"")</f>
        <v/>
      </c>
      <c r="AQ204">
        <f>IF(ISNUMBER($AN204),ABS(IF(ISNUMBER($G204),$G204,0)-Settings!$B$25),"")</f>
        <v/>
      </c>
      <c r="AR204">
        <f>IF(ISNUMBER($AQ204),$AQ204*$AN204,"")</f>
        <v/>
      </c>
      <c r="AS204">
        <f>IF($A204="","",IFERROR(INDEX(Company_List!$H$3:$H$207,MATCH($A204,Company_List!$A$3:$A$207,0)),"unassigned"))</f>
        <v/>
      </c>
      <c r="AT204" t="inlineStr">
        <is>
          <t>not in v1</t>
        </is>
      </c>
      <c r="AU204" t="inlineStr">
        <is>
          <t>no earlier record</t>
        </is>
      </c>
      <c r="AV204" t="n">
        <v>1</v>
      </c>
      <c r="AW204" t="inlineStr">
        <is>
          <t>not publisher-identified</t>
        </is>
      </c>
      <c r="AX204" t="inlineStr">
        <is>
          <t>not publisher-identified</t>
        </is>
      </c>
      <c r="AY204" t="inlineStr">
        <is>
          <t>no</t>
        </is>
      </c>
      <c r="AZ204" t="inlineStr">
        <is>
          <t>no</t>
        </is>
      </c>
    </row>
    <row r="205">
      <c r="A205" s="115" t="inlineStr">
        <is>
          <t>Lenovo</t>
        </is>
      </c>
      <c r="B205" s="117" t="inlineStr">
        <is>
          <t>LNVGY</t>
        </is>
      </c>
      <c r="C205" s="105" t="n">
        <v>2026</v>
      </c>
      <c r="D205" s="106" t="inlineStr">
        <is>
          <t>Q1</t>
        </is>
      </c>
      <c r="E205" s="109" t="inlineStr">
        <is>
          <t>Ben/DeepSeek</t>
        </is>
      </c>
      <c r="F205" s="106" t="inlineStr">
        <is>
          <t>LLM</t>
        </is>
      </c>
      <c r="G205" s="128" t="n">
        <v>0.1825</v>
      </c>
      <c r="H205" s="106" t="inlineStr">
        <is>
          <t>HOLD</t>
        </is>
      </c>
      <c r="I205" s="128" t="n"/>
      <c r="J205" s="125" t="n">
        <v>45883</v>
      </c>
      <c r="K205" s="126" t="n">
        <v>45883</v>
      </c>
      <c r="L205" s="129" t="n">
        <v>27.4</v>
      </c>
      <c r="M205" s="126" t="n">
        <v>45884</v>
      </c>
      <c r="N205" s="129" t="n">
        <v>28.75</v>
      </c>
      <c r="O205" s="132" t="n">
        <v>0.004699</v>
      </c>
      <c r="P205" s="107" t="n">
        <v>0.04926999999999999</v>
      </c>
      <c r="Q205" s="106" t="inlineStr">
        <is>
          <t>UP</t>
        </is>
      </c>
      <c r="R205" s="106" t="inlineStr">
        <is>
          <t>NO</t>
        </is>
      </c>
      <c r="S205" s="105" t="n">
        <v>0</v>
      </c>
      <c r="T205" s="107" t="n">
        <v>0</v>
      </c>
      <c r="U205" s="130" t="inlineStr">
        <is>
          <t>w=[0.55,0.45,0,0] thr=(+0.25,-0.05), deployed default (risk-accepted, PSR=0.0/perm p=0.150 at N=161, not rechecked at N=268)</t>
        </is>
      </c>
      <c r="W205" t="inlineStr">
        <is>
          <t>repriced on the issuer's primary listing</t>
        </is>
      </c>
      <c r="X205" t="inlineStr">
        <is>
          <t>0992.HK</t>
        </is>
      </c>
      <c r="Y205" t="inlineStr">
        <is>
          <t>2025-08-13</t>
        </is>
      </c>
      <c r="Z205" t="n">
        <v>11.2671</v>
      </c>
      <c r="AA205" t="inlineStr">
        <is>
          <t>2025-08-14</t>
        </is>
      </c>
      <c r="AB205" t="n">
        <v>11.2671</v>
      </c>
      <c r="AC205" t="n">
        <v>-5.457992439665133e-08</v>
      </c>
      <c r="AD205" t="inlineStr">
        <is>
          <t>FLAT</t>
        </is>
      </c>
      <c r="AE205" t="inlineStr">
        <is>
          <t>YES</t>
        </is>
      </c>
      <c r="AF205" t="n">
        <v>0</v>
      </c>
      <c r="AG205">
        <f>IF($A205="","",IFERROR(INDEX(Company_List!$G$3:$G$207,MATCH($A205,Company_List!$A$3:$A$207,0)),"unassigned"))</f>
        <v/>
      </c>
      <c r="AH205" t="inlineStr">
        <is>
          <t>Phase 3/Readings/Lenovo/2026-Q1/LNVGY-2026-Q1-results-LenovoIR.pdf</t>
        </is>
      </c>
      <c r="AJ205" t="inlineStr">
        <is>
          <t>manifest</t>
        </is>
      </c>
      <c r="AK205">
        <f>IF($A205="","",IF(COUNTIFS(Human_Data_Entry!$A$3:$A$525,$A205)&gt;0,"YES","NO"))</f>
        <v/>
      </c>
      <c r="AL205">
        <f>IF($A205="","",IF(AND($C205&amp;"-"&amp;$D205&gt;=Settings!$B$19,$C205&amp;"-"&amp;$D205&lt;=Settings!$B$20),"IN","OUT"))</f>
        <v/>
      </c>
      <c r="AM205">
        <f>IF(AND(OR($H205="BUY",$H205="SELL"),ISNUMBER($T205)),$T205,"")</f>
        <v/>
      </c>
      <c r="AN205">
        <f>IF(AND(OR($H205="BUY",$H205="SELL"),ISNUMBER($AF205)),$AF205,"")</f>
        <v/>
      </c>
      <c r="AO205">
        <f>IF(ISNUMBER($AM205),ABS(IF(ISNUMBER($G205),$G205,0)-Settings!$B$25),"")</f>
        <v/>
      </c>
      <c r="AP205">
        <f>IF(ISNUMBER($AO205),$AO205*$AM205,"")</f>
        <v/>
      </c>
      <c r="AQ205">
        <f>IF(ISNUMBER($AN205),ABS(IF(ISNUMBER($G205),$G205,0)-Settings!$B$25),"")</f>
        <v/>
      </c>
      <c r="AR205">
        <f>IF(ISNUMBER($AQ205),$AQ205*$AN205,"")</f>
        <v/>
      </c>
      <c r="AS205">
        <f>IF($A205="","",IFERROR(INDEX(Company_List!$H$3:$H$207,MATCH($A205,Company_List!$A$3:$A$207,0)),"unassigned"))</f>
        <v/>
      </c>
      <c r="AT205" t="inlineStr">
        <is>
          <t>not in v1</t>
        </is>
      </c>
      <c r="AU205" t="inlineStr">
        <is>
          <t>no earlier record</t>
        </is>
      </c>
      <c r="AV205" t="n">
        <v>1</v>
      </c>
      <c r="AW205" t="inlineStr">
        <is>
          <t>not publisher-identified</t>
        </is>
      </c>
      <c r="AX205" t="inlineStr">
        <is>
          <t>not publisher-identified</t>
        </is>
      </c>
      <c r="AY205" t="inlineStr">
        <is>
          <t>no</t>
        </is>
      </c>
      <c r="AZ205" t="inlineStr">
        <is>
          <t>yes</t>
        </is>
      </c>
    </row>
    <row r="206">
      <c r="A206" s="115" t="inlineStr">
        <is>
          <t>Lenovo</t>
        </is>
      </c>
      <c r="B206" s="117" t="inlineStr">
        <is>
          <t>LNVGY</t>
        </is>
      </c>
      <c r="C206" s="105" t="n">
        <v>2026</v>
      </c>
      <c r="D206" s="106" t="inlineStr">
        <is>
          <t>Q2</t>
        </is>
      </c>
      <c r="E206" s="109" t="inlineStr">
        <is>
          <t>Ben/DeepSeek</t>
        </is>
      </c>
      <c r="F206" s="106" t="inlineStr">
        <is>
          <t>LLM</t>
        </is>
      </c>
      <c r="G206" s="128" t="n">
        <v>0.25</v>
      </c>
      <c r="H206" s="106" t="inlineStr">
        <is>
          <t>HOLD</t>
        </is>
      </c>
      <c r="I206" s="128" t="n"/>
      <c r="J206" s="125" t="n">
        <v>46052</v>
      </c>
      <c r="K206" s="126" t="n">
        <v>46052</v>
      </c>
      <c r="L206" s="129" t="n">
        <v>22.61</v>
      </c>
      <c r="M206" s="126" t="n">
        <v>46055</v>
      </c>
      <c r="N206" s="129" t="n">
        <v>22.41</v>
      </c>
      <c r="O206" s="132" t="n">
        <v>0.004326</v>
      </c>
      <c r="P206" s="107" t="n">
        <v>-0.008846</v>
      </c>
      <c r="Q206" s="106" t="inlineStr">
        <is>
          <t>FLAT</t>
        </is>
      </c>
      <c r="R206" s="106" t="inlineStr">
        <is>
          <t>YES</t>
        </is>
      </c>
      <c r="S206" s="105" t="n">
        <v>0</v>
      </c>
      <c r="T206" s="107" t="n">
        <v>0</v>
      </c>
      <c r="U206" s="130" t="inlineStr">
        <is>
          <t>w=[0.55,0.45,0,0] thr=(+0.25,-0.05), deployed default (risk-accepted, PSR=0.0/perm p=0.150 at N=161, not rechecked at N=268) | report_date ambiguous (multiple candidate trading days), unreviewed - see phase2/report_dates.json</t>
        </is>
      </c>
      <c r="W206" t="inlineStr">
        <is>
          <t>repriced on the issuer's primary listing</t>
        </is>
      </c>
      <c r="X206" t="inlineStr">
        <is>
          <t>0992.HK</t>
        </is>
      </c>
      <c r="Y206" t="inlineStr">
        <is>
          <t>2025-11-19</t>
        </is>
      </c>
      <c r="Z206" t="n">
        <v>9.4186</v>
      </c>
      <c r="AA206" t="inlineStr">
        <is>
          <t>2025-11-20</t>
        </is>
      </c>
      <c r="AB206" t="n">
        <v>9.6533</v>
      </c>
      <c r="AC206" t="n">
        <v>0.02492208009193885</v>
      </c>
      <c r="AD206" t="inlineStr">
        <is>
          <t>UP</t>
        </is>
      </c>
      <c r="AE206" t="inlineStr">
        <is>
          <t>NO</t>
        </is>
      </c>
      <c r="AF206" t="n">
        <v>0</v>
      </c>
      <c r="AG206">
        <f>IF($A206="","",IFERROR(INDEX(Company_List!$G$3:$G$207,MATCH($A206,Company_List!$A$3:$A$207,0)),"unassigned"))</f>
        <v/>
      </c>
      <c r="AH206" t="inlineStr">
        <is>
          <t>Phase 3/Readings/Lenovo/2026-Q2/LNVGY-2026-Q2-results-LenovoIR.pdf</t>
        </is>
      </c>
      <c r="AJ206" t="inlineStr">
        <is>
          <t>manifest</t>
        </is>
      </c>
      <c r="AK206">
        <f>IF($A206="","",IF(COUNTIFS(Human_Data_Entry!$A$3:$A$525,$A206)&gt;0,"YES","NO"))</f>
        <v/>
      </c>
      <c r="AL206">
        <f>IF($A206="","",IF(AND($C206&amp;"-"&amp;$D206&gt;=Settings!$B$19,$C206&amp;"-"&amp;$D206&lt;=Settings!$B$20),"IN","OUT"))</f>
        <v/>
      </c>
      <c r="AM206">
        <f>IF(AND(OR($H206="BUY",$H206="SELL"),ISNUMBER($T206)),$T206,"")</f>
        <v/>
      </c>
      <c r="AN206">
        <f>IF(AND(OR($H206="BUY",$H206="SELL"),ISNUMBER($AF206)),$AF206,"")</f>
        <v/>
      </c>
      <c r="AO206">
        <f>IF(ISNUMBER($AM206),ABS(IF(ISNUMBER($G206),$G206,0)-Settings!$B$25),"")</f>
        <v/>
      </c>
      <c r="AP206">
        <f>IF(ISNUMBER($AO206),$AO206*$AM206,"")</f>
        <v/>
      </c>
      <c r="AQ206">
        <f>IF(ISNUMBER($AN206),ABS(IF(ISNUMBER($G206),$G206,0)-Settings!$B$25),"")</f>
        <v/>
      </c>
      <c r="AR206">
        <f>IF(ISNUMBER($AQ206),$AQ206*$AN206,"")</f>
        <v/>
      </c>
      <c r="AS206">
        <f>IF($A206="","",IFERROR(INDEX(Company_List!$H$3:$H$207,MATCH($A206,Company_List!$A$3:$A$207,0)),"unassigned"))</f>
        <v/>
      </c>
      <c r="AT206" t="inlineStr">
        <is>
          <t>not in v1</t>
        </is>
      </c>
      <c r="AU206" t="inlineStr">
        <is>
          <t>no earlier record</t>
        </is>
      </c>
      <c r="AV206" t="n">
        <v>1</v>
      </c>
      <c r="AW206" t="inlineStr">
        <is>
          <t>not publisher-identified</t>
        </is>
      </c>
      <c r="AX206" t="inlineStr">
        <is>
          <t>not publisher-identified</t>
        </is>
      </c>
      <c r="AY206" t="inlineStr">
        <is>
          <t>no</t>
        </is>
      </c>
      <c r="AZ206" t="inlineStr">
        <is>
          <t>yes</t>
        </is>
      </c>
    </row>
    <row r="207">
      <c r="A207" s="115" t="inlineStr">
        <is>
          <t>Lenovo</t>
        </is>
      </c>
      <c r="B207" s="117" t="inlineStr">
        <is>
          <t>LNVGY</t>
        </is>
      </c>
      <c r="C207" s="105" t="n">
        <v>2026</v>
      </c>
      <c r="D207" s="106" t="inlineStr">
        <is>
          <t>Q3</t>
        </is>
      </c>
      <c r="E207" s="109" t="inlineStr">
        <is>
          <t>Ben/DeepSeek</t>
        </is>
      </c>
      <c r="F207" s="106" t="inlineStr">
        <is>
          <t>LLM</t>
        </is>
      </c>
      <c r="G207" s="128" t="n">
        <v>0.2775</v>
      </c>
      <c r="H207" s="106" t="inlineStr">
        <is>
          <t>BUY</t>
        </is>
      </c>
      <c r="I207" s="128" t="n"/>
      <c r="J207" s="125" t="n">
        <v>46065</v>
      </c>
      <c r="K207" s="126" t="n">
        <v>46065</v>
      </c>
      <c r="L207" s="129" t="n">
        <v>22.96</v>
      </c>
      <c r="M207" s="126" t="n">
        <v>46066</v>
      </c>
      <c r="N207" s="129" t="n">
        <v>23.55</v>
      </c>
      <c r="O207" s="132" t="n">
        <v>0.005085</v>
      </c>
      <c r="P207" s="107" t="n">
        <v>0.025697</v>
      </c>
      <c r="Q207" s="106" t="inlineStr">
        <is>
          <t>UP</t>
        </is>
      </c>
      <c r="R207" s="106" t="inlineStr">
        <is>
          <t>YES</t>
        </is>
      </c>
      <c r="S207" s="105" t="n">
        <v>1</v>
      </c>
      <c r="T207" s="107" t="n">
        <v>0.024697</v>
      </c>
      <c r="U207" s="130" t="inlineStr">
        <is>
          <t>w=[0.55,0.45,0,0] thr=(+0.25,-0.05), deployed default (risk-accepted, PSR=0.0/perm p=0.150 at N=161, not rechecked at N=268)</t>
        </is>
      </c>
      <c r="W207" t="inlineStr">
        <is>
          <t>the exchange's own publication timestamp</t>
        </is>
      </c>
      <c r="X207" t="inlineStr">
        <is>
          <t>0992.HK</t>
        </is>
      </c>
      <c r="Y207" t="inlineStr">
        <is>
          <t>2026-02-11</t>
        </is>
      </c>
      <c r="Z207" t="n">
        <v>9.303699999999999</v>
      </c>
      <c r="AA207" t="inlineStr">
        <is>
          <t>2026-02-12</t>
        </is>
      </c>
      <c r="AB207" t="n">
        <v>9.274100000000001</v>
      </c>
      <c r="AC207" t="n">
        <v>-0.003181284256710995</v>
      </c>
      <c r="AD207" t="inlineStr">
        <is>
          <t>FLAT</t>
        </is>
      </c>
      <c r="AE207" t="inlineStr">
        <is>
          <t>NO</t>
        </is>
      </c>
      <c r="AF207" t="n">
        <v>-0.004181</v>
      </c>
      <c r="AG207">
        <f>IF($A207="","",IFERROR(INDEX(Company_List!$G$3:$G$207,MATCH($A207,Company_List!$A$3:$A$207,0)),"unassigned"))</f>
        <v/>
      </c>
      <c r="AH207" t="inlineStr">
        <is>
          <t>Phase 3/Readings/Lenovo/2026-Q3/LNVGY-2026-Q3-results-LenovoIR.pdf</t>
        </is>
      </c>
      <c r="AJ207" t="inlineStr">
        <is>
          <t>manifest</t>
        </is>
      </c>
      <c r="AK207">
        <f>IF($A207="","",IF(COUNTIFS(Human_Data_Entry!$A$3:$A$525,$A207)&gt;0,"YES","NO"))</f>
        <v/>
      </c>
      <c r="AL207">
        <f>IF($A207="","",IF(AND($C207&amp;"-"&amp;$D207&gt;=Settings!$B$19,$C207&amp;"-"&amp;$D207&lt;=Settings!$B$20),"IN","OUT"))</f>
        <v/>
      </c>
      <c r="AM207">
        <f>IF(AND(OR($H207="BUY",$H207="SELL"),ISNUMBER($T207)),$T207,"")</f>
        <v/>
      </c>
      <c r="AN207">
        <f>IF(AND(OR($H207="BUY",$H207="SELL"),ISNUMBER($AF207)),$AF207,"")</f>
        <v/>
      </c>
      <c r="AO207">
        <f>IF(ISNUMBER($AM207),ABS(IF(ISNUMBER($G207),$G207,0)-Settings!$B$25),"")</f>
        <v/>
      </c>
      <c r="AP207">
        <f>IF(ISNUMBER($AO207),$AO207*$AM207,"")</f>
        <v/>
      </c>
      <c r="AQ207">
        <f>IF(ISNUMBER($AN207),ABS(IF(ISNUMBER($G207),$G207,0)-Settings!$B$25),"")</f>
        <v/>
      </c>
      <c r="AR207">
        <f>IF(ISNUMBER($AQ207),$AQ207*$AN207,"")</f>
        <v/>
      </c>
      <c r="AS207">
        <f>IF($A207="","",IFERROR(INDEX(Company_List!$H$3:$H$207,MATCH($A207,Company_List!$A$3:$A$207,0)),"unassigned"))</f>
        <v/>
      </c>
      <c r="AT207" t="inlineStr">
        <is>
          <t>not in v1</t>
        </is>
      </c>
      <c r="AU207" t="inlineStr">
        <is>
          <t>no earlier record</t>
        </is>
      </c>
      <c r="AV207" t="n">
        <v>1</v>
      </c>
      <c r="AW207" t="inlineStr">
        <is>
          <t>not publisher-identified</t>
        </is>
      </c>
      <c r="AX207" t="inlineStr">
        <is>
          <t>not publisher-identified</t>
        </is>
      </c>
      <c r="AY207" t="inlineStr">
        <is>
          <t>no</t>
        </is>
      </c>
      <c r="AZ207" t="inlineStr">
        <is>
          <t>yes</t>
        </is>
      </c>
    </row>
    <row r="208">
      <c r="A208" s="115" t="inlineStr">
        <is>
          <t>Lenovo</t>
        </is>
      </c>
      <c r="B208" s="117" t="inlineStr">
        <is>
          <t>LNVGY</t>
        </is>
      </c>
      <c r="C208" s="105" t="n">
        <v>2026</v>
      </c>
      <c r="D208" s="106" t="inlineStr">
        <is>
          <t>Q4</t>
        </is>
      </c>
      <c r="E208" s="109" t="inlineStr">
        <is>
          <t>Ben/DeepSeek</t>
        </is>
      </c>
      <c r="F208" s="106" t="inlineStr">
        <is>
          <t>LLM</t>
        </is>
      </c>
      <c r="G208" s="128" t="n">
        <v>0.03</v>
      </c>
      <c r="H208" s="106" t="inlineStr">
        <is>
          <t>HOLD</t>
        </is>
      </c>
      <c r="I208" s="128" t="n"/>
      <c r="J208" s="125" t="n">
        <v>46164</v>
      </c>
      <c r="K208" s="126" t="n">
        <v>46164</v>
      </c>
      <c r="L208" s="129" t="n">
        <v>40.17</v>
      </c>
      <c r="M208" s="126" t="n">
        <v>46167</v>
      </c>
      <c r="N208" s="129" t="n">
        <v>47.01</v>
      </c>
      <c r="O208" s="132" t="n">
        <v>0.005505</v>
      </c>
      <c r="P208" s="107" t="n">
        <v>0.170276</v>
      </c>
      <c r="Q208" s="106" t="inlineStr">
        <is>
          <t>UP</t>
        </is>
      </c>
      <c r="R208" s="106" t="inlineStr">
        <is>
          <t>NO</t>
        </is>
      </c>
      <c r="S208" s="105" t="n">
        <v>0</v>
      </c>
      <c r="T208" s="107" t="n">
        <v>0</v>
      </c>
      <c r="U208" s="130" t="inlineStr">
        <is>
          <t>w=[0.55,0.45,0,0] thr=(+0.25,-0.05), deployed default (risk-accepted, PSR=0.0/perm p=0.150 at N=161, not rechecked at N=268)</t>
        </is>
      </c>
      <c r="W208" t="inlineStr">
        <is>
          <t>repriced on the issuer's primary listing</t>
        </is>
      </c>
      <c r="X208" t="inlineStr">
        <is>
          <t>0992.HK</t>
        </is>
      </c>
      <c r="Y208" t="inlineStr">
        <is>
          <t>2026-05-21</t>
        </is>
      </c>
      <c r="Z208" t="n">
        <v>12.9739</v>
      </c>
      <c r="AA208" t="inlineStr">
        <is>
          <t>2026-05-22</t>
        </is>
      </c>
      <c r="AB208" t="n">
        <v>13.6053</v>
      </c>
      <c r="AC208" t="n">
        <v>0.04866921306796387</v>
      </c>
      <c r="AD208" t="inlineStr">
        <is>
          <t>UP</t>
        </is>
      </c>
      <c r="AE208" t="inlineStr">
        <is>
          <t>NO</t>
        </is>
      </c>
      <c r="AF208" t="n">
        <v>0</v>
      </c>
      <c r="AG208">
        <f>IF($A208="","",IFERROR(INDEX(Company_List!$G$3:$G$207,MATCH($A208,Company_List!$A$3:$A$207,0)),"unassigned"))</f>
        <v/>
      </c>
      <c r="AH208" t="inlineStr">
        <is>
          <t>Phase 3/Readings/Lenovo/2026-Q4/LNVGY-2026-Q4-results-LenovoIR.pdf</t>
        </is>
      </c>
      <c r="AJ208" t="inlineStr">
        <is>
          <t>manifest</t>
        </is>
      </c>
      <c r="AK208">
        <f>IF($A208="","",IF(COUNTIFS(Human_Data_Entry!$A$3:$A$525,$A208)&gt;0,"YES","NO"))</f>
        <v/>
      </c>
      <c r="AL208">
        <f>IF($A208="","",IF(AND($C208&amp;"-"&amp;$D208&gt;=Settings!$B$19,$C208&amp;"-"&amp;$D208&lt;=Settings!$B$20),"IN","OUT"))</f>
        <v/>
      </c>
      <c r="AM208">
        <f>IF(AND(OR($H208="BUY",$H208="SELL"),ISNUMBER($T208)),$T208,"")</f>
        <v/>
      </c>
      <c r="AN208">
        <f>IF(AND(OR($H208="BUY",$H208="SELL"),ISNUMBER($AF208)),$AF208,"")</f>
        <v/>
      </c>
      <c r="AO208">
        <f>IF(ISNUMBER($AM208),ABS(IF(ISNUMBER($G208),$G208,0)-Settings!$B$25),"")</f>
        <v/>
      </c>
      <c r="AP208">
        <f>IF(ISNUMBER($AO208),$AO208*$AM208,"")</f>
        <v/>
      </c>
      <c r="AQ208">
        <f>IF(ISNUMBER($AN208),ABS(IF(ISNUMBER($G208),$G208,0)-Settings!$B$25),"")</f>
        <v/>
      </c>
      <c r="AR208">
        <f>IF(ISNUMBER($AQ208),$AQ208*$AN208,"")</f>
        <v/>
      </c>
      <c r="AS208">
        <f>IF($A208="","",IFERROR(INDEX(Company_List!$H$3:$H$207,MATCH($A208,Company_List!$A$3:$A$207,0)),"unassigned"))</f>
        <v/>
      </c>
      <c r="AT208" t="inlineStr">
        <is>
          <t>not in v1</t>
        </is>
      </c>
      <c r="AU208" t="inlineStr">
        <is>
          <t>no earlier record</t>
        </is>
      </c>
      <c r="AV208" t="n">
        <v>1</v>
      </c>
      <c r="AW208" t="inlineStr">
        <is>
          <t>not publisher-identified</t>
        </is>
      </c>
      <c r="AX208" t="inlineStr">
        <is>
          <t>not publisher-identified</t>
        </is>
      </c>
      <c r="AY208" t="inlineStr">
        <is>
          <t>no</t>
        </is>
      </c>
      <c r="AZ208" t="inlineStr">
        <is>
          <t>yes</t>
        </is>
      </c>
    </row>
    <row r="209">
      <c r="A209" s="115" t="inlineStr">
        <is>
          <t>Linde</t>
        </is>
      </c>
      <c r="B209" s="117" t="inlineStr">
        <is>
          <t>LIN</t>
        </is>
      </c>
      <c r="C209" s="105" t="n">
        <v>2026</v>
      </c>
      <c r="D209" s="106" t="inlineStr">
        <is>
          <t>Q1</t>
        </is>
      </c>
      <c r="E209" s="109" t="inlineStr">
        <is>
          <t>Ben/DeepSeek</t>
        </is>
      </c>
      <c r="F209" s="106" t="inlineStr">
        <is>
          <t>LLM</t>
        </is>
      </c>
      <c r="G209" s="128" t="n">
        <v>-0.08</v>
      </c>
      <c r="H209" s="106" t="inlineStr">
        <is>
          <t>SELL</t>
        </is>
      </c>
      <c r="I209" s="128" t="n"/>
      <c r="J209" s="125" t="n">
        <v>46143</v>
      </c>
      <c r="K209" s="126" t="n">
        <v>46142</v>
      </c>
      <c r="L209" s="129" t="n">
        <v>501.14</v>
      </c>
      <c r="M209" s="126" t="n">
        <v>46143</v>
      </c>
      <c r="N209" s="129" t="n">
        <v>503.36</v>
      </c>
      <c r="O209" s="132" t="n">
        <v>0.004843</v>
      </c>
      <c r="P209" s="107" t="n">
        <v>0.00443</v>
      </c>
      <c r="Q209" s="106" t="inlineStr">
        <is>
          <t>FLAT</t>
        </is>
      </c>
      <c r="R209" s="106" t="inlineStr">
        <is>
          <t>NO</t>
        </is>
      </c>
      <c r="S209" s="105" t="n">
        <v>-1</v>
      </c>
      <c r="T209" s="107" t="n">
        <v>-0.00543</v>
      </c>
      <c r="U209" s="130" t="inlineStr">
        <is>
          <t>w=[0.55,0.45,0,0] thr=(+0.25,-0.05), deployed default (risk-accepted, PSR=0.0/perm p=0.150 at N=161, not rechecked at N=268)</t>
        </is>
      </c>
      <c r="W209" t="inlineStr">
        <is>
          <t>release time published by the issuer</t>
        </is>
      </c>
      <c r="X209" t="inlineStr">
        <is>
          <t>LIN</t>
        </is>
      </c>
      <c r="Y209" t="inlineStr">
        <is>
          <t>2026-04-30</t>
        </is>
      </c>
      <c r="Z209" t="n">
        <v>499.5603</v>
      </c>
      <c r="AA209" t="inlineStr">
        <is>
          <t>2026-05-01</t>
        </is>
      </c>
      <c r="AB209" t="n">
        <v>501.7733</v>
      </c>
      <c r="AC209" t="n">
        <v>0.004429800472402943</v>
      </c>
      <c r="AD209" t="inlineStr">
        <is>
          <t>FLAT</t>
        </is>
      </c>
      <c r="AE209" t="inlineStr">
        <is>
          <t>NO</t>
        </is>
      </c>
      <c r="AF209" t="n">
        <v>-0.00543</v>
      </c>
      <c r="AG209">
        <f>IF($A209="","",IFERROR(INDEX(Company_List!$G$3:$G$207,MATCH($A209,Company_List!$A$3:$A$207,0)),"unassigned"))</f>
        <v/>
      </c>
      <c r="AH209" t="inlineStr">
        <is>
          <t>Phase 3/Readings/Linde/LIN Q1 2026 transcript.pdf</t>
        </is>
      </c>
      <c r="AJ209" t="inlineStr">
        <is>
          <t>unique filename match</t>
        </is>
      </c>
      <c r="AK209">
        <f>IF($A209="","",IF(COUNTIFS(Human_Data_Entry!$A$3:$A$525,$A209)&gt;0,"YES","NO"))</f>
        <v/>
      </c>
      <c r="AL209">
        <f>IF($A209="","",IF(AND($C209&amp;"-"&amp;$D209&gt;=Settings!$B$19,$C209&amp;"-"&amp;$D209&lt;=Settings!$B$20),"IN","OUT"))</f>
        <v/>
      </c>
      <c r="AM209">
        <f>IF(AND(OR($H209="BUY",$H209="SELL"),ISNUMBER($T209)),$T209,"")</f>
        <v/>
      </c>
      <c r="AN209">
        <f>IF(AND(OR($H209="BUY",$H209="SELL"),ISNUMBER($AF209)),$AF209,"")</f>
        <v/>
      </c>
      <c r="AO209">
        <f>IF(ISNUMBER($AM209),ABS(IF(ISNUMBER($G209),$G209,0)-Settings!$B$25),"")</f>
        <v/>
      </c>
      <c r="AP209">
        <f>IF(ISNUMBER($AO209),$AO209*$AM209,"")</f>
        <v/>
      </c>
      <c r="AQ209">
        <f>IF(ISNUMBER($AN209),ABS(IF(ISNUMBER($G209),$G209,0)-Settings!$B$25),"")</f>
        <v/>
      </c>
      <c r="AR209">
        <f>IF(ISNUMBER($AQ209),$AQ209*$AN209,"")</f>
        <v/>
      </c>
      <c r="AS209">
        <f>IF($A209="","",IFERROR(INDEX(Company_List!$H$3:$H$207,MATCH($A209,Company_List!$A$3:$A$207,0)),"unassigned"))</f>
        <v/>
      </c>
      <c r="AT209" t="inlineStr">
        <is>
          <t>not in v1</t>
        </is>
      </c>
      <c r="AU209" t="inlineStr">
        <is>
          <t>no earlier record</t>
        </is>
      </c>
      <c r="AV209" t="n">
        <v>1</v>
      </c>
      <c r="AW209" t="inlineStr">
        <is>
          <t>not publisher-identified</t>
        </is>
      </c>
      <c r="AX209" t="inlineStr">
        <is>
          <t>not publisher-identified</t>
        </is>
      </c>
      <c r="AY209" t="inlineStr">
        <is>
          <t>no</t>
        </is>
      </c>
      <c r="AZ209" t="inlineStr">
        <is>
          <t>no</t>
        </is>
      </c>
    </row>
    <row r="210">
      <c r="A210" s="115" t="inlineStr">
        <is>
          <t>Linde</t>
        </is>
      </c>
      <c r="B210" s="117" t="inlineStr">
        <is>
          <t>LIN</t>
        </is>
      </c>
      <c r="C210" s="105" t="n">
        <v>2025</v>
      </c>
      <c r="D210" s="106" t="inlineStr">
        <is>
          <t>Q2</t>
        </is>
      </c>
      <c r="E210" s="109" t="inlineStr">
        <is>
          <t>Ben/DeepSeek</t>
        </is>
      </c>
      <c r="F210" s="106" t="inlineStr">
        <is>
          <t>LLM</t>
        </is>
      </c>
      <c r="G210" s="128" t="n">
        <v>-0.23</v>
      </c>
      <c r="H210" s="106" t="inlineStr">
        <is>
          <t>SELL</t>
        </is>
      </c>
      <c r="I210" s="128" t="n"/>
      <c r="J210" s="125" t="n">
        <v>45870</v>
      </c>
      <c r="K210" s="126" t="n">
        <v>45869</v>
      </c>
      <c r="L210" s="129" t="n">
        <v>460.26</v>
      </c>
      <c r="M210" s="126" t="n">
        <v>45870</v>
      </c>
      <c r="N210" s="129" t="n">
        <v>458.33</v>
      </c>
      <c r="O210" s="132" t="n">
        <v>0.008156999999999999</v>
      </c>
      <c r="P210" s="107" t="n">
        <v>-0.004193</v>
      </c>
      <c r="Q210" s="106" t="inlineStr">
        <is>
          <t>FLAT</t>
        </is>
      </c>
      <c r="R210" s="106" t="inlineStr">
        <is>
          <t>NO</t>
        </is>
      </c>
      <c r="S210" s="105" t="n">
        <v>-1</v>
      </c>
      <c r="T210" s="107" t="n">
        <v>0.003193</v>
      </c>
      <c r="U210" s="130" t="inlineStr">
        <is>
          <t>w=[0.55,0.45,0,0] thr=(+0.25,-0.05), deployed default (risk-accepted, PSR=0.0/perm p=0.150 at N=161, not rechecked at N=268)</t>
        </is>
      </c>
      <c r="W210" t="inlineStr">
        <is>
          <t>release time published by the issuer</t>
        </is>
      </c>
      <c r="X210" t="inlineStr">
        <is>
          <t>LIN</t>
        </is>
      </c>
      <c r="Y210" t="inlineStr">
        <is>
          <t>2025-07-31</t>
        </is>
      </c>
      <c r="Z210" t="n">
        <v>454.1467</v>
      </c>
      <c r="AA210" t="inlineStr">
        <is>
          <t>2025-08-01</t>
        </is>
      </c>
      <c r="AB210" t="n">
        <v>452.2424</v>
      </c>
      <c r="AC210" t="n">
        <v>-0.004193263791559401</v>
      </c>
      <c r="AD210" t="inlineStr">
        <is>
          <t>FLAT</t>
        </is>
      </c>
      <c r="AE210" t="inlineStr">
        <is>
          <t>NO</t>
        </is>
      </c>
      <c r="AF210" t="n">
        <v>0.003193</v>
      </c>
      <c r="AG210">
        <f>IF($A210="","",IFERROR(INDEX(Company_List!$G$3:$G$207,MATCH($A210,Company_List!$A$3:$A$207,0)),"unassigned"))</f>
        <v/>
      </c>
      <c r="AH210" t="inlineStr">
        <is>
          <t>Phase 3/Readings/Linde/2025-Q2/LIN-2025-Q2-press-release-SEC-EX-99-1.htm; Phase 3/Readings/Linde/2025-Q2/LIN-2025-Q2-earnings-presentation-linde-com.pdf</t>
        </is>
      </c>
      <c r="AI210" t="inlineStr">
        <is>
          <t>https://assets.linde.com/-/media/global/corporate/corporate/documents/investors/quarterly-earnings/linde2q25teleconferenceslides.pdf; https://www.sec.gov/Archives/edgar/data/1707925/000165495425008771/lin_ex991.htm</t>
        </is>
      </c>
      <c r="AJ210" t="inlineStr">
        <is>
          <t>manifest (whole bundle)</t>
        </is>
      </c>
      <c r="AK210">
        <f>IF($A210="","",IF(COUNTIFS(Human_Data_Entry!$A$3:$A$525,$A210)&gt;0,"YES","NO"))</f>
        <v/>
      </c>
      <c r="AL210">
        <f>IF($A210="","",IF(AND($C210&amp;"-"&amp;$D210&gt;=Settings!$B$19,$C210&amp;"-"&amp;$D210&lt;=Settings!$B$20),"IN","OUT"))</f>
        <v/>
      </c>
      <c r="AM210">
        <f>IF(AND(OR($H210="BUY",$H210="SELL"),ISNUMBER($T210)),$T210,"")</f>
        <v/>
      </c>
      <c r="AN210">
        <f>IF(AND(OR($H210="BUY",$H210="SELL"),ISNUMBER($AF210)),$AF210,"")</f>
        <v/>
      </c>
      <c r="AO210">
        <f>IF(ISNUMBER($AM210),ABS(IF(ISNUMBER($G210),$G210,0)-Settings!$B$25),"")</f>
        <v/>
      </c>
      <c r="AP210">
        <f>IF(ISNUMBER($AO210),$AO210*$AM210,"")</f>
        <v/>
      </c>
      <c r="AQ210">
        <f>IF(ISNUMBER($AN210),ABS(IF(ISNUMBER($G210),$G210,0)-Settings!$B$25),"")</f>
        <v/>
      </c>
      <c r="AR210">
        <f>IF(ISNUMBER($AQ210),$AQ210*$AN210,"")</f>
        <v/>
      </c>
      <c r="AS210">
        <f>IF($A210="","",IFERROR(INDEX(Company_List!$H$3:$H$207,MATCH($A210,Company_List!$A$3:$A$207,0)),"unassigned"))</f>
        <v/>
      </c>
      <c r="AT210" t="inlineStr">
        <is>
          <t>not in v1</t>
        </is>
      </c>
      <c r="AU210" t="inlineStr">
        <is>
          <t>no earlier record</t>
        </is>
      </c>
      <c r="AV210" t="n">
        <v>2</v>
      </c>
      <c r="AW210" t="inlineStr">
        <is>
          <t>not publisher-identified</t>
        </is>
      </c>
      <c r="AX210" t="inlineStr">
        <is>
          <t>not publisher-identified</t>
        </is>
      </c>
      <c r="AY210" t="inlineStr">
        <is>
          <t>no</t>
        </is>
      </c>
      <c r="AZ210" t="inlineStr">
        <is>
          <t>yes</t>
        </is>
      </c>
    </row>
    <row r="211">
      <c r="A211" s="115" t="inlineStr">
        <is>
          <t>Linde</t>
        </is>
      </c>
      <c r="B211" s="117" t="inlineStr">
        <is>
          <t>LIN</t>
        </is>
      </c>
      <c r="C211" s="105" t="n">
        <v>2025</v>
      </c>
      <c r="D211" s="106" t="inlineStr">
        <is>
          <t>Q3</t>
        </is>
      </c>
      <c r="E211" s="109" t="inlineStr">
        <is>
          <t>Ben/DeepSeek</t>
        </is>
      </c>
      <c r="F211" s="106" t="inlineStr">
        <is>
          <t>LLM</t>
        </is>
      </c>
      <c r="G211" s="128" t="n">
        <v>0.08</v>
      </c>
      <c r="H211" s="106" t="inlineStr">
        <is>
          <t>HOLD</t>
        </is>
      </c>
      <c r="I211" s="128" t="n"/>
      <c r="J211" s="125" t="n">
        <v>45961</v>
      </c>
      <c r="K211" s="126" t="n">
        <v>45960</v>
      </c>
      <c r="L211" s="129" t="n">
        <v>429.91</v>
      </c>
      <c r="M211" s="126" t="n">
        <v>45961</v>
      </c>
      <c r="N211" s="129" t="n">
        <v>425</v>
      </c>
      <c r="O211" s="132" t="n">
        <v>0.008149999999999999</v>
      </c>
      <c r="P211" s="107" t="n">
        <v>-0.011421</v>
      </c>
      <c r="Q211" s="106" t="inlineStr">
        <is>
          <t>FLAT</t>
        </is>
      </c>
      <c r="R211" s="106" t="inlineStr">
        <is>
          <t>YES</t>
        </is>
      </c>
      <c r="S211" s="105" t="n">
        <v>0</v>
      </c>
      <c r="T211" s="107" t="n">
        <v>0</v>
      </c>
      <c r="U211" s="130" t="inlineStr">
        <is>
          <t>w=[0.55,0.45,0,0] thr=(+0.25,-0.05), deployed default (risk-accepted, PSR=0.0/perm p=0.150 at N=161, not rechecked at N=268)</t>
        </is>
      </c>
      <c r="W211" t="inlineStr">
        <is>
          <t>document date + price signal</t>
        </is>
      </c>
      <c r="X211" t="inlineStr">
        <is>
          <t>LIN</t>
        </is>
      </c>
      <c r="Y211" t="inlineStr">
        <is>
          <t>2025-10-30</t>
        </is>
      </c>
      <c r="Z211" t="n">
        <v>425.5529</v>
      </c>
      <c r="AA211" t="inlineStr">
        <is>
          <t>2025-10-31</t>
        </is>
      </c>
      <c r="AB211" t="n">
        <v>420.6926</v>
      </c>
      <c r="AC211" t="n">
        <v>-0.01142098467691608</v>
      </c>
      <c r="AD211" t="inlineStr">
        <is>
          <t>FLAT</t>
        </is>
      </c>
      <c r="AE211" t="inlineStr">
        <is>
          <t>YES</t>
        </is>
      </c>
      <c r="AF211" t="n">
        <v>0</v>
      </c>
      <c r="AG211">
        <f>IF($A211="","",IFERROR(INDEX(Company_List!$G$3:$G$207,MATCH($A211,Company_List!$A$3:$A$207,0)),"unassigned"))</f>
        <v/>
      </c>
      <c r="AH211" t="inlineStr">
        <is>
          <t>Phase 3/Readings/Linde/LIN Q3 2025 transcript.pdf</t>
        </is>
      </c>
      <c r="AJ211" t="inlineStr">
        <is>
          <t>unique filename match</t>
        </is>
      </c>
      <c r="AK211">
        <f>IF($A211="","",IF(COUNTIFS(Human_Data_Entry!$A$3:$A$525,$A211)&gt;0,"YES","NO"))</f>
        <v/>
      </c>
      <c r="AL211">
        <f>IF($A211="","",IF(AND($C211&amp;"-"&amp;$D211&gt;=Settings!$B$19,$C211&amp;"-"&amp;$D211&lt;=Settings!$B$20),"IN","OUT"))</f>
        <v/>
      </c>
      <c r="AM211">
        <f>IF(AND(OR($H211="BUY",$H211="SELL"),ISNUMBER($T211)),$T211,"")</f>
        <v/>
      </c>
      <c r="AN211">
        <f>IF(AND(OR($H211="BUY",$H211="SELL"),ISNUMBER($AF211)),$AF211,"")</f>
        <v/>
      </c>
      <c r="AO211">
        <f>IF(ISNUMBER($AM211),ABS(IF(ISNUMBER($G211),$G211,0)-Settings!$B$25),"")</f>
        <v/>
      </c>
      <c r="AP211">
        <f>IF(ISNUMBER($AO211),$AO211*$AM211,"")</f>
        <v/>
      </c>
      <c r="AQ211">
        <f>IF(ISNUMBER($AN211),ABS(IF(ISNUMBER($G211),$G211,0)-Settings!$B$25),"")</f>
        <v/>
      </c>
      <c r="AR211">
        <f>IF(ISNUMBER($AQ211),$AQ211*$AN211,"")</f>
        <v/>
      </c>
      <c r="AS211">
        <f>IF($A211="","",IFERROR(INDEX(Company_List!$H$3:$H$207,MATCH($A211,Company_List!$A$3:$A$207,0)),"unassigned"))</f>
        <v/>
      </c>
      <c r="AT211" t="inlineStr">
        <is>
          <t>not in v1</t>
        </is>
      </c>
      <c r="AU211" t="inlineStr">
        <is>
          <t>no earlier record</t>
        </is>
      </c>
      <c r="AV211" t="n">
        <v>1</v>
      </c>
      <c r="AW211" t="inlineStr">
        <is>
          <t>not publisher-identified</t>
        </is>
      </c>
      <c r="AX211" t="inlineStr">
        <is>
          <t>not publisher-identified</t>
        </is>
      </c>
      <c r="AY211" t="inlineStr">
        <is>
          <t>no</t>
        </is>
      </c>
      <c r="AZ211" t="inlineStr">
        <is>
          <t>no</t>
        </is>
      </c>
    </row>
    <row r="212">
      <c r="A212" s="115" t="inlineStr">
        <is>
          <t>Metlife</t>
        </is>
      </c>
      <c r="B212" s="117" t="inlineStr">
        <is>
          <t>MET</t>
        </is>
      </c>
      <c r="C212" s="105" t="n">
        <v>2026</v>
      </c>
      <c r="D212" s="106" t="inlineStr">
        <is>
          <t>Q1</t>
        </is>
      </c>
      <c r="E212" s="109" t="inlineStr">
        <is>
          <t>Ben/DeepSeek</t>
        </is>
      </c>
      <c r="F212" s="106" t="inlineStr">
        <is>
          <t>LLM</t>
        </is>
      </c>
      <c r="G212" s="128" t="n">
        <v>0.0025</v>
      </c>
      <c r="H212" s="106" t="inlineStr">
        <is>
          <t>HOLD</t>
        </is>
      </c>
      <c r="I212" s="128" t="n"/>
      <c r="J212" s="125" t="n">
        <v>46148</v>
      </c>
      <c r="K212" s="126" t="n">
        <v>46148</v>
      </c>
      <c r="L212" s="129" t="n">
        <v>80.16</v>
      </c>
      <c r="M212" s="126" t="n">
        <v>46149</v>
      </c>
      <c r="N212" s="129" t="n">
        <v>80.56</v>
      </c>
      <c r="O212" s="132" t="n">
        <v>0.012708</v>
      </c>
      <c r="P212" s="107" t="n">
        <v>0.00499</v>
      </c>
      <c r="Q212" s="106" t="inlineStr">
        <is>
          <t>FLAT</t>
        </is>
      </c>
      <c r="R212" s="106" t="inlineStr">
        <is>
          <t>YES</t>
        </is>
      </c>
      <c r="S212" s="105" t="n">
        <v>0</v>
      </c>
      <c r="T212" s="107" t="n">
        <v>0</v>
      </c>
      <c r="U212" s="130" t="inlineStr">
        <is>
          <t>w=[0.55,0.45,0,0] thr=(+0.25,-0.05), deployed default (risk-accepted, PSR=0.0/perm p=0.150 at N=161, not rechecked at N=268)</t>
        </is>
      </c>
      <c r="W212" t="inlineStr">
        <is>
          <t>release date + stated time</t>
        </is>
      </c>
      <c r="X212" t="inlineStr">
        <is>
          <t>MET</t>
        </is>
      </c>
      <c r="Y212" t="inlineStr">
        <is>
          <t>2026-05-06</t>
        </is>
      </c>
      <c r="Z212" t="n">
        <v>79.06059999999999</v>
      </c>
      <c r="AA212" t="inlineStr">
        <is>
          <t>2026-05-07</t>
        </is>
      </c>
      <c r="AB212" t="n">
        <v>79.4551</v>
      </c>
      <c r="AC212" t="n">
        <v>0.004989957181484815</v>
      </c>
      <c r="AD212" t="inlineStr">
        <is>
          <t>FLAT</t>
        </is>
      </c>
      <c r="AE212" t="inlineStr">
        <is>
          <t>YES</t>
        </is>
      </c>
      <c r="AF212" t="n">
        <v>0</v>
      </c>
      <c r="AG212">
        <f>IF($A212="","",IFERROR(INDEX(Company_List!$G$3:$G$207,MATCH($A212,Company_List!$A$3:$A$207,0)),"unassigned"))</f>
        <v/>
      </c>
      <c r="AH212" t="inlineStr">
        <is>
          <t>Phase 2/MetLife/Q1 2026/MET-Q1-2026-press-release-SEC-EX99-1.htm; Phase 2/MetLife/Q1 2026/MET-Q1-2026-exhibit-SEC-EX99-2.htm; Phase 2/MetLife/Q1 2026/MET-Q1-2026-earnings-call-transcript-InsiderMonkey.html</t>
        </is>
      </c>
      <c r="AI212" t="inlineStr">
        <is>
          <t>https://www.insidermonkey.com/blog/metlife-inc-nysemet-q1-2026-earnings-call-transcript-1756889/; https://www.sec.gov/Archives/edgar/data/1099219/000109921926000032/ex991earningsreleasetables.htm; https://www.sec.gov/Archives/edgar/data/1099219/000109921926000032/ex992qfsq126.htm</t>
        </is>
      </c>
      <c r="AJ212" t="inlineStr">
        <is>
          <t>manifest (whole bundle)</t>
        </is>
      </c>
      <c r="AK212">
        <f>IF($A212="","",IF(COUNTIFS(Human_Data_Entry!$A$3:$A$525,$A212)&gt;0,"YES","NO"))</f>
        <v/>
      </c>
      <c r="AL212">
        <f>IF($A212="","",IF(AND($C212&amp;"-"&amp;$D212&gt;=Settings!$B$19,$C212&amp;"-"&amp;$D212&lt;=Settings!$B$20),"IN","OUT"))</f>
        <v/>
      </c>
      <c r="AM212">
        <f>IF(AND(OR($H212="BUY",$H212="SELL"),ISNUMBER($T212)),$T212,"")</f>
        <v/>
      </c>
      <c r="AN212">
        <f>IF(AND(OR($H212="BUY",$H212="SELL"),ISNUMBER($AF212)),$AF212,"")</f>
        <v/>
      </c>
      <c r="AO212">
        <f>IF(ISNUMBER($AM212),ABS(IF(ISNUMBER($G212),$G212,0)-Settings!$B$25),"")</f>
        <v/>
      </c>
      <c r="AP212">
        <f>IF(ISNUMBER($AO212),$AO212*$AM212,"")</f>
        <v/>
      </c>
      <c r="AQ212">
        <f>IF(ISNUMBER($AN212),ABS(IF(ISNUMBER($G212),$G212,0)-Settings!$B$25),"")</f>
        <v/>
      </c>
      <c r="AR212">
        <f>IF(ISNUMBER($AQ212),$AQ212*$AN212,"")</f>
        <v/>
      </c>
      <c r="AS212">
        <f>IF($A212="","",IFERROR(INDEX(Company_List!$H$3:$H$207,MATCH($A212,Company_List!$A$3:$A$207,0)),"unassigned"))</f>
        <v/>
      </c>
      <c r="AT212" t="inlineStr">
        <is>
          <t>not in v1</t>
        </is>
      </c>
      <c r="AU212" t="inlineStr">
        <is>
          <t>no earlier record</t>
        </is>
      </c>
      <c r="AV212" t="n">
        <v>3</v>
      </c>
      <c r="AW212" t="inlineStr">
        <is>
          <t>Insider Monkey (Koala Guide LLC)</t>
        </is>
      </c>
      <c r="AX212" t="inlineStr">
        <is>
          <t>free to read, copyright asserted</t>
        </is>
      </c>
      <c r="AY212" t="inlineStr">
        <is>
          <t>no</t>
        </is>
      </c>
      <c r="AZ212" t="inlineStr">
        <is>
          <t>yes</t>
        </is>
      </c>
    </row>
    <row r="213">
      <c r="A213" s="115" t="inlineStr">
        <is>
          <t>Metlife</t>
        </is>
      </c>
      <c r="B213" s="117" t="inlineStr">
        <is>
          <t>MET</t>
        </is>
      </c>
      <c r="C213" s="105" t="n">
        <v>2024</v>
      </c>
      <c r="D213" s="106" t="inlineStr">
        <is>
          <t>Q2</t>
        </is>
      </c>
      <c r="E213" s="109" t="inlineStr">
        <is>
          <t>Ben/DeepSeek</t>
        </is>
      </c>
      <c r="F213" s="106" t="inlineStr">
        <is>
          <t>LLM</t>
        </is>
      </c>
      <c r="G213" s="128" t="n">
        <v>0.15</v>
      </c>
      <c r="H213" s="106" t="inlineStr">
        <is>
          <t>HOLD</t>
        </is>
      </c>
      <c r="I213" s="128" t="n"/>
      <c r="J213" s="125" t="n">
        <v>45504</v>
      </c>
      <c r="K213" s="126" t="n">
        <v>45504</v>
      </c>
      <c r="L213" s="129" t="n">
        <v>76.84999999999999</v>
      </c>
      <c r="M213" s="126" t="n">
        <v>45505</v>
      </c>
      <c r="N213" s="129" t="n">
        <v>78.61</v>
      </c>
      <c r="O213" s="132" t="n">
        <v>0.010685</v>
      </c>
      <c r="P213" s="107" t="n">
        <v>0.022902</v>
      </c>
      <c r="Q213" s="106" t="inlineStr">
        <is>
          <t>UP</t>
        </is>
      </c>
      <c r="R213" s="106" t="inlineStr">
        <is>
          <t>NO</t>
        </is>
      </c>
      <c r="S213" s="105" t="n">
        <v>0</v>
      </c>
      <c r="T213" s="107" t="n">
        <v>0</v>
      </c>
      <c r="U213" s="130" t="inlineStr">
        <is>
          <t>w=[0.55,0.45,0,0] thr=(+0.25,-0.05), deployed default (risk-accepted, PSR=0.0/perm p=0.150 at N=161, not rechecked at N=268)</t>
        </is>
      </c>
      <c r="W213" t="inlineStr">
        <is>
          <t>release date + stated time in the document (document)</t>
        </is>
      </c>
      <c r="X213" t="inlineStr">
        <is>
          <t>MET</t>
        </is>
      </c>
      <c r="Y213" t="inlineStr">
        <is>
          <t>2024-07-31</t>
        </is>
      </c>
      <c r="Z213" t="n">
        <v>72.0468</v>
      </c>
      <c r="AA213" t="inlineStr">
        <is>
          <t>2024-08-01</t>
        </is>
      </c>
      <c r="AB213" t="n">
        <v>73.6968</v>
      </c>
      <c r="AC213" t="n">
        <v>0.02290193450785315</v>
      </c>
      <c r="AD213" t="inlineStr">
        <is>
          <t>UP</t>
        </is>
      </c>
      <c r="AE213" t="inlineStr">
        <is>
          <t>NO</t>
        </is>
      </c>
      <c r="AF213" t="n">
        <v>0</v>
      </c>
      <c r="AG213">
        <f>IF($A213="","",IFERROR(INDEX(Company_List!$G$3:$G$207,MATCH($A213,Company_List!$A$3:$A$207,0)),"unassigned"))</f>
        <v/>
      </c>
      <c r="AH213" t="inlineStr">
        <is>
          <t>Phase 2/MetLife/Q2 2024/MET-Q2-2024-press-release-SEC-EX99-1.htm; Phase 2/MetLife/Q2 2024/MET-Q2-2024-exhibit-SEC-EX99-2.htm; Phase 2/MetLife/Q2 2024/MET-Q2-2024-earnings-call-transcript-stockanalysis-com.html</t>
        </is>
      </c>
      <c r="AI213" t="inlineStr">
        <is>
          <t>https://stockanalysis.com/stocks/met/transcripts/190195-q2-2024/; https://www.sec.gov/Archives/edgar/data/1099219/000109921924000196/ex991earningsreleasetables.htm; https://www.sec.gov/Archives/edgar/data/1099219/000109921924000196/ex992qfsq224.htm</t>
        </is>
      </c>
      <c r="AJ213" t="inlineStr">
        <is>
          <t>manifest (whole bundle)</t>
        </is>
      </c>
      <c r="AK213">
        <f>IF($A213="","",IF(COUNTIFS(Human_Data_Entry!$A$3:$A$525,$A213)&gt;0,"YES","NO"))</f>
        <v/>
      </c>
      <c r="AL213">
        <f>IF($A213="","",IF(AND($C213&amp;"-"&amp;$D213&gt;=Settings!$B$19,$C213&amp;"-"&amp;$D213&lt;=Settings!$B$20),"IN","OUT"))</f>
        <v/>
      </c>
      <c r="AM213">
        <f>IF(AND(OR($H213="BUY",$H213="SELL"),ISNUMBER($T213)),$T213,"")</f>
        <v/>
      </c>
      <c r="AN213">
        <f>IF(AND(OR($H213="BUY",$H213="SELL"),ISNUMBER($AF213)),$AF213,"")</f>
        <v/>
      </c>
      <c r="AO213">
        <f>IF(ISNUMBER($AM213),ABS(IF(ISNUMBER($G213),$G213,0)-Settings!$B$25),"")</f>
        <v/>
      </c>
      <c r="AP213">
        <f>IF(ISNUMBER($AO213),$AO213*$AM213,"")</f>
        <v/>
      </c>
      <c r="AQ213">
        <f>IF(ISNUMBER($AN213),ABS(IF(ISNUMBER($G213),$G213,0)-Settings!$B$25),"")</f>
        <v/>
      </c>
      <c r="AR213">
        <f>IF(ISNUMBER($AQ213),$AQ213*$AN213,"")</f>
        <v/>
      </c>
      <c r="AS213">
        <f>IF($A213="","",IFERROR(INDEX(Company_List!$H$3:$H$207,MATCH($A213,Company_List!$A$3:$A$207,0)),"unassigned"))</f>
        <v/>
      </c>
      <c r="AT213" t="inlineStr">
        <is>
          <t>not in v1</t>
        </is>
      </c>
      <c r="AU213" t="inlineStr">
        <is>
          <t>no earlier record</t>
        </is>
      </c>
      <c r="AV213" t="n">
        <v>3</v>
      </c>
      <c r="AW213" t="inlineStr">
        <is>
          <t>not publisher-identified</t>
        </is>
      </c>
      <c r="AX213" t="inlineStr">
        <is>
          <t>not publisher-identified</t>
        </is>
      </c>
      <c r="AY213" t="inlineStr">
        <is>
          <t>no</t>
        </is>
      </c>
      <c r="AZ213" t="inlineStr">
        <is>
          <t>yes</t>
        </is>
      </c>
    </row>
    <row r="214">
      <c r="A214" s="115" t="inlineStr">
        <is>
          <t>Metlife</t>
        </is>
      </c>
      <c r="B214" s="117" t="inlineStr">
        <is>
          <t>MET</t>
        </is>
      </c>
      <c r="C214" s="105" t="n">
        <v>2025</v>
      </c>
      <c r="D214" s="106" t="inlineStr">
        <is>
          <t>Q2</t>
        </is>
      </c>
      <c r="E214" s="109" t="inlineStr">
        <is>
          <t>Ben/DeepSeek</t>
        </is>
      </c>
      <c r="F214" s="106" t="inlineStr">
        <is>
          <t>LLM</t>
        </is>
      </c>
      <c r="G214" s="128" t="n">
        <v>-0.065</v>
      </c>
      <c r="H214" s="106" t="inlineStr">
        <is>
          <t>SELL</t>
        </is>
      </c>
      <c r="I214" s="128" t="n"/>
      <c r="J214" s="125" t="n">
        <v>45875</v>
      </c>
      <c r="K214" s="126" t="n">
        <v>45875</v>
      </c>
      <c r="L214" s="129" t="n">
        <v>75.95</v>
      </c>
      <c r="M214" s="126" t="n">
        <v>45876</v>
      </c>
      <c r="N214" s="129" t="n">
        <v>72.09999999999999</v>
      </c>
      <c r="O214" s="132" t="n">
        <v>0.014171</v>
      </c>
      <c r="P214" s="107" t="n">
        <v>-0.050691</v>
      </c>
      <c r="Q214" s="106" t="inlineStr">
        <is>
          <t>DOWN</t>
        </is>
      </c>
      <c r="R214" s="106" t="inlineStr">
        <is>
          <t>YES</t>
        </is>
      </c>
      <c r="S214" s="105" t="n">
        <v>-1</v>
      </c>
      <c r="T214" s="107" t="n">
        <v>0.049691</v>
      </c>
      <c r="U214" s="130" t="inlineStr">
        <is>
          <t>w=[0.55,0.45,0,0] thr=(+0.25,-0.05), deployed default (risk-accepted, PSR=0.0/perm p=0.150 at N=161, not rechecked at N=268)</t>
        </is>
      </c>
      <c r="W214" t="inlineStr">
        <is>
          <t>release date + stated time in the document (document)</t>
        </is>
      </c>
      <c r="X214" t="inlineStr">
        <is>
          <t>MET</t>
        </is>
      </c>
      <c r="Y214" t="inlineStr">
        <is>
          <t>2025-08-06</t>
        </is>
      </c>
      <c r="Z214" t="n">
        <v>73.842</v>
      </c>
      <c r="AA214" t="inlineStr">
        <is>
          <t>2025-08-07</t>
        </is>
      </c>
      <c r="AB214" t="n">
        <v>70.0989</v>
      </c>
      <c r="AC214" t="n">
        <v>-0.0506913954592661</v>
      </c>
      <c r="AD214" t="inlineStr">
        <is>
          <t>DOWN</t>
        </is>
      </c>
      <c r="AE214" t="inlineStr">
        <is>
          <t>YES</t>
        </is>
      </c>
      <c r="AF214" t="n">
        <v>0.049691</v>
      </c>
      <c r="AG214">
        <f>IF($A214="","",IFERROR(INDEX(Company_List!$G$3:$G$207,MATCH($A214,Company_List!$A$3:$A$207,0)),"unassigned"))</f>
        <v/>
      </c>
      <c r="AH214" t="inlineStr">
        <is>
          <t>Phase 2/MetLife/Q2 2025/MET-Q2-2025-press-release-SEC-EX99-1.htm; Phase 2/MetLife/Q2 2025/MET-Q2-2025-exhibit-SEC-EX99-2.htm; Phase 2/MetLife/Q2 2025/MET-Q2-2025-earnings-call-transcript-InsiderMonkey.html</t>
        </is>
      </c>
      <c r="AI214" t="inlineStr">
        <is>
          <t>https://www.insidermonkey.com/blog/metlife-inc-nysemet-q2-2025-earnings-call-transcript-1587127/; https://www.sec.gov/Archives/edgar/data/1099219/000109921925000191/ex991earningsreleasetables.htm; https://www.sec.gov/Archives/edgar/data/1099219/000109921925000191/ex992qfsq225.htm</t>
        </is>
      </c>
      <c r="AJ214" t="inlineStr">
        <is>
          <t>manifest (whole bundle)</t>
        </is>
      </c>
      <c r="AK214">
        <f>IF($A214="","",IF(COUNTIFS(Human_Data_Entry!$A$3:$A$525,$A214)&gt;0,"YES","NO"))</f>
        <v/>
      </c>
      <c r="AL214">
        <f>IF($A214="","",IF(AND($C214&amp;"-"&amp;$D214&gt;=Settings!$B$19,$C214&amp;"-"&amp;$D214&lt;=Settings!$B$20),"IN","OUT"))</f>
        <v/>
      </c>
      <c r="AM214">
        <f>IF(AND(OR($H214="BUY",$H214="SELL"),ISNUMBER($T214)),$T214,"")</f>
        <v/>
      </c>
      <c r="AN214">
        <f>IF(AND(OR($H214="BUY",$H214="SELL"),ISNUMBER($AF214)),$AF214,"")</f>
        <v/>
      </c>
      <c r="AO214">
        <f>IF(ISNUMBER($AM214),ABS(IF(ISNUMBER($G214),$G214,0)-Settings!$B$25),"")</f>
        <v/>
      </c>
      <c r="AP214">
        <f>IF(ISNUMBER($AO214),$AO214*$AM214,"")</f>
        <v/>
      </c>
      <c r="AQ214">
        <f>IF(ISNUMBER($AN214),ABS(IF(ISNUMBER($G214),$G214,0)-Settings!$B$25),"")</f>
        <v/>
      </c>
      <c r="AR214">
        <f>IF(ISNUMBER($AQ214),$AQ214*$AN214,"")</f>
        <v/>
      </c>
      <c r="AS214">
        <f>IF($A214="","",IFERROR(INDEX(Company_List!$H$3:$H$207,MATCH($A214,Company_List!$A$3:$A$207,0)),"unassigned"))</f>
        <v/>
      </c>
      <c r="AT214" t="inlineStr">
        <is>
          <t>not in v1</t>
        </is>
      </c>
      <c r="AU214" t="inlineStr">
        <is>
          <t>no earlier record</t>
        </is>
      </c>
      <c r="AV214" t="n">
        <v>3</v>
      </c>
      <c r="AW214" t="inlineStr">
        <is>
          <t>Insider Monkey (Koala Guide LLC)</t>
        </is>
      </c>
      <c r="AX214" t="inlineStr">
        <is>
          <t>free to read, copyright asserted</t>
        </is>
      </c>
      <c r="AY214" t="inlineStr">
        <is>
          <t>no</t>
        </is>
      </c>
      <c r="AZ214" t="inlineStr">
        <is>
          <t>yes</t>
        </is>
      </c>
    </row>
    <row r="215">
      <c r="A215" s="115" t="inlineStr">
        <is>
          <t>Metlife</t>
        </is>
      </c>
      <c r="B215" s="117" t="inlineStr">
        <is>
          <t>MET</t>
        </is>
      </c>
      <c r="C215" s="105" t="n">
        <v>2024</v>
      </c>
      <c r="D215" s="106" t="inlineStr">
        <is>
          <t>Q3</t>
        </is>
      </c>
      <c r="E215" s="109" t="inlineStr">
        <is>
          <t>Ben/DeepSeek</t>
        </is>
      </c>
      <c r="F215" s="106" t="inlineStr">
        <is>
          <t>LLM</t>
        </is>
      </c>
      <c r="G215" s="128" t="n">
        <v>-0.1</v>
      </c>
      <c r="H215" s="106" t="inlineStr">
        <is>
          <t>SELL</t>
        </is>
      </c>
      <c r="I215" s="128" t="n"/>
      <c r="J215" s="125" t="n">
        <v>45595</v>
      </c>
      <c r="K215" s="126" t="n">
        <v>45595</v>
      </c>
      <c r="L215" s="129" t="n">
        <v>83.18000000000001</v>
      </c>
      <c r="M215" s="126" t="n">
        <v>45596</v>
      </c>
      <c r="N215" s="129" t="n">
        <v>76.56999999999999</v>
      </c>
      <c r="O215" s="132" t="n">
        <v>0.010601</v>
      </c>
      <c r="P215" s="107" t="n">
        <v>-0.07946599999999999</v>
      </c>
      <c r="Q215" s="106" t="inlineStr">
        <is>
          <t>DOWN</t>
        </is>
      </c>
      <c r="R215" s="106" t="inlineStr">
        <is>
          <t>YES</t>
        </is>
      </c>
      <c r="S215" s="105" t="n">
        <v>-1</v>
      </c>
      <c r="T215" s="107" t="n">
        <v>0.07846599999999999</v>
      </c>
      <c r="U215" s="130" t="inlineStr">
        <is>
          <t>w=[0.55,0.45,0,0] thr=(+0.25,-0.05), deployed default (risk-accepted, PSR=0.0/perm p=0.150 at N=161, not rechecked at N=268)</t>
        </is>
      </c>
      <c r="W215" t="inlineStr">
        <is>
          <t>release date + stated time in the document (document)</t>
        </is>
      </c>
      <c r="X215" t="inlineStr">
        <is>
          <t>MET</t>
        </is>
      </c>
      <c r="Y215" t="inlineStr">
        <is>
          <t>2024-10-30</t>
        </is>
      </c>
      <c r="Z215" t="n">
        <v>78.6116</v>
      </c>
      <c r="AA215" t="inlineStr">
        <is>
          <t>2024-10-31</t>
        </is>
      </c>
      <c r="AB215" t="n">
        <v>72.3646</v>
      </c>
      <c r="AC215" t="n">
        <v>-0.07946624452436507</v>
      </c>
      <c r="AD215" t="inlineStr">
        <is>
          <t>DOWN</t>
        </is>
      </c>
      <c r="AE215" t="inlineStr">
        <is>
          <t>YES</t>
        </is>
      </c>
      <c r="AF215" t="n">
        <v>0.07846599999999999</v>
      </c>
      <c r="AG215">
        <f>IF($A215="","",IFERROR(INDEX(Company_List!$G$3:$G$207,MATCH($A215,Company_List!$A$3:$A$207,0)),"unassigned"))</f>
        <v/>
      </c>
      <c r="AH215" t="inlineStr">
        <is>
          <t>Phase 2/MetLife/Q3 2024/MET-Q3-2024-press-release-SEC-EX99-1.htm; Phase 2/MetLife/Q3 2024/MET-Q3-2024-exhibit-SEC-EX99-2.htm; Phase 2/MetLife/Q3 2024/MET-Q3-2024-earnings-call-transcript-InsiderMonkey.html</t>
        </is>
      </c>
      <c r="AI215" t="inlineStr">
        <is>
          <t>https://www.insidermonkey.com/blog/metlife-inc-nysemet-q3-2024-earnings-call-transcript-1383939/; https://www.sec.gov/Archives/edgar/data/1099219/000109921924000255/ex991earningsreleasetables.htm; https://www.sec.gov/Archives/edgar/data/1099219/000109921924000255/ex992qfsq324.htm</t>
        </is>
      </c>
      <c r="AJ215" t="inlineStr">
        <is>
          <t>manifest (whole bundle)</t>
        </is>
      </c>
      <c r="AK215">
        <f>IF($A215="","",IF(COUNTIFS(Human_Data_Entry!$A$3:$A$525,$A215)&gt;0,"YES","NO"))</f>
        <v/>
      </c>
      <c r="AL215">
        <f>IF($A215="","",IF(AND($C215&amp;"-"&amp;$D215&gt;=Settings!$B$19,$C215&amp;"-"&amp;$D215&lt;=Settings!$B$20),"IN","OUT"))</f>
        <v/>
      </c>
      <c r="AM215">
        <f>IF(AND(OR($H215="BUY",$H215="SELL"),ISNUMBER($T215)),$T215,"")</f>
        <v/>
      </c>
      <c r="AN215">
        <f>IF(AND(OR($H215="BUY",$H215="SELL"),ISNUMBER($AF215)),$AF215,"")</f>
        <v/>
      </c>
      <c r="AO215">
        <f>IF(ISNUMBER($AM215),ABS(IF(ISNUMBER($G215),$G215,0)-Settings!$B$25),"")</f>
        <v/>
      </c>
      <c r="AP215">
        <f>IF(ISNUMBER($AO215),$AO215*$AM215,"")</f>
        <v/>
      </c>
      <c r="AQ215">
        <f>IF(ISNUMBER($AN215),ABS(IF(ISNUMBER($G215),$G215,0)-Settings!$B$25),"")</f>
        <v/>
      </c>
      <c r="AR215">
        <f>IF(ISNUMBER($AQ215),$AQ215*$AN215,"")</f>
        <v/>
      </c>
      <c r="AS215">
        <f>IF($A215="","",IFERROR(INDEX(Company_List!$H$3:$H$207,MATCH($A215,Company_List!$A$3:$A$207,0)),"unassigned"))</f>
        <v/>
      </c>
      <c r="AT215" t="inlineStr">
        <is>
          <t>not in v1</t>
        </is>
      </c>
      <c r="AU215" t="inlineStr">
        <is>
          <t>no earlier record</t>
        </is>
      </c>
      <c r="AV215" t="n">
        <v>3</v>
      </c>
      <c r="AW215" t="inlineStr">
        <is>
          <t>Insider Monkey (Koala Guide LLC)</t>
        </is>
      </c>
      <c r="AX215" t="inlineStr">
        <is>
          <t>free to read, copyright asserted</t>
        </is>
      </c>
      <c r="AY215" t="inlineStr">
        <is>
          <t>no</t>
        </is>
      </c>
      <c r="AZ215" t="inlineStr">
        <is>
          <t>yes</t>
        </is>
      </c>
    </row>
    <row r="216">
      <c r="A216" s="115" t="inlineStr">
        <is>
          <t>Metlife</t>
        </is>
      </c>
      <c r="B216" s="117" t="inlineStr">
        <is>
          <t>MET</t>
        </is>
      </c>
      <c r="C216" s="105" t="n">
        <v>2025</v>
      </c>
      <c r="D216" s="106" t="inlineStr">
        <is>
          <t>Q3</t>
        </is>
      </c>
      <c r="E216" s="109" t="inlineStr">
        <is>
          <t>Ben/DeepSeek</t>
        </is>
      </c>
      <c r="F216" s="106" t="inlineStr">
        <is>
          <t>LLM</t>
        </is>
      </c>
      <c r="G216" s="128" t="n">
        <v>0.2725</v>
      </c>
      <c r="H216" s="106" t="inlineStr">
        <is>
          <t>BUY</t>
        </is>
      </c>
      <c r="I216" s="128" t="n"/>
      <c r="J216" s="125" t="n">
        <v>45966</v>
      </c>
      <c r="K216" s="126" t="n">
        <v>45966</v>
      </c>
      <c r="L216" s="129" t="n">
        <v>78.68000000000001</v>
      </c>
      <c r="M216" s="126" t="n">
        <v>45967</v>
      </c>
      <c r="N216" s="129" t="n">
        <v>79.5</v>
      </c>
      <c r="O216" s="132" t="n">
        <v>0.010544</v>
      </c>
      <c r="P216" s="107" t="n">
        <v>0.010422</v>
      </c>
      <c r="Q216" s="106" t="inlineStr">
        <is>
          <t>FLAT</t>
        </is>
      </c>
      <c r="R216" s="106" t="inlineStr">
        <is>
          <t>NO</t>
        </is>
      </c>
      <c r="S216" s="105" t="n">
        <v>1</v>
      </c>
      <c r="T216" s="107" t="n">
        <v>0.009422</v>
      </c>
      <c r="U216" s="130" t="inlineStr">
        <is>
          <t>w=[0.55,0.45,0,0] thr=(+0.25,-0.05), deployed default (risk-accepted, PSR=0.0/perm p=0.150 at N=161, not rechecked at N=268)</t>
        </is>
      </c>
      <c r="W216" t="inlineStr">
        <is>
          <t>release date + stated time in the document (document)</t>
        </is>
      </c>
      <c r="X216" t="inlineStr">
        <is>
          <t>MET</t>
        </is>
      </c>
      <c r="Y216" t="inlineStr">
        <is>
          <t>2025-11-05</t>
        </is>
      </c>
      <c r="Z216" t="n">
        <v>77.0488</v>
      </c>
      <c r="AA216" t="inlineStr">
        <is>
          <t>2025-11-06</t>
        </is>
      </c>
      <c r="AB216" t="n">
        <v>77.8518</v>
      </c>
      <c r="AC216" t="n">
        <v>0.01042193452526113</v>
      </c>
      <c r="AD216" t="inlineStr">
        <is>
          <t>FLAT</t>
        </is>
      </c>
      <c r="AE216" t="inlineStr">
        <is>
          <t>NO</t>
        </is>
      </c>
      <c r="AF216" t="n">
        <v>0.009422</v>
      </c>
      <c r="AG216">
        <f>IF($A216="","",IFERROR(INDEX(Company_List!$G$3:$G$207,MATCH($A216,Company_List!$A$3:$A$207,0)),"unassigned"))</f>
        <v/>
      </c>
      <c r="AH216" t="inlineStr">
        <is>
          <t>Phase 2/MetLife/Q3 2025/MET-Q3-2025-press-release-SEC-EX99-1.htm; Phase 2/MetLife/Q3 2025/MET-Q3-2025-exhibit-SEC-EX99-2.htm; Phase 2/MetLife/Q3 2025/MET-Q3-2025-earnings-call-transcript-news-alphastreet-com.html</t>
        </is>
      </c>
      <c r="AI216" t="inlineStr">
        <is>
          <t>https://news.alphastreet.com/metlife-inc-met-q3-2025-earnings-call-transcript/; https://www.sec.gov/Archives/edgar/data/1099219/000109921925000227/ex991earningsreleasetables.htm; https://www.sec.gov/Archives/edgar/data/1099219/000109921925000227/ex992qfsq325.htm</t>
        </is>
      </c>
      <c r="AJ216" t="inlineStr">
        <is>
          <t>manifest (whole bundle)</t>
        </is>
      </c>
      <c r="AK216">
        <f>IF($A216="","",IF(COUNTIFS(Human_Data_Entry!$A$3:$A$525,$A216)&gt;0,"YES","NO"))</f>
        <v/>
      </c>
      <c r="AL216">
        <f>IF($A216="","",IF(AND($C216&amp;"-"&amp;$D216&gt;=Settings!$B$19,$C216&amp;"-"&amp;$D216&lt;=Settings!$B$20),"IN","OUT"))</f>
        <v/>
      </c>
      <c r="AM216">
        <f>IF(AND(OR($H216="BUY",$H216="SELL"),ISNUMBER($T216)),$T216,"")</f>
        <v/>
      </c>
      <c r="AN216">
        <f>IF(AND(OR($H216="BUY",$H216="SELL"),ISNUMBER($AF216)),$AF216,"")</f>
        <v/>
      </c>
      <c r="AO216">
        <f>IF(ISNUMBER($AM216),ABS(IF(ISNUMBER($G216),$G216,0)-Settings!$B$25),"")</f>
        <v/>
      </c>
      <c r="AP216">
        <f>IF(ISNUMBER($AO216),$AO216*$AM216,"")</f>
        <v/>
      </c>
      <c r="AQ216">
        <f>IF(ISNUMBER($AN216),ABS(IF(ISNUMBER($G216),$G216,0)-Settings!$B$25),"")</f>
        <v/>
      </c>
      <c r="AR216">
        <f>IF(ISNUMBER($AQ216),$AQ216*$AN216,"")</f>
        <v/>
      </c>
      <c r="AS216">
        <f>IF($A216="","",IFERROR(INDEX(Company_List!$H$3:$H$207,MATCH($A216,Company_List!$A$3:$A$207,0)),"unassigned"))</f>
        <v/>
      </c>
      <c r="AT216" t="inlineStr">
        <is>
          <t>not in v1</t>
        </is>
      </c>
      <c r="AU216" t="inlineStr">
        <is>
          <t>no earlier record</t>
        </is>
      </c>
      <c r="AV216" t="n">
        <v>3</v>
      </c>
      <c r="AW216" t="inlineStr">
        <is>
          <t>not publisher-identified</t>
        </is>
      </c>
      <c r="AX216" t="inlineStr">
        <is>
          <t>not publisher-identified</t>
        </is>
      </c>
      <c r="AY216" t="inlineStr">
        <is>
          <t>no</t>
        </is>
      </c>
      <c r="AZ216" t="inlineStr">
        <is>
          <t>yes</t>
        </is>
      </c>
    </row>
    <row r="217">
      <c r="A217" s="115" t="inlineStr">
        <is>
          <t>Metlife</t>
        </is>
      </c>
      <c r="B217" s="117" t="inlineStr">
        <is>
          <t>MET</t>
        </is>
      </c>
      <c r="C217" s="105" t="n">
        <v>2025</v>
      </c>
      <c r="D217" s="106" t="inlineStr">
        <is>
          <t>Q4</t>
        </is>
      </c>
      <c r="E217" s="109" t="inlineStr">
        <is>
          <t>Ben/DeepSeek</t>
        </is>
      </c>
      <c r="F217" s="106" t="inlineStr">
        <is>
          <t>LLM</t>
        </is>
      </c>
      <c r="G217" s="128" t="n">
        <v>0.2775</v>
      </c>
      <c r="H217" s="106" t="inlineStr">
        <is>
          <t>BUY</t>
        </is>
      </c>
      <c r="I217" s="128" t="n"/>
      <c r="J217" s="125" t="n">
        <v>46057</v>
      </c>
      <c r="K217" s="126" t="n">
        <v>46057</v>
      </c>
      <c r="L217" s="129" t="n">
        <v>78.01000000000001</v>
      </c>
      <c r="M217" s="126" t="n">
        <v>46058</v>
      </c>
      <c r="N217" s="129" t="n">
        <v>79.5</v>
      </c>
      <c r="O217" s="132" t="n">
        <v>0.013737</v>
      </c>
      <c r="P217" s="107" t="n">
        <v>0.0191</v>
      </c>
      <c r="Q217" s="106" t="inlineStr">
        <is>
          <t>FLAT</t>
        </is>
      </c>
      <c r="R217" s="106" t="inlineStr">
        <is>
          <t>NO</t>
        </is>
      </c>
      <c r="S217" s="105" t="n">
        <v>1</v>
      </c>
      <c r="T217" s="107" t="n">
        <v>0.0181</v>
      </c>
      <c r="U217" s="130" t="inlineStr">
        <is>
          <t>w=[0.55,0.45,0,0] thr=(+0.25,-0.05), deployed default (risk-accepted, PSR=0.0/perm p=0.150 at N=161, not rechecked at N=268)</t>
        </is>
      </c>
      <c r="W217" t="inlineStr">
        <is>
          <t>release date + stated time in the document (document)</t>
        </is>
      </c>
      <c r="X217" t="inlineStr">
        <is>
          <t>MET</t>
        </is>
      </c>
      <c r="Y217" t="inlineStr">
        <is>
          <t>2026-02-04</t>
        </is>
      </c>
      <c r="Z217" t="n">
        <v>76.9401</v>
      </c>
      <c r="AA217" t="inlineStr">
        <is>
          <t>2026-02-05</t>
        </is>
      </c>
      <c r="AB217" t="n">
        <v>78.4097</v>
      </c>
      <c r="AC217" t="n">
        <v>0.01910011489677565</v>
      </c>
      <c r="AD217" t="inlineStr">
        <is>
          <t>FLAT</t>
        </is>
      </c>
      <c r="AE217" t="inlineStr">
        <is>
          <t>NO</t>
        </is>
      </c>
      <c r="AF217" t="n">
        <v>0.0181</v>
      </c>
      <c r="AG217">
        <f>IF($A217="","",IFERROR(INDEX(Company_List!$G$3:$G$207,MATCH($A217,Company_List!$A$3:$A$207,0)),"unassigned"))</f>
        <v/>
      </c>
      <c r="AH217" t="inlineStr">
        <is>
          <t>Phase 2/MetLife/Q4 2025/MET-Q4-2025-press-release-SEC-EX99-1.htm; Phase 2/MetLife/Q4 2025/MET-Q4-2025-exhibit-SEC-EX99-2.htm; Phase 2/MetLife/Q4 2025/MET-Q4-2025-earnings-call-transcript-InsiderMonkey.html</t>
        </is>
      </c>
      <c r="AI217" t="inlineStr">
        <is>
          <t>https://www.insidermonkey.com/blog/metlife-inc-nysemet-q4-2025-earnings-call-transcript-1690172/; https://www.sec.gov/Archives/edgar/data/1099219/000109921926000008/ex991earningsreleasetables.htm; https://www.sec.gov/Archives/edgar/data/1099219/000109921926000008/ex992qfsq425.htm</t>
        </is>
      </c>
      <c r="AJ217" t="inlineStr">
        <is>
          <t>manifest (whole bundle)</t>
        </is>
      </c>
      <c r="AK217">
        <f>IF($A217="","",IF(COUNTIFS(Human_Data_Entry!$A$3:$A$525,$A217)&gt;0,"YES","NO"))</f>
        <v/>
      </c>
      <c r="AL217">
        <f>IF($A217="","",IF(AND($C217&amp;"-"&amp;$D217&gt;=Settings!$B$19,$C217&amp;"-"&amp;$D217&lt;=Settings!$B$20),"IN","OUT"))</f>
        <v/>
      </c>
      <c r="AM217">
        <f>IF(AND(OR($H217="BUY",$H217="SELL"),ISNUMBER($T217)),$T217,"")</f>
        <v/>
      </c>
      <c r="AN217">
        <f>IF(AND(OR($H217="BUY",$H217="SELL"),ISNUMBER($AF217)),$AF217,"")</f>
        <v/>
      </c>
      <c r="AO217">
        <f>IF(ISNUMBER($AM217),ABS(IF(ISNUMBER($G217),$G217,0)-Settings!$B$25),"")</f>
        <v/>
      </c>
      <c r="AP217">
        <f>IF(ISNUMBER($AO217),$AO217*$AM217,"")</f>
        <v/>
      </c>
      <c r="AQ217">
        <f>IF(ISNUMBER($AN217),ABS(IF(ISNUMBER($G217),$G217,0)-Settings!$B$25),"")</f>
        <v/>
      </c>
      <c r="AR217">
        <f>IF(ISNUMBER($AQ217),$AQ217*$AN217,"")</f>
        <v/>
      </c>
      <c r="AS217">
        <f>IF($A217="","",IFERROR(INDEX(Company_List!$H$3:$H$207,MATCH($A217,Company_List!$A$3:$A$207,0)),"unassigned"))</f>
        <v/>
      </c>
      <c r="AT217" t="inlineStr">
        <is>
          <t>not in v1</t>
        </is>
      </c>
      <c r="AU217" t="inlineStr">
        <is>
          <t>no earlier record</t>
        </is>
      </c>
      <c r="AV217" t="n">
        <v>3</v>
      </c>
      <c r="AW217" t="inlineStr">
        <is>
          <t>Insider Monkey (Koala Guide LLC)</t>
        </is>
      </c>
      <c r="AX217" t="inlineStr">
        <is>
          <t>free to read, copyright asserted</t>
        </is>
      </c>
      <c r="AY217" t="inlineStr">
        <is>
          <t>no</t>
        </is>
      </c>
      <c r="AZ217" t="inlineStr">
        <is>
          <t>yes</t>
        </is>
      </c>
    </row>
    <row r="218">
      <c r="A218" s="115" t="inlineStr">
        <is>
          <t>Micron</t>
        </is>
      </c>
      <c r="B218" s="117" t="inlineStr">
        <is>
          <t>MU</t>
        </is>
      </c>
      <c r="C218" s="105" t="n">
        <v>2026</v>
      </c>
      <c r="D218" s="106" t="inlineStr">
        <is>
          <t>Q1</t>
        </is>
      </c>
      <c r="E218" s="109" t="inlineStr">
        <is>
          <t>Ben/DeepSeek</t>
        </is>
      </c>
      <c r="F218" s="106" t="inlineStr">
        <is>
          <t>LLM</t>
        </is>
      </c>
      <c r="G218" s="128" t="n">
        <v>0.5125</v>
      </c>
      <c r="H218" s="106" t="inlineStr">
        <is>
          <t>BUY</t>
        </is>
      </c>
      <c r="I218" s="128" t="n"/>
      <c r="J218" s="125" t="n">
        <v>46008</v>
      </c>
      <c r="K218" s="126" t="n">
        <v>46008</v>
      </c>
      <c r="L218" s="129" t="n">
        <v>225.52</v>
      </c>
      <c r="M218" s="126" t="n">
        <v>46009</v>
      </c>
      <c r="N218" s="129" t="n">
        <v>256.53</v>
      </c>
      <c r="O218" s="132" t="n">
        <v>0.008451</v>
      </c>
      <c r="P218" s="107" t="n">
        <v>0.137504</v>
      </c>
      <c r="Q218" s="106" t="inlineStr">
        <is>
          <t>UP</t>
        </is>
      </c>
      <c r="R218" s="106" t="inlineStr">
        <is>
          <t>YES</t>
        </is>
      </c>
      <c r="S218" s="105" t="n">
        <v>1</v>
      </c>
      <c r="T218" s="107" t="n">
        <v>0.136504</v>
      </c>
      <c r="U218" s="130" t="inlineStr">
        <is>
          <t>w=[0.55,0.45,0,0] thr=(+0.25,-0.05), deployed default (risk-accepted, PSR=0.0/perm p=0.150 at N=161, not rechecked at N=268)</t>
        </is>
      </c>
      <c r="W218" t="inlineStr">
        <is>
          <t>release date + stated time in the document (rater worksheet)</t>
        </is>
      </c>
      <c r="X218" t="inlineStr">
        <is>
          <t>MU</t>
        </is>
      </c>
      <c r="Y218" t="inlineStr">
        <is>
          <t>2025-12-17</t>
        </is>
      </c>
      <c r="Z218" t="n">
        <v>225.2996</v>
      </c>
      <c r="AA218" t="inlineStr">
        <is>
          <t>2025-12-18</t>
        </is>
      </c>
      <c r="AB218" t="n">
        <v>256.2793</v>
      </c>
      <c r="AC218" t="n">
        <v>0.1375044018373545</v>
      </c>
      <c r="AD218" t="inlineStr">
        <is>
          <t>UP</t>
        </is>
      </c>
      <c r="AE218" t="inlineStr">
        <is>
          <t>YES</t>
        </is>
      </c>
      <c r="AF218" t="n">
        <v>0.136504</v>
      </c>
      <c r="AG218">
        <f>IF($A218="","",IFERROR(INDEX(Company_List!$G$3:$G$207,MATCH($A218,Company_List!$A$3:$A$207,0)),"unassigned"))</f>
        <v/>
      </c>
      <c r="AH218" t="inlineStr">
        <is>
          <t>Phase 2/Micron/2026-Q1/MU-2026-Q1-earnings-call-transcript-news-alphastreet-com.html</t>
        </is>
      </c>
      <c r="AI218" t="inlineStr">
        <is>
          <t>https://news.alphastreet.com/micron-technology-inc-mu-q1-2026-earnings-call-transcript/</t>
        </is>
      </c>
      <c r="AJ218" t="inlineStr">
        <is>
          <t>manifest</t>
        </is>
      </c>
      <c r="AK218">
        <f>IF($A218="","",IF(COUNTIFS(Human_Data_Entry!$A$3:$A$525,$A218)&gt;0,"YES","NO"))</f>
        <v/>
      </c>
      <c r="AL218">
        <f>IF($A218="","",IF(AND($C218&amp;"-"&amp;$D218&gt;=Settings!$B$19,$C218&amp;"-"&amp;$D218&lt;=Settings!$B$20),"IN","OUT"))</f>
        <v/>
      </c>
      <c r="AM218">
        <f>IF(AND(OR($H218="BUY",$H218="SELL"),ISNUMBER($T218)),$T218,"")</f>
        <v/>
      </c>
      <c r="AN218">
        <f>IF(AND(OR($H218="BUY",$H218="SELL"),ISNUMBER($AF218)),$AF218,"")</f>
        <v/>
      </c>
      <c r="AO218">
        <f>IF(ISNUMBER($AM218),ABS(IF(ISNUMBER($G218),$G218,0)-Settings!$B$25),"")</f>
        <v/>
      </c>
      <c r="AP218">
        <f>IF(ISNUMBER($AO218),$AO218*$AM218,"")</f>
        <v/>
      </c>
      <c r="AQ218">
        <f>IF(ISNUMBER($AN218),ABS(IF(ISNUMBER($G218),$G218,0)-Settings!$B$25),"")</f>
        <v/>
      </c>
      <c r="AR218">
        <f>IF(ISNUMBER($AQ218),$AQ218*$AN218,"")</f>
        <v/>
      </c>
      <c r="AS218">
        <f>IF($A218="","",IFERROR(INDEX(Company_List!$H$3:$H$207,MATCH($A218,Company_List!$A$3:$A$207,0)),"unassigned"))</f>
        <v/>
      </c>
      <c r="AT218" t="inlineStr">
        <is>
          <t>not in v1</t>
        </is>
      </c>
      <c r="AU218" t="inlineStr">
        <is>
          <t>no earlier record</t>
        </is>
      </c>
      <c r="AV218" t="n">
        <v>1</v>
      </c>
      <c r="AW218" t="inlineStr">
        <is>
          <t>not publisher-identified</t>
        </is>
      </c>
      <c r="AX218" t="inlineStr">
        <is>
          <t>not publisher-identified</t>
        </is>
      </c>
      <c r="AY218" t="inlineStr">
        <is>
          <t>no</t>
        </is>
      </c>
      <c r="AZ218" t="inlineStr">
        <is>
          <t>yes</t>
        </is>
      </c>
    </row>
    <row r="219">
      <c r="A219" s="115" t="inlineStr">
        <is>
          <t>Micron</t>
        </is>
      </c>
      <c r="B219" s="117" t="inlineStr">
        <is>
          <t>MU</t>
        </is>
      </c>
      <c r="C219" s="105" t="n">
        <v>2026</v>
      </c>
      <c r="D219" s="106" t="inlineStr">
        <is>
          <t>Q2</t>
        </is>
      </c>
      <c r="E219" s="109" t="inlineStr">
        <is>
          <t>Ben/DeepSeek</t>
        </is>
      </c>
      <c r="F219" s="106" t="inlineStr">
        <is>
          <t>LLM</t>
        </is>
      </c>
      <c r="G219" s="128" t="n">
        <v>0.4225</v>
      </c>
      <c r="H219" s="106" t="inlineStr">
        <is>
          <t>BUY</t>
        </is>
      </c>
      <c r="I219" s="128" t="n"/>
      <c r="J219" s="125" t="n">
        <v>46099</v>
      </c>
      <c r="K219" s="126" t="n">
        <v>46099</v>
      </c>
      <c r="L219" s="129" t="n">
        <v>461.73</v>
      </c>
      <c r="M219" s="126" t="n">
        <v>46100</v>
      </c>
      <c r="N219" s="129" t="n">
        <v>424.97</v>
      </c>
      <c r="O219" s="132" t="n">
        <v>0.008695</v>
      </c>
      <c r="P219" s="107" t="n">
        <v>-0.079614</v>
      </c>
      <c r="Q219" s="106" t="inlineStr">
        <is>
          <t>DOWN</t>
        </is>
      </c>
      <c r="R219" s="106" t="inlineStr">
        <is>
          <t>NO</t>
        </is>
      </c>
      <c r="S219" s="105" t="n">
        <v>1</v>
      </c>
      <c r="T219" s="107" t="n">
        <v>-0.08061400000000001</v>
      </c>
      <c r="U219" s="130" t="inlineStr">
        <is>
          <t>w=[0.55,0.45,0,0] thr=(+0.25,-0.05), deployed default (risk-accepted, PSR=0.0/perm p=0.150 at N=161, not rechecked at N=268)</t>
        </is>
      </c>
      <c r="W219" t="inlineStr">
        <is>
          <t>release date + stated time in the document (rater worksheet)</t>
        </is>
      </c>
      <c r="X219" t="inlineStr">
        <is>
          <t>MU</t>
        </is>
      </c>
      <c r="Y219" t="inlineStr">
        <is>
          <t>2026-03-18</t>
        </is>
      </c>
      <c r="Z219" t="n">
        <v>461.4651</v>
      </c>
      <c r="AA219" t="inlineStr">
        <is>
          <t>2026-03-19</t>
        </is>
      </c>
      <c r="AB219" t="n">
        <v>424.7262</v>
      </c>
      <c r="AC219" t="n">
        <v>-0.07961365835023619</v>
      </c>
      <c r="AD219" t="inlineStr">
        <is>
          <t>DOWN</t>
        </is>
      </c>
      <c r="AE219" t="inlineStr">
        <is>
          <t>NO</t>
        </is>
      </c>
      <c r="AF219" t="n">
        <v>-0.08061400000000001</v>
      </c>
      <c r="AG219">
        <f>IF($A219="","",IFERROR(INDEX(Company_List!$G$3:$G$207,MATCH($A219,Company_List!$A$3:$A$207,0)),"unassigned"))</f>
        <v/>
      </c>
      <c r="AH219" t="inlineStr">
        <is>
          <t>Phase 2/Micron/2026-Q2/MU-2026-Q2-quarterly-financial-statements-SEC-10-Q.htm; Phase 2/Micron/2026-Q2/MU-2026-Q2-press-release-SEC-EX-99-1.htm</t>
        </is>
      </c>
      <c r="AI219" t="inlineStr">
        <is>
          <t>https://www.sec.gov/Archives/edgar/data/723125/000072312526000004/a2026q2ex991-pressrelease.htm; https://www.sec.gov/Archives/edgar/data/723125/000072312526000006/mu-20260226.htm</t>
        </is>
      </c>
      <c r="AJ219" t="inlineStr">
        <is>
          <t>manifest (whole bundle)</t>
        </is>
      </c>
      <c r="AK219">
        <f>IF($A219="","",IF(COUNTIFS(Human_Data_Entry!$A$3:$A$525,$A219)&gt;0,"YES","NO"))</f>
        <v/>
      </c>
      <c r="AL219">
        <f>IF($A219="","",IF(AND($C219&amp;"-"&amp;$D219&gt;=Settings!$B$19,$C219&amp;"-"&amp;$D219&lt;=Settings!$B$20),"IN","OUT"))</f>
        <v/>
      </c>
      <c r="AM219">
        <f>IF(AND(OR($H219="BUY",$H219="SELL"),ISNUMBER($T219)),$T219,"")</f>
        <v/>
      </c>
      <c r="AN219">
        <f>IF(AND(OR($H219="BUY",$H219="SELL"),ISNUMBER($AF219)),$AF219,"")</f>
        <v/>
      </c>
      <c r="AO219">
        <f>IF(ISNUMBER($AM219),ABS(IF(ISNUMBER($G219),$G219,0)-Settings!$B$25),"")</f>
        <v/>
      </c>
      <c r="AP219">
        <f>IF(ISNUMBER($AO219),$AO219*$AM219,"")</f>
        <v/>
      </c>
      <c r="AQ219">
        <f>IF(ISNUMBER($AN219),ABS(IF(ISNUMBER($G219),$G219,0)-Settings!$B$25),"")</f>
        <v/>
      </c>
      <c r="AR219">
        <f>IF(ISNUMBER($AQ219),$AQ219*$AN219,"")</f>
        <v/>
      </c>
      <c r="AS219">
        <f>IF($A219="","",IFERROR(INDEX(Company_List!$H$3:$H$207,MATCH($A219,Company_List!$A$3:$A$207,0)),"unassigned"))</f>
        <v/>
      </c>
      <c r="AT219" t="inlineStr">
        <is>
          <t>not in v1</t>
        </is>
      </c>
      <c r="AU219" t="inlineStr">
        <is>
          <t>no earlier record</t>
        </is>
      </c>
      <c r="AV219" t="n">
        <v>2</v>
      </c>
      <c r="AW219" t="inlineStr">
        <is>
          <t>not publisher-identified</t>
        </is>
      </c>
      <c r="AX219" t="inlineStr">
        <is>
          <t>not publisher-identified</t>
        </is>
      </c>
      <c r="AY219" t="inlineStr">
        <is>
          <t>one of several</t>
        </is>
      </c>
      <c r="AZ219" t="inlineStr">
        <is>
          <t>yes</t>
        </is>
      </c>
    </row>
    <row r="220">
      <c r="A220" s="115" t="inlineStr">
        <is>
          <t>Micron</t>
        </is>
      </c>
      <c r="B220" s="117" t="inlineStr">
        <is>
          <t>MU</t>
        </is>
      </c>
      <c r="C220" s="105" t="n">
        <v>2025</v>
      </c>
      <c r="D220" s="106" t="inlineStr">
        <is>
          <t>Q4</t>
        </is>
      </c>
      <c r="E220" s="109" t="inlineStr">
        <is>
          <t>Ben/DeepSeek</t>
        </is>
      </c>
      <c r="F220" s="106" t="inlineStr">
        <is>
          <t>LLM</t>
        </is>
      </c>
      <c r="G220" s="128" t="n">
        <v>0.3025</v>
      </c>
      <c r="H220" s="106" t="inlineStr">
        <is>
          <t>BUY</t>
        </is>
      </c>
      <c r="I220" s="128" t="n"/>
      <c r="J220" s="125" t="n">
        <v>45923</v>
      </c>
      <c r="K220" s="126" t="n">
        <v>45923</v>
      </c>
      <c r="L220" s="129" t="n">
        <v>166.41</v>
      </c>
      <c r="M220" s="126" t="n">
        <v>45924</v>
      </c>
      <c r="N220" s="129" t="n">
        <v>165.08</v>
      </c>
      <c r="O220" s="132" t="n">
        <v>0.009238</v>
      </c>
      <c r="P220" s="107" t="n">
        <v>-0.007992000000000001</v>
      </c>
      <c r="Q220" s="106" t="inlineStr">
        <is>
          <t>FLAT</t>
        </is>
      </c>
      <c r="R220" s="106" t="inlineStr">
        <is>
          <t>NO</t>
        </is>
      </c>
      <c r="S220" s="105" t="n">
        <v>1</v>
      </c>
      <c r="T220" s="107" t="n">
        <v>-0.008992</v>
      </c>
      <c r="U220" s="130" t="inlineStr">
        <is>
          <t>w=[0.55,0.45,0,0] thr=(+0.25,-0.05), deployed default (risk-accepted, PSR=0.0/perm p=0.150 at N=161, not rechecked at N=268)</t>
        </is>
      </c>
      <c r="W220" t="inlineStr">
        <is>
          <t>release date + stated time in the document (rater worksheet)</t>
        </is>
      </c>
      <c r="X220" t="inlineStr">
        <is>
          <t>MU</t>
        </is>
      </c>
      <c r="Y220" t="inlineStr">
        <is>
          <t>2025-09-23</t>
        </is>
      </c>
      <c r="Z220" t="n">
        <v>166.1433</v>
      </c>
      <c r="AA220" t="inlineStr">
        <is>
          <t>2025-09-24</t>
        </is>
      </c>
      <c r="AB220" t="n">
        <v>164.8155</v>
      </c>
      <c r="AC220" t="n">
        <v>-0.007992372147029306</v>
      </c>
      <c r="AD220" t="inlineStr">
        <is>
          <t>FLAT</t>
        </is>
      </c>
      <c r="AE220" t="inlineStr">
        <is>
          <t>NO</t>
        </is>
      </c>
      <c r="AF220" t="n">
        <v>-0.008992</v>
      </c>
      <c r="AG220">
        <f>IF($A220="","",IFERROR(INDEX(Company_List!$G$3:$G$207,MATCH($A220,Company_List!$A$3:$A$207,0)),"unassigned"))</f>
        <v/>
      </c>
      <c r="AH220" t="inlineStr">
        <is>
          <t>Phase 2/Micron/2025-Q4/MU-2025-Q4-earnings-call-transcript-news-alphastreet-com.html</t>
        </is>
      </c>
      <c r="AI220" t="inlineStr">
        <is>
          <t>https://news.alphastreet.com/micron-technology-inc-mu-q4-2025-earnings-call-transcript/</t>
        </is>
      </c>
      <c r="AJ220" t="inlineStr">
        <is>
          <t>manifest</t>
        </is>
      </c>
      <c r="AK220">
        <f>IF($A220="","",IF(COUNTIFS(Human_Data_Entry!$A$3:$A$525,$A220)&gt;0,"YES","NO"))</f>
        <v/>
      </c>
      <c r="AL220">
        <f>IF($A220="","",IF(AND($C220&amp;"-"&amp;$D220&gt;=Settings!$B$19,$C220&amp;"-"&amp;$D220&lt;=Settings!$B$20),"IN","OUT"))</f>
        <v/>
      </c>
      <c r="AM220">
        <f>IF(AND(OR($H220="BUY",$H220="SELL"),ISNUMBER($T220)),$T220,"")</f>
        <v/>
      </c>
      <c r="AN220">
        <f>IF(AND(OR($H220="BUY",$H220="SELL"),ISNUMBER($AF220)),$AF220,"")</f>
        <v/>
      </c>
      <c r="AO220">
        <f>IF(ISNUMBER($AM220),ABS(IF(ISNUMBER($G220),$G220,0)-Settings!$B$25),"")</f>
        <v/>
      </c>
      <c r="AP220">
        <f>IF(ISNUMBER($AO220),$AO220*$AM220,"")</f>
        <v/>
      </c>
      <c r="AQ220">
        <f>IF(ISNUMBER($AN220),ABS(IF(ISNUMBER($G220),$G220,0)-Settings!$B$25),"")</f>
        <v/>
      </c>
      <c r="AR220">
        <f>IF(ISNUMBER($AQ220),$AQ220*$AN220,"")</f>
        <v/>
      </c>
      <c r="AS220">
        <f>IF($A220="","",IFERROR(INDEX(Company_List!$H$3:$H$207,MATCH($A220,Company_List!$A$3:$A$207,0)),"unassigned"))</f>
        <v/>
      </c>
      <c r="AT220" t="inlineStr">
        <is>
          <t>not in v1</t>
        </is>
      </c>
      <c r="AU220" t="inlineStr">
        <is>
          <t>no earlier record</t>
        </is>
      </c>
      <c r="AV220" t="n">
        <v>1</v>
      </c>
      <c r="AW220" t="inlineStr">
        <is>
          <t>not publisher-identified</t>
        </is>
      </c>
      <c r="AX220" t="inlineStr">
        <is>
          <t>not publisher-identified</t>
        </is>
      </c>
      <c r="AY220" t="inlineStr">
        <is>
          <t>no</t>
        </is>
      </c>
      <c r="AZ220" t="inlineStr">
        <is>
          <t>yes</t>
        </is>
      </c>
    </row>
    <row r="221">
      <c r="A221" s="115" t="inlineStr">
        <is>
          <t>Oracle</t>
        </is>
      </c>
      <c r="B221" s="117" t="inlineStr">
        <is>
          <t>ORCL</t>
        </is>
      </c>
      <c r="C221" s="105" t="n">
        <v>2026</v>
      </c>
      <c r="D221" s="106" t="inlineStr">
        <is>
          <t>Q1</t>
        </is>
      </c>
      <c r="E221" s="109" t="inlineStr">
        <is>
          <t>Ben/DeepSeek</t>
        </is>
      </c>
      <c r="F221" s="106" t="inlineStr">
        <is>
          <t>LLM</t>
        </is>
      </c>
      <c r="G221" s="128" t="n">
        <v>0.4675</v>
      </c>
      <c r="H221" s="106" t="inlineStr">
        <is>
          <t>BUY</t>
        </is>
      </c>
      <c r="I221" s="128" t="n"/>
      <c r="J221" s="125" t="n">
        <v>45909</v>
      </c>
      <c r="K221" s="126" t="n">
        <v>45909</v>
      </c>
      <c r="L221" s="129" t="n">
        <v>241.51</v>
      </c>
      <c r="M221" s="126" t="n">
        <v>45910</v>
      </c>
      <c r="N221" s="129" t="n">
        <v>319.19</v>
      </c>
      <c r="O221" s="132" t="n">
        <v>0.00784</v>
      </c>
      <c r="P221" s="107" t="n">
        <v>0.321643</v>
      </c>
      <c r="Q221" s="106" t="inlineStr">
        <is>
          <t>UP</t>
        </is>
      </c>
      <c r="R221" s="106" t="inlineStr">
        <is>
          <t>YES</t>
        </is>
      </c>
      <c r="S221" s="105" t="n">
        <v>1</v>
      </c>
      <c r="T221" s="107" t="n">
        <v>0.320643</v>
      </c>
      <c r="U221" s="130" t="inlineStr">
        <is>
          <t>w=[0.55,0.45,0,0] thr=(+0.25,-0.05), deployed default (risk-accepted, PSR=0.0/perm p=0.150 at N=161, not rechecked at N=268)</t>
        </is>
      </c>
      <c r="W221" t="inlineStr">
        <is>
          <t>release date + stated time in the document (rater worksheet)</t>
        </is>
      </c>
      <c r="X221" t="inlineStr">
        <is>
          <t>ORCL</t>
        </is>
      </c>
      <c r="Y221" t="inlineStr">
        <is>
          <t>2025-09-09</t>
        </is>
      </c>
      <c r="Z221" t="n">
        <v>238.7884</v>
      </c>
      <c r="AA221" t="inlineStr">
        <is>
          <t>2025-09-10</t>
        </is>
      </c>
      <c r="AB221" t="n">
        <v>315.593</v>
      </c>
      <c r="AC221" t="n">
        <v>0.3216432243295881</v>
      </c>
      <c r="AD221" t="inlineStr">
        <is>
          <t>UP</t>
        </is>
      </c>
      <c r="AE221" t="inlineStr">
        <is>
          <t>YES</t>
        </is>
      </c>
      <c r="AF221" t="n">
        <v>0.320643</v>
      </c>
      <c r="AG221">
        <f>IF($A221="","",IFERROR(INDEX(Company_List!$G$3:$G$207,MATCH($A221,Company_List!$A$3:$A$207,0)),"unassigned"))</f>
        <v/>
      </c>
      <c r="AH221" t="inlineStr">
        <is>
          <t>Phase 2/Oracle/2026-Q1/ORCL-2026-Q1-press-release-SEC-EX-99-1.htm; Phase 2/Oracle/2026-Q1/ORCL-2026-Q1-earnings-call-transcript-news-alphastreet-com.html</t>
        </is>
      </c>
      <c r="AI221" t="inlineStr">
        <is>
          <t>https://news.alphastreet.com/oracle-corporation-orcl-q1-2026-earnings-call-transcript/; https://www.sec.gov/Archives/edgar/data/1341439/000119312525199175/orcl-ex99_1.htm</t>
        </is>
      </c>
      <c r="AJ221" t="inlineStr">
        <is>
          <t>manifest (whole bundle)</t>
        </is>
      </c>
      <c r="AK221">
        <f>IF($A221="","",IF(COUNTIFS(Human_Data_Entry!$A$3:$A$525,$A221)&gt;0,"YES","NO"))</f>
        <v/>
      </c>
      <c r="AL221">
        <f>IF($A221="","",IF(AND($C221&amp;"-"&amp;$D221&gt;=Settings!$B$19,$C221&amp;"-"&amp;$D221&lt;=Settings!$B$20),"IN","OUT"))</f>
        <v/>
      </c>
      <c r="AM221">
        <f>IF(AND(OR($H221="BUY",$H221="SELL"),ISNUMBER($T221)),$T221,"")</f>
        <v/>
      </c>
      <c r="AN221">
        <f>IF(AND(OR($H221="BUY",$H221="SELL"),ISNUMBER($AF221)),$AF221,"")</f>
        <v/>
      </c>
      <c r="AO221">
        <f>IF(ISNUMBER($AM221),ABS(IF(ISNUMBER($G221),$G221,0)-Settings!$B$25),"")</f>
        <v/>
      </c>
      <c r="AP221">
        <f>IF(ISNUMBER($AO221),$AO221*$AM221,"")</f>
        <v/>
      </c>
      <c r="AQ221">
        <f>IF(ISNUMBER($AN221),ABS(IF(ISNUMBER($G221),$G221,0)-Settings!$B$25),"")</f>
        <v/>
      </c>
      <c r="AR221">
        <f>IF(ISNUMBER($AQ221),$AQ221*$AN221,"")</f>
        <v/>
      </c>
      <c r="AS221">
        <f>IF($A221="","",IFERROR(INDEX(Company_List!$H$3:$H$207,MATCH($A221,Company_List!$A$3:$A$207,0)),"unassigned"))</f>
        <v/>
      </c>
      <c r="AT221" t="inlineStr">
        <is>
          <t>not in v1</t>
        </is>
      </c>
      <c r="AU221" t="inlineStr">
        <is>
          <t>no earlier record</t>
        </is>
      </c>
      <c r="AV221" t="n">
        <v>2</v>
      </c>
      <c r="AW221" t="inlineStr">
        <is>
          <t>not publisher-identified</t>
        </is>
      </c>
      <c r="AX221" t="inlineStr">
        <is>
          <t>not publisher-identified</t>
        </is>
      </c>
      <c r="AY221" t="inlineStr">
        <is>
          <t>no</t>
        </is>
      </c>
      <c r="AZ221" t="inlineStr">
        <is>
          <t>yes</t>
        </is>
      </c>
    </row>
    <row r="222">
      <c r="A222" s="115" t="inlineStr">
        <is>
          <t>Oracle</t>
        </is>
      </c>
      <c r="B222" s="117" t="inlineStr">
        <is>
          <t>ORCL</t>
        </is>
      </c>
      <c r="C222" s="105" t="n">
        <v>2026</v>
      </c>
      <c r="D222" s="106" t="inlineStr">
        <is>
          <t>Q2</t>
        </is>
      </c>
      <c r="E222" s="109" t="inlineStr">
        <is>
          <t>Ben/DeepSeek</t>
        </is>
      </c>
      <c r="F222" s="106" t="inlineStr">
        <is>
          <t>LLM</t>
        </is>
      </c>
      <c r="G222" s="128" t="n">
        <v>0.3475</v>
      </c>
      <c r="H222" s="106" t="inlineStr">
        <is>
          <t>BUY</t>
        </is>
      </c>
      <c r="I222" s="128" t="n"/>
      <c r="J222" s="125" t="n">
        <v>46001</v>
      </c>
      <c r="K222" s="126" t="n">
        <v>46001</v>
      </c>
      <c r="L222" s="129" t="n">
        <v>223.01</v>
      </c>
      <c r="M222" s="126" t="n">
        <v>46002</v>
      </c>
      <c r="N222" s="129" t="n">
        <v>190.62</v>
      </c>
      <c r="O222" s="132" t="n">
        <v>0.008305</v>
      </c>
      <c r="P222" s="107" t="n">
        <v>-0.14524</v>
      </c>
      <c r="Q222" s="106" t="inlineStr">
        <is>
          <t>DOWN</t>
        </is>
      </c>
      <c r="R222" s="106" t="inlineStr">
        <is>
          <t>NO</t>
        </is>
      </c>
      <c r="S222" s="105" t="n">
        <v>1</v>
      </c>
      <c r="T222" s="107" t="n">
        <v>-0.14624</v>
      </c>
      <c r="U222" s="130" t="inlineStr">
        <is>
          <t>w=[0.55,0.45,0,0] thr=(+0.25,-0.05), deployed default (risk-accepted, PSR=0.0/perm p=0.150 at N=161, not rechecked at N=268)</t>
        </is>
      </c>
      <c r="W222" t="inlineStr">
        <is>
          <t>price signal — only this window shows an abnormal move</t>
        </is>
      </c>
      <c r="X222" t="inlineStr">
        <is>
          <t>ORCL</t>
        </is>
      </c>
      <c r="Y222" t="inlineStr">
        <is>
          <t>2025-12-10</t>
        </is>
      </c>
      <c r="Z222" t="n">
        <v>220.8795</v>
      </c>
      <c r="AA222" t="inlineStr">
        <is>
          <t>2025-12-11</t>
        </is>
      </c>
      <c r="AB222" t="n">
        <v>188.7989</v>
      </c>
      <c r="AC222" t="n">
        <v>-0.1452401443321627</v>
      </c>
      <c r="AD222" t="inlineStr">
        <is>
          <t>DOWN</t>
        </is>
      </c>
      <c r="AE222" t="inlineStr">
        <is>
          <t>NO</t>
        </is>
      </c>
      <c r="AF222" t="n">
        <v>-0.14624</v>
      </c>
      <c r="AG222">
        <f>IF($A222="","",IFERROR(INDEX(Company_List!$G$3:$G$207,MATCH($A222,Company_List!$A$3:$A$207,0)),"unassigned"))</f>
        <v/>
      </c>
      <c r="AH222" t="inlineStr">
        <is>
          <t>Phase 2/Oracle/2026-Q2/ORCL-2026-Q2-press-release-SEC-EX-99-1.htm</t>
        </is>
      </c>
      <c r="AI222" t="inlineStr">
        <is>
          <t>https://www.sec.gov/Archives/edgar/data/1341439/000119312525314207/orcl-ex99_1.htm</t>
        </is>
      </c>
      <c r="AJ222" t="inlineStr">
        <is>
          <t>manifest</t>
        </is>
      </c>
      <c r="AK222">
        <f>IF($A222="","",IF(COUNTIFS(Human_Data_Entry!$A$3:$A$525,$A222)&gt;0,"YES","NO"))</f>
        <v/>
      </c>
      <c r="AL222">
        <f>IF($A222="","",IF(AND($C222&amp;"-"&amp;$D222&gt;=Settings!$B$19,$C222&amp;"-"&amp;$D222&lt;=Settings!$B$20),"IN","OUT"))</f>
        <v/>
      </c>
      <c r="AM222">
        <f>IF(AND(OR($H222="BUY",$H222="SELL"),ISNUMBER($T222)),$T222,"")</f>
        <v/>
      </c>
      <c r="AN222">
        <f>IF(AND(OR($H222="BUY",$H222="SELL"),ISNUMBER($AF222)),$AF222,"")</f>
        <v/>
      </c>
      <c r="AO222">
        <f>IF(ISNUMBER($AM222),ABS(IF(ISNUMBER($G222),$G222,0)-Settings!$B$25),"")</f>
        <v/>
      </c>
      <c r="AP222">
        <f>IF(ISNUMBER($AO222),$AO222*$AM222,"")</f>
        <v/>
      </c>
      <c r="AQ222">
        <f>IF(ISNUMBER($AN222),ABS(IF(ISNUMBER($G222),$G222,0)-Settings!$B$25),"")</f>
        <v/>
      </c>
      <c r="AR222">
        <f>IF(ISNUMBER($AQ222),$AQ222*$AN222,"")</f>
        <v/>
      </c>
      <c r="AS222">
        <f>IF($A222="","",IFERROR(INDEX(Company_List!$H$3:$H$207,MATCH($A222,Company_List!$A$3:$A$207,0)),"unassigned"))</f>
        <v/>
      </c>
      <c r="AT222" t="inlineStr">
        <is>
          <t>not in v1</t>
        </is>
      </c>
      <c r="AU222" t="inlineStr">
        <is>
          <t>no earlier record</t>
        </is>
      </c>
      <c r="AV222" t="n">
        <v>1</v>
      </c>
      <c r="AW222" t="inlineStr">
        <is>
          <t>not publisher-identified</t>
        </is>
      </c>
      <c r="AX222" t="inlineStr">
        <is>
          <t>not publisher-identified</t>
        </is>
      </c>
      <c r="AY222" t="inlineStr">
        <is>
          <t>no</t>
        </is>
      </c>
      <c r="AZ222" t="inlineStr">
        <is>
          <t>yes</t>
        </is>
      </c>
    </row>
    <row r="223">
      <c r="A223" s="115" t="inlineStr">
        <is>
          <t>Oracle</t>
        </is>
      </c>
      <c r="B223" s="117" t="inlineStr">
        <is>
          <t>ORCL</t>
        </is>
      </c>
      <c r="C223" s="105" t="n">
        <v>2026</v>
      </c>
      <c r="D223" s="106" t="inlineStr">
        <is>
          <t>Q3</t>
        </is>
      </c>
      <c r="E223" s="109" t="inlineStr">
        <is>
          <t>Ben/DeepSeek</t>
        </is>
      </c>
      <c r="F223" s="106" t="inlineStr">
        <is>
          <t>LLM</t>
        </is>
      </c>
      <c r="G223" s="128" t="n">
        <v>0.2575</v>
      </c>
      <c r="H223" s="106" t="inlineStr">
        <is>
          <t>BUY</t>
        </is>
      </c>
      <c r="I223" s="128" t="n"/>
      <c r="J223" s="125" t="n">
        <v>46091</v>
      </c>
      <c r="K223" s="126" t="n">
        <v>46091</v>
      </c>
      <c r="L223" s="129" t="n">
        <v>149.4</v>
      </c>
      <c r="M223" s="126" t="n">
        <v>46092</v>
      </c>
      <c r="N223" s="129" t="n">
        <v>166.38</v>
      </c>
      <c r="O223" s="132" t="n">
        <v>0.00859</v>
      </c>
      <c r="P223" s="107" t="n">
        <v>0.113655</v>
      </c>
      <c r="Q223" s="106" t="inlineStr">
        <is>
          <t>UP</t>
        </is>
      </c>
      <c r="R223" s="106" t="inlineStr">
        <is>
          <t>YES</t>
        </is>
      </c>
      <c r="S223" s="105" t="n">
        <v>1</v>
      </c>
      <c r="T223" s="107" t="n">
        <v>0.112655</v>
      </c>
      <c r="U223" s="130" t="inlineStr">
        <is>
          <t>w=[0.55,0.45,0,0] thr=(+0.25,-0.05), deployed default (risk-accepted, PSR=0.0/perm p=0.150 at N=161, not rechecked at N=268)</t>
        </is>
      </c>
      <c r="W223" t="inlineStr">
        <is>
          <t>release date + stated time in the document (rater worksheet)</t>
        </is>
      </c>
      <c r="X223" t="inlineStr">
        <is>
          <t>ORCL</t>
        </is>
      </c>
      <c r="Y223" t="inlineStr">
        <is>
          <t>2026-03-10</t>
        </is>
      </c>
      <c r="Z223" t="n">
        <v>148.3639</v>
      </c>
      <c r="AA223" t="inlineStr">
        <is>
          <t>2026-03-11</t>
        </is>
      </c>
      <c r="AB223" t="n">
        <v>165.2261</v>
      </c>
      <c r="AC223" t="n">
        <v>0.1136546846451149</v>
      </c>
      <c r="AD223" t="inlineStr">
        <is>
          <t>UP</t>
        </is>
      </c>
      <c r="AE223" t="inlineStr">
        <is>
          <t>YES</t>
        </is>
      </c>
      <c r="AF223" t="n">
        <v>0.112655</v>
      </c>
      <c r="AG223">
        <f>IF($A223="","",IFERROR(INDEX(Company_List!$G$3:$G$207,MATCH($A223,Company_List!$A$3:$A$207,0)),"unassigned"))</f>
        <v/>
      </c>
      <c r="AH223" t="inlineStr">
        <is>
          <t>Phase 2/Oracle/2026-Q3/ORCL-2026-Q3-press-release-SEC-EX-99-1.htm; Phase 2/Oracle/2026-Q3/ORCL-2026-Q3-earnings-call-transcript-fool-com.html</t>
        </is>
      </c>
      <c r="AI223" t="inlineStr">
        <is>
          <t>https://www.fool.com/earnings/call-transcripts/2026/03/10/oracle-orcl-q3-2026-earnings-call-transcript/; https://www.sec.gov/Archives/edgar/data/1341439/000119312526100148/orcl-ex99_1.htm</t>
        </is>
      </c>
      <c r="AJ223" t="inlineStr">
        <is>
          <t>manifest (whole bundle)</t>
        </is>
      </c>
      <c r="AK223">
        <f>IF($A223="","",IF(COUNTIFS(Human_Data_Entry!$A$3:$A$525,$A223)&gt;0,"YES","NO"))</f>
        <v/>
      </c>
      <c r="AL223">
        <f>IF($A223="","",IF(AND($C223&amp;"-"&amp;$D223&gt;=Settings!$B$19,$C223&amp;"-"&amp;$D223&lt;=Settings!$B$20),"IN","OUT"))</f>
        <v/>
      </c>
      <c r="AM223">
        <f>IF(AND(OR($H223="BUY",$H223="SELL"),ISNUMBER($T223)),$T223,"")</f>
        <v/>
      </c>
      <c r="AN223">
        <f>IF(AND(OR($H223="BUY",$H223="SELL"),ISNUMBER($AF223)),$AF223,"")</f>
        <v/>
      </c>
      <c r="AO223">
        <f>IF(ISNUMBER($AM223),ABS(IF(ISNUMBER($G223),$G223,0)-Settings!$B$25),"")</f>
        <v/>
      </c>
      <c r="AP223">
        <f>IF(ISNUMBER($AO223),$AO223*$AM223,"")</f>
        <v/>
      </c>
      <c r="AQ223">
        <f>IF(ISNUMBER($AN223),ABS(IF(ISNUMBER($G223),$G223,0)-Settings!$B$25),"")</f>
        <v/>
      </c>
      <c r="AR223">
        <f>IF(ISNUMBER($AQ223),$AQ223*$AN223,"")</f>
        <v/>
      </c>
      <c r="AS223">
        <f>IF($A223="","",IFERROR(INDEX(Company_List!$H$3:$H$207,MATCH($A223,Company_List!$A$3:$A$207,0)),"unassigned"))</f>
        <v/>
      </c>
      <c r="AT223" t="inlineStr">
        <is>
          <t>not in v1</t>
        </is>
      </c>
      <c r="AU223" t="inlineStr">
        <is>
          <t>no earlier record</t>
        </is>
      </c>
      <c r="AV223" t="n">
        <v>2</v>
      </c>
      <c r="AW223" t="inlineStr">
        <is>
          <t>The Motley Fool</t>
        </is>
      </c>
      <c r="AX223" t="inlineStr">
        <is>
          <t>free to read, copyright asserted</t>
        </is>
      </c>
      <c r="AY223" t="inlineStr">
        <is>
          <t>no</t>
        </is>
      </c>
      <c r="AZ223" t="inlineStr">
        <is>
          <t>yes</t>
        </is>
      </c>
    </row>
    <row r="224">
      <c r="A224" s="115" t="inlineStr">
        <is>
          <t>Palantir</t>
        </is>
      </c>
      <c r="B224" s="117" t="inlineStr">
        <is>
          <t>PLTR</t>
        </is>
      </c>
      <c r="C224" s="105" t="n">
        <v>2025</v>
      </c>
      <c r="D224" s="106" t="inlineStr">
        <is>
          <t>Q1</t>
        </is>
      </c>
      <c r="E224" s="109" t="inlineStr">
        <is>
          <t>Ben/DeepSeek</t>
        </is>
      </c>
      <c r="F224" s="106" t="inlineStr">
        <is>
          <t>LLM</t>
        </is>
      </c>
      <c r="G224" s="128" t="n">
        <v>0.1675</v>
      </c>
      <c r="H224" s="106" t="inlineStr">
        <is>
          <t>HOLD</t>
        </is>
      </c>
      <c r="I224" s="128" t="n"/>
      <c r="J224" s="125" t="n">
        <v>45782</v>
      </c>
      <c r="K224" s="126" t="n">
        <v>45782</v>
      </c>
      <c r="L224" s="129" t="n">
        <v>123.77</v>
      </c>
      <c r="M224" s="126" t="n">
        <v>45783</v>
      </c>
      <c r="N224" s="129" t="n">
        <v>112.71</v>
      </c>
      <c r="O224" s="132" t="n">
        <v>0.006664</v>
      </c>
      <c r="P224" s="107" t="n">
        <v>-0.08935900000000001</v>
      </c>
      <c r="Q224" s="106" t="inlineStr">
        <is>
          <t>DOWN</t>
        </is>
      </c>
      <c r="R224" s="106" t="inlineStr">
        <is>
          <t>NO</t>
        </is>
      </c>
      <c r="S224" s="105" t="n">
        <v>0</v>
      </c>
      <c r="T224" s="107" t="n">
        <v>0</v>
      </c>
      <c r="U224" s="130" t="inlineStr">
        <is>
          <t>w=[0.55,0.45,0,0] thr=(+0.25,-0.05), deployed default (risk-accepted, PSR=0.0/perm p=0.150 at N=161, not rechecked at N=268)</t>
        </is>
      </c>
      <c r="W224" t="inlineStr">
        <is>
          <t>price signal, re-derived — only this window shows an abnormal move</t>
        </is>
      </c>
      <c r="X224" t="inlineStr">
        <is>
          <t>PLTR</t>
        </is>
      </c>
      <c r="Y224" t="inlineStr">
        <is>
          <t>2025-05-05</t>
        </is>
      </c>
      <c r="Z224" t="n">
        <v>123.77</v>
      </c>
      <c r="AA224" t="inlineStr">
        <is>
          <t>2025-05-06</t>
        </is>
      </c>
      <c r="AB224" t="n">
        <v>112.71</v>
      </c>
      <c r="AC224" t="n">
        <v>-0.08935928147433023</v>
      </c>
      <c r="AD224" t="inlineStr">
        <is>
          <t>DOWN</t>
        </is>
      </c>
      <c r="AE224" t="inlineStr">
        <is>
          <t>NO</t>
        </is>
      </c>
      <c r="AF224" t="n">
        <v>0</v>
      </c>
      <c r="AG224">
        <f>IF($A224="","",IFERROR(INDEX(Company_List!$G$3:$G$207,MATCH($A224,Company_List!$A$3:$A$207,0)),"unassigned"))</f>
        <v/>
      </c>
      <c r="AH224" t="inlineStr">
        <is>
          <t>Phase 3/Readings/Palantir/Q1/Transcript : Palantir Technologies Inc., Q1 2025 Earnings Call, May 05, 2025 | MarketScreener UK.pdf; Phase 3/Readings/Palantir/Q1/Q1 2025 | Letter to the Shareholders.pdf; Phase 3/Readings/Palantir/Q1/Palantir - Q1 2025 Investor Presentation.pdf</t>
        </is>
      </c>
      <c r="AJ224" t="inlineStr">
        <is>
          <t>whole bundle (Document = All)</t>
        </is>
      </c>
      <c r="AK224">
        <f>IF($A224="","",IF(COUNTIFS(Human_Data_Entry!$A$3:$A$525,$A224)&gt;0,"YES","NO"))</f>
        <v/>
      </c>
      <c r="AL224">
        <f>IF($A224="","",IF(AND($C224&amp;"-"&amp;$D224&gt;=Settings!$B$19,$C224&amp;"-"&amp;$D224&lt;=Settings!$B$20),"IN","OUT"))</f>
        <v/>
      </c>
      <c r="AM224">
        <f>IF(AND(OR($H224="BUY",$H224="SELL"),ISNUMBER($T224)),$T224,"")</f>
        <v/>
      </c>
      <c r="AN224">
        <f>IF(AND(OR($H224="BUY",$H224="SELL"),ISNUMBER($AF224)),$AF224,"")</f>
        <v/>
      </c>
      <c r="AO224">
        <f>IF(ISNUMBER($AM224),ABS(IF(ISNUMBER($G224),$G224,0)-Settings!$B$25),"")</f>
        <v/>
      </c>
      <c r="AP224">
        <f>IF(ISNUMBER($AO224),$AO224*$AM224,"")</f>
        <v/>
      </c>
      <c r="AQ224">
        <f>IF(ISNUMBER($AN224),ABS(IF(ISNUMBER($G224),$G224,0)-Settings!$B$25),"")</f>
        <v/>
      </c>
      <c r="AR224">
        <f>IF(ISNUMBER($AQ224),$AQ224*$AN224,"")</f>
        <v/>
      </c>
      <c r="AS224">
        <f>IF($A224="","",IFERROR(INDEX(Company_List!$H$3:$H$207,MATCH($A224,Company_List!$A$3:$A$207,0)),"unassigned"))</f>
        <v/>
      </c>
      <c r="AT224" t="inlineStr">
        <is>
          <t>not in v1</t>
        </is>
      </c>
      <c r="AU224" t="inlineStr">
        <is>
          <t>no earlier record</t>
        </is>
      </c>
      <c r="AV224" t="n">
        <v>3</v>
      </c>
      <c r="AW224" t="inlineStr">
        <is>
          <t>MarketScreener (Surperformance SAS)</t>
        </is>
      </c>
      <c r="AX224" t="inlineStr">
        <is>
          <t>licensed vendor</t>
        </is>
      </c>
      <c r="AY224" t="inlineStr">
        <is>
          <t>no</t>
        </is>
      </c>
      <c r="AZ224" t="inlineStr">
        <is>
          <t>no</t>
        </is>
      </c>
    </row>
    <row r="225">
      <c r="A225" s="115" t="inlineStr">
        <is>
          <t>Palantir</t>
        </is>
      </c>
      <c r="B225" s="117" t="inlineStr">
        <is>
          <t>PLTR</t>
        </is>
      </c>
      <c r="C225" s="105" t="n">
        <v>2025</v>
      </c>
      <c r="D225" s="106" t="inlineStr">
        <is>
          <t>Q2</t>
        </is>
      </c>
      <c r="E225" s="109" t="inlineStr">
        <is>
          <t>Ben/DeepSeek</t>
        </is>
      </c>
      <c r="F225" s="106" t="inlineStr">
        <is>
          <t>LLM</t>
        </is>
      </c>
      <c r="G225" s="128" t="n">
        <v>0.5125</v>
      </c>
      <c r="H225" s="106" t="inlineStr">
        <is>
          <t>BUY</t>
        </is>
      </c>
      <c r="I225" s="128" t="n"/>
      <c r="J225" s="125" t="n">
        <v>45873</v>
      </c>
      <c r="K225" s="126" t="n">
        <v>45873</v>
      </c>
      <c r="L225" s="129" t="n">
        <v>160.66</v>
      </c>
      <c r="M225" s="126" t="n">
        <v>45874</v>
      </c>
      <c r="N225" s="129" t="n">
        <v>171.81</v>
      </c>
      <c r="O225" s="132" t="n">
        <v>0.007465</v>
      </c>
      <c r="P225" s="107" t="n">
        <v>0.069401</v>
      </c>
      <c r="Q225" s="106" t="inlineStr">
        <is>
          <t>UP</t>
        </is>
      </c>
      <c r="R225" s="106" t="inlineStr">
        <is>
          <t>YES</t>
        </is>
      </c>
      <c r="S225" s="105" t="n">
        <v>1</v>
      </c>
      <c r="T225" s="107" t="n">
        <v>0.068401</v>
      </c>
      <c r="U225" s="130" t="inlineStr">
        <is>
          <t>w=[0.55,0.45,0,0] thr=(+0.25,-0.05), deployed default (risk-accepted, PSR=0.0/perm p=0.150 at N=161, not rechecked at N=268)</t>
        </is>
      </c>
      <c r="W225" t="inlineStr">
        <is>
          <t>price signal, re-derived — both moved; this one dominates</t>
        </is>
      </c>
      <c r="X225" t="inlineStr">
        <is>
          <t>PLTR</t>
        </is>
      </c>
      <c r="Y225" t="inlineStr">
        <is>
          <t>2025-08-04</t>
        </is>
      </c>
      <c r="Z225" t="n">
        <v>160.66</v>
      </c>
      <c r="AA225" t="inlineStr">
        <is>
          <t>2025-08-05</t>
        </is>
      </c>
      <c r="AB225" t="n">
        <v>171.81</v>
      </c>
      <c r="AC225" t="n">
        <v>0.06940118089378376</v>
      </c>
      <c r="AD225" t="inlineStr">
        <is>
          <t>UP</t>
        </is>
      </c>
      <c r="AE225" t="inlineStr">
        <is>
          <t>YES</t>
        </is>
      </c>
      <c r="AF225" t="n">
        <v>0.068401</v>
      </c>
      <c r="AG225">
        <f>IF($A225="","",IFERROR(INDEX(Company_List!$G$3:$G$207,MATCH($A225,Company_List!$A$3:$A$207,0)),"unassigned"))</f>
        <v/>
      </c>
      <c r="AH225" t="inlineStr">
        <is>
          <t>Phase 3/Readings/Palantir/Q2/Transcript : Palantir Technologies Inc., Q2 2025 Earnings Call, Aug 04, 2025 | MarketScreener UK.pdf; Phase 3/Readings/Palantir/Q2/Q2 2025 | Letter to Shareholders.pdf; Phase 3/Readings/Palantir/Q2/Palantir Q2 2025 Business Update.pdf</t>
        </is>
      </c>
      <c r="AJ225" t="inlineStr">
        <is>
          <t>whole bundle (Document = All)</t>
        </is>
      </c>
      <c r="AK225">
        <f>IF($A225="","",IF(COUNTIFS(Human_Data_Entry!$A$3:$A$525,$A225)&gt;0,"YES","NO"))</f>
        <v/>
      </c>
      <c r="AL225">
        <f>IF($A225="","",IF(AND($C225&amp;"-"&amp;$D225&gt;=Settings!$B$19,$C225&amp;"-"&amp;$D225&lt;=Settings!$B$20),"IN","OUT"))</f>
        <v/>
      </c>
      <c r="AM225">
        <f>IF(AND(OR($H225="BUY",$H225="SELL"),ISNUMBER($T225)),$T225,"")</f>
        <v/>
      </c>
      <c r="AN225">
        <f>IF(AND(OR($H225="BUY",$H225="SELL"),ISNUMBER($AF225)),$AF225,"")</f>
        <v/>
      </c>
      <c r="AO225">
        <f>IF(ISNUMBER($AM225),ABS(IF(ISNUMBER($G225),$G225,0)-Settings!$B$25),"")</f>
        <v/>
      </c>
      <c r="AP225">
        <f>IF(ISNUMBER($AO225),$AO225*$AM225,"")</f>
        <v/>
      </c>
      <c r="AQ225">
        <f>IF(ISNUMBER($AN225),ABS(IF(ISNUMBER($G225),$G225,0)-Settings!$B$25),"")</f>
        <v/>
      </c>
      <c r="AR225">
        <f>IF(ISNUMBER($AQ225),$AQ225*$AN225,"")</f>
        <v/>
      </c>
      <c r="AS225">
        <f>IF($A225="","",IFERROR(INDEX(Company_List!$H$3:$H$207,MATCH($A225,Company_List!$A$3:$A$207,0)),"unassigned"))</f>
        <v/>
      </c>
      <c r="AT225" t="inlineStr">
        <is>
          <t>not in v1</t>
        </is>
      </c>
      <c r="AU225" t="inlineStr">
        <is>
          <t>no earlier record</t>
        </is>
      </c>
      <c r="AV225" t="n">
        <v>3</v>
      </c>
      <c r="AW225" t="inlineStr">
        <is>
          <t>MarketScreener (Surperformance SAS)</t>
        </is>
      </c>
      <c r="AX225" t="inlineStr">
        <is>
          <t>licensed vendor</t>
        </is>
      </c>
      <c r="AY225" t="inlineStr">
        <is>
          <t>no</t>
        </is>
      </c>
      <c r="AZ225" t="inlineStr">
        <is>
          <t>no</t>
        </is>
      </c>
    </row>
    <row r="226">
      <c r="A226" s="115" t="inlineStr">
        <is>
          <t>Palantir</t>
        </is>
      </c>
      <c r="B226" s="117" t="inlineStr">
        <is>
          <t>PLTR</t>
        </is>
      </c>
      <c r="C226" s="105" t="n">
        <v>2025</v>
      </c>
      <c r="D226" s="106" t="inlineStr">
        <is>
          <t>Q3</t>
        </is>
      </c>
      <c r="E226" s="109" t="inlineStr">
        <is>
          <t>Ben/DeepSeek</t>
        </is>
      </c>
      <c r="F226" s="106" t="inlineStr">
        <is>
          <t>LLM</t>
        </is>
      </c>
      <c r="G226" s="128" t="n">
        <v>0.6025</v>
      </c>
      <c r="H226" s="106" t="inlineStr">
        <is>
          <t>BUY</t>
        </is>
      </c>
      <c r="I226" s="128" t="n"/>
      <c r="J226" s="125" t="n">
        <v>45964</v>
      </c>
      <c r="K226" s="126" t="n">
        <v>45964</v>
      </c>
      <c r="L226" s="129" t="n">
        <v>207.18</v>
      </c>
      <c r="M226" s="126" t="n">
        <v>45965</v>
      </c>
      <c r="N226" s="129" t="n">
        <v>192.07</v>
      </c>
      <c r="O226" s="132" t="n">
        <v>0.006968</v>
      </c>
      <c r="P226" s="107" t="n">
        <v>-0.072932</v>
      </c>
      <c r="Q226" s="106" t="inlineStr">
        <is>
          <t>DOWN</t>
        </is>
      </c>
      <c r="R226" s="106" t="inlineStr">
        <is>
          <t>NO</t>
        </is>
      </c>
      <c r="S226" s="105" t="n">
        <v>1</v>
      </c>
      <c r="T226" s="107" t="n">
        <v>-0.073932</v>
      </c>
      <c r="U226" s="130" t="inlineStr">
        <is>
          <t>w=[0.55,0.45,0,0] thr=(+0.25,-0.05), deployed default (risk-accepted, PSR=0.0/perm p=0.150 at N=161, not rechecked at N=268)</t>
        </is>
      </c>
      <c r="W226" t="inlineStr">
        <is>
          <t>price signal, re-derived — only this window shows an abnormal move</t>
        </is>
      </c>
      <c r="X226" t="inlineStr">
        <is>
          <t>PLTR</t>
        </is>
      </c>
      <c r="Y226" t="inlineStr">
        <is>
          <t>2025-11-03</t>
        </is>
      </c>
      <c r="Z226" t="n">
        <v>207.18</v>
      </c>
      <c r="AA226" t="inlineStr">
        <is>
          <t>2025-11-04</t>
        </is>
      </c>
      <c r="AB226" t="n">
        <v>192.07</v>
      </c>
      <c r="AC226" t="n">
        <v>-0.07293168505899116</v>
      </c>
      <c r="AD226" t="inlineStr">
        <is>
          <t>DOWN</t>
        </is>
      </c>
      <c r="AE226" t="inlineStr">
        <is>
          <t>NO</t>
        </is>
      </c>
      <c r="AF226" t="n">
        <v>-0.073932</v>
      </c>
      <c r="AG226">
        <f>IF($A226="","",IFERROR(INDEX(Company_List!$G$3:$G$207,MATCH($A226,Company_List!$A$3:$A$207,0)),"unassigned"))</f>
        <v/>
      </c>
      <c r="AH226" t="inlineStr">
        <is>
          <t>Phase 3/Readings/Palantir/Q3/Transcript : Palantir Technologies Inc., Q3 2025 Earnings Call, Nov 03, 2025 | MarketScreener UK.pdf; Phase 3/Readings/Palantir/Q3/Q3 2025 | Letter to Shareholders.pdf; Phase 3/Readings/Palantir/Q3/Palantir - Q3 2025 Investor Presentation.pdf</t>
        </is>
      </c>
      <c r="AJ226" t="inlineStr">
        <is>
          <t>whole bundle (Document = All)</t>
        </is>
      </c>
      <c r="AK226">
        <f>IF($A226="","",IF(COUNTIFS(Human_Data_Entry!$A$3:$A$525,$A226)&gt;0,"YES","NO"))</f>
        <v/>
      </c>
      <c r="AL226">
        <f>IF($A226="","",IF(AND($C226&amp;"-"&amp;$D226&gt;=Settings!$B$19,$C226&amp;"-"&amp;$D226&lt;=Settings!$B$20),"IN","OUT"))</f>
        <v/>
      </c>
      <c r="AM226">
        <f>IF(AND(OR($H226="BUY",$H226="SELL"),ISNUMBER($T226)),$T226,"")</f>
        <v/>
      </c>
      <c r="AN226">
        <f>IF(AND(OR($H226="BUY",$H226="SELL"),ISNUMBER($AF226)),$AF226,"")</f>
        <v/>
      </c>
      <c r="AO226">
        <f>IF(ISNUMBER($AM226),ABS(IF(ISNUMBER($G226),$G226,0)-Settings!$B$25),"")</f>
        <v/>
      </c>
      <c r="AP226">
        <f>IF(ISNUMBER($AO226),$AO226*$AM226,"")</f>
        <v/>
      </c>
      <c r="AQ226">
        <f>IF(ISNUMBER($AN226),ABS(IF(ISNUMBER($G226),$G226,0)-Settings!$B$25),"")</f>
        <v/>
      </c>
      <c r="AR226">
        <f>IF(ISNUMBER($AQ226),$AQ226*$AN226,"")</f>
        <v/>
      </c>
      <c r="AS226">
        <f>IF($A226="","",IFERROR(INDEX(Company_List!$H$3:$H$207,MATCH($A226,Company_List!$A$3:$A$207,0)),"unassigned"))</f>
        <v/>
      </c>
      <c r="AT226" t="inlineStr">
        <is>
          <t>not in v1</t>
        </is>
      </c>
      <c r="AU226" t="inlineStr">
        <is>
          <t>no earlier record</t>
        </is>
      </c>
      <c r="AV226" t="n">
        <v>3</v>
      </c>
      <c r="AW226" t="inlineStr">
        <is>
          <t>MarketScreener (Surperformance SAS)</t>
        </is>
      </c>
      <c r="AX226" t="inlineStr">
        <is>
          <t>licensed vendor</t>
        </is>
      </c>
      <c r="AY226" t="inlineStr">
        <is>
          <t>no</t>
        </is>
      </c>
      <c r="AZ226" t="inlineStr">
        <is>
          <t>no</t>
        </is>
      </c>
    </row>
    <row r="227">
      <c r="A227" s="115" t="inlineStr">
        <is>
          <t>Palantir</t>
        </is>
      </c>
      <c r="B227" s="117" t="inlineStr">
        <is>
          <t>PLTR</t>
        </is>
      </c>
      <c r="C227" s="105" t="n">
        <v>2025</v>
      </c>
      <c r="D227" s="106" t="inlineStr">
        <is>
          <t>Q4</t>
        </is>
      </c>
      <c r="E227" s="109" t="inlineStr">
        <is>
          <t>Ben/DeepSeek</t>
        </is>
      </c>
      <c r="F227" s="106" t="inlineStr">
        <is>
          <t>LLM</t>
        </is>
      </c>
      <c r="G227" s="128" t="n">
        <v>0.415</v>
      </c>
      <c r="H227" s="106" t="inlineStr">
        <is>
          <t>BUY</t>
        </is>
      </c>
      <c r="I227" s="128" t="n"/>
      <c r="J227" s="125" t="n">
        <v>46055</v>
      </c>
      <c r="K227" s="126" t="n">
        <v>46055</v>
      </c>
      <c r="L227" s="129" t="n">
        <v>147.76</v>
      </c>
      <c r="M227" s="126" t="n">
        <v>46056</v>
      </c>
      <c r="N227" s="129" t="n">
        <v>165.05</v>
      </c>
      <c r="O227" s="132" t="n">
        <v>0.007557</v>
      </c>
      <c r="P227" s="107" t="n">
        <v>0.117014</v>
      </c>
      <c r="Q227" s="106" t="inlineStr">
        <is>
          <t>UP</t>
        </is>
      </c>
      <c r="R227" s="106" t="inlineStr">
        <is>
          <t>YES</t>
        </is>
      </c>
      <c r="S227" s="105" t="n">
        <v>1</v>
      </c>
      <c r="T227" s="107" t="n">
        <v>0.116014</v>
      </c>
      <c r="U227" s="130" t="inlineStr">
        <is>
          <t>w=[0.55,0.45,0,0] thr=(+0.25,-0.05), deployed default (risk-accepted, PSR=0.0/perm p=0.150 at N=161, not rechecked at N=268)</t>
        </is>
      </c>
      <c r="W227" t="inlineStr">
        <is>
          <t>price signal, re-derived — both moved; this one dominates</t>
        </is>
      </c>
      <c r="X227" t="inlineStr">
        <is>
          <t>PLTR</t>
        </is>
      </c>
      <c r="Y227" t="inlineStr">
        <is>
          <t>2026-02-02</t>
        </is>
      </c>
      <c r="Z227" t="n">
        <v>147.76</v>
      </c>
      <c r="AA227" t="inlineStr">
        <is>
          <t>2026-02-03</t>
        </is>
      </c>
      <c r="AB227" t="n">
        <v>165.05</v>
      </c>
      <c r="AC227" t="n">
        <v>0.1170141349828822</v>
      </c>
      <c r="AD227" t="inlineStr">
        <is>
          <t>UP</t>
        </is>
      </c>
      <c r="AE227" t="inlineStr">
        <is>
          <t>YES</t>
        </is>
      </c>
      <c r="AF227" t="n">
        <v>0.116014</v>
      </c>
      <c r="AG227">
        <f>IF($A227="","",IFERROR(INDEX(Company_List!$G$3:$G$207,MATCH($A227,Company_List!$A$3:$A$207,0)),"unassigned"))</f>
        <v/>
      </c>
      <c r="AH227"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J227" t="inlineStr">
        <is>
          <t>whole bundle (Document = All)</t>
        </is>
      </c>
      <c r="AK227">
        <f>IF($A227="","",IF(COUNTIFS(Human_Data_Entry!$A$3:$A$525,$A227)&gt;0,"YES","NO"))</f>
        <v/>
      </c>
      <c r="AL227">
        <f>IF($A227="","",IF(AND($C227&amp;"-"&amp;$D227&gt;=Settings!$B$19,$C227&amp;"-"&amp;$D227&lt;=Settings!$B$20),"IN","OUT"))</f>
        <v/>
      </c>
      <c r="AM227">
        <f>IF(AND(OR($H227="BUY",$H227="SELL"),ISNUMBER($T227)),$T227,"")</f>
        <v/>
      </c>
      <c r="AN227">
        <f>IF(AND(OR($H227="BUY",$H227="SELL"),ISNUMBER($AF227)),$AF227,"")</f>
        <v/>
      </c>
      <c r="AO227">
        <f>IF(ISNUMBER($AM227),ABS(IF(ISNUMBER($G227),$G227,0)-Settings!$B$25),"")</f>
        <v/>
      </c>
      <c r="AP227">
        <f>IF(ISNUMBER($AO227),$AO227*$AM227,"")</f>
        <v/>
      </c>
      <c r="AQ227">
        <f>IF(ISNUMBER($AN227),ABS(IF(ISNUMBER($G227),$G227,0)-Settings!$B$25),"")</f>
        <v/>
      </c>
      <c r="AR227">
        <f>IF(ISNUMBER($AQ227),$AQ227*$AN227,"")</f>
        <v/>
      </c>
      <c r="AS227">
        <f>IF($A227="","",IFERROR(INDEX(Company_List!$H$3:$H$207,MATCH($A227,Company_List!$A$3:$A$207,0)),"unassigned"))</f>
        <v/>
      </c>
      <c r="AT227" t="inlineStr">
        <is>
          <t>not in v1</t>
        </is>
      </c>
      <c r="AU227" t="inlineStr">
        <is>
          <t>no earlier record</t>
        </is>
      </c>
      <c r="AV227" t="n">
        <v>4</v>
      </c>
      <c r="AW227" t="inlineStr">
        <is>
          <t>MarketScreener (Surperformance SAS)</t>
        </is>
      </c>
      <c r="AX227" t="inlineStr">
        <is>
          <t>licensed vendor</t>
        </is>
      </c>
      <c r="AY227" t="inlineStr">
        <is>
          <t>one of several</t>
        </is>
      </c>
      <c r="AZ227" t="inlineStr">
        <is>
          <t>no</t>
        </is>
      </c>
    </row>
    <row r="228">
      <c r="A228" s="115" t="inlineStr">
        <is>
          <t>PayPal</t>
        </is>
      </c>
      <c r="B228" s="117" t="inlineStr">
        <is>
          <t>PYPL</t>
        </is>
      </c>
      <c r="C228" s="105" t="n">
        <v>2025</v>
      </c>
      <c r="D228" s="106" t="inlineStr">
        <is>
          <t>Q1</t>
        </is>
      </c>
      <c r="E228" s="109" t="inlineStr">
        <is>
          <t>Ben/DeepSeek</t>
        </is>
      </c>
      <c r="F228" s="106" t="inlineStr">
        <is>
          <t>LLM</t>
        </is>
      </c>
      <c r="G228" s="128" t="n">
        <v>-0.0525</v>
      </c>
      <c r="H228" s="106" t="inlineStr">
        <is>
          <t>SELL</t>
        </is>
      </c>
      <c r="I228" s="128" t="n"/>
      <c r="J228" s="125" t="n">
        <v>45776</v>
      </c>
      <c r="K228" s="126" t="n">
        <v>45775</v>
      </c>
      <c r="L228" s="129" t="n">
        <v>64.93000000000001</v>
      </c>
      <c r="M228" s="126" t="n">
        <v>45776</v>
      </c>
      <c r="N228" s="129" t="n">
        <v>66.37</v>
      </c>
      <c r="O228" s="132" t="n">
        <v>0.012516</v>
      </c>
      <c r="P228" s="107" t="n">
        <v>0.022178</v>
      </c>
      <c r="Q228" s="106" t="inlineStr">
        <is>
          <t>UP</t>
        </is>
      </c>
      <c r="R228" s="106" t="inlineStr">
        <is>
          <t>NO</t>
        </is>
      </c>
      <c r="S228" s="105" t="n">
        <v>-1</v>
      </c>
      <c r="T228" s="107" t="n">
        <v>-0.023178</v>
      </c>
      <c r="U228" s="130" t="inlineStr">
        <is>
          <t>w=[0.55,0.45,0,0] thr=(+0.25,-0.05), deployed default (risk-accepted, PSR=0.0/perm p=0.150 at N=161, not rechecked at N=268)</t>
        </is>
      </c>
      <c r="W228" t="inlineStr">
        <is>
          <t>price signal — only this window shows an abnormal move</t>
        </is>
      </c>
      <c r="X228" t="inlineStr">
        <is>
          <t>PYPL</t>
        </is>
      </c>
      <c r="Y228" t="inlineStr">
        <is>
          <t>2025-04-28</t>
        </is>
      </c>
      <c r="Z228" t="n">
        <v>64.3725</v>
      </c>
      <c r="AA228" t="inlineStr">
        <is>
          <t>2025-04-29</t>
        </is>
      </c>
      <c r="AB228" t="n">
        <v>65.8001</v>
      </c>
      <c r="AC228" t="n">
        <v>0.02217769318727723</v>
      </c>
      <c r="AD228" t="inlineStr">
        <is>
          <t>UP</t>
        </is>
      </c>
      <c r="AE228" t="inlineStr">
        <is>
          <t>NO</t>
        </is>
      </c>
      <c r="AF228" t="n">
        <v>-0.023178</v>
      </c>
      <c r="AG228">
        <f>IF($A228="","",IFERROR(INDEX(Company_List!$G$3:$G$207,MATCH($A228,Company_List!$A$3:$A$207,0)),"unassigned"))</f>
        <v/>
      </c>
      <c r="AH228" t="inlineStr">
        <is>
          <t>Phase 3/Readings/PayPal/PYPL-Holdings_Q1-2025-Earnings-Call-Transcript.pdf</t>
        </is>
      </c>
      <c r="AJ228" t="inlineStr">
        <is>
          <t>unique filename match</t>
        </is>
      </c>
      <c r="AK228">
        <f>IF($A228="","",IF(COUNTIFS(Human_Data_Entry!$A$3:$A$525,$A228)&gt;0,"YES","NO"))</f>
        <v/>
      </c>
      <c r="AL228">
        <f>IF($A228="","",IF(AND($C228&amp;"-"&amp;$D228&gt;=Settings!$B$19,$C228&amp;"-"&amp;$D228&lt;=Settings!$B$20),"IN","OUT"))</f>
        <v/>
      </c>
      <c r="AM228">
        <f>IF(AND(OR($H228="BUY",$H228="SELL"),ISNUMBER($T228)),$T228,"")</f>
        <v/>
      </c>
      <c r="AN228">
        <f>IF(AND(OR($H228="BUY",$H228="SELL"),ISNUMBER($AF228)),$AF228,"")</f>
        <v/>
      </c>
      <c r="AO228">
        <f>IF(ISNUMBER($AM228),ABS(IF(ISNUMBER($G228),$G228,0)-Settings!$B$25),"")</f>
        <v/>
      </c>
      <c r="AP228">
        <f>IF(ISNUMBER($AO228),$AO228*$AM228,"")</f>
        <v/>
      </c>
      <c r="AQ228">
        <f>IF(ISNUMBER($AN228),ABS(IF(ISNUMBER($G228),$G228,0)-Settings!$B$25),"")</f>
        <v/>
      </c>
      <c r="AR228">
        <f>IF(ISNUMBER($AQ228),$AQ228*$AN228,"")</f>
        <v/>
      </c>
      <c r="AS228">
        <f>IF($A228="","",IFERROR(INDEX(Company_List!$H$3:$H$207,MATCH($A228,Company_List!$A$3:$A$207,0)),"unassigned"))</f>
        <v/>
      </c>
      <c r="AT228" t="inlineStr">
        <is>
          <t>not in v1</t>
        </is>
      </c>
      <c r="AU228" t="inlineStr">
        <is>
          <t>no earlier record</t>
        </is>
      </c>
      <c r="AV228" t="n">
        <v>1</v>
      </c>
      <c r="AW228" t="inlineStr">
        <is>
          <t>FactSet CallStreet</t>
        </is>
      </c>
      <c r="AX228" t="inlineStr">
        <is>
          <t>licensed vendor</t>
        </is>
      </c>
      <c r="AY228" t="inlineStr">
        <is>
          <t>no</t>
        </is>
      </c>
      <c r="AZ228" t="inlineStr">
        <is>
          <t>no</t>
        </is>
      </c>
    </row>
    <row r="229">
      <c r="A229" s="115" t="inlineStr">
        <is>
          <t>PayPal</t>
        </is>
      </c>
      <c r="B229" s="117" t="inlineStr">
        <is>
          <t>PYPL</t>
        </is>
      </c>
      <c r="C229" s="105" t="n">
        <v>2026</v>
      </c>
      <c r="D229" s="106" t="inlineStr">
        <is>
          <t>Q1</t>
        </is>
      </c>
      <c r="E229" s="109" t="inlineStr">
        <is>
          <t>Ben/DeepSeek</t>
        </is>
      </c>
      <c r="F229" s="106" t="inlineStr">
        <is>
          <t>LLM</t>
        </is>
      </c>
      <c r="G229" s="128" t="n">
        <v>-0.19</v>
      </c>
      <c r="H229" s="106" t="inlineStr">
        <is>
          <t>SELL</t>
        </is>
      </c>
      <c r="I229" s="128" t="n"/>
      <c r="J229" s="125" t="n">
        <v>46147</v>
      </c>
      <c r="K229" s="126" t="n">
        <v>46146</v>
      </c>
      <c r="L229" s="129" t="n">
        <v>50.39</v>
      </c>
      <c r="M229" s="126" t="n">
        <v>46147</v>
      </c>
      <c r="N229" s="129" t="n">
        <v>45.37</v>
      </c>
      <c r="O229" s="132" t="n">
        <v>0.011983</v>
      </c>
      <c r="P229" s="107" t="n">
        <v>-0.099623</v>
      </c>
      <c r="Q229" s="106" t="inlineStr">
        <is>
          <t>DOWN</t>
        </is>
      </c>
      <c r="R229" s="106" t="inlineStr">
        <is>
          <t>YES</t>
        </is>
      </c>
      <c r="S229" s="105" t="n">
        <v>-1</v>
      </c>
      <c r="T229" s="107" t="n">
        <v>0.098623</v>
      </c>
      <c r="U229" s="130" t="inlineStr">
        <is>
          <t>w=[0.55,0.45,0,0] thr=(+0.25,-0.05), deployed default (risk-accepted, PSR=0.0/perm p=0.150 at N=161, not rechecked at N=268)</t>
        </is>
      </c>
      <c r="W229" t="inlineStr">
        <is>
          <t>price signal — only this window shows an abnormal move</t>
        </is>
      </c>
      <c r="X229" t="inlineStr">
        <is>
          <t>PYPL</t>
        </is>
      </c>
      <c r="Y229" t="inlineStr">
        <is>
          <t>2026-05-04</t>
        </is>
      </c>
      <c r="Z229" t="n">
        <v>50.2244</v>
      </c>
      <c r="AA229" t="inlineStr">
        <is>
          <t>2026-05-05</t>
        </is>
      </c>
      <c r="AB229" t="n">
        <v>45.2209</v>
      </c>
      <c r="AC229" t="n">
        <v>-0.09962295859469628</v>
      </c>
      <c r="AD229" t="inlineStr">
        <is>
          <t>DOWN</t>
        </is>
      </c>
      <c r="AE229" t="inlineStr">
        <is>
          <t>YES</t>
        </is>
      </c>
      <c r="AF229" t="n">
        <v>0.098623</v>
      </c>
      <c r="AG229">
        <f>IF($A229="","",IFERROR(INDEX(Company_List!$G$3:$G$207,MATCH($A229,Company_List!$A$3:$A$207,0)),"unassigned"))</f>
        <v/>
      </c>
      <c r="AH229" t="inlineStr">
        <is>
          <t>Phase 3/Readings/PayPal/2026-Q1/PYPL-2026-Q1-press-release-SEC-EX-99-1.htm</t>
        </is>
      </c>
      <c r="AI229" t="inlineStr">
        <is>
          <t>https://www.sec.gov/Archives/edgar/data/1633917/000163391726000065/pypl1q-26earningsrelease.htm</t>
        </is>
      </c>
      <c r="AJ229" t="inlineStr">
        <is>
          <t>manifest</t>
        </is>
      </c>
      <c r="AK229">
        <f>IF($A229="","",IF(COUNTIFS(Human_Data_Entry!$A$3:$A$525,$A229)&gt;0,"YES","NO"))</f>
        <v/>
      </c>
      <c r="AL229">
        <f>IF($A229="","",IF(AND($C229&amp;"-"&amp;$D229&gt;=Settings!$B$19,$C229&amp;"-"&amp;$D229&lt;=Settings!$B$20),"IN","OUT"))</f>
        <v/>
      </c>
      <c r="AM229">
        <f>IF(AND(OR($H229="BUY",$H229="SELL"),ISNUMBER($T229)),$T229,"")</f>
        <v/>
      </c>
      <c r="AN229">
        <f>IF(AND(OR($H229="BUY",$H229="SELL"),ISNUMBER($AF229)),$AF229,"")</f>
        <v/>
      </c>
      <c r="AO229">
        <f>IF(ISNUMBER($AM229),ABS(IF(ISNUMBER($G229),$G229,0)-Settings!$B$25),"")</f>
        <v/>
      </c>
      <c r="AP229">
        <f>IF(ISNUMBER($AO229),$AO229*$AM229,"")</f>
        <v/>
      </c>
      <c r="AQ229">
        <f>IF(ISNUMBER($AN229),ABS(IF(ISNUMBER($G229),$G229,0)-Settings!$B$25),"")</f>
        <v/>
      </c>
      <c r="AR229">
        <f>IF(ISNUMBER($AQ229),$AQ229*$AN229,"")</f>
        <v/>
      </c>
      <c r="AS229">
        <f>IF($A229="","",IFERROR(INDEX(Company_List!$H$3:$H$207,MATCH($A229,Company_List!$A$3:$A$207,0)),"unassigned"))</f>
        <v/>
      </c>
      <c r="AT229" t="inlineStr">
        <is>
          <t>not in v1</t>
        </is>
      </c>
      <c r="AU229" t="inlineStr">
        <is>
          <t>no earlier record</t>
        </is>
      </c>
      <c r="AV229" t="n">
        <v>1</v>
      </c>
      <c r="AW229" t="inlineStr">
        <is>
          <t>not publisher-identified</t>
        </is>
      </c>
      <c r="AX229" t="inlineStr">
        <is>
          <t>not publisher-identified</t>
        </is>
      </c>
      <c r="AY229" t="inlineStr">
        <is>
          <t>no</t>
        </is>
      </c>
      <c r="AZ229" t="inlineStr">
        <is>
          <t>yes</t>
        </is>
      </c>
    </row>
    <row r="230">
      <c r="A230" s="115" t="inlineStr">
        <is>
          <t>PayPal</t>
        </is>
      </c>
      <c r="B230" s="117" t="inlineStr">
        <is>
          <t>PYPL</t>
        </is>
      </c>
      <c r="C230" s="105" t="n">
        <v>2025</v>
      </c>
      <c r="D230" s="106" t="inlineStr">
        <is>
          <t>Q2</t>
        </is>
      </c>
      <c r="E230" s="109" t="inlineStr">
        <is>
          <t>Ben/DeepSeek</t>
        </is>
      </c>
      <c r="F230" s="106" t="inlineStr">
        <is>
          <t>LLM</t>
        </is>
      </c>
      <c r="G230" s="128" t="n">
        <v>0.2925</v>
      </c>
      <c r="H230" s="106" t="inlineStr">
        <is>
          <t>BUY</t>
        </is>
      </c>
      <c r="I230" s="128" t="n"/>
      <c r="J230" s="125" t="n">
        <v>45867</v>
      </c>
      <c r="K230" s="126" t="n">
        <v>45866</v>
      </c>
      <c r="L230" s="129" t="n">
        <v>78.22</v>
      </c>
      <c r="M230" s="126" t="n">
        <v>45867</v>
      </c>
      <c r="N230" s="129" t="n">
        <v>71.73</v>
      </c>
      <c r="O230" s="132" t="n">
        <v>0.013427</v>
      </c>
      <c r="P230" s="107" t="n">
        <v>-0.082971</v>
      </c>
      <c r="Q230" s="106" t="inlineStr">
        <is>
          <t>DOWN</t>
        </is>
      </c>
      <c r="R230" s="106" t="inlineStr">
        <is>
          <t>NO</t>
        </is>
      </c>
      <c r="S230" s="105" t="n">
        <v>1</v>
      </c>
      <c r="T230" s="107" t="n">
        <v>-0.083971</v>
      </c>
      <c r="U230" s="130" t="inlineStr">
        <is>
          <t>w=[0.55,0.45,0,0] thr=(+0.25,-0.05), deployed default (risk-accepted, PSR=0.0/perm p=0.150 at N=161, not rechecked at N=268)</t>
        </is>
      </c>
      <c r="W230" t="inlineStr">
        <is>
          <t>price signal — only this window shows an abnormal move</t>
        </is>
      </c>
      <c r="X230" t="inlineStr">
        <is>
          <t>PYPL</t>
        </is>
      </c>
      <c r="Y230" t="inlineStr">
        <is>
          <t>2025-07-28</t>
        </is>
      </c>
      <c r="Z230" t="n">
        <v>77.5484</v>
      </c>
      <c r="AA230" t="inlineStr">
        <is>
          <t>2025-07-29</t>
        </is>
      </c>
      <c r="AB230" t="n">
        <v>71.11409999999999</v>
      </c>
      <c r="AC230" t="n">
        <v>-0.08297117785809287</v>
      </c>
      <c r="AD230" t="inlineStr">
        <is>
          <t>DOWN</t>
        </is>
      </c>
      <c r="AE230" t="inlineStr">
        <is>
          <t>NO</t>
        </is>
      </c>
      <c r="AF230" t="n">
        <v>-0.083971</v>
      </c>
      <c r="AG230">
        <f>IF($A230="","",IFERROR(INDEX(Company_List!$G$3:$G$207,MATCH($A230,Company_List!$A$3:$A$207,0)),"unassigned"))</f>
        <v/>
      </c>
      <c r="AH230" t="inlineStr">
        <is>
          <t>Phase 3/Readings/PayPal/CORRECTED-TRANSCRIPT_-PayPal-Holdings-Inc-PYPL-US-Q2-2025-Earnings-Call-29-July-2025-8_00-AM-ET.pdf</t>
        </is>
      </c>
      <c r="AJ230" t="inlineStr">
        <is>
          <t>unique filename match</t>
        </is>
      </c>
      <c r="AK230">
        <f>IF($A230="","",IF(COUNTIFS(Human_Data_Entry!$A$3:$A$525,$A230)&gt;0,"YES","NO"))</f>
        <v/>
      </c>
      <c r="AL230">
        <f>IF($A230="","",IF(AND($C230&amp;"-"&amp;$D230&gt;=Settings!$B$19,$C230&amp;"-"&amp;$D230&lt;=Settings!$B$20),"IN","OUT"))</f>
        <v/>
      </c>
      <c r="AM230">
        <f>IF(AND(OR($H230="BUY",$H230="SELL"),ISNUMBER($T230)),$T230,"")</f>
        <v/>
      </c>
      <c r="AN230">
        <f>IF(AND(OR($H230="BUY",$H230="SELL"),ISNUMBER($AF230)),$AF230,"")</f>
        <v/>
      </c>
      <c r="AO230">
        <f>IF(ISNUMBER($AM230),ABS(IF(ISNUMBER($G230),$G230,0)-Settings!$B$25),"")</f>
        <v/>
      </c>
      <c r="AP230">
        <f>IF(ISNUMBER($AO230),$AO230*$AM230,"")</f>
        <v/>
      </c>
      <c r="AQ230">
        <f>IF(ISNUMBER($AN230),ABS(IF(ISNUMBER($G230),$G230,0)-Settings!$B$25),"")</f>
        <v/>
      </c>
      <c r="AR230">
        <f>IF(ISNUMBER($AQ230),$AQ230*$AN230,"")</f>
        <v/>
      </c>
      <c r="AS230">
        <f>IF($A230="","",IFERROR(INDEX(Company_List!$H$3:$H$207,MATCH($A230,Company_List!$A$3:$A$207,0)),"unassigned"))</f>
        <v/>
      </c>
      <c r="AT230" t="inlineStr">
        <is>
          <t>not in v1</t>
        </is>
      </c>
      <c r="AU230" t="inlineStr">
        <is>
          <t>no earlier record</t>
        </is>
      </c>
      <c r="AV230" t="n">
        <v>1</v>
      </c>
      <c r="AW230" t="inlineStr">
        <is>
          <t>FactSet CallStreet</t>
        </is>
      </c>
      <c r="AX230" t="inlineStr">
        <is>
          <t>licensed vendor</t>
        </is>
      </c>
      <c r="AY230" t="inlineStr">
        <is>
          <t>no</t>
        </is>
      </c>
      <c r="AZ230" t="inlineStr">
        <is>
          <t>no</t>
        </is>
      </c>
    </row>
    <row r="231">
      <c r="A231" s="115" t="inlineStr">
        <is>
          <t>PayPal</t>
        </is>
      </c>
      <c r="B231" s="117" t="inlineStr">
        <is>
          <t>PYPL</t>
        </is>
      </c>
      <c r="C231" s="105" t="n">
        <v>2025</v>
      </c>
      <c r="D231" s="106" t="inlineStr">
        <is>
          <t>Q3</t>
        </is>
      </c>
      <c r="E231" s="109" t="inlineStr">
        <is>
          <t>Ben/DeepSeek</t>
        </is>
      </c>
      <c r="F231" s="106" t="inlineStr">
        <is>
          <t>LLM</t>
        </is>
      </c>
      <c r="G231" s="128" t="n">
        <v>0.4375</v>
      </c>
      <c r="H231" s="106" t="inlineStr">
        <is>
          <t>BUY</t>
        </is>
      </c>
      <c r="I231" s="128" t="n"/>
      <c r="J231" s="125" t="n">
        <v>45958</v>
      </c>
      <c r="K231" s="126" t="n">
        <v>45957</v>
      </c>
      <c r="L231" s="129" t="n">
        <v>70.25</v>
      </c>
      <c r="M231" s="126" t="n">
        <v>45958</v>
      </c>
      <c r="N231" s="129" t="n">
        <v>76.20999999999999</v>
      </c>
      <c r="O231" s="132" t="n">
        <v>0.013747</v>
      </c>
      <c r="P231" s="107" t="n">
        <v>0.08484</v>
      </c>
      <c r="Q231" s="106" t="inlineStr">
        <is>
          <t>UP</t>
        </is>
      </c>
      <c r="R231" s="106" t="inlineStr">
        <is>
          <t>YES</t>
        </is>
      </c>
      <c r="S231" s="105" t="n">
        <v>1</v>
      </c>
      <c r="T231" s="107" t="n">
        <v>0.08384</v>
      </c>
      <c r="U231" s="130" t="inlineStr">
        <is>
          <t>w=[0.55,0.45,0,0] thr=(+0.25,-0.05), deployed default (risk-accepted, PSR=0.0/perm p=0.150 at N=161, not rechecked at N=268)</t>
        </is>
      </c>
      <c r="W231" t="inlineStr">
        <is>
          <t>price signal — only this window shows an abnormal move</t>
        </is>
      </c>
      <c r="X231" t="inlineStr">
        <is>
          <t>PYPL</t>
        </is>
      </c>
      <c r="Y231" t="inlineStr">
        <is>
          <t>2025-10-27</t>
        </is>
      </c>
      <c r="Z231" t="n">
        <v>69.6468</v>
      </c>
      <c r="AA231" t="inlineStr">
        <is>
          <t>2025-10-28</t>
        </is>
      </c>
      <c r="AB231" t="n">
        <v>75.5556</v>
      </c>
      <c r="AC231" t="n">
        <v>0.08483975966452981</v>
      </c>
      <c r="AD231" t="inlineStr">
        <is>
          <t>UP</t>
        </is>
      </c>
      <c r="AE231" t="inlineStr">
        <is>
          <t>YES</t>
        </is>
      </c>
      <c r="AF231" t="n">
        <v>0.08384</v>
      </c>
      <c r="AG231">
        <f>IF($A231="","",IFERROR(INDEX(Company_List!$G$3:$G$207,MATCH($A231,Company_List!$A$3:$A$207,0)),"unassigned"))</f>
        <v/>
      </c>
      <c r="AH231" t="inlineStr">
        <is>
          <t>Phase 3/Readings/PayPal/CORRECTED-TRANSCRIPT_-PayPal-Holdings-Inc-PYPL-US-Q3-2025-Earnings-Call-28-October-2025-8_00-AM-ET.pdf</t>
        </is>
      </c>
      <c r="AJ231" t="inlineStr">
        <is>
          <t>unique filename match</t>
        </is>
      </c>
      <c r="AK231">
        <f>IF($A231="","",IF(COUNTIFS(Human_Data_Entry!$A$3:$A$525,$A231)&gt;0,"YES","NO"))</f>
        <v/>
      </c>
      <c r="AL231">
        <f>IF($A231="","",IF(AND($C231&amp;"-"&amp;$D231&gt;=Settings!$B$19,$C231&amp;"-"&amp;$D231&lt;=Settings!$B$20),"IN","OUT"))</f>
        <v/>
      </c>
      <c r="AM231">
        <f>IF(AND(OR($H231="BUY",$H231="SELL"),ISNUMBER($T231)),$T231,"")</f>
        <v/>
      </c>
      <c r="AN231">
        <f>IF(AND(OR($H231="BUY",$H231="SELL"),ISNUMBER($AF231)),$AF231,"")</f>
        <v/>
      </c>
      <c r="AO231">
        <f>IF(ISNUMBER($AM231),ABS(IF(ISNUMBER($G231),$G231,0)-Settings!$B$25),"")</f>
        <v/>
      </c>
      <c r="AP231">
        <f>IF(ISNUMBER($AO231),$AO231*$AM231,"")</f>
        <v/>
      </c>
      <c r="AQ231">
        <f>IF(ISNUMBER($AN231),ABS(IF(ISNUMBER($G231),$G231,0)-Settings!$B$25),"")</f>
        <v/>
      </c>
      <c r="AR231">
        <f>IF(ISNUMBER($AQ231),$AQ231*$AN231,"")</f>
        <v/>
      </c>
      <c r="AS231">
        <f>IF($A231="","",IFERROR(INDEX(Company_List!$H$3:$H$207,MATCH($A231,Company_List!$A$3:$A$207,0)),"unassigned"))</f>
        <v/>
      </c>
      <c r="AT231" t="inlineStr">
        <is>
          <t>not in v1</t>
        </is>
      </c>
      <c r="AU231" t="inlineStr">
        <is>
          <t>no earlier record</t>
        </is>
      </c>
      <c r="AV231" t="n">
        <v>1</v>
      </c>
      <c r="AW231" t="inlineStr">
        <is>
          <t>FactSet CallStreet</t>
        </is>
      </c>
      <c r="AX231" t="inlineStr">
        <is>
          <t>licensed vendor</t>
        </is>
      </c>
      <c r="AY231" t="inlineStr">
        <is>
          <t>no</t>
        </is>
      </c>
      <c r="AZ231" t="inlineStr">
        <is>
          <t>no</t>
        </is>
      </c>
    </row>
    <row r="232">
      <c r="A232" s="115" t="inlineStr">
        <is>
          <t>Pinterest</t>
        </is>
      </c>
      <c r="B232" s="117" t="inlineStr">
        <is>
          <t>PINS</t>
        </is>
      </c>
      <c r="C232" s="105" t="n">
        <v>2026</v>
      </c>
      <c r="D232" s="106" t="inlineStr">
        <is>
          <t>Q1</t>
        </is>
      </c>
      <c r="E232" s="109" t="inlineStr">
        <is>
          <t>Ben/DeepSeek</t>
        </is>
      </c>
      <c r="F232" s="106" t="inlineStr">
        <is>
          <t>LLM</t>
        </is>
      </c>
      <c r="G232" s="128" t="n">
        <v>-0.0525</v>
      </c>
      <c r="H232" s="106" t="inlineStr">
        <is>
          <t>SELL</t>
        </is>
      </c>
      <c r="I232" s="128" t="n"/>
      <c r="J232" s="125" t="n">
        <v>46146</v>
      </c>
      <c r="K232" s="126" t="n">
        <v>46146</v>
      </c>
      <c r="L232" s="129" t="n">
        <v>20.85</v>
      </c>
      <c r="M232" s="126" t="n">
        <v>46147</v>
      </c>
      <c r="N232" s="129" t="n">
        <v>24.71</v>
      </c>
      <c r="O232" s="132" t="n">
        <v>0.009878</v>
      </c>
      <c r="P232" s="107" t="n">
        <v>0.185132</v>
      </c>
      <c r="Q232" s="106" t="inlineStr">
        <is>
          <t>UP</t>
        </is>
      </c>
      <c r="R232" s="106" t="inlineStr">
        <is>
          <t>NO</t>
        </is>
      </c>
      <c r="S232" s="105" t="n">
        <v>-1</v>
      </c>
      <c r="T232" s="107" t="n">
        <v>-0.186132</v>
      </c>
      <c r="U232" s="130" t="inlineStr">
        <is>
          <t>w=[0.55,0.45,0,0] thr=(+0.25,-0.05), deployed default (risk-accepted, PSR=0.0/perm p=0.150 at N=161, not rechecked at N=268)</t>
        </is>
      </c>
      <c r="W232" t="inlineStr">
        <is>
          <t>price signal — only this window shows an abnormal move</t>
        </is>
      </c>
      <c r="X232" t="inlineStr">
        <is>
          <t>PINS</t>
        </is>
      </c>
      <c r="Y232" t="inlineStr">
        <is>
          <t>2026-05-04</t>
        </is>
      </c>
      <c r="Z232" t="n">
        <v>20.85</v>
      </c>
      <c r="AA232" t="inlineStr">
        <is>
          <t>2026-05-05</t>
        </is>
      </c>
      <c r="AB232" t="n">
        <v>24.71</v>
      </c>
      <c r="AC232" t="n">
        <v>0.1851318465227819</v>
      </c>
      <c r="AD232" t="inlineStr">
        <is>
          <t>UP</t>
        </is>
      </c>
      <c r="AE232" t="inlineStr">
        <is>
          <t>NO</t>
        </is>
      </c>
      <c r="AF232" t="n">
        <v>-0.186132</v>
      </c>
      <c r="AG232">
        <f>IF($A232="","",IFERROR(INDEX(Company_List!$G$3:$G$207,MATCH($A232,Company_List!$A$3:$A$207,0)),"unassigned"))</f>
        <v/>
      </c>
      <c r="AH232" t="inlineStr">
        <is>
          <t>Phase 3/Readings/Pinterest/PINS Q1 2026 Transcript .pdf</t>
        </is>
      </c>
      <c r="AJ232" t="inlineStr">
        <is>
          <t>unique filename match</t>
        </is>
      </c>
      <c r="AK232">
        <f>IF($A232="","",IF(COUNTIFS(Human_Data_Entry!$A$3:$A$525,$A232)&gt;0,"YES","NO"))</f>
        <v/>
      </c>
      <c r="AL232">
        <f>IF($A232="","",IF(AND($C232&amp;"-"&amp;$D232&gt;=Settings!$B$19,$C232&amp;"-"&amp;$D232&lt;=Settings!$B$20),"IN","OUT"))</f>
        <v/>
      </c>
      <c r="AM232">
        <f>IF(AND(OR($H232="BUY",$H232="SELL"),ISNUMBER($T232)),$T232,"")</f>
        <v/>
      </c>
      <c r="AN232">
        <f>IF(AND(OR($H232="BUY",$H232="SELL"),ISNUMBER($AF232)),$AF232,"")</f>
        <v/>
      </c>
      <c r="AO232">
        <f>IF(ISNUMBER($AM232),ABS(IF(ISNUMBER($G232),$G232,0)-Settings!$B$25),"")</f>
        <v/>
      </c>
      <c r="AP232">
        <f>IF(ISNUMBER($AO232),$AO232*$AM232,"")</f>
        <v/>
      </c>
      <c r="AQ232">
        <f>IF(ISNUMBER($AN232),ABS(IF(ISNUMBER($G232),$G232,0)-Settings!$B$25),"")</f>
        <v/>
      </c>
      <c r="AR232">
        <f>IF(ISNUMBER($AQ232),$AQ232*$AN232,"")</f>
        <v/>
      </c>
      <c r="AS232">
        <f>IF($A232="","",IFERROR(INDEX(Company_List!$H$3:$H$207,MATCH($A232,Company_List!$A$3:$A$207,0)),"unassigned"))</f>
        <v/>
      </c>
      <c r="AT232" t="inlineStr">
        <is>
          <t>not in v1</t>
        </is>
      </c>
      <c r="AU232" t="inlineStr">
        <is>
          <t>no earlier record</t>
        </is>
      </c>
      <c r="AV232" t="n">
        <v>1</v>
      </c>
      <c r="AW232" t="inlineStr">
        <is>
          <t>The Motley Fool</t>
        </is>
      </c>
      <c r="AX232" t="inlineStr">
        <is>
          <t>free to read, copyright asserted</t>
        </is>
      </c>
      <c r="AY232" t="inlineStr">
        <is>
          <t>no</t>
        </is>
      </c>
      <c r="AZ232" t="inlineStr">
        <is>
          <t>no</t>
        </is>
      </c>
    </row>
    <row r="233">
      <c r="A233" s="115" t="inlineStr">
        <is>
          <t>Pinterest</t>
        </is>
      </c>
      <c r="B233" s="117" t="inlineStr">
        <is>
          <t>PINS</t>
        </is>
      </c>
      <c r="C233" s="105" t="n">
        <v>2024</v>
      </c>
      <c r="D233" s="106" t="inlineStr">
        <is>
          <t>Q4</t>
        </is>
      </c>
      <c r="E233" s="109" t="inlineStr">
        <is>
          <t>Ben/DeepSeek</t>
        </is>
      </c>
      <c r="F233" s="106" t="inlineStr">
        <is>
          <t>LLM</t>
        </is>
      </c>
      <c r="G233" s="128" t="n">
        <v>0.25</v>
      </c>
      <c r="H233" s="106" t="inlineStr">
        <is>
          <t>HOLD</t>
        </is>
      </c>
      <c r="I233" s="128" t="n"/>
      <c r="J233" s="125" t="n">
        <v>45694</v>
      </c>
      <c r="K233" s="126" t="n">
        <v>45694</v>
      </c>
      <c r="L233" s="129" t="n">
        <v>33.59</v>
      </c>
      <c r="M233" s="126" t="n">
        <v>45695</v>
      </c>
      <c r="N233" s="129" t="n">
        <v>40.89</v>
      </c>
      <c r="O233" s="132" t="n">
        <v>0.009931000000000001</v>
      </c>
      <c r="P233" s="107" t="n">
        <v>0.217327</v>
      </c>
      <c r="Q233" s="106" t="inlineStr">
        <is>
          <t>UP</t>
        </is>
      </c>
      <c r="R233" s="106" t="inlineStr">
        <is>
          <t>NO</t>
        </is>
      </c>
      <c r="S233" s="105" t="n">
        <v>0</v>
      </c>
      <c r="T233" s="107" t="n">
        <v>0</v>
      </c>
      <c r="U233" s="130" t="inlineStr">
        <is>
          <t>w=[0.55,0.45,0,0] thr=(+0.25,-0.05), deployed default (risk-accepted, PSR=0.0/perm p=0.150 at N=161, not rechecked at N=268)</t>
        </is>
      </c>
      <c r="W233" t="inlineStr">
        <is>
          <t>price signal — only this window shows an abnormal move</t>
        </is>
      </c>
      <c r="X233" t="inlineStr">
        <is>
          <t>PINS</t>
        </is>
      </c>
      <c r="Y233" t="inlineStr">
        <is>
          <t>2025-02-06</t>
        </is>
      </c>
      <c r="Z233" t="n">
        <v>33.59</v>
      </c>
      <c r="AA233" t="inlineStr">
        <is>
          <t>2025-02-07</t>
        </is>
      </c>
      <c r="AB233" t="n">
        <v>40.89</v>
      </c>
      <c r="AC233" t="n">
        <v>0.2173265555224769</v>
      </c>
      <c r="AD233" t="inlineStr">
        <is>
          <t>UP</t>
        </is>
      </c>
      <c r="AE233" t="inlineStr">
        <is>
          <t>NO</t>
        </is>
      </c>
      <c r="AF233" t="n">
        <v>0</v>
      </c>
      <c r="AG233">
        <f>IF($A233="","",IFERROR(INDEX(Company_List!$G$3:$G$207,MATCH($A233,Company_List!$A$3:$A$207,0)),"unassigned"))</f>
        <v/>
      </c>
      <c r="AH233" t="inlineStr">
        <is>
          <t>Phase 3/Readings/Pinterest/Q4 2024 presentation.pdf</t>
        </is>
      </c>
      <c r="AJ233" t="inlineStr">
        <is>
          <t>unique filename match</t>
        </is>
      </c>
      <c r="AK233">
        <f>IF($A233="","",IF(COUNTIFS(Human_Data_Entry!$A$3:$A$525,$A233)&gt;0,"YES","NO"))</f>
        <v/>
      </c>
      <c r="AL233">
        <f>IF($A233="","",IF(AND($C233&amp;"-"&amp;$D233&gt;=Settings!$B$19,$C233&amp;"-"&amp;$D233&lt;=Settings!$B$20),"IN","OUT"))</f>
        <v/>
      </c>
      <c r="AM233">
        <f>IF(AND(OR($H233="BUY",$H233="SELL"),ISNUMBER($T233)),$T233,"")</f>
        <v/>
      </c>
      <c r="AN233">
        <f>IF(AND(OR($H233="BUY",$H233="SELL"),ISNUMBER($AF233)),$AF233,"")</f>
        <v/>
      </c>
      <c r="AO233">
        <f>IF(ISNUMBER($AM233),ABS(IF(ISNUMBER($G233),$G233,0)-Settings!$B$25),"")</f>
        <v/>
      </c>
      <c r="AP233">
        <f>IF(ISNUMBER($AO233),$AO233*$AM233,"")</f>
        <v/>
      </c>
      <c r="AQ233">
        <f>IF(ISNUMBER($AN233),ABS(IF(ISNUMBER($G233),$G233,0)-Settings!$B$25),"")</f>
        <v/>
      </c>
      <c r="AR233">
        <f>IF(ISNUMBER($AQ233),$AQ233*$AN233,"")</f>
        <v/>
      </c>
      <c r="AS233">
        <f>IF($A233="","",IFERROR(INDEX(Company_List!$H$3:$H$207,MATCH($A233,Company_List!$A$3:$A$207,0)),"unassigned"))</f>
        <v/>
      </c>
      <c r="AT233" t="inlineStr">
        <is>
          <t>not in v1</t>
        </is>
      </c>
      <c r="AU233" t="inlineStr">
        <is>
          <t>no earlier record</t>
        </is>
      </c>
      <c r="AV233" t="n">
        <v>1</v>
      </c>
      <c r="AW233" t="inlineStr">
        <is>
          <t>not publisher-identified</t>
        </is>
      </c>
      <c r="AX233" t="inlineStr">
        <is>
          <t>not publisher-identified</t>
        </is>
      </c>
      <c r="AY233" t="inlineStr">
        <is>
          <t>no</t>
        </is>
      </c>
      <c r="AZ233" t="inlineStr">
        <is>
          <t>no</t>
        </is>
      </c>
    </row>
    <row r="234">
      <c r="A234" s="115" t="inlineStr">
        <is>
          <t>Pinterest</t>
        </is>
      </c>
      <c r="B234" s="117" t="inlineStr">
        <is>
          <t>PINS</t>
        </is>
      </c>
      <c r="C234" s="105" t="n">
        <v>2025</v>
      </c>
      <c r="D234" s="106" t="inlineStr">
        <is>
          <t>Q4</t>
        </is>
      </c>
      <c r="E234" s="109" t="inlineStr">
        <is>
          <t>Ben/DeepSeek</t>
        </is>
      </c>
      <c r="F234" s="106" t="inlineStr">
        <is>
          <t>LLM</t>
        </is>
      </c>
      <c r="G234" s="128" t="n">
        <v>-0.1625</v>
      </c>
      <c r="H234" s="106" t="inlineStr">
        <is>
          <t>SELL</t>
        </is>
      </c>
      <c r="I234" s="128" t="n"/>
      <c r="J234" s="125" t="n">
        <v>46065</v>
      </c>
      <c r="K234" s="126" t="n">
        <v>46065</v>
      </c>
      <c r="L234" s="129" t="n">
        <v>18.54</v>
      </c>
      <c r="M234" s="126" t="n">
        <v>46066</v>
      </c>
      <c r="N234" s="129" t="n">
        <v>14.33</v>
      </c>
      <c r="O234" s="132" t="n">
        <v>0.011474</v>
      </c>
      <c r="P234" s="107" t="n">
        <v>-0.227077</v>
      </c>
      <c r="Q234" s="106" t="inlineStr">
        <is>
          <t>DOWN</t>
        </is>
      </c>
      <c r="R234" s="106" t="inlineStr">
        <is>
          <t>YES</t>
        </is>
      </c>
      <c r="S234" s="105" t="n">
        <v>-1</v>
      </c>
      <c r="T234" s="107" t="n">
        <v>0.226077</v>
      </c>
      <c r="U234" s="130" t="inlineStr">
        <is>
          <t>w=[0.55,0.45,0,0] thr=(+0.25,-0.05), deployed default (risk-accepted, PSR=0.0/perm p=0.150 at N=161, not rechecked at N=268)</t>
        </is>
      </c>
      <c r="W234" t="inlineStr">
        <is>
          <t>price signal — only this window shows an abnormal move</t>
        </is>
      </c>
      <c r="X234" t="inlineStr">
        <is>
          <t>PINS</t>
        </is>
      </c>
      <c r="Y234" t="inlineStr">
        <is>
          <t>2026-02-12</t>
        </is>
      </c>
      <c r="Z234" t="n">
        <v>18.54</v>
      </c>
      <c r="AA234" t="inlineStr">
        <is>
          <t>2026-02-13</t>
        </is>
      </c>
      <c r="AB234" t="n">
        <v>14.33</v>
      </c>
      <c r="AC234" t="n">
        <v>-0.2270766328437631</v>
      </c>
      <c r="AD234" t="inlineStr">
        <is>
          <t>DOWN</t>
        </is>
      </c>
      <c r="AE234" t="inlineStr">
        <is>
          <t>YES</t>
        </is>
      </c>
      <c r="AF234" t="n">
        <v>0.226077</v>
      </c>
      <c r="AG234">
        <f>IF($A234="","",IFERROR(INDEX(Company_List!$G$3:$G$207,MATCH($A234,Company_List!$A$3:$A$207,0)),"unassigned"))</f>
        <v/>
      </c>
      <c r="AH234" t="inlineStr">
        <is>
          <t>Phase 3/Readings/Pinterest/PINS Q4 2025 Transcript .pdf</t>
        </is>
      </c>
      <c r="AJ234" t="inlineStr">
        <is>
          <t>unique filename match</t>
        </is>
      </c>
      <c r="AK234">
        <f>IF($A234="","",IF(COUNTIFS(Human_Data_Entry!$A$3:$A$525,$A234)&gt;0,"YES","NO"))</f>
        <v/>
      </c>
      <c r="AL234">
        <f>IF($A234="","",IF(AND($C234&amp;"-"&amp;$D234&gt;=Settings!$B$19,$C234&amp;"-"&amp;$D234&lt;=Settings!$B$20),"IN","OUT"))</f>
        <v/>
      </c>
      <c r="AM234">
        <f>IF(AND(OR($H234="BUY",$H234="SELL"),ISNUMBER($T234)),$T234,"")</f>
        <v/>
      </c>
      <c r="AN234">
        <f>IF(AND(OR($H234="BUY",$H234="SELL"),ISNUMBER($AF234)),$AF234,"")</f>
        <v/>
      </c>
      <c r="AO234">
        <f>IF(ISNUMBER($AM234),ABS(IF(ISNUMBER($G234),$G234,0)-Settings!$B$25),"")</f>
        <v/>
      </c>
      <c r="AP234">
        <f>IF(ISNUMBER($AO234),$AO234*$AM234,"")</f>
        <v/>
      </c>
      <c r="AQ234">
        <f>IF(ISNUMBER($AN234),ABS(IF(ISNUMBER($G234),$G234,0)-Settings!$B$25),"")</f>
        <v/>
      </c>
      <c r="AR234">
        <f>IF(ISNUMBER($AQ234),$AQ234*$AN234,"")</f>
        <v/>
      </c>
      <c r="AS234">
        <f>IF($A234="","",IFERROR(INDEX(Company_List!$H$3:$H$207,MATCH($A234,Company_List!$A$3:$A$207,0)),"unassigned"))</f>
        <v/>
      </c>
      <c r="AT234" t="inlineStr">
        <is>
          <t>not in v1</t>
        </is>
      </c>
      <c r="AU234" t="inlineStr">
        <is>
          <t>no earlier record</t>
        </is>
      </c>
      <c r="AV234" t="n">
        <v>1</v>
      </c>
      <c r="AW234" t="inlineStr">
        <is>
          <t>The Motley Fool</t>
        </is>
      </c>
      <c r="AX234" t="inlineStr">
        <is>
          <t>free to read, copyright asserted</t>
        </is>
      </c>
      <c r="AY234" t="inlineStr">
        <is>
          <t>no</t>
        </is>
      </c>
      <c r="AZ234" t="inlineStr">
        <is>
          <t>no</t>
        </is>
      </c>
    </row>
    <row r="235">
      <c r="A235" s="115" t="inlineStr">
        <is>
          <t>Puma</t>
        </is>
      </c>
      <c r="B235" s="117" t="inlineStr">
        <is>
          <t>PUM.DE</t>
        </is>
      </c>
      <c r="C235" s="105" t="n">
        <v>2025</v>
      </c>
      <c r="D235" s="106" t="inlineStr">
        <is>
          <t>Q1</t>
        </is>
      </c>
      <c r="E235" s="109" t="inlineStr">
        <is>
          <t>Ben/DeepSeek</t>
        </is>
      </c>
      <c r="F235" s="106" t="inlineStr">
        <is>
          <t>LLM</t>
        </is>
      </c>
      <c r="G235" s="128" t="n">
        <v>-0.3</v>
      </c>
      <c r="H235" s="106" t="inlineStr">
        <is>
          <t>SELL</t>
        </is>
      </c>
      <c r="I235" s="128" t="n"/>
      <c r="J235" s="125" t="n">
        <v>45784</v>
      </c>
      <c r="K235" s="126" t="n">
        <v>45783</v>
      </c>
      <c r="L235" s="129" t="n">
        <v>23.67</v>
      </c>
      <c r="M235" s="126" t="n">
        <v>45784</v>
      </c>
      <c r="N235" s="129" t="n">
        <v>24</v>
      </c>
      <c r="O235" s="132" t="n">
        <v>0.004983</v>
      </c>
      <c r="P235" s="107" t="n">
        <v>0.013942</v>
      </c>
      <c r="Q235" s="106" t="inlineStr">
        <is>
          <t>FLAT</t>
        </is>
      </c>
      <c r="R235" s="106" t="inlineStr">
        <is>
          <t>NO</t>
        </is>
      </c>
      <c r="S235" s="105" t="n">
        <v>-1</v>
      </c>
      <c r="T235" s="107" t="n">
        <v>-0.014942</v>
      </c>
      <c r="U235" s="130" t="inlineStr">
        <is>
          <t>w=[0.55,0.45,0,0] thr=(+0.25,-0.05), deployed default (risk-accepted, PSR=0.0/perm p=0.150 at N=161, not rechecked at N=268)</t>
        </is>
      </c>
      <c r="W235" t="inlineStr">
        <is>
          <t>recorded window spanned two sessions, closed to one</t>
        </is>
      </c>
      <c r="X235" t="inlineStr">
        <is>
          <t>PUM.DE</t>
        </is>
      </c>
      <c r="Y235" t="inlineStr">
        <is>
          <t>2025-05-07</t>
        </is>
      </c>
      <c r="Z235" t="n">
        <v>22.759</v>
      </c>
      <c r="AA235" t="inlineStr">
        <is>
          <t>2025-05-08</t>
        </is>
      </c>
      <c r="AB235" t="n">
        <v>23.7815</v>
      </c>
      <c r="AC235" t="n">
        <v>0.04492938783083154</v>
      </c>
      <c r="AD235" t="inlineStr">
        <is>
          <t>UP</t>
        </is>
      </c>
      <c r="AE235" t="inlineStr">
        <is>
          <t>NO</t>
        </is>
      </c>
      <c r="AF235" t="n">
        <v>-0.045929</v>
      </c>
      <c r="AG235">
        <f>IF($A235="","",IFERROR(INDEX(Company_List!$G$3:$G$207,MATCH($A235,Company_List!$A$3:$A$207,0)),"unassigned"))</f>
        <v/>
      </c>
      <c r="AH235" t="inlineStr">
        <is>
          <t>Phase 3/Readings/Puma/puma-q1-2025-transcript_website.pdf</t>
        </is>
      </c>
      <c r="AJ235" t="inlineStr">
        <is>
          <t>unique filename match</t>
        </is>
      </c>
      <c r="AK235">
        <f>IF($A235="","",IF(COUNTIFS(Human_Data_Entry!$A$3:$A$525,$A235)&gt;0,"YES","NO"))</f>
        <v/>
      </c>
      <c r="AL235">
        <f>IF($A235="","",IF(AND($C235&amp;"-"&amp;$D235&gt;=Settings!$B$19,$C235&amp;"-"&amp;$D235&lt;=Settings!$B$20),"IN","OUT"))</f>
        <v/>
      </c>
      <c r="AM235">
        <f>IF(AND(OR($H235="BUY",$H235="SELL"),ISNUMBER($T235)),$T235,"")</f>
        <v/>
      </c>
      <c r="AN235">
        <f>IF(AND(OR($H235="BUY",$H235="SELL"),ISNUMBER($AF235)),$AF235,"")</f>
        <v/>
      </c>
      <c r="AO235">
        <f>IF(ISNUMBER($AM235),ABS(IF(ISNUMBER($G235),$G235,0)-Settings!$B$25),"")</f>
        <v/>
      </c>
      <c r="AP235">
        <f>IF(ISNUMBER($AO235),$AO235*$AM235,"")</f>
        <v/>
      </c>
      <c r="AQ235">
        <f>IF(ISNUMBER($AN235),ABS(IF(ISNUMBER($G235),$G235,0)-Settings!$B$25),"")</f>
        <v/>
      </c>
      <c r="AR235">
        <f>IF(ISNUMBER($AQ235),$AQ235*$AN235,"")</f>
        <v/>
      </c>
      <c r="AS235">
        <f>IF($A235="","",IFERROR(INDEX(Company_List!$H$3:$H$207,MATCH($A235,Company_List!$A$3:$A$207,0)),"unassigned"))</f>
        <v/>
      </c>
      <c r="AT235" t="inlineStr">
        <is>
          <t>not in v1</t>
        </is>
      </c>
      <c r="AU235" t="inlineStr">
        <is>
          <t>no earlier record</t>
        </is>
      </c>
      <c r="AV235" t="n">
        <v>1</v>
      </c>
      <c r="AW235" t="inlineStr">
        <is>
          <t>not publisher-identified</t>
        </is>
      </c>
      <c r="AX235" t="inlineStr">
        <is>
          <t>not publisher-identified</t>
        </is>
      </c>
      <c r="AY235" t="inlineStr">
        <is>
          <t>no</t>
        </is>
      </c>
      <c r="AZ235" t="inlineStr">
        <is>
          <t>no</t>
        </is>
      </c>
    </row>
    <row r="236">
      <c r="A236" s="115" t="inlineStr">
        <is>
          <t>Puma</t>
        </is>
      </c>
      <c r="B236" s="117" t="inlineStr">
        <is>
          <t>PUM.DE</t>
        </is>
      </c>
      <c r="C236" s="105" t="n">
        <v>2026</v>
      </c>
      <c r="D236" s="106" t="inlineStr">
        <is>
          <t>Q1</t>
        </is>
      </c>
      <c r="E236" s="109" t="inlineStr">
        <is>
          <t>Ben/DeepSeek</t>
        </is>
      </c>
      <c r="F236" s="106" t="inlineStr">
        <is>
          <t>LLM</t>
        </is>
      </c>
      <c r="G236" s="128" t="n">
        <v>-0.19</v>
      </c>
      <c r="H236" s="106" t="inlineStr">
        <is>
          <t>SELL</t>
        </is>
      </c>
      <c r="I236" s="128" t="n"/>
      <c r="J236" s="125" t="n">
        <v>46142</v>
      </c>
      <c r="K236" s="126" t="n">
        <v>46141</v>
      </c>
      <c r="L236" s="129" t="n">
        <v>24.68</v>
      </c>
      <c r="M236" s="126" t="n">
        <v>46142</v>
      </c>
      <c r="N236" s="129" t="n">
        <v>24.94</v>
      </c>
      <c r="O236" s="132" t="n">
        <v>0.009698</v>
      </c>
      <c r="P236" s="107" t="n">
        <v>0.010535</v>
      </c>
      <c r="Q236" s="106" t="inlineStr">
        <is>
          <t>FLAT</t>
        </is>
      </c>
      <c r="R236" s="106" t="inlineStr">
        <is>
          <t>NO</t>
        </is>
      </c>
      <c r="S236" s="105" t="n">
        <v>-1</v>
      </c>
      <c r="T236" s="107" t="n">
        <v>-0.011535</v>
      </c>
      <c r="U236" s="130" t="inlineStr">
        <is>
          <t>w=[0.55,0.45,0,0] thr=(+0.25,-0.05), deployed default (risk-accepted, PSR=0.0/perm p=0.150 at N=161, not rechecked at N=268) | report_date ambiguous (multiple candidate trading days), unreviewed - see phase2/report_dates.json</t>
        </is>
      </c>
      <c r="W236" t="inlineStr">
        <is>
          <t>earnings calendar, seconded by the issuer's habit</t>
        </is>
      </c>
      <c r="X236" t="inlineStr">
        <is>
          <t>PUM.DE</t>
        </is>
      </c>
      <c r="Y236" t="inlineStr">
        <is>
          <t>2026-04-29</t>
        </is>
      </c>
      <c r="Z236" t="n">
        <v>24.68</v>
      </c>
      <c r="AA236" t="inlineStr">
        <is>
          <t>2026-04-30</t>
        </is>
      </c>
      <c r="AB236" t="n">
        <v>24.94</v>
      </c>
      <c r="AC236" t="n">
        <v>0.01053488654781195</v>
      </c>
      <c r="AD236" t="inlineStr">
        <is>
          <t>FLAT</t>
        </is>
      </c>
      <c r="AE236" t="inlineStr">
        <is>
          <t>NO</t>
        </is>
      </c>
      <c r="AF236" t="n">
        <v>-0.011535</v>
      </c>
      <c r="AG236">
        <f>IF($A236="","",IFERROR(INDEX(Company_List!$G$3:$G$207,MATCH($A236,Company_List!$A$3:$A$207,0)),"unassigned"))</f>
        <v/>
      </c>
      <c r="AH236" t="inlineStr">
        <is>
          <t>Phase 3/Readings/Puma/Puma Q1 2026.pdf</t>
        </is>
      </c>
      <c r="AJ236" t="inlineStr">
        <is>
          <t>unique filename match</t>
        </is>
      </c>
      <c r="AK236">
        <f>IF($A236="","",IF(COUNTIFS(Human_Data_Entry!$A$3:$A$525,$A236)&gt;0,"YES","NO"))</f>
        <v/>
      </c>
      <c r="AL236">
        <f>IF($A236="","",IF(AND($C236&amp;"-"&amp;$D236&gt;=Settings!$B$19,$C236&amp;"-"&amp;$D236&lt;=Settings!$B$20),"IN","OUT"))</f>
        <v/>
      </c>
      <c r="AM236">
        <f>IF(AND(OR($H236="BUY",$H236="SELL"),ISNUMBER($T236)),$T236,"")</f>
        <v/>
      </c>
      <c r="AN236">
        <f>IF(AND(OR($H236="BUY",$H236="SELL"),ISNUMBER($AF236)),$AF236,"")</f>
        <v/>
      </c>
      <c r="AO236">
        <f>IF(ISNUMBER($AM236),ABS(IF(ISNUMBER($G236),$G236,0)-Settings!$B$25),"")</f>
        <v/>
      </c>
      <c r="AP236">
        <f>IF(ISNUMBER($AO236),$AO236*$AM236,"")</f>
        <v/>
      </c>
      <c r="AQ236">
        <f>IF(ISNUMBER($AN236),ABS(IF(ISNUMBER($G236),$G236,0)-Settings!$B$25),"")</f>
        <v/>
      </c>
      <c r="AR236">
        <f>IF(ISNUMBER($AQ236),$AQ236*$AN236,"")</f>
        <v/>
      </c>
      <c r="AS236">
        <f>IF($A236="","",IFERROR(INDEX(Company_List!$H$3:$H$207,MATCH($A236,Company_List!$A$3:$A$207,0)),"unassigned"))</f>
        <v/>
      </c>
      <c r="AT236" t="inlineStr">
        <is>
          <t>not in v1</t>
        </is>
      </c>
      <c r="AU236" t="inlineStr">
        <is>
          <t>no earlier record</t>
        </is>
      </c>
      <c r="AV236" t="n">
        <v>1</v>
      </c>
      <c r="AW236" t="inlineStr">
        <is>
          <t>not publisher-identified</t>
        </is>
      </c>
      <c r="AX236" t="inlineStr">
        <is>
          <t>not publisher-identified</t>
        </is>
      </c>
      <c r="AY236" t="inlineStr">
        <is>
          <t>no</t>
        </is>
      </c>
      <c r="AZ236" t="inlineStr">
        <is>
          <t>no</t>
        </is>
      </c>
    </row>
    <row r="237">
      <c r="A237" s="115" t="inlineStr">
        <is>
          <t>Puma</t>
        </is>
      </c>
      <c r="B237" s="117" t="inlineStr">
        <is>
          <t>PUM.DE</t>
        </is>
      </c>
      <c r="C237" s="105" t="n">
        <v>2025</v>
      </c>
      <c r="D237" s="106" t="inlineStr">
        <is>
          <t>Q3</t>
        </is>
      </c>
      <c r="E237" s="109" t="inlineStr">
        <is>
          <t>Ben/DeepSeek</t>
        </is>
      </c>
      <c r="F237" s="106" t="inlineStr">
        <is>
          <t>LLM</t>
        </is>
      </c>
      <c r="G237" s="128" t="n">
        <v>-0.3325</v>
      </c>
      <c r="H237" s="106" t="inlineStr">
        <is>
          <t>SELL</t>
        </is>
      </c>
      <c r="I237" s="128" t="n"/>
      <c r="J237" s="125" t="n">
        <v>45960</v>
      </c>
      <c r="K237" s="126" t="n">
        <v>45959</v>
      </c>
      <c r="L237" s="129" t="n">
        <v>20.6</v>
      </c>
      <c r="M237" s="126" t="n">
        <v>45960</v>
      </c>
      <c r="N237" s="129" t="n">
        <v>21.01</v>
      </c>
      <c r="O237" s="132" t="n">
        <v>0.007597</v>
      </c>
      <c r="P237" s="107" t="n">
        <v>0.019903</v>
      </c>
      <c r="Q237" s="106" t="inlineStr">
        <is>
          <t>FLAT</t>
        </is>
      </c>
      <c r="R237" s="106" t="inlineStr">
        <is>
          <t>NO</t>
        </is>
      </c>
      <c r="S237" s="105" t="n">
        <v>-1</v>
      </c>
      <c r="T237" s="107" t="n">
        <v>-0.020903</v>
      </c>
      <c r="U237" s="130" t="inlineStr">
        <is>
          <t>w=[0.55,0.45,0,0] thr=(+0.25,-0.05), deployed default (risk-accepted, PSR=0.0/perm p=0.150 at N=161, not rechecked at N=268)</t>
        </is>
      </c>
      <c r="W237" t="inlineStr">
        <is>
          <t>recorded window spanned two sessions, closed to one</t>
        </is>
      </c>
      <c r="X237" t="inlineStr">
        <is>
          <t>PUM.DE</t>
        </is>
      </c>
      <c r="Y237" t="inlineStr">
        <is>
          <t>2025-10-29</t>
        </is>
      </c>
      <c r="Z237" t="n">
        <v>20.6</v>
      </c>
      <c r="AA237" t="inlineStr">
        <is>
          <t>2025-10-30</t>
        </is>
      </c>
      <c r="AB237" t="n">
        <v>21.01</v>
      </c>
      <c r="AC237" t="n">
        <v>0.01990291262135923</v>
      </c>
      <c r="AD237" t="inlineStr">
        <is>
          <t>FLAT</t>
        </is>
      </c>
      <c r="AE237" t="inlineStr">
        <is>
          <t>NO</t>
        </is>
      </c>
      <c r="AF237" t="n">
        <v>-0.020903</v>
      </c>
      <c r="AG237">
        <f>IF($A237="","",IFERROR(INDEX(Company_List!$G$3:$G$207,MATCH($A237,Company_List!$A$3:$A$207,0)),"unassigned"))</f>
        <v/>
      </c>
      <c r="AH237" t="inlineStr">
        <is>
          <t>Phase 3/Readings/Puma/Puma q3 2025.pdf</t>
        </is>
      </c>
      <c r="AJ237" t="inlineStr">
        <is>
          <t>unique filename match</t>
        </is>
      </c>
      <c r="AK237">
        <f>IF($A237="","",IF(COUNTIFS(Human_Data_Entry!$A$3:$A$525,$A237)&gt;0,"YES","NO"))</f>
        <v/>
      </c>
      <c r="AL237">
        <f>IF($A237="","",IF(AND($C237&amp;"-"&amp;$D237&gt;=Settings!$B$19,$C237&amp;"-"&amp;$D237&lt;=Settings!$B$20),"IN","OUT"))</f>
        <v/>
      </c>
      <c r="AM237">
        <f>IF(AND(OR($H237="BUY",$H237="SELL"),ISNUMBER($T237)),$T237,"")</f>
        <v/>
      </c>
      <c r="AN237">
        <f>IF(AND(OR($H237="BUY",$H237="SELL"),ISNUMBER($AF237)),$AF237,"")</f>
        <v/>
      </c>
      <c r="AO237">
        <f>IF(ISNUMBER($AM237),ABS(IF(ISNUMBER($G237),$G237,0)-Settings!$B$25),"")</f>
        <v/>
      </c>
      <c r="AP237">
        <f>IF(ISNUMBER($AO237),$AO237*$AM237,"")</f>
        <v/>
      </c>
      <c r="AQ237">
        <f>IF(ISNUMBER($AN237),ABS(IF(ISNUMBER($G237),$G237,0)-Settings!$B$25),"")</f>
        <v/>
      </c>
      <c r="AR237">
        <f>IF(ISNUMBER($AQ237),$AQ237*$AN237,"")</f>
        <v/>
      </c>
      <c r="AS237">
        <f>IF($A237="","",IFERROR(INDEX(Company_List!$H$3:$H$207,MATCH($A237,Company_List!$A$3:$A$207,0)),"unassigned"))</f>
        <v/>
      </c>
      <c r="AT237" t="inlineStr">
        <is>
          <t>not in v1</t>
        </is>
      </c>
      <c r="AU237" t="inlineStr">
        <is>
          <t>no earlier record</t>
        </is>
      </c>
      <c r="AV237" t="n">
        <v>1</v>
      </c>
      <c r="AW237" t="inlineStr">
        <is>
          <t>not publisher-identified</t>
        </is>
      </c>
      <c r="AX237" t="inlineStr">
        <is>
          <t>not publisher-identified</t>
        </is>
      </c>
      <c r="AY237" t="inlineStr">
        <is>
          <t>no</t>
        </is>
      </c>
      <c r="AZ237" t="inlineStr">
        <is>
          <t>no</t>
        </is>
      </c>
    </row>
    <row r="238">
      <c r="A238" s="115" t="inlineStr">
        <is>
          <t>Puma</t>
        </is>
      </c>
      <c r="B238" s="117" t="inlineStr">
        <is>
          <t>PUM.DE</t>
        </is>
      </c>
      <c r="C238" s="105" t="n">
        <v>2025</v>
      </c>
      <c r="D238" s="106" t="inlineStr">
        <is>
          <t>Q4</t>
        </is>
      </c>
      <c r="E238" s="109" t="inlineStr">
        <is>
          <t>Ben/DeepSeek</t>
        </is>
      </c>
      <c r="F238" s="106" t="inlineStr">
        <is>
          <t>LLM</t>
        </is>
      </c>
      <c r="G238" s="128" t="n">
        <v>-0.32</v>
      </c>
      <c r="H238" s="106" t="inlineStr">
        <is>
          <t>SELL</t>
        </is>
      </c>
      <c r="I238" s="128" t="n"/>
      <c r="J238" s="125" t="n">
        <v>46079</v>
      </c>
      <c r="K238" s="126" t="n">
        <v>46078</v>
      </c>
      <c r="L238" s="129" t="n">
        <v>22.61</v>
      </c>
      <c r="M238" s="126" t="n">
        <v>46079</v>
      </c>
      <c r="N238" s="129" t="n">
        <v>22.61</v>
      </c>
      <c r="O238" s="132" t="n">
        <v>0.009605000000000001</v>
      </c>
      <c r="P238" s="107" t="n">
        <v>0</v>
      </c>
      <c r="Q238" s="106" t="inlineStr">
        <is>
          <t>FLAT</t>
        </is>
      </c>
      <c r="R238" s="106" t="inlineStr">
        <is>
          <t>NO</t>
        </is>
      </c>
      <c r="S238" s="105" t="n">
        <v>-1</v>
      </c>
      <c r="T238" s="107" t="n">
        <v>-0.001</v>
      </c>
      <c r="U238" s="130" t="inlineStr">
        <is>
          <t>w=[0.55,0.45,0,0] thr=(+0.25,-0.05), deployed default (risk-accepted, PSR=0.0/perm p=0.150 at N=161, not rechecked at N=268)</t>
        </is>
      </c>
      <c r="W238" t="inlineStr">
        <is>
          <t>recorded window spanned two sessions, closed to one</t>
        </is>
      </c>
      <c r="X238" t="inlineStr">
        <is>
          <t>PUM.DE</t>
        </is>
      </c>
      <c r="Y238" t="inlineStr">
        <is>
          <t>2026-02-25</t>
        </is>
      </c>
      <c r="Z238" t="n">
        <v>22.61</v>
      </c>
      <c r="AA238" t="inlineStr">
        <is>
          <t>2026-02-26</t>
        </is>
      </c>
      <c r="AB238" t="n">
        <v>22.61</v>
      </c>
      <c r="AC238" t="n">
        <v>0</v>
      </c>
      <c r="AD238" t="inlineStr">
        <is>
          <t>FLAT</t>
        </is>
      </c>
      <c r="AE238" t="inlineStr">
        <is>
          <t>NO</t>
        </is>
      </c>
      <c r="AF238" t="n">
        <v>-0.001</v>
      </c>
      <c r="AG238">
        <f>IF($A238="","",IFERROR(INDEX(Company_List!$G$3:$G$207,MATCH($A238,Company_List!$A$3:$A$207,0)),"unassigned"))</f>
        <v/>
      </c>
      <c r="AH238" t="inlineStr">
        <is>
          <t>Phase 3/Readings/Puma/puma-q4-fy-2025-transcript_website.pdf</t>
        </is>
      </c>
      <c r="AJ238" t="inlineStr">
        <is>
          <t>unique filename match</t>
        </is>
      </c>
      <c r="AK238">
        <f>IF($A238="","",IF(COUNTIFS(Human_Data_Entry!$A$3:$A$525,$A238)&gt;0,"YES","NO"))</f>
        <v/>
      </c>
      <c r="AL238">
        <f>IF($A238="","",IF(AND($C238&amp;"-"&amp;$D238&gt;=Settings!$B$19,$C238&amp;"-"&amp;$D238&lt;=Settings!$B$20),"IN","OUT"))</f>
        <v/>
      </c>
      <c r="AM238">
        <f>IF(AND(OR($H238="BUY",$H238="SELL"),ISNUMBER($T238)),$T238,"")</f>
        <v/>
      </c>
      <c r="AN238">
        <f>IF(AND(OR($H238="BUY",$H238="SELL"),ISNUMBER($AF238)),$AF238,"")</f>
        <v/>
      </c>
      <c r="AO238">
        <f>IF(ISNUMBER($AM238),ABS(IF(ISNUMBER($G238),$G238,0)-Settings!$B$25),"")</f>
        <v/>
      </c>
      <c r="AP238">
        <f>IF(ISNUMBER($AO238),$AO238*$AM238,"")</f>
        <v/>
      </c>
      <c r="AQ238">
        <f>IF(ISNUMBER($AN238),ABS(IF(ISNUMBER($G238),$G238,0)-Settings!$B$25),"")</f>
        <v/>
      </c>
      <c r="AR238">
        <f>IF(ISNUMBER($AQ238),$AQ238*$AN238,"")</f>
        <v/>
      </c>
      <c r="AS238">
        <f>IF($A238="","",IFERROR(INDEX(Company_List!$H$3:$H$207,MATCH($A238,Company_List!$A$3:$A$207,0)),"unassigned"))</f>
        <v/>
      </c>
      <c r="AT238" t="inlineStr">
        <is>
          <t>not in v1</t>
        </is>
      </c>
      <c r="AU238" t="inlineStr">
        <is>
          <t>no earlier record</t>
        </is>
      </c>
      <c r="AV238" t="n">
        <v>1</v>
      </c>
      <c r="AW238" t="inlineStr">
        <is>
          <t>not publisher-identified</t>
        </is>
      </c>
      <c r="AX238" t="inlineStr">
        <is>
          <t>not publisher-identified</t>
        </is>
      </c>
      <c r="AY238" t="inlineStr">
        <is>
          <t>no</t>
        </is>
      </c>
      <c r="AZ238" t="inlineStr">
        <is>
          <t>no</t>
        </is>
      </c>
    </row>
    <row r="239">
      <c r="A239" s="115" t="inlineStr">
        <is>
          <t>Robinhood Markets</t>
        </is>
      </c>
      <c r="B239" s="117" t="inlineStr">
        <is>
          <t>HOOD</t>
        </is>
      </c>
      <c r="C239" s="105" t="n">
        <v>2025</v>
      </c>
      <c r="D239" s="106" t="inlineStr">
        <is>
          <t>Q1</t>
        </is>
      </c>
      <c r="E239" s="109" t="inlineStr">
        <is>
          <t>Ben/DeepSeek</t>
        </is>
      </c>
      <c r="F239" s="106" t="inlineStr">
        <is>
          <t>LLM</t>
        </is>
      </c>
      <c r="G239" s="128" t="n">
        <v>0.0575</v>
      </c>
      <c r="H239" s="106" t="inlineStr">
        <is>
          <t>HOLD</t>
        </is>
      </c>
      <c r="I239" s="128" t="n"/>
      <c r="J239" s="125" t="n">
        <v>45777</v>
      </c>
      <c r="K239" s="126" t="n">
        <v>45777</v>
      </c>
      <c r="L239" s="129" t="n">
        <v>49.11</v>
      </c>
      <c r="M239" s="126" t="n">
        <v>45778</v>
      </c>
      <c r="N239" s="129" t="n">
        <v>51.12</v>
      </c>
      <c r="O239" s="132" t="n">
        <v>0.013967</v>
      </c>
      <c r="P239" s="107" t="n">
        <v>0.04103</v>
      </c>
      <c r="Q239" s="106" t="inlineStr">
        <is>
          <t>UP</t>
        </is>
      </c>
      <c r="R239" s="106" t="inlineStr">
        <is>
          <t>NO</t>
        </is>
      </c>
      <c r="S239" s="105" t="n">
        <v>0</v>
      </c>
      <c r="T239" s="107" t="n">
        <v>0</v>
      </c>
      <c r="U239" s="130" t="inlineStr">
        <is>
          <t>w=[0.55,0.45,0,0] thr=(+0.25,-0.05), deployed default (risk-accepted, PSR=0.0/perm p=0.150 at N=161, not rechecked at N=268)</t>
        </is>
      </c>
      <c r="W239" t="inlineStr">
        <is>
          <t>release time published by the issuer (section C)</t>
        </is>
      </c>
      <c r="X239" t="inlineStr">
        <is>
          <t>HOOD</t>
        </is>
      </c>
      <c r="Y239" t="inlineStr">
        <is>
          <t>2025-04-30</t>
        </is>
      </c>
      <c r="Z239" t="n">
        <v>49.11</v>
      </c>
      <c r="AA239" t="inlineStr">
        <is>
          <t>2025-05-01</t>
        </is>
      </c>
      <c r="AB239" t="n">
        <v>51.125</v>
      </c>
      <c r="AC239" t="n">
        <v>0.04103031885501306</v>
      </c>
      <c r="AD239" t="inlineStr">
        <is>
          <t>UP</t>
        </is>
      </c>
      <c r="AE239" t="inlineStr">
        <is>
          <t>NO</t>
        </is>
      </c>
      <c r="AF239" t="n">
        <v>0</v>
      </c>
      <c r="AG239">
        <f>IF($A239="","",IFERROR(INDEX(Company_List!$G$3:$G$207,MATCH($A239,Company_List!$A$3:$A$207,0)),"unassigned"))</f>
        <v/>
      </c>
      <c r="AH239" t="inlineStr">
        <is>
          <t>Phase 3/Readings/Robinhood/Robinhood Markets, Inc. Q1 2025 Earnings Transcript.pdf; Phase 3/Readings/Robinhood/Q1 2025 Robinhood Exhibit 99.1.pdf</t>
        </is>
      </c>
      <c r="AJ239" t="inlineStr">
        <is>
          <t>whole bundle (Document = All)</t>
        </is>
      </c>
      <c r="AK239">
        <f>IF($A239="","",IF(COUNTIFS(Human_Data_Entry!$A$3:$A$525,$A239)&gt;0,"YES","NO"))</f>
        <v/>
      </c>
      <c r="AL239">
        <f>IF($A239="","",IF(AND($C239&amp;"-"&amp;$D239&gt;=Settings!$B$19,$C239&amp;"-"&amp;$D239&lt;=Settings!$B$20),"IN","OUT"))</f>
        <v/>
      </c>
      <c r="AM239">
        <f>IF(AND(OR($H239="BUY",$H239="SELL"),ISNUMBER($T239)),$T239,"")</f>
        <v/>
      </c>
      <c r="AN239">
        <f>IF(AND(OR($H239="BUY",$H239="SELL"),ISNUMBER($AF239)),$AF239,"")</f>
        <v/>
      </c>
      <c r="AO239">
        <f>IF(ISNUMBER($AM239),ABS(IF(ISNUMBER($G239),$G239,0)-Settings!$B$25),"")</f>
        <v/>
      </c>
      <c r="AP239">
        <f>IF(ISNUMBER($AO239),$AO239*$AM239,"")</f>
        <v/>
      </c>
      <c r="AQ239">
        <f>IF(ISNUMBER($AN239),ABS(IF(ISNUMBER($G239),$G239,0)-Settings!$B$25),"")</f>
        <v/>
      </c>
      <c r="AR239">
        <f>IF(ISNUMBER($AQ239),$AQ239*$AN239,"")</f>
        <v/>
      </c>
      <c r="AS239">
        <f>IF($A239="","",IFERROR(INDEX(Company_List!$H$3:$H$207,MATCH($A239,Company_List!$A$3:$A$207,0)),"unassigned"))</f>
        <v/>
      </c>
      <c r="AT239" t="inlineStr">
        <is>
          <t>not in v1</t>
        </is>
      </c>
      <c r="AU239" t="inlineStr">
        <is>
          <t>no earlier record</t>
        </is>
      </c>
      <c r="AV239" t="n">
        <v>2</v>
      </c>
      <c r="AW239" t="inlineStr">
        <is>
          <t>not publisher-identified</t>
        </is>
      </c>
      <c r="AX239" t="inlineStr">
        <is>
          <t>not publisher-identified</t>
        </is>
      </c>
      <c r="AY239" t="inlineStr">
        <is>
          <t>no</t>
        </is>
      </c>
      <c r="AZ239" t="inlineStr">
        <is>
          <t>no</t>
        </is>
      </c>
    </row>
    <row r="240">
      <c r="A240" s="115" t="inlineStr">
        <is>
          <t>Robinhood Markets</t>
        </is>
      </c>
      <c r="B240" s="117" t="inlineStr">
        <is>
          <t>HOOD</t>
        </is>
      </c>
      <c r="C240" s="105" t="n">
        <v>2026</v>
      </c>
      <c r="D240" s="106" t="inlineStr">
        <is>
          <t>Q1</t>
        </is>
      </c>
      <c r="E240" s="109" t="inlineStr">
        <is>
          <t>Ben/DeepSeek</t>
        </is>
      </c>
      <c r="F240" s="106" t="inlineStr">
        <is>
          <t>LLM</t>
        </is>
      </c>
      <c r="G240" s="128" t="n">
        <v>0.0025</v>
      </c>
      <c r="H240" s="106" t="inlineStr">
        <is>
          <t>HOLD</t>
        </is>
      </c>
      <c r="I240" s="128" t="n"/>
      <c r="J240" s="125" t="n">
        <v>46140</v>
      </c>
      <c r="K240" s="126" t="n">
        <v>46140</v>
      </c>
      <c r="L240" s="129" t="n">
        <v>82.06999999999999</v>
      </c>
      <c r="M240" s="126" t="n">
        <v>46141</v>
      </c>
      <c r="N240" s="129" t="n">
        <v>72.3</v>
      </c>
      <c r="O240" s="132" t="n">
        <v>0.0069</v>
      </c>
      <c r="P240" s="107" t="n">
        <v>-0.119045</v>
      </c>
      <c r="Q240" s="106" t="inlineStr">
        <is>
          <t>DOWN</t>
        </is>
      </c>
      <c r="R240" s="106" t="inlineStr">
        <is>
          <t>NO</t>
        </is>
      </c>
      <c r="S240" s="105" t="n">
        <v>0</v>
      </c>
      <c r="T240" s="107" t="n">
        <v>0</v>
      </c>
      <c r="U240" s="130" t="inlineStr">
        <is>
          <t>w=[0.55,0.45,0,0] thr=(+0.25,-0.05), deployed default (risk-accepted, PSR=0.0/perm p=0.150 at N=161, not rechecked at N=268)</t>
        </is>
      </c>
      <c r="W240" t="inlineStr">
        <is>
          <t>price signal — both moved; this one dominates</t>
        </is>
      </c>
      <c r="X240" t="inlineStr">
        <is>
          <t>HOOD</t>
        </is>
      </c>
      <c r="Y240" t="inlineStr">
        <is>
          <t>2026-04-28</t>
        </is>
      </c>
      <c r="Z240" t="n">
        <v>82.06999999999999</v>
      </c>
      <c r="AA240" t="inlineStr">
        <is>
          <t>2026-04-29</t>
        </is>
      </c>
      <c r="AB240" t="n">
        <v>72.3</v>
      </c>
      <c r="AC240" t="n">
        <v>-0.1190446813695624</v>
      </c>
      <c r="AD240" t="inlineStr">
        <is>
          <t>DOWN</t>
        </is>
      </c>
      <c r="AE240" t="inlineStr">
        <is>
          <t>NO</t>
        </is>
      </c>
      <c r="AF240" t="n">
        <v>0</v>
      </c>
      <c r="AG240">
        <f>IF($A240="","",IFERROR(INDEX(Company_List!$G$3:$G$207,MATCH($A240,Company_List!$A$3:$A$207,0)),"unassigned"))</f>
        <v/>
      </c>
      <c r="AH240" t="inlineStr">
        <is>
          <t>Phase 3/Readings/Robinhood/Robinhood Markets, Inc. Q1 2026 Earnings Call Transcript.pdf; Phase 3/Readings/Robinhood/Q1 2026 Earnings Presentation.pdf</t>
        </is>
      </c>
      <c r="AJ240" t="inlineStr">
        <is>
          <t>whole bundle (Document = All)</t>
        </is>
      </c>
      <c r="AK240">
        <f>IF($A240="","",IF(COUNTIFS(Human_Data_Entry!$A$3:$A$525,$A240)&gt;0,"YES","NO"))</f>
        <v/>
      </c>
      <c r="AL240">
        <f>IF($A240="","",IF(AND($C240&amp;"-"&amp;$D240&gt;=Settings!$B$19,$C240&amp;"-"&amp;$D240&lt;=Settings!$B$20),"IN","OUT"))</f>
        <v/>
      </c>
      <c r="AM240">
        <f>IF(AND(OR($H240="BUY",$H240="SELL"),ISNUMBER($T240)),$T240,"")</f>
        <v/>
      </c>
      <c r="AN240">
        <f>IF(AND(OR($H240="BUY",$H240="SELL"),ISNUMBER($AF240)),$AF240,"")</f>
        <v/>
      </c>
      <c r="AO240">
        <f>IF(ISNUMBER($AM240),ABS(IF(ISNUMBER($G240),$G240,0)-Settings!$B$25),"")</f>
        <v/>
      </c>
      <c r="AP240">
        <f>IF(ISNUMBER($AO240),$AO240*$AM240,"")</f>
        <v/>
      </c>
      <c r="AQ240">
        <f>IF(ISNUMBER($AN240),ABS(IF(ISNUMBER($G240),$G240,0)-Settings!$B$25),"")</f>
        <v/>
      </c>
      <c r="AR240">
        <f>IF(ISNUMBER($AQ240),$AQ240*$AN240,"")</f>
        <v/>
      </c>
      <c r="AS240">
        <f>IF($A240="","",IFERROR(INDEX(Company_List!$H$3:$H$207,MATCH($A240,Company_List!$A$3:$A$207,0)),"unassigned"))</f>
        <v/>
      </c>
      <c r="AT240" t="inlineStr">
        <is>
          <t>not in v1</t>
        </is>
      </c>
      <c r="AU240" t="inlineStr">
        <is>
          <t>no earlier record</t>
        </is>
      </c>
      <c r="AV240" t="n">
        <v>2</v>
      </c>
      <c r="AW240" t="inlineStr">
        <is>
          <t>not publisher-identified</t>
        </is>
      </c>
      <c r="AX240" t="inlineStr">
        <is>
          <t>not publisher-identified</t>
        </is>
      </c>
      <c r="AY240" t="inlineStr">
        <is>
          <t>no</t>
        </is>
      </c>
      <c r="AZ240" t="inlineStr">
        <is>
          <t>no</t>
        </is>
      </c>
    </row>
    <row r="241">
      <c r="A241" s="115" t="inlineStr">
        <is>
          <t>Robinhood Markets</t>
        </is>
      </c>
      <c r="B241" s="117" t="inlineStr">
        <is>
          <t>HOOD</t>
        </is>
      </c>
      <c r="C241" s="105" t="n">
        <v>2025</v>
      </c>
      <c r="D241" s="106" t="inlineStr">
        <is>
          <t>Q2</t>
        </is>
      </c>
      <c r="E241" s="109" t="inlineStr">
        <is>
          <t>Ben/DeepSeek</t>
        </is>
      </c>
      <c r="F241" s="106" t="inlineStr">
        <is>
          <t>LLM</t>
        </is>
      </c>
      <c r="G241" s="128" t="n">
        <v>0.21</v>
      </c>
      <c r="H241" s="106" t="inlineStr">
        <is>
          <t>HOLD</t>
        </is>
      </c>
      <c r="I241" s="128" t="n"/>
      <c r="J241" s="125" t="n">
        <v>45868</v>
      </c>
      <c r="K241" s="126" t="n">
        <v>45868</v>
      </c>
      <c r="L241" s="129" t="n">
        <v>106.1</v>
      </c>
      <c r="M241" s="126" t="n">
        <v>45869</v>
      </c>
      <c r="N241" s="129" t="n">
        <v>103.87</v>
      </c>
      <c r="O241" s="132" t="n">
        <v>0.014585</v>
      </c>
      <c r="P241" s="107" t="n">
        <v>-0.021065</v>
      </c>
      <c r="Q241" s="106" t="inlineStr">
        <is>
          <t>DOWN</t>
        </is>
      </c>
      <c r="R241" s="106" t="inlineStr">
        <is>
          <t>NO</t>
        </is>
      </c>
      <c r="S241" s="105" t="n">
        <v>0</v>
      </c>
      <c r="T241" s="107" t="n">
        <v>0</v>
      </c>
      <c r="U241" s="130" t="inlineStr">
        <is>
          <t>w=[0.55,0.45,0,0] thr=(+0.25,-0.05), deployed default (risk-accepted, PSR=0.0/perm p=0.150 at N=161, not rechecked at N=268)</t>
        </is>
      </c>
      <c r="W241" t="inlineStr">
        <is>
          <t>price signal — only this window shows an abnormal move</t>
        </is>
      </c>
      <c r="X241" t="inlineStr">
        <is>
          <t>HOOD</t>
        </is>
      </c>
      <c r="Y241" t="inlineStr">
        <is>
          <t>2025-07-30</t>
        </is>
      </c>
      <c r="Z241" t="n">
        <v>106.1</v>
      </c>
      <c r="AA241" t="inlineStr">
        <is>
          <t>2025-07-31</t>
        </is>
      </c>
      <c r="AB241" t="n">
        <v>103.865</v>
      </c>
      <c r="AC241" t="n">
        <v>-0.02106503338482626</v>
      </c>
      <c r="AD241" t="inlineStr">
        <is>
          <t>DOWN</t>
        </is>
      </c>
      <c r="AE241" t="inlineStr">
        <is>
          <t>NO</t>
        </is>
      </c>
      <c r="AF241" t="n">
        <v>0</v>
      </c>
      <c r="AG241">
        <f>IF($A241="","",IFERROR(INDEX(Company_List!$G$3:$G$207,MATCH($A241,Company_List!$A$3:$A$207,0)),"unassigned"))</f>
        <v/>
      </c>
      <c r="AH241" t="inlineStr">
        <is>
          <t>Phase 3/Readings/Robinhood/Robinhood Markets, Inc. Q2 2025 Earnings Call Transcript.pdf</t>
        </is>
      </c>
      <c r="AJ241" t="inlineStr">
        <is>
          <t>unique filename match</t>
        </is>
      </c>
      <c r="AK241">
        <f>IF($A241="","",IF(COUNTIFS(Human_Data_Entry!$A$3:$A$525,$A241)&gt;0,"YES","NO"))</f>
        <v/>
      </c>
      <c r="AL241">
        <f>IF($A241="","",IF(AND($C241&amp;"-"&amp;$D241&gt;=Settings!$B$19,$C241&amp;"-"&amp;$D241&lt;=Settings!$B$20),"IN","OUT"))</f>
        <v/>
      </c>
      <c r="AM241">
        <f>IF(AND(OR($H241="BUY",$H241="SELL"),ISNUMBER($T241)),$T241,"")</f>
        <v/>
      </c>
      <c r="AN241">
        <f>IF(AND(OR($H241="BUY",$H241="SELL"),ISNUMBER($AF241)),$AF241,"")</f>
        <v/>
      </c>
      <c r="AO241">
        <f>IF(ISNUMBER($AM241),ABS(IF(ISNUMBER($G241),$G241,0)-Settings!$B$25),"")</f>
        <v/>
      </c>
      <c r="AP241">
        <f>IF(ISNUMBER($AO241),$AO241*$AM241,"")</f>
        <v/>
      </c>
      <c r="AQ241">
        <f>IF(ISNUMBER($AN241),ABS(IF(ISNUMBER($G241),$G241,0)-Settings!$B$25),"")</f>
        <v/>
      </c>
      <c r="AR241">
        <f>IF(ISNUMBER($AQ241),$AQ241*$AN241,"")</f>
        <v/>
      </c>
      <c r="AS241">
        <f>IF($A241="","",IFERROR(INDEX(Company_List!$H$3:$H$207,MATCH($A241,Company_List!$A$3:$A$207,0)),"unassigned"))</f>
        <v/>
      </c>
      <c r="AT241" t="inlineStr">
        <is>
          <t>not in v1</t>
        </is>
      </c>
      <c r="AU241" t="inlineStr">
        <is>
          <t>no earlier record</t>
        </is>
      </c>
      <c r="AV241" t="n">
        <v>1</v>
      </c>
      <c r="AW241" t="inlineStr">
        <is>
          <t>not publisher-identified</t>
        </is>
      </c>
      <c r="AX241" t="inlineStr">
        <is>
          <t>not publisher-identified</t>
        </is>
      </c>
      <c r="AY241" t="inlineStr">
        <is>
          <t>no</t>
        </is>
      </c>
      <c r="AZ241" t="inlineStr">
        <is>
          <t>no</t>
        </is>
      </c>
    </row>
    <row r="242">
      <c r="A242" s="115" t="inlineStr">
        <is>
          <t>Robinhood Markets</t>
        </is>
      </c>
      <c r="B242" s="117" t="inlineStr">
        <is>
          <t>HOOD</t>
        </is>
      </c>
      <c r="C242" s="105" t="n">
        <v>2025</v>
      </c>
      <c r="D242" s="106" t="inlineStr">
        <is>
          <t>Q3</t>
        </is>
      </c>
      <c r="E242" s="109" t="inlineStr">
        <is>
          <t>Ben/DeepSeek</t>
        </is>
      </c>
      <c r="F242" s="106" t="inlineStr">
        <is>
          <t>LLM</t>
        </is>
      </c>
      <c r="G242" s="128" t="n">
        <v>0.4375</v>
      </c>
      <c r="H242" s="106" t="inlineStr">
        <is>
          <t>BUY</t>
        </is>
      </c>
      <c r="I242" s="128" t="n"/>
      <c r="J242" s="125" t="n">
        <v>45966</v>
      </c>
      <c r="K242" s="126" t="n">
        <v>45966</v>
      </c>
      <c r="L242" s="129" t="n">
        <v>142.48</v>
      </c>
      <c r="M242" s="126" t="n">
        <v>45967</v>
      </c>
      <c r="N242" s="129" t="n">
        <v>140</v>
      </c>
      <c r="O242" s="132" t="n">
        <v>0.015666</v>
      </c>
      <c r="P242" s="107" t="n">
        <v>-0.017406</v>
      </c>
      <c r="Q242" s="106" t="inlineStr">
        <is>
          <t>FLAT</t>
        </is>
      </c>
      <c r="R242" s="106" t="inlineStr">
        <is>
          <t>NO</t>
        </is>
      </c>
      <c r="S242" s="105" t="n">
        <v>1</v>
      </c>
      <c r="T242" s="107" t="n">
        <v>-0.018406</v>
      </c>
      <c r="U242" s="130" t="inlineStr">
        <is>
          <t>w=[0.55,0.45,0,0] thr=(+0.25,-0.05), deployed default (risk-accepted, PSR=0.0/perm p=0.150 at N=161, not rechecked at N=268)</t>
        </is>
      </c>
      <c r="W242" t="inlineStr">
        <is>
          <t>price signal</t>
        </is>
      </c>
      <c r="X242" t="inlineStr">
        <is>
          <t>HOOD</t>
        </is>
      </c>
      <c r="Y242" t="inlineStr">
        <is>
          <t>2025-11-04</t>
        </is>
      </c>
      <c r="Z242" t="n">
        <v>136.8</v>
      </c>
      <c r="AA242" t="inlineStr">
        <is>
          <t>2025-11-05</t>
        </is>
      </c>
      <c r="AB242" t="n">
        <v>139.635</v>
      </c>
      <c r="AC242" t="n">
        <v>0.02072362527652868</v>
      </c>
      <c r="AD242" t="inlineStr">
        <is>
          <t>UP</t>
        </is>
      </c>
      <c r="AE242" t="inlineStr">
        <is>
          <t>YES</t>
        </is>
      </c>
      <c r="AF242" t="n">
        <v>0.019724</v>
      </c>
      <c r="AG242">
        <f>IF($A242="","",IFERROR(INDEX(Company_List!$G$3:$G$207,MATCH($A242,Company_List!$A$3:$A$207,0)),"unassigned"))</f>
        <v/>
      </c>
      <c r="AH242" t="inlineStr">
        <is>
          <t>Phase 3/Readings/Robinhood/Robinhood Markets, Inc. Q3 2025 Earnings Call Transcript.pdf</t>
        </is>
      </c>
      <c r="AJ242" t="inlineStr">
        <is>
          <t>unique filename match</t>
        </is>
      </c>
      <c r="AK242">
        <f>IF($A242="","",IF(COUNTIFS(Human_Data_Entry!$A$3:$A$525,$A242)&gt;0,"YES","NO"))</f>
        <v/>
      </c>
      <c r="AL242">
        <f>IF($A242="","",IF(AND($C242&amp;"-"&amp;$D242&gt;=Settings!$B$19,$C242&amp;"-"&amp;$D242&lt;=Settings!$B$20),"IN","OUT"))</f>
        <v/>
      </c>
      <c r="AM242">
        <f>IF(AND(OR($H242="BUY",$H242="SELL"),ISNUMBER($T242)),$T242,"")</f>
        <v/>
      </c>
      <c r="AN242">
        <f>IF(AND(OR($H242="BUY",$H242="SELL"),ISNUMBER($AF242)),$AF242,"")</f>
        <v/>
      </c>
      <c r="AO242">
        <f>IF(ISNUMBER($AM242),ABS(IF(ISNUMBER($G242),$G242,0)-Settings!$B$25),"")</f>
        <v/>
      </c>
      <c r="AP242">
        <f>IF(ISNUMBER($AO242),$AO242*$AM242,"")</f>
        <v/>
      </c>
      <c r="AQ242">
        <f>IF(ISNUMBER($AN242),ABS(IF(ISNUMBER($G242),$G242,0)-Settings!$B$25),"")</f>
        <v/>
      </c>
      <c r="AR242">
        <f>IF(ISNUMBER($AQ242),$AQ242*$AN242,"")</f>
        <v/>
      </c>
      <c r="AS242">
        <f>IF($A242="","",IFERROR(INDEX(Company_List!$H$3:$H$207,MATCH($A242,Company_List!$A$3:$A$207,0)),"unassigned"))</f>
        <v/>
      </c>
      <c r="AT242" t="inlineStr">
        <is>
          <t>not in v1</t>
        </is>
      </c>
      <c r="AU242" t="inlineStr">
        <is>
          <t>no earlier record</t>
        </is>
      </c>
      <c r="AV242" t="n">
        <v>1</v>
      </c>
      <c r="AW242" t="inlineStr">
        <is>
          <t>not publisher-identified</t>
        </is>
      </c>
      <c r="AX242" t="inlineStr">
        <is>
          <t>not publisher-identified</t>
        </is>
      </c>
      <c r="AY242" t="inlineStr">
        <is>
          <t>no</t>
        </is>
      </c>
      <c r="AZ242" t="inlineStr">
        <is>
          <t>no</t>
        </is>
      </c>
    </row>
    <row r="243">
      <c r="A243" s="115" t="inlineStr">
        <is>
          <t>Salesforce</t>
        </is>
      </c>
      <c r="B243" s="117" t="inlineStr">
        <is>
          <t>CRM</t>
        </is>
      </c>
      <c r="C243" s="105" t="n">
        <v>2026</v>
      </c>
      <c r="D243" s="106" t="inlineStr">
        <is>
          <t>Q2</t>
        </is>
      </c>
      <c r="E243" s="109" t="inlineStr">
        <is>
          <t>Ben/DeepSeek</t>
        </is>
      </c>
      <c r="F243" s="106" t="inlineStr">
        <is>
          <t>LLM</t>
        </is>
      </c>
      <c r="G243" s="128" t="n">
        <v>0.3025</v>
      </c>
      <c r="H243" s="106" t="inlineStr">
        <is>
          <t>BUY</t>
        </is>
      </c>
      <c r="I243" s="128" t="n"/>
      <c r="J243" s="125" t="n">
        <v>45903</v>
      </c>
      <c r="K243" s="126" t="n">
        <v>45903</v>
      </c>
      <c r="L243" s="129" t="n">
        <v>256.45</v>
      </c>
      <c r="M243" s="126" t="n">
        <v>45904</v>
      </c>
      <c r="N243" s="129" t="n">
        <v>240.06</v>
      </c>
      <c r="O243" s="132" t="n">
        <v>0.011748</v>
      </c>
      <c r="P243" s="107" t="n">
        <v>-0.063911</v>
      </c>
      <c r="Q243" s="106" t="inlineStr">
        <is>
          <t>DOWN</t>
        </is>
      </c>
      <c r="R243" s="106" t="inlineStr">
        <is>
          <t>NO</t>
        </is>
      </c>
      <c r="S243" s="105" t="n">
        <v>1</v>
      </c>
      <c r="T243" s="107" t="n">
        <v>-0.064911</v>
      </c>
      <c r="U243" s="130" t="inlineStr">
        <is>
          <t>w=[0.55,0.45,0,0] thr=(+0.25,-0.05), deployed default (risk-accepted, PSR=0.0/perm p=0.150 at N=161, not rechecked at N=268)</t>
        </is>
      </c>
      <c r="W243" t="inlineStr">
        <is>
          <t>release date + stated time in the document (rater worksheet)</t>
        </is>
      </c>
      <c r="X243" t="inlineStr">
        <is>
          <t>CRM</t>
        </is>
      </c>
      <c r="Y243" t="inlineStr">
        <is>
          <t>2025-09-03</t>
        </is>
      </c>
      <c r="Z243" t="n">
        <v>254.2977</v>
      </c>
      <c r="AA243" t="inlineStr">
        <is>
          <t>2025-09-04</t>
        </is>
      </c>
      <c r="AB243" t="n">
        <v>238.0452</v>
      </c>
      <c r="AC243" t="n">
        <v>-0.06391111172369553</v>
      </c>
      <c r="AD243" t="inlineStr">
        <is>
          <t>DOWN</t>
        </is>
      </c>
      <c r="AE243" t="inlineStr">
        <is>
          <t>NO</t>
        </is>
      </c>
      <c r="AF243" t="n">
        <v>-0.064911</v>
      </c>
      <c r="AG243">
        <f>IF($A243="","",IFERROR(INDEX(Company_List!$G$3:$G$207,MATCH($A243,Company_List!$A$3:$A$207,0)),"unassigned"))</f>
        <v/>
      </c>
      <c r="AH243" t="inlineStr">
        <is>
          <t>Phase 2/SalesForce/2026-Q2/CRM-2026-Q2-quarterly-financial-statements-SEC-10-Q.htm; Phase 2/SalesForce/2026-Q2/CRM-2026-Q2-press-release-SEC-EX-99-1.htm</t>
        </is>
      </c>
      <c r="AI243" t="inlineStr">
        <is>
          <t>https://www.sec.gov/Archives/edgar/data/1108524/000110852425000083/crm-q2fy26xexhibit991.htm; https://www.sec.gov/Archives/edgar/data/1108524/000110852425000088/crm-20250731.htm</t>
        </is>
      </c>
      <c r="AJ243" t="inlineStr">
        <is>
          <t>manifest (whole bundle)</t>
        </is>
      </c>
      <c r="AK243">
        <f>IF($A243="","",IF(COUNTIFS(Human_Data_Entry!$A$3:$A$525,$A243)&gt;0,"YES","NO"))</f>
        <v/>
      </c>
      <c r="AL243">
        <f>IF($A243="","",IF(AND($C243&amp;"-"&amp;$D243&gt;=Settings!$B$19,$C243&amp;"-"&amp;$D243&lt;=Settings!$B$20),"IN","OUT"))</f>
        <v/>
      </c>
      <c r="AM243">
        <f>IF(AND(OR($H243="BUY",$H243="SELL"),ISNUMBER($T243)),$T243,"")</f>
        <v/>
      </c>
      <c r="AN243">
        <f>IF(AND(OR($H243="BUY",$H243="SELL"),ISNUMBER($AF243)),$AF243,"")</f>
        <v/>
      </c>
      <c r="AO243">
        <f>IF(ISNUMBER($AM243),ABS(IF(ISNUMBER($G243),$G243,0)-Settings!$B$25),"")</f>
        <v/>
      </c>
      <c r="AP243">
        <f>IF(ISNUMBER($AO243),$AO243*$AM243,"")</f>
        <v/>
      </c>
      <c r="AQ243">
        <f>IF(ISNUMBER($AN243),ABS(IF(ISNUMBER($G243),$G243,0)-Settings!$B$25),"")</f>
        <v/>
      </c>
      <c r="AR243">
        <f>IF(ISNUMBER($AQ243),$AQ243*$AN243,"")</f>
        <v/>
      </c>
      <c r="AS243">
        <f>IF($A243="","",IFERROR(INDEX(Company_List!$H$3:$H$207,MATCH($A243,Company_List!$A$3:$A$207,0)),"unassigned"))</f>
        <v/>
      </c>
      <c r="AT243" t="inlineStr">
        <is>
          <t>not in v1</t>
        </is>
      </c>
      <c r="AU243" t="inlineStr">
        <is>
          <t>no earlier record</t>
        </is>
      </c>
      <c r="AV243" t="n">
        <v>2</v>
      </c>
      <c r="AW243" t="inlineStr">
        <is>
          <t>not publisher-identified</t>
        </is>
      </c>
      <c r="AX243" t="inlineStr">
        <is>
          <t>not publisher-identified</t>
        </is>
      </c>
      <c r="AY243" t="inlineStr">
        <is>
          <t>one of several</t>
        </is>
      </c>
      <c r="AZ243" t="inlineStr">
        <is>
          <t>yes</t>
        </is>
      </c>
    </row>
    <row r="244">
      <c r="A244" s="115" t="inlineStr">
        <is>
          <t>Salesforce</t>
        </is>
      </c>
      <c r="B244" s="117" t="inlineStr">
        <is>
          <t>CRM</t>
        </is>
      </c>
      <c r="C244" s="105" t="n">
        <v>2026</v>
      </c>
      <c r="D244" s="106" t="inlineStr">
        <is>
          <t>Q3</t>
        </is>
      </c>
      <c r="E244" s="109" t="inlineStr">
        <is>
          <t>Ben/DeepSeek</t>
        </is>
      </c>
      <c r="F244" s="106" t="inlineStr">
        <is>
          <t>LLM</t>
        </is>
      </c>
      <c r="G244" s="128" t="n">
        <v>0.3475</v>
      </c>
      <c r="H244" s="106" t="inlineStr">
        <is>
          <t>BUY</t>
        </is>
      </c>
      <c r="I244" s="128" t="n"/>
      <c r="J244" s="125" t="n">
        <v>45994</v>
      </c>
      <c r="K244" s="126" t="n">
        <v>45994</v>
      </c>
      <c r="L244" s="129" t="n">
        <v>238.72</v>
      </c>
      <c r="M244" s="126" t="n">
        <v>45995</v>
      </c>
      <c r="N244" s="129" t="n">
        <v>243.69</v>
      </c>
      <c r="O244" s="132" t="n">
        <v>0.011457</v>
      </c>
      <c r="P244" s="107" t="n">
        <v>0.020819</v>
      </c>
      <c r="Q244" s="106" t="inlineStr">
        <is>
          <t>UP</t>
        </is>
      </c>
      <c r="R244" s="106" t="inlineStr">
        <is>
          <t>YES</t>
        </is>
      </c>
      <c r="S244" s="105" t="n">
        <v>1</v>
      </c>
      <c r="T244" s="107" t="n">
        <v>0.019819</v>
      </c>
      <c r="U244" s="130" t="inlineStr">
        <is>
          <t>w=[0.55,0.45,0,0] thr=(+0.25,-0.05), deployed default (risk-accepted, PSR=0.0/perm p=0.150 at N=161, not rechecked at N=268)</t>
        </is>
      </c>
      <c r="W244" t="inlineStr">
        <is>
          <t>release date + stated time in the document (rater worksheet)</t>
        </is>
      </c>
      <c r="X244" t="inlineStr">
        <is>
          <t>CRM</t>
        </is>
      </c>
      <c r="Y244" t="inlineStr">
        <is>
          <t>2025-12-03</t>
        </is>
      </c>
      <c r="Z244" t="n">
        <v>237.1287</v>
      </c>
      <c r="AA244" t="inlineStr">
        <is>
          <t>2025-12-04</t>
        </is>
      </c>
      <c r="AB244" t="n">
        <v>242.0656</v>
      </c>
      <c r="AC244" t="n">
        <v>0.02081931966125198</v>
      </c>
      <c r="AD244" t="inlineStr">
        <is>
          <t>UP</t>
        </is>
      </c>
      <c r="AE244" t="inlineStr">
        <is>
          <t>YES</t>
        </is>
      </c>
      <c r="AF244" t="n">
        <v>0.019819</v>
      </c>
      <c r="AG244">
        <f>IF($A244="","",IFERROR(INDEX(Company_List!$G$3:$G$207,MATCH($A244,Company_List!$A$3:$A$207,0)),"unassigned"))</f>
        <v/>
      </c>
      <c r="AH244" t="inlineStr">
        <is>
          <t>Phase 2/SalesForce/2026-Q3/CRM-2026-Q3-earnings-call-transcript-salesforce-q4cdn.pdf</t>
        </is>
      </c>
      <c r="AI244" t="inlineStr">
        <is>
          <t>https://s205.q4cdn.com/626266368/files/doc_financials/2026/q3/Transcript-Salesforce-Inc-Q3-FY26-Earnings-Conference-Call-12-3-25.pdf</t>
        </is>
      </c>
      <c r="AJ244" t="inlineStr">
        <is>
          <t>manifest</t>
        </is>
      </c>
      <c r="AK244">
        <f>IF($A244="","",IF(COUNTIFS(Human_Data_Entry!$A$3:$A$525,$A244)&gt;0,"YES","NO"))</f>
        <v/>
      </c>
      <c r="AL244">
        <f>IF($A244="","",IF(AND($C244&amp;"-"&amp;$D244&gt;=Settings!$B$19,$C244&amp;"-"&amp;$D244&lt;=Settings!$B$20),"IN","OUT"))</f>
        <v/>
      </c>
      <c r="AM244">
        <f>IF(AND(OR($H244="BUY",$H244="SELL"),ISNUMBER($T244)),$T244,"")</f>
        <v/>
      </c>
      <c r="AN244">
        <f>IF(AND(OR($H244="BUY",$H244="SELL"),ISNUMBER($AF244)),$AF244,"")</f>
        <v/>
      </c>
      <c r="AO244">
        <f>IF(ISNUMBER($AM244),ABS(IF(ISNUMBER($G244),$G244,0)-Settings!$B$25),"")</f>
        <v/>
      </c>
      <c r="AP244">
        <f>IF(ISNUMBER($AO244),$AO244*$AM244,"")</f>
        <v/>
      </c>
      <c r="AQ244">
        <f>IF(ISNUMBER($AN244),ABS(IF(ISNUMBER($G244),$G244,0)-Settings!$B$25),"")</f>
        <v/>
      </c>
      <c r="AR244">
        <f>IF(ISNUMBER($AQ244),$AQ244*$AN244,"")</f>
        <v/>
      </c>
      <c r="AS244">
        <f>IF($A244="","",IFERROR(INDEX(Company_List!$H$3:$H$207,MATCH($A244,Company_List!$A$3:$A$207,0)),"unassigned"))</f>
        <v/>
      </c>
      <c r="AT244" t="inlineStr">
        <is>
          <t>not in v1</t>
        </is>
      </c>
      <c r="AU244" t="inlineStr">
        <is>
          <t>no earlier record</t>
        </is>
      </c>
      <c r="AV244" t="n">
        <v>1</v>
      </c>
      <c r="AW244" t="inlineStr">
        <is>
          <t>not publisher-identified</t>
        </is>
      </c>
      <c r="AX244" t="inlineStr">
        <is>
          <t>not publisher-identified</t>
        </is>
      </c>
      <c r="AY244" t="inlineStr">
        <is>
          <t>no</t>
        </is>
      </c>
      <c r="AZ244" t="inlineStr">
        <is>
          <t>yes</t>
        </is>
      </c>
    </row>
    <row r="245">
      <c r="A245" s="115" t="inlineStr">
        <is>
          <t>Salesforce</t>
        </is>
      </c>
      <c r="B245" s="117" t="inlineStr">
        <is>
          <t>CRM</t>
        </is>
      </c>
      <c r="C245" s="105" t="n">
        <v>2026</v>
      </c>
      <c r="D245" s="106" t="inlineStr">
        <is>
          <t>Q4</t>
        </is>
      </c>
      <c r="E245" s="109" t="inlineStr">
        <is>
          <t>Ben/DeepSeek</t>
        </is>
      </c>
      <c r="F245" s="106" t="inlineStr">
        <is>
          <t>LLM</t>
        </is>
      </c>
      <c r="G245" s="128" t="n">
        <v>0.1475</v>
      </c>
      <c r="H245" s="106" t="inlineStr">
        <is>
          <t>HOLD</t>
        </is>
      </c>
      <c r="I245" s="128" t="n"/>
      <c r="J245" s="125" t="n">
        <v>46078</v>
      </c>
      <c r="K245" s="126" t="n">
        <v>46078</v>
      </c>
      <c r="L245" s="129" t="n">
        <v>191.75</v>
      </c>
      <c r="M245" s="126" t="n">
        <v>46079</v>
      </c>
      <c r="N245" s="129" t="n">
        <v>196.76</v>
      </c>
      <c r="O245" s="132" t="n">
        <v>0.012282</v>
      </c>
      <c r="P245" s="107" t="n">
        <v>0.026128</v>
      </c>
      <c r="Q245" s="106" t="inlineStr">
        <is>
          <t>UP</t>
        </is>
      </c>
      <c r="R245" s="106" t="inlineStr">
        <is>
          <t>NO</t>
        </is>
      </c>
      <c r="S245" s="105" t="n">
        <v>0</v>
      </c>
      <c r="T245" s="107" t="n">
        <v>0</v>
      </c>
      <c r="U245" s="130" t="inlineStr">
        <is>
          <t>w=[0.55,0.45,0,0] thr=(+0.25,-0.05), deployed default (risk-accepted, PSR=0.0/perm p=0.150 at N=161, not rechecked at N=268)</t>
        </is>
      </c>
      <c r="W245" t="inlineStr">
        <is>
          <t>release date + stated time in the document (rater worksheet)</t>
        </is>
      </c>
      <c r="X245" t="inlineStr">
        <is>
          <t>CRM</t>
        </is>
      </c>
      <c r="Y245" t="inlineStr">
        <is>
          <t>2026-02-25</t>
        </is>
      </c>
      <c r="Z245" t="n">
        <v>190.7792</v>
      </c>
      <c r="AA245" t="inlineStr">
        <is>
          <t>2026-02-26</t>
        </is>
      </c>
      <c r="AB245" t="n">
        <v>195.7639</v>
      </c>
      <c r="AC245" t="n">
        <v>0.02612769636233271</v>
      </c>
      <c r="AD245" t="inlineStr">
        <is>
          <t>UP</t>
        </is>
      </c>
      <c r="AE245" t="inlineStr">
        <is>
          <t>NO</t>
        </is>
      </c>
      <c r="AF245" t="n">
        <v>0</v>
      </c>
      <c r="AG245">
        <f>IF($A245="","",IFERROR(INDEX(Company_List!$G$3:$G$207,MATCH($A245,Company_List!$A$3:$A$207,0)),"unassigned"))</f>
        <v/>
      </c>
      <c r="AH245" t="inlineStr">
        <is>
          <t>Phase 2/SalesForce/2026-Q4/CRM-2026-Q4-earnings-call-transcript-news-alphastreet-com.html</t>
        </is>
      </c>
      <c r="AI245" t="inlineStr">
        <is>
          <t>https://news.alphastreet.com/salesforce-inc-crm-q4-2026-earnings-call-transcript/</t>
        </is>
      </c>
      <c r="AJ245" t="inlineStr">
        <is>
          <t>manifest</t>
        </is>
      </c>
      <c r="AK245">
        <f>IF($A245="","",IF(COUNTIFS(Human_Data_Entry!$A$3:$A$525,$A245)&gt;0,"YES","NO"))</f>
        <v/>
      </c>
      <c r="AL245">
        <f>IF($A245="","",IF(AND($C245&amp;"-"&amp;$D245&gt;=Settings!$B$19,$C245&amp;"-"&amp;$D245&lt;=Settings!$B$20),"IN","OUT"))</f>
        <v/>
      </c>
      <c r="AM245">
        <f>IF(AND(OR($H245="BUY",$H245="SELL"),ISNUMBER($T245)),$T245,"")</f>
        <v/>
      </c>
      <c r="AN245">
        <f>IF(AND(OR($H245="BUY",$H245="SELL"),ISNUMBER($AF245)),$AF245,"")</f>
        <v/>
      </c>
      <c r="AO245">
        <f>IF(ISNUMBER($AM245),ABS(IF(ISNUMBER($G245),$G245,0)-Settings!$B$25),"")</f>
        <v/>
      </c>
      <c r="AP245">
        <f>IF(ISNUMBER($AO245),$AO245*$AM245,"")</f>
        <v/>
      </c>
      <c r="AQ245">
        <f>IF(ISNUMBER($AN245),ABS(IF(ISNUMBER($G245),$G245,0)-Settings!$B$25),"")</f>
        <v/>
      </c>
      <c r="AR245">
        <f>IF(ISNUMBER($AQ245),$AQ245*$AN245,"")</f>
        <v/>
      </c>
      <c r="AS245">
        <f>IF($A245="","",IFERROR(INDEX(Company_List!$H$3:$H$207,MATCH($A245,Company_List!$A$3:$A$207,0)),"unassigned"))</f>
        <v/>
      </c>
      <c r="AT245" t="inlineStr">
        <is>
          <t>not in v1</t>
        </is>
      </c>
      <c r="AU245" t="inlineStr">
        <is>
          <t>no earlier record</t>
        </is>
      </c>
      <c r="AV245" t="n">
        <v>1</v>
      </c>
      <c r="AW245" t="inlineStr">
        <is>
          <t>not publisher-identified</t>
        </is>
      </c>
      <c r="AX245" t="inlineStr">
        <is>
          <t>not publisher-identified</t>
        </is>
      </c>
      <c r="AY245" t="inlineStr">
        <is>
          <t>no</t>
        </is>
      </c>
      <c r="AZ245" t="inlineStr">
        <is>
          <t>yes</t>
        </is>
      </c>
    </row>
    <row r="246">
      <c r="A246" s="115" t="inlineStr">
        <is>
          <t>Siemens</t>
        </is>
      </c>
      <c r="B246" s="117" t="inlineStr">
        <is>
          <t>SIE.DE</t>
        </is>
      </c>
      <c r="C246" s="105" t="n">
        <v>2026</v>
      </c>
      <c r="D246" s="106" t="inlineStr">
        <is>
          <t>Q1</t>
        </is>
      </c>
      <c r="E246" s="109" t="inlineStr">
        <is>
          <t>Ben/DeepSeek</t>
        </is>
      </c>
      <c r="F246" s="106" t="inlineStr">
        <is>
          <t>LLM</t>
        </is>
      </c>
      <c r="G246" s="128" t="n">
        <v>0.415</v>
      </c>
      <c r="H246" s="106" t="inlineStr">
        <is>
          <t>BUY</t>
        </is>
      </c>
      <c r="I246" s="128" t="n"/>
      <c r="J246" s="125" t="n">
        <v>46065</v>
      </c>
      <c r="K246" s="126" t="n">
        <v>46064</v>
      </c>
      <c r="L246" s="129" t="n">
        <v>256.25</v>
      </c>
      <c r="M246" s="126" t="n">
        <v>46065</v>
      </c>
      <c r="N246" s="129" t="n">
        <v>271.6</v>
      </c>
      <c r="O246" s="132" t="n">
        <v>0.006761</v>
      </c>
      <c r="P246" s="107" t="n">
        <v>0.059902</v>
      </c>
      <c r="Q246" s="106" t="inlineStr">
        <is>
          <t>UP</t>
        </is>
      </c>
      <c r="R246" s="106" t="inlineStr">
        <is>
          <t>YES</t>
        </is>
      </c>
      <c r="S246" s="105" t="n">
        <v>1</v>
      </c>
      <c r="T246" s="107" t="n">
        <v>0.058902</v>
      </c>
      <c r="U246" s="130" t="inlineStr">
        <is>
          <t>w=[0.55,0.45,0,0] thr=(+0.25,-0.05), deployed default (risk-accepted, PSR=0.0/perm p=0.150 at N=161, not rechecked at N=268)</t>
        </is>
      </c>
      <c r="W246" t="inlineStr">
        <is>
          <t>release date + stated time</t>
        </is>
      </c>
      <c r="X246" t="inlineStr">
        <is>
          <t>SIE.DE</t>
        </is>
      </c>
      <c r="Y246" t="inlineStr">
        <is>
          <t>2026-02-11</t>
        </is>
      </c>
      <c r="Z246" t="n">
        <v>250.9156</v>
      </c>
      <c r="AA246" t="inlineStr">
        <is>
          <t>2026-02-12</t>
        </is>
      </c>
      <c r="AB246" t="n">
        <v>265.9461</v>
      </c>
      <c r="AC246" t="n">
        <v>0.05990247432660638</v>
      </c>
      <c r="AD246" t="inlineStr">
        <is>
          <t>UP</t>
        </is>
      </c>
      <c r="AE246" t="inlineStr">
        <is>
          <t>YES</t>
        </is>
      </c>
      <c r="AF246" t="n">
        <v>0.058902</v>
      </c>
      <c r="AG246">
        <f>IF($A246="","",IFERROR(INDEX(Company_List!$G$3:$G$207,MATCH($A246,Company_List!$A$3:$A$207,0)),"unassigned"))</f>
        <v/>
      </c>
      <c r="AH246" t="inlineStr">
        <is>
          <t>Phase 3/Readings/Siemens/Siemens Q1 2026 earnings release.pdf</t>
        </is>
      </c>
      <c r="AJ246" t="inlineStr">
        <is>
          <t>unique filename match</t>
        </is>
      </c>
      <c r="AK246">
        <f>IF($A246="","",IF(COUNTIFS(Human_Data_Entry!$A$3:$A$525,$A246)&gt;0,"YES","NO"))</f>
        <v/>
      </c>
      <c r="AL246">
        <f>IF($A246="","",IF(AND($C246&amp;"-"&amp;$D246&gt;=Settings!$B$19,$C246&amp;"-"&amp;$D246&lt;=Settings!$B$20),"IN","OUT"))</f>
        <v/>
      </c>
      <c r="AM246">
        <f>IF(AND(OR($H246="BUY",$H246="SELL"),ISNUMBER($T246)),$T246,"")</f>
        <v/>
      </c>
      <c r="AN246">
        <f>IF(AND(OR($H246="BUY",$H246="SELL"),ISNUMBER($AF246)),$AF246,"")</f>
        <v/>
      </c>
      <c r="AO246">
        <f>IF(ISNUMBER($AM246),ABS(IF(ISNUMBER($G246),$G246,0)-Settings!$B$25),"")</f>
        <v/>
      </c>
      <c r="AP246">
        <f>IF(ISNUMBER($AO246),$AO246*$AM246,"")</f>
        <v/>
      </c>
      <c r="AQ246">
        <f>IF(ISNUMBER($AN246),ABS(IF(ISNUMBER($G246),$G246,0)-Settings!$B$25),"")</f>
        <v/>
      </c>
      <c r="AR246">
        <f>IF(ISNUMBER($AQ246),$AQ246*$AN246,"")</f>
        <v/>
      </c>
      <c r="AS246">
        <f>IF($A246="","",IFERROR(INDEX(Company_List!$H$3:$H$207,MATCH($A246,Company_List!$A$3:$A$207,0)),"unassigned"))</f>
        <v/>
      </c>
      <c r="AT246" t="inlineStr">
        <is>
          <t>not in v1</t>
        </is>
      </c>
      <c r="AU246" t="inlineStr">
        <is>
          <t>no earlier record</t>
        </is>
      </c>
      <c r="AV246" t="n">
        <v>1</v>
      </c>
      <c r="AW246" t="inlineStr">
        <is>
          <t>not publisher-identified</t>
        </is>
      </c>
      <c r="AX246" t="inlineStr">
        <is>
          <t>not publisher-identified</t>
        </is>
      </c>
      <c r="AY246" t="inlineStr">
        <is>
          <t>no</t>
        </is>
      </c>
      <c r="AZ246" t="inlineStr">
        <is>
          <t>no</t>
        </is>
      </c>
    </row>
    <row r="247">
      <c r="A247" s="115" t="inlineStr">
        <is>
          <t>Siemens</t>
        </is>
      </c>
      <c r="B247" s="117" t="inlineStr">
        <is>
          <t>SIE.DE</t>
        </is>
      </c>
      <c r="C247" s="105" t="n">
        <v>2026</v>
      </c>
      <c r="D247" s="106" t="inlineStr">
        <is>
          <t>Q2</t>
        </is>
      </c>
      <c r="E247" s="109" t="inlineStr">
        <is>
          <t>Ben/DeepSeek</t>
        </is>
      </c>
      <c r="F247" s="106" t="inlineStr">
        <is>
          <t>LLM</t>
        </is>
      </c>
      <c r="G247" s="128" t="n">
        <v>0.03</v>
      </c>
      <c r="H247" s="106" t="inlineStr">
        <is>
          <t>HOLD</t>
        </is>
      </c>
      <c r="I247" s="128" t="n"/>
      <c r="J247" s="125" t="n">
        <v>46155</v>
      </c>
      <c r="K247" s="126" t="n">
        <v>46154</v>
      </c>
      <c r="L247" s="129" t="n">
        <v>264.6</v>
      </c>
      <c r="M247" s="126" t="n">
        <v>46155</v>
      </c>
      <c r="N247" s="129" t="n">
        <v>267.15</v>
      </c>
      <c r="O247" s="132" t="n">
        <v>0.007953</v>
      </c>
      <c r="P247" s="107" t="n">
        <v>0.009637</v>
      </c>
      <c r="Q247" s="106" t="inlineStr">
        <is>
          <t>FLAT</t>
        </is>
      </c>
      <c r="R247" s="106" t="inlineStr">
        <is>
          <t>YES</t>
        </is>
      </c>
      <c r="S247" s="105" t="n">
        <v>0</v>
      </c>
      <c r="T247" s="107" t="n">
        <v>0</v>
      </c>
      <c r="U247" s="130" t="inlineStr">
        <is>
          <t>w=[0.55,0.45,0,0] thr=(+0.25,-0.05), deployed default (risk-accepted, PSR=0.0/perm p=0.150 at N=161, not rechecked at N=268)</t>
        </is>
      </c>
      <c r="W247" t="inlineStr">
        <is>
          <t>release date + stated time</t>
        </is>
      </c>
      <c r="X247" t="inlineStr">
        <is>
          <t>SIE.DE</t>
        </is>
      </c>
      <c r="Y247" t="inlineStr">
        <is>
          <t>2026-05-12</t>
        </is>
      </c>
      <c r="Z247" t="n">
        <v>264.6</v>
      </c>
      <c r="AA247" t="inlineStr">
        <is>
          <t>2026-05-13</t>
        </is>
      </c>
      <c r="AB247" t="n">
        <v>267.15</v>
      </c>
      <c r="AC247" t="n">
        <v>0.009637142638613488</v>
      </c>
      <c r="AD247" t="inlineStr">
        <is>
          <t>FLAT</t>
        </is>
      </c>
      <c r="AE247" t="inlineStr">
        <is>
          <t>YES</t>
        </is>
      </c>
      <c r="AF247" t="n">
        <v>0</v>
      </c>
      <c r="AG247">
        <f>IF($A247="","",IFERROR(INDEX(Company_List!$G$3:$G$207,MATCH($A247,Company_List!$A$3:$A$207,0)),"unassigned"))</f>
        <v/>
      </c>
      <c r="AH247" t="inlineStr">
        <is>
          <t>Phase 3/Readings/Siemens/Siemens Q2 2026 earnings release.pdf</t>
        </is>
      </c>
      <c r="AJ247" t="inlineStr">
        <is>
          <t>unique filename match</t>
        </is>
      </c>
      <c r="AK247">
        <f>IF($A247="","",IF(COUNTIFS(Human_Data_Entry!$A$3:$A$525,$A247)&gt;0,"YES","NO"))</f>
        <v/>
      </c>
      <c r="AL247">
        <f>IF($A247="","",IF(AND($C247&amp;"-"&amp;$D247&gt;=Settings!$B$19,$C247&amp;"-"&amp;$D247&lt;=Settings!$B$20),"IN","OUT"))</f>
        <v/>
      </c>
      <c r="AM247">
        <f>IF(AND(OR($H247="BUY",$H247="SELL"),ISNUMBER($T247)),$T247,"")</f>
        <v/>
      </c>
      <c r="AN247">
        <f>IF(AND(OR($H247="BUY",$H247="SELL"),ISNUMBER($AF247)),$AF247,"")</f>
        <v/>
      </c>
      <c r="AO247">
        <f>IF(ISNUMBER($AM247),ABS(IF(ISNUMBER($G247),$G247,0)-Settings!$B$25),"")</f>
        <v/>
      </c>
      <c r="AP247">
        <f>IF(ISNUMBER($AO247),$AO247*$AM247,"")</f>
        <v/>
      </c>
      <c r="AQ247">
        <f>IF(ISNUMBER($AN247),ABS(IF(ISNUMBER($G247),$G247,0)-Settings!$B$25),"")</f>
        <v/>
      </c>
      <c r="AR247">
        <f>IF(ISNUMBER($AQ247),$AQ247*$AN247,"")</f>
        <v/>
      </c>
      <c r="AS247">
        <f>IF($A247="","",IFERROR(INDEX(Company_List!$H$3:$H$207,MATCH($A247,Company_List!$A$3:$A$207,0)),"unassigned"))</f>
        <v/>
      </c>
      <c r="AT247" t="inlineStr">
        <is>
          <t>not in v1</t>
        </is>
      </c>
      <c r="AU247" t="inlineStr">
        <is>
          <t>no earlier record</t>
        </is>
      </c>
      <c r="AV247" t="n">
        <v>1</v>
      </c>
      <c r="AW247" t="inlineStr">
        <is>
          <t>not publisher-identified</t>
        </is>
      </c>
      <c r="AX247" t="inlineStr">
        <is>
          <t>not publisher-identified</t>
        </is>
      </c>
      <c r="AY247" t="inlineStr">
        <is>
          <t>no</t>
        </is>
      </c>
      <c r="AZ247" t="inlineStr">
        <is>
          <t>no</t>
        </is>
      </c>
    </row>
    <row r="248">
      <c r="A248" s="115" t="inlineStr">
        <is>
          <t>Siemens</t>
        </is>
      </c>
      <c r="B248" s="117" t="inlineStr">
        <is>
          <t>SIE.DE</t>
        </is>
      </c>
      <c r="C248" s="105" t="n">
        <v>2025</v>
      </c>
      <c r="D248" s="106" t="inlineStr">
        <is>
          <t>Q4</t>
        </is>
      </c>
      <c r="E248" s="109" t="inlineStr">
        <is>
          <t>Ben/DeepSeek</t>
        </is>
      </c>
      <c r="F248" s="106" t="inlineStr">
        <is>
          <t>LLM</t>
        </is>
      </c>
      <c r="G248" s="128" t="n">
        <v>0.2725</v>
      </c>
      <c r="H248" s="106" t="inlineStr">
        <is>
          <t>BUY</t>
        </is>
      </c>
      <c r="I248" s="128" t="n"/>
      <c r="J248" s="125" t="n">
        <v>45974</v>
      </c>
      <c r="K248" s="126" t="n">
        <v>45973</v>
      </c>
      <c r="L248" s="129" t="n">
        <v>250.4</v>
      </c>
      <c r="M248" s="126" t="n">
        <v>45974</v>
      </c>
      <c r="N248" s="129" t="n">
        <v>243.55</v>
      </c>
      <c r="O248" s="132" t="n">
        <v>0.007282</v>
      </c>
      <c r="P248" s="107" t="n">
        <v>-0.027356</v>
      </c>
      <c r="Q248" s="106" t="inlineStr">
        <is>
          <t>DOWN</t>
        </is>
      </c>
      <c r="R248" s="106" t="inlineStr">
        <is>
          <t>NO</t>
        </is>
      </c>
      <c r="S248" s="105" t="n">
        <v>1</v>
      </c>
      <c r="T248" s="107" t="n">
        <v>-0.028356</v>
      </c>
      <c r="U248" s="130" t="inlineStr">
        <is>
          <t>w=[0.55,0.45,0,0] thr=(+0.25,-0.05), deployed default (risk-accepted, PSR=0.0/perm p=0.150 at N=161, not rechecked at N=268)</t>
        </is>
      </c>
      <c r="W248" t="inlineStr">
        <is>
          <t>release date + stated time</t>
        </is>
      </c>
      <c r="X248" t="inlineStr">
        <is>
          <t>SIE.DE</t>
        </is>
      </c>
      <c r="Y248" t="inlineStr">
        <is>
          <t>2025-11-12</t>
        </is>
      </c>
      <c r="Z248" t="n">
        <v>245.1874</v>
      </c>
      <c r="AA248" t="inlineStr">
        <is>
          <t>2025-11-13</t>
        </is>
      </c>
      <c r="AB248" t="n">
        <v>238.48</v>
      </c>
      <c r="AC248" t="n">
        <v>-0.02735618576686381</v>
      </c>
      <c r="AD248" t="inlineStr">
        <is>
          <t>DOWN</t>
        </is>
      </c>
      <c r="AE248" t="inlineStr">
        <is>
          <t>NO</t>
        </is>
      </c>
      <c r="AF248" t="n">
        <v>-0.028356</v>
      </c>
      <c r="AG248">
        <f>IF($A248="","",IFERROR(INDEX(Company_List!$G$3:$G$207,MATCH($A248,Company_List!$A$3:$A$207,0)),"unassigned"))</f>
        <v/>
      </c>
      <c r="AH248" t="inlineStr">
        <is>
          <t>Phase 3/Readings/Siemens/Siemens Q4 2025 earnings release.pdf</t>
        </is>
      </c>
      <c r="AJ248" t="inlineStr">
        <is>
          <t>unique filename match</t>
        </is>
      </c>
      <c r="AK248">
        <f>IF($A248="","",IF(COUNTIFS(Human_Data_Entry!$A$3:$A$525,$A248)&gt;0,"YES","NO"))</f>
        <v/>
      </c>
      <c r="AL248">
        <f>IF($A248="","",IF(AND($C248&amp;"-"&amp;$D248&gt;=Settings!$B$19,$C248&amp;"-"&amp;$D248&lt;=Settings!$B$20),"IN","OUT"))</f>
        <v/>
      </c>
      <c r="AM248">
        <f>IF(AND(OR($H248="BUY",$H248="SELL"),ISNUMBER($T248)),$T248,"")</f>
        <v/>
      </c>
      <c r="AN248">
        <f>IF(AND(OR($H248="BUY",$H248="SELL"),ISNUMBER($AF248)),$AF248,"")</f>
        <v/>
      </c>
      <c r="AO248">
        <f>IF(ISNUMBER($AM248),ABS(IF(ISNUMBER($G248),$G248,0)-Settings!$B$25),"")</f>
        <v/>
      </c>
      <c r="AP248">
        <f>IF(ISNUMBER($AO248),$AO248*$AM248,"")</f>
        <v/>
      </c>
      <c r="AQ248">
        <f>IF(ISNUMBER($AN248),ABS(IF(ISNUMBER($G248),$G248,0)-Settings!$B$25),"")</f>
        <v/>
      </c>
      <c r="AR248">
        <f>IF(ISNUMBER($AQ248),$AQ248*$AN248,"")</f>
        <v/>
      </c>
      <c r="AS248">
        <f>IF($A248="","",IFERROR(INDEX(Company_List!$H$3:$H$207,MATCH($A248,Company_List!$A$3:$A$207,0)),"unassigned"))</f>
        <v/>
      </c>
      <c r="AT248" t="inlineStr">
        <is>
          <t>not in v1</t>
        </is>
      </c>
      <c r="AU248" t="inlineStr">
        <is>
          <t>no earlier record</t>
        </is>
      </c>
      <c r="AV248" t="n">
        <v>1</v>
      </c>
      <c r="AW248" t="inlineStr">
        <is>
          <t>not publisher-identified</t>
        </is>
      </c>
      <c r="AX248" t="inlineStr">
        <is>
          <t>not publisher-identified</t>
        </is>
      </c>
      <c r="AY248" t="inlineStr">
        <is>
          <t>no</t>
        </is>
      </c>
      <c r="AZ248" t="inlineStr">
        <is>
          <t>no</t>
        </is>
      </c>
    </row>
    <row r="249">
      <c r="A249" s="115" t="inlineStr">
        <is>
          <t>Spotify</t>
        </is>
      </c>
      <c r="B249" s="117" t="inlineStr">
        <is>
          <t>SPOT</t>
        </is>
      </c>
      <c r="C249" s="105" t="n">
        <v>2026</v>
      </c>
      <c r="D249" s="106" t="inlineStr">
        <is>
          <t>Q1</t>
        </is>
      </c>
      <c r="E249" s="109" t="inlineStr">
        <is>
          <t>Ben/DeepSeek</t>
        </is>
      </c>
      <c r="F249" s="106" t="inlineStr">
        <is>
          <t>LLM</t>
        </is>
      </c>
      <c r="G249" s="128" t="n">
        <v>0.0025</v>
      </c>
      <c r="H249" s="106" t="inlineStr">
        <is>
          <t>HOLD</t>
        </is>
      </c>
      <c r="I249" s="128" t="n"/>
      <c r="J249" s="125" t="n">
        <v>46140</v>
      </c>
      <c r="K249" s="126" t="n">
        <v>46139</v>
      </c>
      <c r="L249" s="129" t="n">
        <v>495.82</v>
      </c>
      <c r="M249" s="126" t="n">
        <v>46140</v>
      </c>
      <c r="N249" s="129" t="n">
        <v>445</v>
      </c>
      <c r="O249" s="132" t="n">
        <v>0.007554</v>
      </c>
      <c r="P249" s="107" t="n">
        <v>-0.102497</v>
      </c>
      <c r="Q249" s="106" t="inlineStr">
        <is>
          <t>DOWN</t>
        </is>
      </c>
      <c r="R249" s="106" t="inlineStr">
        <is>
          <t>NO</t>
        </is>
      </c>
      <c r="S249" s="105" t="n">
        <v>0</v>
      </c>
      <c r="T249" s="107" t="n">
        <v>0</v>
      </c>
      <c r="U249" s="130" t="inlineStr">
        <is>
          <t>w=[0.55,0.45,0,0] thr=(+0.25,-0.05), deployed default (risk-accepted, PSR=0.0/perm p=0.150 at N=161, not rechecked at N=268)</t>
        </is>
      </c>
      <c r="W249" t="inlineStr">
        <is>
          <t>recorded window spanned two sessions, closed to one</t>
        </is>
      </c>
      <c r="X249" t="inlineStr">
        <is>
          <t>SPOT</t>
        </is>
      </c>
      <c r="Y249" t="inlineStr">
        <is>
          <t>2026-04-27</t>
        </is>
      </c>
      <c r="Z249" t="n">
        <v>495.82</v>
      </c>
      <c r="AA249" t="inlineStr">
        <is>
          <t>2026-04-28</t>
        </is>
      </c>
      <c r="AB249" t="n">
        <v>445</v>
      </c>
      <c r="AC249" t="n">
        <v>-0.1024968865364886</v>
      </c>
      <c r="AD249" t="inlineStr">
        <is>
          <t>DOWN</t>
        </is>
      </c>
      <c r="AE249" t="inlineStr">
        <is>
          <t>NO</t>
        </is>
      </c>
      <c r="AF249" t="n">
        <v>0</v>
      </c>
      <c r="AG249">
        <f>IF($A249="","",IFERROR(INDEX(Company_List!$G$3:$G$207,MATCH($A249,Company_List!$A$3:$A$207,0)),"unassigned"))</f>
        <v/>
      </c>
      <c r="AH249" t="inlineStr">
        <is>
          <t>Phase 3/Readings/Spotify/Q1-2026-Shareholder-Deck-FINAL-2.pdf</t>
        </is>
      </c>
      <c r="AJ249" t="inlineStr">
        <is>
          <t>unique filename match</t>
        </is>
      </c>
      <c r="AK249">
        <f>IF($A249="","",IF(COUNTIFS(Human_Data_Entry!$A$3:$A$525,$A249)&gt;0,"YES","NO"))</f>
        <v/>
      </c>
      <c r="AL249">
        <f>IF($A249="","",IF(AND($C249&amp;"-"&amp;$D249&gt;=Settings!$B$19,$C249&amp;"-"&amp;$D249&lt;=Settings!$B$20),"IN","OUT"))</f>
        <v/>
      </c>
      <c r="AM249">
        <f>IF(AND(OR($H249="BUY",$H249="SELL"),ISNUMBER($T249)),$T249,"")</f>
        <v/>
      </c>
      <c r="AN249">
        <f>IF(AND(OR($H249="BUY",$H249="SELL"),ISNUMBER($AF249)),$AF249,"")</f>
        <v/>
      </c>
      <c r="AO249">
        <f>IF(ISNUMBER($AM249),ABS(IF(ISNUMBER($G249),$G249,0)-Settings!$B$25),"")</f>
        <v/>
      </c>
      <c r="AP249">
        <f>IF(ISNUMBER($AO249),$AO249*$AM249,"")</f>
        <v/>
      </c>
      <c r="AQ249">
        <f>IF(ISNUMBER($AN249),ABS(IF(ISNUMBER($G249),$G249,0)-Settings!$B$25),"")</f>
        <v/>
      </c>
      <c r="AR249">
        <f>IF(ISNUMBER($AQ249),$AQ249*$AN249,"")</f>
        <v/>
      </c>
      <c r="AS249">
        <f>IF($A249="","",IFERROR(INDEX(Company_List!$H$3:$H$207,MATCH($A249,Company_List!$A$3:$A$207,0)),"unassigned"))</f>
        <v/>
      </c>
      <c r="AT249" t="inlineStr">
        <is>
          <t>not in v1</t>
        </is>
      </c>
      <c r="AU249" t="inlineStr">
        <is>
          <t>no earlier record</t>
        </is>
      </c>
      <c r="AV249" t="n">
        <v>1</v>
      </c>
      <c r="AW249" t="inlineStr">
        <is>
          <t>not publisher-identified</t>
        </is>
      </c>
      <c r="AX249" t="inlineStr">
        <is>
          <t>not publisher-identified</t>
        </is>
      </c>
      <c r="AY249" t="inlineStr">
        <is>
          <t>no</t>
        </is>
      </c>
      <c r="AZ249" t="inlineStr">
        <is>
          <t>no</t>
        </is>
      </c>
    </row>
    <row r="250">
      <c r="A250" s="115" t="inlineStr">
        <is>
          <t>Spotify</t>
        </is>
      </c>
      <c r="B250" s="117" t="inlineStr">
        <is>
          <t>SPOT</t>
        </is>
      </c>
      <c r="C250" s="105" t="n">
        <v>2025</v>
      </c>
      <c r="D250" s="106" t="inlineStr">
        <is>
          <t>Q2</t>
        </is>
      </c>
      <c r="E250" s="109" t="inlineStr">
        <is>
          <t>Ben/DeepSeek</t>
        </is>
      </c>
      <c r="F250" s="106" t="inlineStr">
        <is>
          <t>LLM</t>
        </is>
      </c>
      <c r="G250" s="128" t="n">
        <v>-0.0375</v>
      </c>
      <c r="H250" s="106" t="inlineStr">
        <is>
          <t>HOLD</t>
        </is>
      </c>
      <c r="I250" s="128" t="n"/>
      <c r="J250" s="125" t="n">
        <v>45867</v>
      </c>
      <c r="K250" s="126" t="n">
        <v>45866</v>
      </c>
      <c r="L250" s="129" t="n">
        <v>700.98</v>
      </c>
      <c r="M250" s="126" t="n">
        <v>45867</v>
      </c>
      <c r="N250" s="129" t="n">
        <v>657.53</v>
      </c>
      <c r="O250" s="132" t="n">
        <v>0.010166</v>
      </c>
      <c r="P250" s="107" t="n">
        <v>-0.061985</v>
      </c>
      <c r="Q250" s="106" t="inlineStr">
        <is>
          <t>DOWN</t>
        </is>
      </c>
      <c r="R250" s="106" t="inlineStr">
        <is>
          <t>NO</t>
        </is>
      </c>
      <c r="S250" s="105" t="n">
        <v>0</v>
      </c>
      <c r="T250" s="107" t="n">
        <v>0</v>
      </c>
      <c r="U250" s="130" t="inlineStr">
        <is>
          <t>w=[0.55,0.45,0,0] thr=(+0.25,-0.05), deployed default (risk-accepted, PSR=0.0/perm p=0.150 at N=161, not rechecked at N=268)</t>
        </is>
      </c>
      <c r="W250" t="inlineStr">
        <is>
          <t>recorded window spanned two sessions, closed to one</t>
        </is>
      </c>
      <c r="X250" t="inlineStr">
        <is>
          <t>SPOT</t>
        </is>
      </c>
      <c r="Y250" t="inlineStr">
        <is>
          <t>2025-07-28</t>
        </is>
      </c>
      <c r="Z250" t="n">
        <v>700.98</v>
      </c>
      <c r="AA250" t="inlineStr">
        <is>
          <t>2025-07-29</t>
        </is>
      </c>
      <c r="AB250" t="n">
        <v>657.53</v>
      </c>
      <c r="AC250" t="n">
        <v>-0.06198458192771774</v>
      </c>
      <c r="AD250" t="inlineStr">
        <is>
          <t>DOWN</t>
        </is>
      </c>
      <c r="AE250" t="inlineStr">
        <is>
          <t>NO</t>
        </is>
      </c>
      <c r="AF250" t="n">
        <v>0</v>
      </c>
      <c r="AG250">
        <f>IF($A250="","",IFERROR(INDEX(Company_List!$G$3:$G$207,MATCH($A250,Company_List!$A$3:$A$207,0)),"unassigned"))</f>
        <v/>
      </c>
      <c r="AH250" t="inlineStr">
        <is>
          <t>Phase 3/Readings/Spotify/Q2-2025-Shareholder-Deck-FINAL.pdf</t>
        </is>
      </c>
      <c r="AJ250" t="inlineStr">
        <is>
          <t>unique filename match</t>
        </is>
      </c>
      <c r="AK250">
        <f>IF($A250="","",IF(COUNTIFS(Human_Data_Entry!$A$3:$A$525,$A250)&gt;0,"YES","NO"))</f>
        <v/>
      </c>
      <c r="AL250">
        <f>IF($A250="","",IF(AND($C250&amp;"-"&amp;$D250&gt;=Settings!$B$19,$C250&amp;"-"&amp;$D250&lt;=Settings!$B$20),"IN","OUT"))</f>
        <v/>
      </c>
      <c r="AM250">
        <f>IF(AND(OR($H250="BUY",$H250="SELL"),ISNUMBER($T250)),$T250,"")</f>
        <v/>
      </c>
      <c r="AN250">
        <f>IF(AND(OR($H250="BUY",$H250="SELL"),ISNUMBER($AF250)),$AF250,"")</f>
        <v/>
      </c>
      <c r="AO250">
        <f>IF(ISNUMBER($AM250),ABS(IF(ISNUMBER($G250),$G250,0)-Settings!$B$25),"")</f>
        <v/>
      </c>
      <c r="AP250">
        <f>IF(ISNUMBER($AO250),$AO250*$AM250,"")</f>
        <v/>
      </c>
      <c r="AQ250">
        <f>IF(ISNUMBER($AN250),ABS(IF(ISNUMBER($G250),$G250,0)-Settings!$B$25),"")</f>
        <v/>
      </c>
      <c r="AR250">
        <f>IF(ISNUMBER($AQ250),$AQ250*$AN250,"")</f>
        <v/>
      </c>
      <c r="AS250">
        <f>IF($A250="","",IFERROR(INDEX(Company_List!$H$3:$H$207,MATCH($A250,Company_List!$A$3:$A$207,0)),"unassigned"))</f>
        <v/>
      </c>
      <c r="AT250" t="inlineStr">
        <is>
          <t>not in v1</t>
        </is>
      </c>
      <c r="AU250" t="inlineStr">
        <is>
          <t>no earlier record</t>
        </is>
      </c>
      <c r="AV250" t="n">
        <v>1</v>
      </c>
      <c r="AW250" t="inlineStr">
        <is>
          <t>not publisher-identified</t>
        </is>
      </c>
      <c r="AX250" t="inlineStr">
        <is>
          <t>not publisher-identified</t>
        </is>
      </c>
      <c r="AY250" t="inlineStr">
        <is>
          <t>no</t>
        </is>
      </c>
      <c r="AZ250" t="inlineStr">
        <is>
          <t>no</t>
        </is>
      </c>
    </row>
    <row r="251">
      <c r="A251" s="115" t="inlineStr">
        <is>
          <t>Spotify</t>
        </is>
      </c>
      <c r="B251" s="117" t="inlineStr">
        <is>
          <t>SPOT</t>
        </is>
      </c>
      <c r="C251" s="105" t="n">
        <v>2025</v>
      </c>
      <c r="D251" s="106" t="inlineStr">
        <is>
          <t>Q3</t>
        </is>
      </c>
      <c r="E251" s="109" t="inlineStr">
        <is>
          <t>Ben/DeepSeek</t>
        </is>
      </c>
      <c r="F251" s="106" t="inlineStr">
        <is>
          <t>LLM</t>
        </is>
      </c>
      <c r="G251" s="128" t="n">
        <v>0.3</v>
      </c>
      <c r="H251" s="106" t="inlineStr">
        <is>
          <t>BUY</t>
        </is>
      </c>
      <c r="I251" s="128" t="n"/>
      <c r="J251" s="125" t="n">
        <v>45965</v>
      </c>
      <c r="K251" s="126" t="n">
        <v>45964</v>
      </c>
      <c r="L251" s="129" t="n">
        <v>644.09</v>
      </c>
      <c r="M251" s="126" t="n">
        <v>45965</v>
      </c>
      <c r="N251" s="129" t="n">
        <v>625.1799999999999</v>
      </c>
      <c r="O251" s="132" t="n">
        <v>0.010968</v>
      </c>
      <c r="P251" s="107" t="n">
        <v>-0.029359</v>
      </c>
      <c r="Q251" s="106" t="inlineStr">
        <is>
          <t>DOWN</t>
        </is>
      </c>
      <c r="R251" s="106" t="inlineStr">
        <is>
          <t>NO</t>
        </is>
      </c>
      <c r="S251" s="105" t="n">
        <v>1</v>
      </c>
      <c r="T251" s="107" t="n">
        <v>-0.030359</v>
      </c>
      <c r="U251" s="130" t="inlineStr">
        <is>
          <t>w=[0.55,0.45,0,0] thr=(+0.25,-0.05), deployed default (risk-accepted, PSR=0.0/perm p=0.150 at N=161, not rechecked at N=268)</t>
        </is>
      </c>
      <c r="W251" t="inlineStr">
        <is>
          <t>recorded window spanned two sessions, closed to one</t>
        </is>
      </c>
      <c r="X251" t="inlineStr">
        <is>
          <t>SPOT</t>
        </is>
      </c>
      <c r="Y251" t="inlineStr">
        <is>
          <t>2025-11-03</t>
        </is>
      </c>
      <c r="Z251" t="n">
        <v>644.09</v>
      </c>
      <c r="AA251" t="inlineStr">
        <is>
          <t>2025-11-04</t>
        </is>
      </c>
      <c r="AB251" t="n">
        <v>625.1799999999999</v>
      </c>
      <c r="AC251" t="n">
        <v>-0.02935930259326931</v>
      </c>
      <c r="AD251" t="inlineStr">
        <is>
          <t>DOWN</t>
        </is>
      </c>
      <c r="AE251" t="inlineStr">
        <is>
          <t>NO</t>
        </is>
      </c>
      <c r="AF251" t="n">
        <v>-0.030359</v>
      </c>
      <c r="AG251">
        <f>IF($A251="","",IFERROR(INDEX(Company_List!$G$3:$G$207,MATCH($A251,Company_List!$A$3:$A$207,0)),"unassigned"))</f>
        <v/>
      </c>
      <c r="AH251" t="inlineStr">
        <is>
          <t>Phase 3/Readings/Spotify/Q3-2025-Shareholder-Deck-FINAL.pdf</t>
        </is>
      </c>
      <c r="AJ251" t="inlineStr">
        <is>
          <t>unique filename match</t>
        </is>
      </c>
      <c r="AK251">
        <f>IF($A251="","",IF(COUNTIFS(Human_Data_Entry!$A$3:$A$525,$A251)&gt;0,"YES","NO"))</f>
        <v/>
      </c>
      <c r="AL251">
        <f>IF($A251="","",IF(AND($C251&amp;"-"&amp;$D251&gt;=Settings!$B$19,$C251&amp;"-"&amp;$D251&lt;=Settings!$B$20),"IN","OUT"))</f>
        <v/>
      </c>
      <c r="AM251">
        <f>IF(AND(OR($H251="BUY",$H251="SELL"),ISNUMBER($T251)),$T251,"")</f>
        <v/>
      </c>
      <c r="AN251">
        <f>IF(AND(OR($H251="BUY",$H251="SELL"),ISNUMBER($AF251)),$AF251,"")</f>
        <v/>
      </c>
      <c r="AO251">
        <f>IF(ISNUMBER($AM251),ABS(IF(ISNUMBER($G251),$G251,0)-Settings!$B$25),"")</f>
        <v/>
      </c>
      <c r="AP251">
        <f>IF(ISNUMBER($AO251),$AO251*$AM251,"")</f>
        <v/>
      </c>
      <c r="AQ251">
        <f>IF(ISNUMBER($AN251),ABS(IF(ISNUMBER($G251),$G251,0)-Settings!$B$25),"")</f>
        <v/>
      </c>
      <c r="AR251">
        <f>IF(ISNUMBER($AQ251),$AQ251*$AN251,"")</f>
        <v/>
      </c>
      <c r="AS251">
        <f>IF($A251="","",IFERROR(INDEX(Company_List!$H$3:$H$207,MATCH($A251,Company_List!$A$3:$A$207,0)),"unassigned"))</f>
        <v/>
      </c>
      <c r="AT251" t="inlineStr">
        <is>
          <t>not in v1</t>
        </is>
      </c>
      <c r="AU251" t="inlineStr">
        <is>
          <t>no earlier record</t>
        </is>
      </c>
      <c r="AV251" t="n">
        <v>1</v>
      </c>
      <c r="AW251" t="inlineStr">
        <is>
          <t>not publisher-identified</t>
        </is>
      </c>
      <c r="AX251" t="inlineStr">
        <is>
          <t>not publisher-identified</t>
        </is>
      </c>
      <c r="AY251" t="inlineStr">
        <is>
          <t>no</t>
        </is>
      </c>
      <c r="AZ251" t="inlineStr">
        <is>
          <t>no</t>
        </is>
      </c>
    </row>
    <row r="252">
      <c r="A252" s="115" t="inlineStr">
        <is>
          <t>Spotify</t>
        </is>
      </c>
      <c r="B252" s="117" t="inlineStr">
        <is>
          <t>SPOT</t>
        </is>
      </c>
      <c r="C252" s="105" t="n">
        <v>2025</v>
      </c>
      <c r="D252" s="106" t="inlineStr">
        <is>
          <t>Q4</t>
        </is>
      </c>
      <c r="E252" s="109" t="inlineStr">
        <is>
          <t>Ben/DeepSeek</t>
        </is>
      </c>
      <c r="F252" s="106" t="inlineStr">
        <is>
          <t>LLM</t>
        </is>
      </c>
      <c r="G252" s="128" t="n">
        <v>0.2775</v>
      </c>
      <c r="H252" s="106" t="inlineStr">
        <is>
          <t>BUY</t>
        </is>
      </c>
      <c r="I252" s="128" t="n"/>
      <c r="J252" s="125" t="n">
        <v>46063</v>
      </c>
      <c r="K252" s="126" t="n">
        <v>46062</v>
      </c>
      <c r="L252" s="129" t="n">
        <v>414.84</v>
      </c>
      <c r="M252" s="126" t="n">
        <v>46063</v>
      </c>
      <c r="N252" s="129" t="n">
        <v>462.78</v>
      </c>
      <c r="O252" s="132" t="n">
        <v>0.01011</v>
      </c>
      <c r="P252" s="107" t="n">
        <v>0.115563</v>
      </c>
      <c r="Q252" s="106" t="inlineStr">
        <is>
          <t>UP</t>
        </is>
      </c>
      <c r="R252" s="106" t="inlineStr">
        <is>
          <t>YES</t>
        </is>
      </c>
      <c r="S252" s="105" t="n">
        <v>1</v>
      </c>
      <c r="T252" s="107" t="n">
        <v>0.114563</v>
      </c>
      <c r="U252" s="130" t="inlineStr">
        <is>
          <t>w=[0.55,0.45,0,0] thr=(+0.25,-0.05), deployed default (risk-accepted, PSR=0.0/perm p=0.150 at N=161, not rechecked at N=268)</t>
        </is>
      </c>
      <c r="W252" t="inlineStr">
        <is>
          <t>recorded price identified against every pulled series</t>
        </is>
      </c>
      <c r="X252" t="inlineStr">
        <is>
          <t>SPOT</t>
        </is>
      </c>
      <c r="Y252" t="inlineStr">
        <is>
          <t>2026-02-09</t>
        </is>
      </c>
      <c r="Z252" t="n">
        <v>414.84</v>
      </c>
      <c r="AA252" t="inlineStr">
        <is>
          <t>2026-02-10</t>
        </is>
      </c>
      <c r="AB252" t="n">
        <v>462.78</v>
      </c>
      <c r="AC252" t="n">
        <v>0.1155626349008064</v>
      </c>
      <c r="AD252" t="inlineStr">
        <is>
          <t>UP</t>
        </is>
      </c>
      <c r="AE252" t="inlineStr">
        <is>
          <t>YES</t>
        </is>
      </c>
      <c r="AF252" t="n">
        <v>0.114563</v>
      </c>
      <c r="AG252">
        <f>IF($A252="","",IFERROR(INDEX(Company_List!$G$3:$G$207,MATCH($A252,Company_List!$A$3:$A$207,0)),"unassigned"))</f>
        <v/>
      </c>
      <c r="AH252" t="inlineStr">
        <is>
          <t>Phase 3/Readings/Spotify/Q4-2025-Shareholder-Deck-FINAL.pdf</t>
        </is>
      </c>
      <c r="AJ252" t="inlineStr">
        <is>
          <t>unique filename match</t>
        </is>
      </c>
      <c r="AK252">
        <f>IF($A252="","",IF(COUNTIFS(Human_Data_Entry!$A$3:$A$525,$A252)&gt;0,"YES","NO"))</f>
        <v/>
      </c>
      <c r="AL252">
        <f>IF($A252="","",IF(AND($C252&amp;"-"&amp;$D252&gt;=Settings!$B$19,$C252&amp;"-"&amp;$D252&lt;=Settings!$B$20),"IN","OUT"))</f>
        <v/>
      </c>
      <c r="AM252">
        <f>IF(AND(OR($H252="BUY",$H252="SELL"),ISNUMBER($T252)),$T252,"")</f>
        <v/>
      </c>
      <c r="AN252">
        <f>IF(AND(OR($H252="BUY",$H252="SELL"),ISNUMBER($AF252)),$AF252,"")</f>
        <v/>
      </c>
      <c r="AO252">
        <f>IF(ISNUMBER($AM252),ABS(IF(ISNUMBER($G252),$G252,0)-Settings!$B$25),"")</f>
        <v/>
      </c>
      <c r="AP252">
        <f>IF(ISNUMBER($AO252),$AO252*$AM252,"")</f>
        <v/>
      </c>
      <c r="AQ252">
        <f>IF(ISNUMBER($AN252),ABS(IF(ISNUMBER($G252),$G252,0)-Settings!$B$25),"")</f>
        <v/>
      </c>
      <c r="AR252">
        <f>IF(ISNUMBER($AQ252),$AQ252*$AN252,"")</f>
        <v/>
      </c>
      <c r="AS252">
        <f>IF($A252="","",IFERROR(INDEX(Company_List!$H$3:$H$207,MATCH($A252,Company_List!$A$3:$A$207,0)),"unassigned"))</f>
        <v/>
      </c>
      <c r="AT252" t="inlineStr">
        <is>
          <t>not in v1</t>
        </is>
      </c>
      <c r="AU252" t="inlineStr">
        <is>
          <t>no earlier record</t>
        </is>
      </c>
      <c r="AV252" t="n">
        <v>1</v>
      </c>
      <c r="AW252" t="inlineStr">
        <is>
          <t>not publisher-identified</t>
        </is>
      </c>
      <c r="AX252" t="inlineStr">
        <is>
          <t>not publisher-identified</t>
        </is>
      </c>
      <c r="AY252" t="inlineStr">
        <is>
          <t>no</t>
        </is>
      </c>
      <c r="AZ252" t="inlineStr">
        <is>
          <t>no</t>
        </is>
      </c>
    </row>
    <row r="253">
      <c r="A253" s="115" t="inlineStr">
        <is>
          <t>Standard Chartered</t>
        </is>
      </c>
      <c r="B253" s="117" t="inlineStr">
        <is>
          <t>STAN.L</t>
        </is>
      </c>
      <c r="C253" s="105" t="n">
        <v>2025</v>
      </c>
      <c r="D253" s="106" t="inlineStr">
        <is>
          <t>Q1</t>
        </is>
      </c>
      <c r="E253" s="109" t="inlineStr">
        <is>
          <t>Ben/DeepSeek</t>
        </is>
      </c>
      <c r="F253" s="106" t="inlineStr">
        <is>
          <t>LLM</t>
        </is>
      </c>
      <c r="G253" s="128" t="n">
        <v>-0.0525</v>
      </c>
      <c r="H253" s="106" t="inlineStr">
        <is>
          <t>SELL</t>
        </is>
      </c>
      <c r="I253" s="128" t="n"/>
      <c r="J253" s="125" t="n">
        <v>45779</v>
      </c>
      <c r="K253" s="126" t="n">
        <v>45778</v>
      </c>
      <c r="L253" s="129" t="n">
        <v>1097</v>
      </c>
      <c r="M253" s="126" t="n">
        <v>45779</v>
      </c>
      <c r="N253" s="129" t="n">
        <v>1130</v>
      </c>
      <c r="O253" s="132" t="n">
        <v>0.014816</v>
      </c>
      <c r="P253" s="107" t="n">
        <v>0.030082</v>
      </c>
      <c r="Q253" s="106" t="inlineStr">
        <is>
          <t>UP</t>
        </is>
      </c>
      <c r="R253" s="106" t="inlineStr">
        <is>
          <t>NO</t>
        </is>
      </c>
      <c r="S253" s="105" t="n">
        <v>-1</v>
      </c>
      <c r="T253" s="107" t="n">
        <v>-0.031082</v>
      </c>
      <c r="U253" s="130" t="inlineStr">
        <is>
          <t>w=[0.55,0.45,0,0] thr=(+0.25,-0.05), deployed default (risk-accepted, PSR=0.0/perm p=0.150 at N=161, not rechecked at N=268)</t>
        </is>
      </c>
      <c r="W253" t="inlineStr">
        <is>
          <t>price signal, re-derived — only this window shows an abnormal move</t>
        </is>
      </c>
      <c r="X253" t="inlineStr">
        <is>
          <t>STAN.L</t>
        </is>
      </c>
      <c r="Y253" t="inlineStr">
        <is>
          <t>2025-05-01</t>
        </is>
      </c>
      <c r="Z253" t="n">
        <v>1096.4708</v>
      </c>
      <c r="AA253" t="inlineStr">
        <is>
          <t>2025-05-02</t>
        </is>
      </c>
      <c r="AB253" t="n">
        <v>1129.4549</v>
      </c>
      <c r="AC253" t="n">
        <v>0.03008204457183445</v>
      </c>
      <c r="AD253" t="inlineStr">
        <is>
          <t>UP</t>
        </is>
      </c>
      <c r="AE253" t="inlineStr">
        <is>
          <t>NO</t>
        </is>
      </c>
      <c r="AF253" t="n">
        <v>-0.031082</v>
      </c>
      <c r="AG253">
        <f>IF($A253="","",IFERROR(INDEX(Company_List!$G$3:$G$207,MATCH($A253,Company_List!$A$3:$A$207,0)),"unassigned"))</f>
        <v/>
      </c>
      <c r="AH253"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J253" t="inlineStr">
        <is>
          <t>whole bundle (Document = All)</t>
        </is>
      </c>
      <c r="AK253">
        <f>IF($A253="","",IF(COUNTIFS(Human_Data_Entry!$A$3:$A$525,$A253)&gt;0,"YES","NO"))</f>
        <v/>
      </c>
      <c r="AL253">
        <f>IF($A253="","",IF(AND($C253&amp;"-"&amp;$D253&gt;=Settings!$B$19,$C253&amp;"-"&amp;$D253&lt;=Settings!$B$20),"IN","OUT"))</f>
        <v/>
      </c>
      <c r="AM253">
        <f>IF(AND(OR($H253="BUY",$H253="SELL"),ISNUMBER($T253)),$T253,"")</f>
        <v/>
      </c>
      <c r="AN253">
        <f>IF(AND(OR($H253="BUY",$H253="SELL"),ISNUMBER($AF253)),$AF253,"")</f>
        <v/>
      </c>
      <c r="AO253">
        <f>IF(ISNUMBER($AM253),ABS(IF(ISNUMBER($G253),$G253,0)-Settings!$B$25),"")</f>
        <v/>
      </c>
      <c r="AP253">
        <f>IF(ISNUMBER($AO253),$AO253*$AM253,"")</f>
        <v/>
      </c>
      <c r="AQ253">
        <f>IF(ISNUMBER($AN253),ABS(IF(ISNUMBER($G253),$G253,0)-Settings!$B$25),"")</f>
        <v/>
      </c>
      <c r="AR253">
        <f>IF(ISNUMBER($AQ253),$AQ253*$AN253,"")</f>
        <v/>
      </c>
      <c r="AS253">
        <f>IF($A253="","",IFERROR(INDEX(Company_List!$H$3:$H$207,MATCH($A253,Company_List!$A$3:$A$207,0)),"unassigned"))</f>
        <v/>
      </c>
      <c r="AT253" t="inlineStr">
        <is>
          <t>not in v1</t>
        </is>
      </c>
      <c r="AU253" t="inlineStr">
        <is>
          <t>no earlier record</t>
        </is>
      </c>
      <c r="AV253" t="n">
        <v>4</v>
      </c>
      <c r="AW253" t="inlineStr">
        <is>
          <t>not publisher-identified</t>
        </is>
      </c>
      <c r="AX253" t="inlineStr">
        <is>
          <t>not publisher-identified</t>
        </is>
      </c>
      <c r="AY253" t="inlineStr">
        <is>
          <t>no</t>
        </is>
      </c>
      <c r="AZ253" t="inlineStr">
        <is>
          <t>no</t>
        </is>
      </c>
    </row>
    <row r="254">
      <c r="A254" s="115" t="inlineStr">
        <is>
          <t>Standard Chartered</t>
        </is>
      </c>
      <c r="B254" s="117" t="inlineStr">
        <is>
          <t>STAN.L</t>
        </is>
      </c>
      <c r="C254" s="105" t="n">
        <v>2025</v>
      </c>
      <c r="D254" s="106" t="inlineStr">
        <is>
          <t>Q2</t>
        </is>
      </c>
      <c r="E254" s="109" t="inlineStr">
        <is>
          <t>Ben/DeepSeek</t>
        </is>
      </c>
      <c r="F254" s="106" t="inlineStr">
        <is>
          <t>LLM</t>
        </is>
      </c>
      <c r="G254" s="128" t="n">
        <v>0.2375</v>
      </c>
      <c r="H254" s="106" t="inlineStr">
        <is>
          <t>HOLD</t>
        </is>
      </c>
      <c r="I254" s="128" t="n"/>
      <c r="J254" s="125" t="n">
        <v>45869</v>
      </c>
      <c r="K254" s="126" t="n">
        <v>45868</v>
      </c>
      <c r="L254" s="129" t="n">
        <v>1370</v>
      </c>
      <c r="M254" s="126" t="n">
        <v>45869</v>
      </c>
      <c r="N254" s="129" t="n">
        <v>1382</v>
      </c>
      <c r="O254" s="132" t="n">
        <v>0.046005</v>
      </c>
      <c r="P254" s="107" t="n">
        <v>0.008758999999999999</v>
      </c>
      <c r="Q254" s="106" t="inlineStr">
        <is>
          <t>FLAT</t>
        </is>
      </c>
      <c r="R254" s="106" t="inlineStr">
        <is>
          <t>YES</t>
        </is>
      </c>
      <c r="S254" s="105" t="n">
        <v>0</v>
      </c>
      <c r="T254" s="107" t="n">
        <v>0</v>
      </c>
      <c r="U254" s="130" t="inlineStr">
        <is>
          <t>w=[0.55,0.45,0,0] thr=(+0.25,-0.05), deployed default (risk-accepted, PSR=0.0/perm p=0.150 at N=161, not rechecked at N=268)</t>
        </is>
      </c>
      <c r="W254" t="inlineStr">
        <is>
          <t>earnings calendar, seconded independently (section C)</t>
        </is>
      </c>
      <c r="X254" t="inlineStr">
        <is>
          <t>STAN.L</t>
        </is>
      </c>
      <c r="Y254" t="inlineStr">
        <is>
          <t>2025-07-30</t>
        </is>
      </c>
      <c r="Z254" t="n">
        <v>1369.3391</v>
      </c>
      <c r="AA254" t="inlineStr">
        <is>
          <t>2025-07-31</t>
        </is>
      </c>
      <c r="AB254" t="n">
        <v>1381.3333</v>
      </c>
      <c r="AC254" t="n">
        <v>0.008759075270697355</v>
      </c>
      <c r="AD254" t="inlineStr">
        <is>
          <t>FLAT</t>
        </is>
      </c>
      <c r="AE254" t="inlineStr">
        <is>
          <t>YES</t>
        </is>
      </c>
      <c r="AF254" t="n">
        <v>0</v>
      </c>
      <c r="AG254">
        <f>IF($A254="","",IFERROR(INDEX(Company_List!$G$3:$G$207,MATCH($A254,Company_List!$A$3:$A$207,0)),"unassigned"))</f>
        <v/>
      </c>
      <c r="AH254"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J254" t="inlineStr">
        <is>
          <t>whole bundle (Document = All)</t>
        </is>
      </c>
      <c r="AK254">
        <f>IF($A254="","",IF(COUNTIFS(Human_Data_Entry!$A$3:$A$525,$A254)&gt;0,"YES","NO"))</f>
        <v/>
      </c>
      <c r="AL254">
        <f>IF($A254="","",IF(AND($C254&amp;"-"&amp;$D254&gt;=Settings!$B$19,$C254&amp;"-"&amp;$D254&lt;=Settings!$B$20),"IN","OUT"))</f>
        <v/>
      </c>
      <c r="AM254">
        <f>IF(AND(OR($H254="BUY",$H254="SELL"),ISNUMBER($T254)),$T254,"")</f>
        <v/>
      </c>
      <c r="AN254">
        <f>IF(AND(OR($H254="BUY",$H254="SELL"),ISNUMBER($AF254)),$AF254,"")</f>
        <v/>
      </c>
      <c r="AO254">
        <f>IF(ISNUMBER($AM254),ABS(IF(ISNUMBER($G254),$G254,0)-Settings!$B$25),"")</f>
        <v/>
      </c>
      <c r="AP254">
        <f>IF(ISNUMBER($AO254),$AO254*$AM254,"")</f>
        <v/>
      </c>
      <c r="AQ254">
        <f>IF(ISNUMBER($AN254),ABS(IF(ISNUMBER($G254),$G254,0)-Settings!$B$25),"")</f>
        <v/>
      </c>
      <c r="AR254">
        <f>IF(ISNUMBER($AQ254),$AQ254*$AN254,"")</f>
        <v/>
      </c>
      <c r="AS254">
        <f>IF($A254="","",IFERROR(INDEX(Company_List!$H$3:$H$207,MATCH($A254,Company_List!$A$3:$A$207,0)),"unassigned"))</f>
        <v/>
      </c>
      <c r="AT254" t="inlineStr">
        <is>
          <t>not in v1</t>
        </is>
      </c>
      <c r="AU254" t="inlineStr">
        <is>
          <t>no earlier record</t>
        </is>
      </c>
      <c r="AV254" t="n">
        <v>6</v>
      </c>
      <c r="AW254" t="inlineStr">
        <is>
          <t>not publisher-identified</t>
        </is>
      </c>
      <c r="AX254" t="inlineStr">
        <is>
          <t>not publisher-identified</t>
        </is>
      </c>
      <c r="AY254" t="inlineStr">
        <is>
          <t>no</t>
        </is>
      </c>
      <c r="AZ254" t="inlineStr">
        <is>
          <t>no</t>
        </is>
      </c>
    </row>
    <row r="255">
      <c r="A255" s="115" t="inlineStr">
        <is>
          <t>Standard Chartered</t>
        </is>
      </c>
      <c r="B255" s="117" t="inlineStr">
        <is>
          <t>STAN.L</t>
        </is>
      </c>
      <c r="C255" s="105" t="n">
        <v>2025</v>
      </c>
      <c r="D255" s="106" t="inlineStr">
        <is>
          <t>Q3</t>
        </is>
      </c>
      <c r="E255" s="109" t="inlineStr">
        <is>
          <t>Ben/DeepSeek</t>
        </is>
      </c>
      <c r="F255" s="106" t="inlineStr">
        <is>
          <t>LLM</t>
        </is>
      </c>
      <c r="G255" s="128" t="n">
        <v>0.4375</v>
      </c>
      <c r="H255" s="106" t="inlineStr">
        <is>
          <t>BUY</t>
        </is>
      </c>
      <c r="I255" s="128" t="n"/>
      <c r="J255" s="125" t="n">
        <v>45960</v>
      </c>
      <c r="K255" s="126" t="n">
        <v>45959</v>
      </c>
      <c r="L255" s="129" t="n">
        <v>1516</v>
      </c>
      <c r="M255" s="126" t="n">
        <v>45960</v>
      </c>
      <c r="N255" s="129" t="n">
        <v>1545</v>
      </c>
      <c r="O255" s="132" t="n">
        <v>0.015278</v>
      </c>
      <c r="P255" s="107" t="n">
        <v>0.019129</v>
      </c>
      <c r="Q255" s="106" t="inlineStr">
        <is>
          <t>FLAT</t>
        </is>
      </c>
      <c r="R255" s="106" t="inlineStr">
        <is>
          <t>NO</t>
        </is>
      </c>
      <c r="S255" s="105" t="n">
        <v>1</v>
      </c>
      <c r="T255" s="107" t="n">
        <v>0.018129</v>
      </c>
      <c r="U255" s="130" t="inlineStr">
        <is>
          <t>w=[0.55,0.45,0,0] thr=(+0.25,-0.05), deployed default (risk-accepted, PSR=0.0/perm p=0.150 at N=161, not rechecked at N=268)</t>
        </is>
      </c>
      <c r="W255" t="inlineStr">
        <is>
          <t>price signal, re-derived — only this window shows an abnormal move</t>
        </is>
      </c>
      <c r="X255" t="inlineStr">
        <is>
          <t>STAN.L</t>
        </is>
      </c>
      <c r="Y255" t="inlineStr">
        <is>
          <t>2025-10-29</t>
        </is>
      </c>
      <c r="Z255" t="n">
        <v>1515.4047</v>
      </c>
      <c r="AA255" t="inlineStr">
        <is>
          <t>2025-10-30</t>
        </is>
      </c>
      <c r="AB255" t="n">
        <v>1544.3933</v>
      </c>
      <c r="AC255" t="n">
        <v>0.01912928282114879</v>
      </c>
      <c r="AD255" t="inlineStr">
        <is>
          <t>FLAT</t>
        </is>
      </c>
      <c r="AE255" t="inlineStr">
        <is>
          <t>NO</t>
        </is>
      </c>
      <c r="AF255" t="n">
        <v>0.018129</v>
      </c>
      <c r="AG255">
        <f>IF($A255="","",IFERROR(INDEX(Company_List!$G$3:$G$207,MATCH($A255,Company_List!$A$3:$A$207,0)),"unassigned"))</f>
        <v/>
      </c>
      <c r="AH255"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J255" t="inlineStr">
        <is>
          <t>whole bundle (Document = All)</t>
        </is>
      </c>
      <c r="AK255">
        <f>IF($A255="","",IF(COUNTIFS(Human_Data_Entry!$A$3:$A$525,$A255)&gt;0,"YES","NO"))</f>
        <v/>
      </c>
      <c r="AL255">
        <f>IF($A255="","",IF(AND($C255&amp;"-"&amp;$D255&gt;=Settings!$B$19,$C255&amp;"-"&amp;$D255&lt;=Settings!$B$20),"IN","OUT"))</f>
        <v/>
      </c>
      <c r="AM255">
        <f>IF(AND(OR($H255="BUY",$H255="SELL"),ISNUMBER($T255)),$T255,"")</f>
        <v/>
      </c>
      <c r="AN255">
        <f>IF(AND(OR($H255="BUY",$H255="SELL"),ISNUMBER($AF255)),$AF255,"")</f>
        <v/>
      </c>
      <c r="AO255">
        <f>IF(ISNUMBER($AM255),ABS(IF(ISNUMBER($G255),$G255,0)-Settings!$B$25),"")</f>
        <v/>
      </c>
      <c r="AP255">
        <f>IF(ISNUMBER($AO255),$AO255*$AM255,"")</f>
        <v/>
      </c>
      <c r="AQ255">
        <f>IF(ISNUMBER($AN255),ABS(IF(ISNUMBER($G255),$G255,0)-Settings!$B$25),"")</f>
        <v/>
      </c>
      <c r="AR255">
        <f>IF(ISNUMBER($AQ255),$AQ255*$AN255,"")</f>
        <v/>
      </c>
      <c r="AS255">
        <f>IF($A255="","",IFERROR(INDEX(Company_List!$H$3:$H$207,MATCH($A255,Company_List!$A$3:$A$207,0)),"unassigned"))</f>
        <v/>
      </c>
      <c r="AT255" t="inlineStr">
        <is>
          <t>not in v1</t>
        </is>
      </c>
      <c r="AU255" t="inlineStr">
        <is>
          <t>no earlier record</t>
        </is>
      </c>
      <c r="AV255" t="n">
        <v>4</v>
      </c>
      <c r="AW255" t="inlineStr">
        <is>
          <t>not publisher-identified</t>
        </is>
      </c>
      <c r="AX255" t="inlineStr">
        <is>
          <t>not publisher-identified</t>
        </is>
      </c>
      <c r="AY255" t="inlineStr">
        <is>
          <t>no</t>
        </is>
      </c>
      <c r="AZ255" t="inlineStr">
        <is>
          <t>no</t>
        </is>
      </c>
    </row>
    <row r="256">
      <c r="A256" s="115" t="inlineStr">
        <is>
          <t>Standard Chartered</t>
        </is>
      </c>
      <c r="B256" s="117" t="inlineStr">
        <is>
          <t>STAN.L</t>
        </is>
      </c>
      <c r="C256" s="105" t="n">
        <v>2025</v>
      </c>
      <c r="D256" s="106" t="inlineStr">
        <is>
          <t>Q4</t>
        </is>
      </c>
      <c r="E256" s="109" t="inlineStr">
        <is>
          <t>Ben/DeepSeek</t>
        </is>
      </c>
      <c r="F256" s="106" t="inlineStr">
        <is>
          <t>LLM</t>
        </is>
      </c>
      <c r="G256" s="128" t="n">
        <v>0.1475</v>
      </c>
      <c r="H256" s="106" t="inlineStr">
        <is>
          <t>HOLD</t>
        </is>
      </c>
      <c r="I256" s="128" t="n"/>
      <c r="J256" s="125" t="n">
        <v>46076</v>
      </c>
      <c r="K256" s="126" t="n">
        <v>46073</v>
      </c>
      <c r="L256" s="129" t="n">
        <v>1802</v>
      </c>
      <c r="M256" s="126" t="n">
        <v>46076</v>
      </c>
      <c r="N256" s="129" t="n">
        <v>1811.5</v>
      </c>
      <c r="O256" s="132" t="n">
        <v>0.011402</v>
      </c>
      <c r="P256" s="107" t="n">
        <v>0.005272</v>
      </c>
      <c r="Q256" s="106" t="inlineStr">
        <is>
          <t>FLAT</t>
        </is>
      </c>
      <c r="R256" s="106" t="inlineStr">
        <is>
          <t>YES</t>
        </is>
      </c>
      <c r="S256" s="105" t="n">
        <v>0</v>
      </c>
      <c r="T256" s="107" t="n">
        <v>0</v>
      </c>
      <c r="U256" s="130" t="inlineStr">
        <is>
          <t>w=[0.55,0.45,0,0] thr=(+0.25,-0.05), deployed default (risk-accepted, PSR=0.0/perm p=0.150 at N=161, not rechecked at N=268)</t>
        </is>
      </c>
      <c r="W256" t="inlineStr">
        <is>
          <t>earnings calendar, seconded independently (section C)</t>
        </is>
      </c>
      <c r="X256" t="inlineStr">
        <is>
          <t>STAN.L</t>
        </is>
      </c>
      <c r="Y256" t="inlineStr">
        <is>
          <t>2026-02-23</t>
        </is>
      </c>
      <c r="Z256" t="n">
        <v>1814.7871</v>
      </c>
      <c r="AA256" t="inlineStr">
        <is>
          <t>2026-02-24</t>
        </is>
      </c>
      <c r="AB256" t="n">
        <v>1813.2877</v>
      </c>
      <c r="AC256" t="n">
        <v>-0.000826235286229728</v>
      </c>
      <c r="AD256" t="inlineStr">
        <is>
          <t>FLAT</t>
        </is>
      </c>
      <c r="AE256" t="inlineStr">
        <is>
          <t>YES</t>
        </is>
      </c>
      <c r="AF256" t="n">
        <v>0</v>
      </c>
      <c r="AG256">
        <f>IF($A256="","",IFERROR(INDEX(Company_List!$G$3:$G$207,MATCH($A256,Company_List!$A$3:$A$207,0)),"unassigned"))</f>
        <v/>
      </c>
      <c r="AH256"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J256" t="inlineStr">
        <is>
          <t>whole bundle (Document = All)</t>
        </is>
      </c>
      <c r="AK256">
        <f>IF($A256="","",IF(COUNTIFS(Human_Data_Entry!$A$3:$A$525,$A256)&gt;0,"YES","NO"))</f>
        <v/>
      </c>
      <c r="AL256">
        <f>IF($A256="","",IF(AND($C256&amp;"-"&amp;$D256&gt;=Settings!$B$19,$C256&amp;"-"&amp;$D256&lt;=Settings!$B$20),"IN","OUT"))</f>
        <v/>
      </c>
      <c r="AM256">
        <f>IF(AND(OR($H256="BUY",$H256="SELL"),ISNUMBER($T256)),$T256,"")</f>
        <v/>
      </c>
      <c r="AN256">
        <f>IF(AND(OR($H256="BUY",$H256="SELL"),ISNUMBER($AF256)),$AF256,"")</f>
        <v/>
      </c>
      <c r="AO256">
        <f>IF(ISNUMBER($AM256),ABS(IF(ISNUMBER($G256),$G256,0)-Settings!$B$25),"")</f>
        <v/>
      </c>
      <c r="AP256">
        <f>IF(ISNUMBER($AO256),$AO256*$AM256,"")</f>
        <v/>
      </c>
      <c r="AQ256">
        <f>IF(ISNUMBER($AN256),ABS(IF(ISNUMBER($G256),$G256,0)-Settings!$B$25),"")</f>
        <v/>
      </c>
      <c r="AR256">
        <f>IF(ISNUMBER($AQ256),$AQ256*$AN256,"")</f>
        <v/>
      </c>
      <c r="AS256">
        <f>IF($A256="","",IFERROR(INDEX(Company_List!$H$3:$H$207,MATCH($A256,Company_List!$A$3:$A$207,0)),"unassigned"))</f>
        <v/>
      </c>
      <c r="AT256" t="inlineStr">
        <is>
          <t>not in v1</t>
        </is>
      </c>
      <c r="AU256" t="inlineStr">
        <is>
          <t>no earlier record</t>
        </is>
      </c>
      <c r="AV256" t="n">
        <v>8</v>
      </c>
      <c r="AW256" t="inlineStr">
        <is>
          <t>not publisher-identified</t>
        </is>
      </c>
      <c r="AX256" t="inlineStr">
        <is>
          <t>not publisher-identified</t>
        </is>
      </c>
      <c r="AY256" t="inlineStr">
        <is>
          <t>no</t>
        </is>
      </c>
      <c r="AZ256" t="inlineStr">
        <is>
          <t>no</t>
        </is>
      </c>
    </row>
    <row r="257">
      <c r="A257" s="115" t="inlineStr">
        <is>
          <t>Starbucks</t>
        </is>
      </c>
      <c r="B257" s="117" t="inlineStr">
        <is>
          <t>SBUX</t>
        </is>
      </c>
      <c r="C257" s="105" t="n">
        <v>2026</v>
      </c>
      <c r="D257" s="106" t="inlineStr">
        <is>
          <t>Q1</t>
        </is>
      </c>
      <c r="E257" s="109" t="inlineStr">
        <is>
          <t>Ben/DeepSeek</t>
        </is>
      </c>
      <c r="F257" s="106" t="inlineStr">
        <is>
          <t>LLM</t>
        </is>
      </c>
      <c r="G257" s="128" t="n">
        <v>0.25</v>
      </c>
      <c r="H257" s="106" t="inlineStr">
        <is>
          <t>HOLD</t>
        </is>
      </c>
      <c r="I257" s="128" t="n"/>
      <c r="J257" s="125" t="n">
        <v>46050</v>
      </c>
      <c r="K257" s="126" t="n">
        <v>46050</v>
      </c>
      <c r="L257" s="129" t="n">
        <v>95.16</v>
      </c>
      <c r="M257" s="126" t="n">
        <v>46051</v>
      </c>
      <c r="N257" s="129" t="n">
        <v>96.76000000000001</v>
      </c>
      <c r="O257" s="132" t="n">
        <v>0.00523</v>
      </c>
      <c r="P257" s="107" t="n">
        <v>0.016814</v>
      </c>
      <c r="Q257" s="106" t="inlineStr">
        <is>
          <t>FLAT</t>
        </is>
      </c>
      <c r="R257" s="106" t="inlineStr">
        <is>
          <t>YES</t>
        </is>
      </c>
      <c r="S257" s="105" t="n">
        <v>0</v>
      </c>
      <c r="T257" s="107" t="n">
        <v>0</v>
      </c>
      <c r="U257" s="130" t="inlineStr">
        <is>
          <t>w=[0.55,0.45,0,0] thr=(+0.25,-0.05), deployed default (risk-accepted, PSR=0.0/perm p=0.150 at N=161, not rechecked at N=268)</t>
        </is>
      </c>
      <c r="W257" t="inlineStr">
        <is>
          <t>price signal — both moved; this one dominates</t>
        </is>
      </c>
      <c r="X257" t="inlineStr">
        <is>
          <t>SBUX</t>
        </is>
      </c>
      <c r="Y257" t="inlineStr">
        <is>
          <t>2026-01-27</t>
        </is>
      </c>
      <c r="Z257" t="n">
        <v>94.55249999999999</v>
      </c>
      <c r="AA257" t="inlineStr">
        <is>
          <t>2026-01-28</t>
        </is>
      </c>
      <c r="AB257" t="n">
        <v>101.0522</v>
      </c>
      <c r="AC257" t="n">
        <v>0.06874215692255159</v>
      </c>
      <c r="AD257" t="inlineStr">
        <is>
          <t>UP</t>
        </is>
      </c>
      <c r="AE257" t="inlineStr">
        <is>
          <t>NO</t>
        </is>
      </c>
      <c r="AF257" t="n">
        <v>0</v>
      </c>
      <c r="AG257">
        <f>IF($A257="","",IFERROR(INDEX(Company_List!$G$3:$G$207,MATCH($A257,Company_List!$A$3:$A$207,0)),"unassigned"))</f>
        <v/>
      </c>
      <c r="AH257" t="inlineStr">
        <is>
          <t>Phase 2/Starbucks/2026-Q1/SBUX-2026-Q1-press-release-SEC-EX-99-1.htm</t>
        </is>
      </c>
      <c r="AI257" t="inlineStr">
        <is>
          <t>https://www.sec.gov/Archives/edgar/data/829224/000082922426000010/sbux-12282025xearningsrele.htm</t>
        </is>
      </c>
      <c r="AJ257" t="inlineStr">
        <is>
          <t>manifest</t>
        </is>
      </c>
      <c r="AK257">
        <f>IF($A257="","",IF(COUNTIFS(Human_Data_Entry!$A$3:$A$525,$A257)&gt;0,"YES","NO"))</f>
        <v/>
      </c>
      <c r="AL257">
        <f>IF($A257="","",IF(AND($C257&amp;"-"&amp;$D257&gt;=Settings!$B$19,$C257&amp;"-"&amp;$D257&lt;=Settings!$B$20),"IN","OUT"))</f>
        <v/>
      </c>
      <c r="AM257">
        <f>IF(AND(OR($H257="BUY",$H257="SELL"),ISNUMBER($T257)),$T257,"")</f>
        <v/>
      </c>
      <c r="AN257">
        <f>IF(AND(OR($H257="BUY",$H257="SELL"),ISNUMBER($AF257)),$AF257,"")</f>
        <v/>
      </c>
      <c r="AO257">
        <f>IF(ISNUMBER($AM257),ABS(IF(ISNUMBER($G257),$G257,0)-Settings!$B$25),"")</f>
        <v/>
      </c>
      <c r="AP257">
        <f>IF(ISNUMBER($AO257),$AO257*$AM257,"")</f>
        <v/>
      </c>
      <c r="AQ257">
        <f>IF(ISNUMBER($AN257),ABS(IF(ISNUMBER($G257),$G257,0)-Settings!$B$25),"")</f>
        <v/>
      </c>
      <c r="AR257">
        <f>IF(ISNUMBER($AQ257),$AQ257*$AN257,"")</f>
        <v/>
      </c>
      <c r="AS257">
        <f>IF($A257="","",IFERROR(INDEX(Company_List!$H$3:$H$207,MATCH($A257,Company_List!$A$3:$A$207,0)),"unassigned"))</f>
        <v/>
      </c>
      <c r="AT257" t="inlineStr">
        <is>
          <t>not in v1</t>
        </is>
      </c>
      <c r="AU257" t="inlineStr">
        <is>
          <t>no earlier record</t>
        </is>
      </c>
      <c r="AV257" t="n">
        <v>1</v>
      </c>
      <c r="AW257" t="inlineStr">
        <is>
          <t>not publisher-identified</t>
        </is>
      </c>
      <c r="AX257" t="inlineStr">
        <is>
          <t>not publisher-identified</t>
        </is>
      </c>
      <c r="AY257" t="inlineStr">
        <is>
          <t>no</t>
        </is>
      </c>
      <c r="AZ257" t="inlineStr">
        <is>
          <t>yes</t>
        </is>
      </c>
    </row>
    <row r="258">
      <c r="A258" s="115" t="inlineStr">
        <is>
          <t>Starbucks</t>
        </is>
      </c>
      <c r="B258" s="117" t="inlineStr">
        <is>
          <t>SBUX</t>
        </is>
      </c>
      <c r="C258" s="105" t="n">
        <v>2025</v>
      </c>
      <c r="D258" s="106" t="inlineStr">
        <is>
          <t>Q3</t>
        </is>
      </c>
      <c r="E258" s="109" t="inlineStr">
        <is>
          <t>Ben/DeepSeek</t>
        </is>
      </c>
      <c r="F258" s="106" t="inlineStr">
        <is>
          <t>LLM</t>
        </is>
      </c>
      <c r="G258" s="128" t="n">
        <v>-0.01</v>
      </c>
      <c r="H258" s="106" t="inlineStr">
        <is>
          <t>HOLD</t>
        </is>
      </c>
      <c r="I258" s="128" t="n"/>
      <c r="J258" s="125" t="n">
        <v>45867</v>
      </c>
      <c r="K258" s="126" t="n">
        <v>45867</v>
      </c>
      <c r="L258" s="129" t="n">
        <v>92.95999999999999</v>
      </c>
      <c r="M258" s="126" t="n">
        <v>45868</v>
      </c>
      <c r="N258" s="129" t="n">
        <v>97.83</v>
      </c>
      <c r="O258" s="132" t="n">
        <v>0.008919</v>
      </c>
      <c r="P258" s="107" t="n">
        <v>0.052388</v>
      </c>
      <c r="Q258" s="106" t="inlineStr">
        <is>
          <t>UP</t>
        </is>
      </c>
      <c r="R258" s="106" t="inlineStr">
        <is>
          <t>NO</t>
        </is>
      </c>
      <c r="S258" s="105" t="n">
        <v>0</v>
      </c>
      <c r="T258" s="107" t="n">
        <v>0</v>
      </c>
      <c r="U258" s="130" t="inlineStr">
        <is>
          <t>w=[0.55,0.45,0,0] thr=(+0.25,-0.05), deployed default (risk-accepted, PSR=0.0/perm p=0.150 at N=161, not rechecked at N=268)</t>
        </is>
      </c>
      <c r="W258" t="inlineStr">
        <is>
          <t>release date + stated time in the document (rater worksheet)</t>
        </is>
      </c>
      <c r="X258" t="inlineStr">
        <is>
          <t>SBUX</t>
        </is>
      </c>
      <c r="Y258" t="inlineStr">
        <is>
          <t>2025-07-29</t>
        </is>
      </c>
      <c r="Z258" t="n">
        <v>90.5699</v>
      </c>
      <c r="AA258" t="inlineStr">
        <is>
          <t>2025-07-30</t>
        </is>
      </c>
      <c r="AB258" t="n">
        <v>95.3147</v>
      </c>
      <c r="AC258" t="n">
        <v>0.05238815541756649</v>
      </c>
      <c r="AD258" t="inlineStr">
        <is>
          <t>UP</t>
        </is>
      </c>
      <c r="AE258" t="inlineStr">
        <is>
          <t>NO</t>
        </is>
      </c>
      <c r="AF258" t="n">
        <v>0</v>
      </c>
      <c r="AG258">
        <f>IF($A258="","",IFERROR(INDEX(Company_List!$G$3:$G$207,MATCH($A258,Company_List!$A$3:$A$207,0)),"unassigned"))</f>
        <v/>
      </c>
      <c r="AH258" t="inlineStr">
        <is>
          <t>Phase 2/Starbucks/2025-Q3/SBUX-2025-Q3-press-release-SEC-EX-99-1.htm; Phase 2/Starbucks/2025-Q3/SBUX-2025-Q3-earnings-call-transcript-fool-com.html</t>
        </is>
      </c>
      <c r="AI258" t="inlineStr">
        <is>
          <t>https://www.fool.com/earnings/call-transcripts/2025/08/05/starbucks-sbux-q3-2025-earnings-call-transcript/; https://www.sec.gov/Archives/edgar/data/829224/000082922425000057/sbux-06292025xexhibit991.htm</t>
        </is>
      </c>
      <c r="AJ258" t="inlineStr">
        <is>
          <t>manifest (whole bundle)</t>
        </is>
      </c>
      <c r="AK258">
        <f>IF($A258="","",IF(COUNTIFS(Human_Data_Entry!$A$3:$A$525,$A258)&gt;0,"YES","NO"))</f>
        <v/>
      </c>
      <c r="AL258">
        <f>IF($A258="","",IF(AND($C258&amp;"-"&amp;$D258&gt;=Settings!$B$19,$C258&amp;"-"&amp;$D258&lt;=Settings!$B$20),"IN","OUT"))</f>
        <v/>
      </c>
      <c r="AM258">
        <f>IF(AND(OR($H258="BUY",$H258="SELL"),ISNUMBER($T258)),$T258,"")</f>
        <v/>
      </c>
      <c r="AN258">
        <f>IF(AND(OR($H258="BUY",$H258="SELL"),ISNUMBER($AF258)),$AF258,"")</f>
        <v/>
      </c>
      <c r="AO258">
        <f>IF(ISNUMBER($AM258),ABS(IF(ISNUMBER($G258),$G258,0)-Settings!$B$25),"")</f>
        <v/>
      </c>
      <c r="AP258">
        <f>IF(ISNUMBER($AO258),$AO258*$AM258,"")</f>
        <v/>
      </c>
      <c r="AQ258">
        <f>IF(ISNUMBER($AN258),ABS(IF(ISNUMBER($G258),$G258,0)-Settings!$B$25),"")</f>
        <v/>
      </c>
      <c r="AR258">
        <f>IF(ISNUMBER($AQ258),$AQ258*$AN258,"")</f>
        <v/>
      </c>
      <c r="AS258">
        <f>IF($A258="","",IFERROR(INDEX(Company_List!$H$3:$H$207,MATCH($A258,Company_List!$A$3:$A$207,0)),"unassigned"))</f>
        <v/>
      </c>
      <c r="AT258" t="inlineStr">
        <is>
          <t>not in v1</t>
        </is>
      </c>
      <c r="AU258" t="inlineStr">
        <is>
          <t>no earlier record</t>
        </is>
      </c>
      <c r="AV258" t="n">
        <v>2</v>
      </c>
      <c r="AW258" t="inlineStr">
        <is>
          <t>The Motley Fool</t>
        </is>
      </c>
      <c r="AX258" t="inlineStr">
        <is>
          <t>free to read, copyright asserted</t>
        </is>
      </c>
      <c r="AY258" t="inlineStr">
        <is>
          <t>no</t>
        </is>
      </c>
      <c r="AZ258" t="inlineStr">
        <is>
          <t>yes</t>
        </is>
      </c>
    </row>
    <row r="259">
      <c r="A259" s="115" t="inlineStr">
        <is>
          <t>Starbucks</t>
        </is>
      </c>
      <c r="B259" s="117" t="inlineStr">
        <is>
          <t>SBUX</t>
        </is>
      </c>
      <c r="C259" s="105" t="n">
        <v>2025</v>
      </c>
      <c r="D259" s="106" t="inlineStr">
        <is>
          <t>Q4</t>
        </is>
      </c>
      <c r="E259" s="109" t="inlineStr">
        <is>
          <t>Ben/DeepSeek</t>
        </is>
      </c>
      <c r="F259" s="106" t="inlineStr">
        <is>
          <t>LLM</t>
        </is>
      </c>
      <c r="G259" s="128" t="n">
        <v>0.2725</v>
      </c>
      <c r="H259" s="106" t="inlineStr">
        <is>
          <t>BUY</t>
        </is>
      </c>
      <c r="I259" s="128" t="n"/>
      <c r="J259" s="125" t="n">
        <v>45959</v>
      </c>
      <c r="K259" s="126" t="n">
        <v>45959</v>
      </c>
      <c r="L259" s="129" t="n">
        <v>84.17</v>
      </c>
      <c r="M259" s="126" t="n">
        <v>45960</v>
      </c>
      <c r="N259" s="129" t="n">
        <v>82.23</v>
      </c>
      <c r="O259" s="132" t="n">
        <v>0.010425</v>
      </c>
      <c r="P259" s="107" t="n">
        <v>-0.023049</v>
      </c>
      <c r="Q259" s="106" t="inlineStr">
        <is>
          <t>DOWN</t>
        </is>
      </c>
      <c r="R259" s="106" t="inlineStr">
        <is>
          <t>NO</t>
        </is>
      </c>
      <c r="S259" s="105" t="n">
        <v>1</v>
      </c>
      <c r="T259" s="107" t="n">
        <v>-0.024049</v>
      </c>
      <c r="U259" s="130" t="inlineStr">
        <is>
          <t>w=[0.55,0.45,0,0] thr=(+0.25,-0.05), deployed default (risk-accepted, PSR=0.0/perm p=0.150 at N=161, not rechecked at N=268)</t>
        </is>
      </c>
      <c r="W259" t="inlineStr">
        <is>
          <t>release date + stated time in the document (rater worksheet)</t>
        </is>
      </c>
      <c r="X259" t="inlineStr">
        <is>
          <t>SBUX</t>
        </is>
      </c>
      <c r="Y259" t="inlineStr">
        <is>
          <t>2025-10-29</t>
        </is>
      </c>
      <c r="Z259" t="n">
        <v>82.547</v>
      </c>
      <c r="AA259" t="inlineStr">
        <is>
          <t>2025-10-30</t>
        </is>
      </c>
      <c r="AB259" t="n">
        <v>80.6444</v>
      </c>
      <c r="AC259" t="n">
        <v>-0.02304853313775274</v>
      </c>
      <c r="AD259" t="inlineStr">
        <is>
          <t>DOWN</t>
        </is>
      </c>
      <c r="AE259" t="inlineStr">
        <is>
          <t>NO</t>
        </is>
      </c>
      <c r="AF259" t="n">
        <v>-0.024049</v>
      </c>
      <c r="AG259">
        <f>IF($A259="","",IFERROR(INDEX(Company_List!$G$3:$G$207,MATCH($A259,Company_List!$A$3:$A$207,0)),"unassigned"))</f>
        <v/>
      </c>
      <c r="AH259" t="inlineStr">
        <is>
          <t>Phase 2/Starbucks/2025-Q4/SBUX-2025-Q4-press-release-SEC-EX-99-1.htm; Phase 2/Starbucks/2025-Q4/SBUX-2025-Q4-earnings-call-transcript-fool-com.html</t>
        </is>
      </c>
      <c r="AI259" t="inlineStr">
        <is>
          <t>https://www.fool.com/earnings/call-transcripts/2025/10/29/starbucks-sbux-q4-2025-earnings-call-transcript/; https://www.sec.gov/Archives/edgar/data/829224/000082922425000074/sbux-09282025xexhibit991.htm</t>
        </is>
      </c>
      <c r="AJ259" t="inlineStr">
        <is>
          <t>manifest (whole bundle)</t>
        </is>
      </c>
      <c r="AK259">
        <f>IF($A259="","",IF(COUNTIFS(Human_Data_Entry!$A$3:$A$525,$A259)&gt;0,"YES","NO"))</f>
        <v/>
      </c>
      <c r="AL259">
        <f>IF($A259="","",IF(AND($C259&amp;"-"&amp;$D259&gt;=Settings!$B$19,$C259&amp;"-"&amp;$D259&lt;=Settings!$B$20),"IN","OUT"))</f>
        <v/>
      </c>
      <c r="AM259">
        <f>IF(AND(OR($H259="BUY",$H259="SELL"),ISNUMBER($T259)),$T259,"")</f>
        <v/>
      </c>
      <c r="AN259">
        <f>IF(AND(OR($H259="BUY",$H259="SELL"),ISNUMBER($AF259)),$AF259,"")</f>
        <v/>
      </c>
      <c r="AO259">
        <f>IF(ISNUMBER($AM259),ABS(IF(ISNUMBER($G259),$G259,0)-Settings!$B$25),"")</f>
        <v/>
      </c>
      <c r="AP259">
        <f>IF(ISNUMBER($AO259),$AO259*$AM259,"")</f>
        <v/>
      </c>
      <c r="AQ259">
        <f>IF(ISNUMBER($AN259),ABS(IF(ISNUMBER($G259),$G259,0)-Settings!$B$25),"")</f>
        <v/>
      </c>
      <c r="AR259">
        <f>IF(ISNUMBER($AQ259),$AQ259*$AN259,"")</f>
        <v/>
      </c>
      <c r="AS259">
        <f>IF($A259="","",IFERROR(INDEX(Company_List!$H$3:$H$207,MATCH($A259,Company_List!$A$3:$A$207,0)),"unassigned"))</f>
        <v/>
      </c>
      <c r="AT259" t="inlineStr">
        <is>
          <t>not in v1</t>
        </is>
      </c>
      <c r="AU259" t="inlineStr">
        <is>
          <t>no earlier record</t>
        </is>
      </c>
      <c r="AV259" t="n">
        <v>2</v>
      </c>
      <c r="AW259" t="inlineStr">
        <is>
          <t>The Motley Fool</t>
        </is>
      </c>
      <c r="AX259" t="inlineStr">
        <is>
          <t>free to read, copyright asserted</t>
        </is>
      </c>
      <c r="AY259" t="inlineStr">
        <is>
          <t>no</t>
        </is>
      </c>
      <c r="AZ259" t="inlineStr">
        <is>
          <t>yes</t>
        </is>
      </c>
    </row>
    <row r="260">
      <c r="A260" s="115" t="inlineStr">
        <is>
          <t>UnitedHealth</t>
        </is>
      </c>
      <c r="B260" s="117" t="inlineStr">
        <is>
          <t>UNH</t>
        </is>
      </c>
      <c r="C260" s="105" t="n">
        <v>2025</v>
      </c>
      <c r="D260" s="106" t="inlineStr">
        <is>
          <t>Q2</t>
        </is>
      </c>
      <c r="E260" s="109" t="inlineStr">
        <is>
          <t>Ben/DeepSeek</t>
        </is>
      </c>
      <c r="F260" s="106" t="inlineStr">
        <is>
          <t>LLM</t>
        </is>
      </c>
      <c r="G260" s="128" t="n">
        <v>-0.3675</v>
      </c>
      <c r="H260" s="106" t="inlineStr">
        <is>
          <t>SELL</t>
        </is>
      </c>
      <c r="I260" s="128" t="n"/>
      <c r="J260" s="125" t="n">
        <v>45867</v>
      </c>
      <c r="K260" s="126" t="n">
        <v>45866</v>
      </c>
      <c r="L260" s="129" t="n">
        <v>282.12</v>
      </c>
      <c r="M260" s="126" t="n">
        <v>45867</v>
      </c>
      <c r="N260" s="129" t="n">
        <v>265.7</v>
      </c>
      <c r="O260" s="132" t="n">
        <v>0.013237</v>
      </c>
      <c r="P260" s="107" t="n">
        <v>-0.058202</v>
      </c>
      <c r="Q260" s="106" t="inlineStr">
        <is>
          <t>DOWN</t>
        </is>
      </c>
      <c r="R260" s="106" t="inlineStr">
        <is>
          <t>YES</t>
        </is>
      </c>
      <c r="S260" s="105" t="n">
        <v>-1</v>
      </c>
      <c r="T260" s="107" t="n">
        <v>0.057202</v>
      </c>
      <c r="U260" s="130" t="inlineStr">
        <is>
          <t>w=[0.55,0.45,0,0] thr=(+0.25,-0.05), deployed default (risk-accepted, PSR=0.0/perm p=0.150 at N=161, not rechecked at N=268)</t>
        </is>
      </c>
      <c r="W260" t="inlineStr">
        <is>
          <t>price signal — both moved; this one dominates</t>
        </is>
      </c>
      <c r="X260" t="inlineStr">
        <is>
          <t>UNH</t>
        </is>
      </c>
      <c r="Y260" t="inlineStr">
        <is>
          <t>2025-07-28</t>
        </is>
      </c>
      <c r="Z260" t="n">
        <v>274.7614</v>
      </c>
      <c r="AA260" t="inlineStr">
        <is>
          <t>2025-07-29</t>
        </is>
      </c>
      <c r="AB260" t="n">
        <v>258.7697</v>
      </c>
      <c r="AC260" t="n">
        <v>-0.05820210764857895</v>
      </c>
      <c r="AD260" t="inlineStr">
        <is>
          <t>DOWN</t>
        </is>
      </c>
      <c r="AE260" t="inlineStr">
        <is>
          <t>YES</t>
        </is>
      </c>
      <c r="AF260" t="n">
        <v>0.057202</v>
      </c>
      <c r="AG260">
        <f>IF($A260="","",IFERROR(INDEX(Company_List!$G$3:$G$207,MATCH($A260,Company_List!$A$3:$A$207,0)),"unassigned"))</f>
        <v/>
      </c>
      <c r="AH260" t="inlineStr">
        <is>
          <t>Phase 2/Unitedhealth/2025-Q2/UNH-2025-Q2-press-release-SEC-EX-99-1.htm; Phase 2/Unitedhealth/2025-Q2/UNH-2025-Q2-earnings-call-transcript-unitedhealthgroup-com.pdf</t>
        </is>
      </c>
      <c r="AI260" t="inlineStr">
        <is>
          <t>https://www.sec.gov/Archives/edgar/data/731766/000073176625000228/a2025q2exhibit991.htm; https://www.unitedhealthgroup.com/content/dam/UHG/PDF/investors/2025/UNH-Q2-2025-Remarks.pdf</t>
        </is>
      </c>
      <c r="AJ260" t="inlineStr">
        <is>
          <t>manifest (whole bundle)</t>
        </is>
      </c>
      <c r="AK260">
        <f>IF($A260="","",IF(COUNTIFS(Human_Data_Entry!$A$3:$A$525,$A260)&gt;0,"YES","NO"))</f>
        <v/>
      </c>
      <c r="AL260">
        <f>IF($A260="","",IF(AND($C260&amp;"-"&amp;$D260&gt;=Settings!$B$19,$C260&amp;"-"&amp;$D260&lt;=Settings!$B$20),"IN","OUT"))</f>
        <v/>
      </c>
      <c r="AM260">
        <f>IF(AND(OR($H260="BUY",$H260="SELL"),ISNUMBER($T260)),$T260,"")</f>
        <v/>
      </c>
      <c r="AN260">
        <f>IF(AND(OR($H260="BUY",$H260="SELL"),ISNUMBER($AF260)),$AF260,"")</f>
        <v/>
      </c>
      <c r="AO260">
        <f>IF(ISNUMBER($AM260),ABS(IF(ISNUMBER($G260),$G260,0)-Settings!$B$25),"")</f>
        <v/>
      </c>
      <c r="AP260">
        <f>IF(ISNUMBER($AO260),$AO260*$AM260,"")</f>
        <v/>
      </c>
      <c r="AQ260">
        <f>IF(ISNUMBER($AN260),ABS(IF(ISNUMBER($G260),$G260,0)-Settings!$B$25),"")</f>
        <v/>
      </c>
      <c r="AR260">
        <f>IF(ISNUMBER($AQ260),$AQ260*$AN260,"")</f>
        <v/>
      </c>
      <c r="AS260">
        <f>IF($A260="","",IFERROR(INDEX(Company_List!$H$3:$H$207,MATCH($A260,Company_List!$A$3:$A$207,0)),"unassigned"))</f>
        <v/>
      </c>
      <c r="AT260" t="inlineStr">
        <is>
          <t>not in v1</t>
        </is>
      </c>
      <c r="AU260" t="inlineStr">
        <is>
          <t>no earlier record</t>
        </is>
      </c>
      <c r="AV260" t="n">
        <v>2</v>
      </c>
      <c r="AW260" t="inlineStr">
        <is>
          <t>not publisher-identified</t>
        </is>
      </c>
      <c r="AX260" t="inlineStr">
        <is>
          <t>not publisher-identified</t>
        </is>
      </c>
      <c r="AY260" t="inlineStr">
        <is>
          <t>no</t>
        </is>
      </c>
      <c r="AZ260" t="inlineStr">
        <is>
          <t>yes</t>
        </is>
      </c>
    </row>
    <row r="261">
      <c r="A261" s="115" t="inlineStr">
        <is>
          <t>UnitedHealth</t>
        </is>
      </c>
      <c r="B261" s="117" t="inlineStr">
        <is>
          <t>UNH</t>
        </is>
      </c>
      <c r="C261" s="105" t="n">
        <v>2025</v>
      </c>
      <c r="D261" s="106" t="inlineStr">
        <is>
          <t>Q3</t>
        </is>
      </c>
      <c r="E261" s="109" t="inlineStr">
        <is>
          <t>Ben/DeepSeek</t>
        </is>
      </c>
      <c r="F261" s="106" t="inlineStr">
        <is>
          <t>LLM</t>
        </is>
      </c>
      <c r="G261" s="128" t="n">
        <v>0.2725</v>
      </c>
      <c r="H261" s="106" t="inlineStr">
        <is>
          <t>BUY</t>
        </is>
      </c>
      <c r="I261" s="128" t="n"/>
      <c r="J261" s="125" t="n">
        <v>45958</v>
      </c>
      <c r="K261" s="126" t="n">
        <v>45957</v>
      </c>
      <c r="L261" s="129" t="n">
        <v>365.98</v>
      </c>
      <c r="M261" s="126" t="n">
        <v>45958</v>
      </c>
      <c r="N261" s="129" t="n">
        <v>380.68</v>
      </c>
      <c r="O261" s="132" t="n">
        <v>0.010862</v>
      </c>
      <c r="P261" s="107" t="n">
        <v>0.04016600000000001</v>
      </c>
      <c r="Q261" s="106" t="inlineStr">
        <is>
          <t>UP</t>
        </is>
      </c>
      <c r="R261" s="106" t="inlineStr">
        <is>
          <t>YES</t>
        </is>
      </c>
      <c r="S261" s="105" t="n">
        <v>1</v>
      </c>
      <c r="T261" s="107" t="n">
        <v>0.039166</v>
      </c>
      <c r="U261" s="130" t="inlineStr">
        <is>
          <t>w=[0.55,0.45,0,0] thr=(+0.25,-0.05), deployed default (risk-accepted, PSR=0.0/perm p=0.150 at N=161, not rechecked at N=268)</t>
        </is>
      </c>
      <c r="W261" t="inlineStr">
        <is>
          <t>release date + stated time in the document (rater worksheet)</t>
        </is>
      </c>
      <c r="X261" t="inlineStr">
        <is>
          <t>UNH</t>
        </is>
      </c>
      <c r="Y261" t="inlineStr">
        <is>
          <t>2025-10-27</t>
        </is>
      </c>
      <c r="Z261" t="n">
        <v>358.6828</v>
      </c>
      <c r="AA261" t="inlineStr">
        <is>
          <t>2025-10-28</t>
        </is>
      </c>
      <c r="AB261" t="n">
        <v>373.0897</v>
      </c>
      <c r="AC261" t="n">
        <v>0.04016609929361072</v>
      </c>
      <c r="AD261" t="inlineStr">
        <is>
          <t>UP</t>
        </is>
      </c>
      <c r="AE261" t="inlineStr">
        <is>
          <t>YES</t>
        </is>
      </c>
      <c r="AF261" t="n">
        <v>0.039166</v>
      </c>
      <c r="AG261">
        <f>IF($A261="","",IFERROR(INDEX(Company_List!$G$3:$G$207,MATCH($A261,Company_List!$A$3:$A$207,0)),"unassigned"))</f>
        <v/>
      </c>
      <c r="AH261" t="inlineStr">
        <is>
          <t>Phase 2/Unitedhealth/2025-Q3/UNH-2025-Q3-press-release-SEC-EX-99-1.htm; Phase 2/Unitedhealth/2025-Q3/UNH-2025-Q3-earnings-call-transcript-news-alphastreet-com.html; Phase 2/Unitedhealth/2025-Q3/UNH-2025-Q3-quarterly-financial-statements-SEC-10-Q.htm</t>
        </is>
      </c>
      <c r="AI261" t="inlineStr">
        <is>
          <t>https://news.alphastreet.com/unitedhealth-group-incorporated-unh-q3-2025-earnings-call-transcript/; https://www.sec.gov/Archives/edgar/data/731766/000073176625000301/a2025q3exhibit991.htm; https://www.sec.gov/Archives/edgar/data/731766/000073176625000305/unh-20250930.htm</t>
        </is>
      </c>
      <c r="AJ261" t="inlineStr">
        <is>
          <t>manifest (whole bundle)</t>
        </is>
      </c>
      <c r="AK261">
        <f>IF($A261="","",IF(COUNTIFS(Human_Data_Entry!$A$3:$A$525,$A261)&gt;0,"YES","NO"))</f>
        <v/>
      </c>
      <c r="AL261">
        <f>IF($A261="","",IF(AND($C261&amp;"-"&amp;$D261&gt;=Settings!$B$19,$C261&amp;"-"&amp;$D261&lt;=Settings!$B$20),"IN","OUT"))</f>
        <v/>
      </c>
      <c r="AM261">
        <f>IF(AND(OR($H261="BUY",$H261="SELL"),ISNUMBER($T261)),$T261,"")</f>
        <v/>
      </c>
      <c r="AN261">
        <f>IF(AND(OR($H261="BUY",$H261="SELL"),ISNUMBER($AF261)),$AF261,"")</f>
        <v/>
      </c>
      <c r="AO261">
        <f>IF(ISNUMBER($AM261),ABS(IF(ISNUMBER($G261),$G261,0)-Settings!$B$25),"")</f>
        <v/>
      </c>
      <c r="AP261">
        <f>IF(ISNUMBER($AO261),$AO261*$AM261,"")</f>
        <v/>
      </c>
      <c r="AQ261">
        <f>IF(ISNUMBER($AN261),ABS(IF(ISNUMBER($G261),$G261,0)-Settings!$B$25),"")</f>
        <v/>
      </c>
      <c r="AR261">
        <f>IF(ISNUMBER($AQ261),$AQ261*$AN261,"")</f>
        <v/>
      </c>
      <c r="AS261">
        <f>IF($A261="","",IFERROR(INDEX(Company_List!$H$3:$H$207,MATCH($A261,Company_List!$A$3:$A$207,0)),"unassigned"))</f>
        <v/>
      </c>
      <c r="AT261" t="inlineStr">
        <is>
          <t>not in v1</t>
        </is>
      </c>
      <c r="AU261" t="inlineStr">
        <is>
          <t>no earlier record</t>
        </is>
      </c>
      <c r="AV261" t="n">
        <v>3</v>
      </c>
      <c r="AW261" t="inlineStr">
        <is>
          <t>not publisher-identified</t>
        </is>
      </c>
      <c r="AX261" t="inlineStr">
        <is>
          <t>not publisher-identified</t>
        </is>
      </c>
      <c r="AY261" t="inlineStr">
        <is>
          <t>one of several</t>
        </is>
      </c>
      <c r="AZ261" t="inlineStr">
        <is>
          <t>yes</t>
        </is>
      </c>
    </row>
    <row r="262">
      <c r="A262" s="115" t="inlineStr">
        <is>
          <t>UnitedHealth</t>
        </is>
      </c>
      <c r="B262" s="117" t="inlineStr">
        <is>
          <t>UNH</t>
        </is>
      </c>
      <c r="C262" s="105" t="n">
        <v>2025</v>
      </c>
      <c r="D262" s="106" t="inlineStr">
        <is>
          <t>Q4</t>
        </is>
      </c>
      <c r="E262" s="109" t="inlineStr">
        <is>
          <t>Ben/DeepSeek</t>
        </is>
      </c>
      <c r="F262" s="106" t="inlineStr">
        <is>
          <t>LLM</t>
        </is>
      </c>
      <c r="G262" s="128" t="n">
        <v>-0.0525</v>
      </c>
      <c r="H262" s="106" t="inlineStr">
        <is>
          <t>SELL</t>
        </is>
      </c>
      <c r="I262" s="128" t="n"/>
      <c r="J262" s="125" t="n">
        <v>46049</v>
      </c>
      <c r="K262" s="126" t="n">
        <v>46048</v>
      </c>
      <c r="L262" s="129" t="n">
        <v>351.64</v>
      </c>
      <c r="M262" s="126" t="n">
        <v>46049</v>
      </c>
      <c r="N262" s="129" t="n">
        <v>293.97</v>
      </c>
      <c r="O262" s="132" t="n">
        <v>0.011878</v>
      </c>
      <c r="P262" s="107" t="n">
        <v>-0.164003</v>
      </c>
      <c r="Q262" s="106" t="inlineStr">
        <is>
          <t>DOWN</t>
        </is>
      </c>
      <c r="R262" s="106" t="inlineStr">
        <is>
          <t>YES</t>
        </is>
      </c>
      <c r="S262" s="105" t="n">
        <v>-1</v>
      </c>
      <c r="T262" s="107" t="n">
        <v>0.163003</v>
      </c>
      <c r="U262" s="130" t="inlineStr">
        <is>
          <t>w=[0.55,0.45,0,0] thr=(+0.25,-0.05), deployed default (risk-accepted, PSR=0.0/perm p=0.150 at N=161, not rechecked at N=268)</t>
        </is>
      </c>
      <c r="W262" t="inlineStr">
        <is>
          <t>price signal — only this window shows an abnormal move</t>
        </is>
      </c>
      <c r="X262" t="inlineStr">
        <is>
          <t>UNH</t>
        </is>
      </c>
      <c r="Y262" t="inlineStr">
        <is>
          <t>2026-01-26</t>
        </is>
      </c>
      <c r="Z262" t="n">
        <v>346.9458</v>
      </c>
      <c r="AA262" t="inlineStr">
        <is>
          <t>2026-01-27</t>
        </is>
      </c>
      <c r="AB262" t="n">
        <v>290.0456</v>
      </c>
      <c r="AC262" t="n">
        <v>-0.1640029927523373</v>
      </c>
      <c r="AD262" t="inlineStr">
        <is>
          <t>DOWN</t>
        </is>
      </c>
      <c r="AE262" t="inlineStr">
        <is>
          <t>YES</t>
        </is>
      </c>
      <c r="AF262" t="n">
        <v>0.163003</v>
      </c>
      <c r="AG262">
        <f>IF($A262="","",IFERROR(INDEX(Company_List!$G$3:$G$207,MATCH($A262,Company_List!$A$3:$A$207,0)),"unassigned"))</f>
        <v/>
      </c>
      <c r="AH262" t="inlineStr">
        <is>
          <t>Phase 2/Unitedhealth/2025-Q4/UNH-2025-Q4-press-release-SEC-EX-99-1.htm; Phase 2/Unitedhealth/2025-Q4/UNH-2025-Q4-earnings-call-transcript-unitedhealthgroup-com.pdf</t>
        </is>
      </c>
      <c r="AI262" t="inlineStr">
        <is>
          <t>https://www.sec.gov/Archives/edgar/data/731766/000073176626000025/a991unherq42025.htm; https://www.unitedhealthgroup.com/content/dam/UHG/PDF/investors/2025/unh-q4-2025-remarks.pdf</t>
        </is>
      </c>
      <c r="AJ262" t="inlineStr">
        <is>
          <t>manifest (whole bundle)</t>
        </is>
      </c>
      <c r="AK262">
        <f>IF($A262="","",IF(COUNTIFS(Human_Data_Entry!$A$3:$A$525,$A262)&gt;0,"YES","NO"))</f>
        <v/>
      </c>
      <c r="AL262">
        <f>IF($A262="","",IF(AND($C262&amp;"-"&amp;$D262&gt;=Settings!$B$19,$C262&amp;"-"&amp;$D262&lt;=Settings!$B$20),"IN","OUT"))</f>
        <v/>
      </c>
      <c r="AM262">
        <f>IF(AND(OR($H262="BUY",$H262="SELL"),ISNUMBER($T262)),$T262,"")</f>
        <v/>
      </c>
      <c r="AN262">
        <f>IF(AND(OR($H262="BUY",$H262="SELL"),ISNUMBER($AF262)),$AF262,"")</f>
        <v/>
      </c>
      <c r="AO262">
        <f>IF(ISNUMBER($AM262),ABS(IF(ISNUMBER($G262),$G262,0)-Settings!$B$25),"")</f>
        <v/>
      </c>
      <c r="AP262">
        <f>IF(ISNUMBER($AO262),$AO262*$AM262,"")</f>
        <v/>
      </c>
      <c r="AQ262">
        <f>IF(ISNUMBER($AN262),ABS(IF(ISNUMBER($G262),$G262,0)-Settings!$B$25),"")</f>
        <v/>
      </c>
      <c r="AR262">
        <f>IF(ISNUMBER($AQ262),$AQ262*$AN262,"")</f>
        <v/>
      </c>
      <c r="AS262">
        <f>IF($A262="","",IFERROR(INDEX(Company_List!$H$3:$H$207,MATCH($A262,Company_List!$A$3:$A$207,0)),"unassigned"))</f>
        <v/>
      </c>
      <c r="AT262" t="inlineStr">
        <is>
          <t>not in v1</t>
        </is>
      </c>
      <c r="AU262" t="inlineStr">
        <is>
          <t>no earlier record</t>
        </is>
      </c>
      <c r="AV262" t="n">
        <v>2</v>
      </c>
      <c r="AW262" t="inlineStr">
        <is>
          <t>not publisher-identified</t>
        </is>
      </c>
      <c r="AX262" t="inlineStr">
        <is>
          <t>not publisher-identified</t>
        </is>
      </c>
      <c r="AY262" t="inlineStr">
        <is>
          <t>no</t>
        </is>
      </c>
      <c r="AZ262" t="inlineStr">
        <is>
          <t>yes</t>
        </is>
      </c>
    </row>
    <row r="263">
      <c r="A263" s="115" t="inlineStr">
        <is>
          <t>Visa</t>
        </is>
      </c>
      <c r="B263" s="117" t="inlineStr">
        <is>
          <t>V</t>
        </is>
      </c>
      <c r="C263" s="105" t="n">
        <v>2025</v>
      </c>
      <c r="D263" s="106" t="inlineStr">
        <is>
          <t>Q1</t>
        </is>
      </c>
      <c r="E263" s="109" t="inlineStr">
        <is>
          <t>Ben/DeepSeek</t>
        </is>
      </c>
      <c r="F263" s="106" t="inlineStr">
        <is>
          <t>LLM</t>
        </is>
      </c>
      <c r="G263" s="128" t="n">
        <v>-0.0525</v>
      </c>
      <c r="H263" s="106" t="inlineStr">
        <is>
          <t>SELL</t>
        </is>
      </c>
      <c r="I263" s="128" t="n"/>
      <c r="J263" s="125" t="n">
        <v>45776</v>
      </c>
      <c r="K263" s="126" t="n">
        <v>45776</v>
      </c>
      <c r="L263" s="129" t="n">
        <v>341.52</v>
      </c>
      <c r="M263" s="126" t="n">
        <v>45777</v>
      </c>
      <c r="N263" s="129" t="n">
        <v>334.44</v>
      </c>
      <c r="O263" s="132" t="n">
        <v>0.009750999999999999</v>
      </c>
      <c r="P263" s="107" t="n">
        <v>-0.020731</v>
      </c>
      <c r="Q263" s="106" t="inlineStr">
        <is>
          <t>DOWN</t>
        </is>
      </c>
      <c r="R263" s="106" t="inlineStr">
        <is>
          <t>YES</t>
        </is>
      </c>
      <c r="S263" s="105" t="n">
        <v>-1</v>
      </c>
      <c r="T263" s="107" t="n">
        <v>0.019731</v>
      </c>
      <c r="U263" s="130" t="inlineStr">
        <is>
          <t>w=[0.55,0.45,0,0] thr=(+0.25,-0.05), deployed default (risk-accepted, PSR=0.0/perm p=0.150 at N=161, not rechecked at N=268)</t>
        </is>
      </c>
      <c r="W263" t="inlineStr">
        <is>
          <t>price signal</t>
        </is>
      </c>
      <c r="X263" t="inlineStr">
        <is>
          <t>V</t>
        </is>
      </c>
      <c r="Y263" t="inlineStr">
        <is>
          <t>2025-04-29</t>
        </is>
      </c>
      <c r="Z263" t="n">
        <v>338.2817</v>
      </c>
      <c r="AA263" t="inlineStr">
        <is>
          <t>2025-04-30</t>
        </is>
      </c>
      <c r="AB263" t="n">
        <v>331.2689</v>
      </c>
      <c r="AC263" t="n">
        <v>-0.02073084731316826</v>
      </c>
      <c r="AD263" t="inlineStr">
        <is>
          <t>DOWN</t>
        </is>
      </c>
      <c r="AE263" t="inlineStr">
        <is>
          <t>YES</t>
        </is>
      </c>
      <c r="AF263" t="n">
        <v>0.019731</v>
      </c>
      <c r="AG263">
        <f>IF($A263="","",IFERROR(INDEX(Company_List!$G$3:$G$207,MATCH($A263,Company_List!$A$3:$A$207,0)),"unassigned"))</f>
        <v/>
      </c>
      <c r="AH263" t="inlineStr">
        <is>
          <t>Phase 3/Readings/Visa/CORRECTED-TRANSCRIPT_-Visa-Inc-V-US-Q2-2025-Earnings-Call-29-April-2025-5_00-PM-ET.pdf</t>
        </is>
      </c>
      <c r="AJ263" t="inlineStr">
        <is>
          <t>unique filename match</t>
        </is>
      </c>
      <c r="AK263">
        <f>IF($A263="","",IF(COUNTIFS(Human_Data_Entry!$A$3:$A$525,$A263)&gt;0,"YES","NO"))</f>
        <v/>
      </c>
      <c r="AL263">
        <f>IF($A263="","",IF(AND($C263&amp;"-"&amp;$D263&gt;=Settings!$B$19,$C263&amp;"-"&amp;$D263&lt;=Settings!$B$20),"IN","OUT"))</f>
        <v/>
      </c>
      <c r="AM263">
        <f>IF(AND(OR($H263="BUY",$H263="SELL"),ISNUMBER($T263)),$T263,"")</f>
        <v/>
      </c>
      <c r="AN263">
        <f>IF(AND(OR($H263="BUY",$H263="SELL"),ISNUMBER($AF263)),$AF263,"")</f>
        <v/>
      </c>
      <c r="AO263">
        <f>IF(ISNUMBER($AM263),ABS(IF(ISNUMBER($G263),$G263,0)-Settings!$B$25),"")</f>
        <v/>
      </c>
      <c r="AP263">
        <f>IF(ISNUMBER($AO263),$AO263*$AM263,"")</f>
        <v/>
      </c>
      <c r="AQ263">
        <f>IF(ISNUMBER($AN263),ABS(IF(ISNUMBER($G263),$G263,0)-Settings!$B$25),"")</f>
        <v/>
      </c>
      <c r="AR263">
        <f>IF(ISNUMBER($AQ263),$AQ263*$AN263,"")</f>
        <v/>
      </c>
      <c r="AS263">
        <f>IF($A263="","",IFERROR(INDEX(Company_List!$H$3:$H$207,MATCH($A263,Company_List!$A$3:$A$207,0)),"unassigned"))</f>
        <v/>
      </c>
      <c r="AT263" t="inlineStr">
        <is>
          <t>not in v1</t>
        </is>
      </c>
      <c r="AU263" t="inlineStr">
        <is>
          <t>no earlier record</t>
        </is>
      </c>
      <c r="AV263" t="n">
        <v>1</v>
      </c>
      <c r="AW263" t="inlineStr">
        <is>
          <t>FactSet CallStreet</t>
        </is>
      </c>
      <c r="AX263" t="inlineStr">
        <is>
          <t>licensed vendor</t>
        </is>
      </c>
      <c r="AY263" t="inlineStr">
        <is>
          <t>no</t>
        </is>
      </c>
      <c r="AZ263" t="inlineStr">
        <is>
          <t>no</t>
        </is>
      </c>
    </row>
    <row r="264">
      <c r="A264" s="115" t="inlineStr">
        <is>
          <t>Visa</t>
        </is>
      </c>
      <c r="B264" s="117" t="inlineStr">
        <is>
          <t>V</t>
        </is>
      </c>
      <c r="C264" s="105" t="n">
        <v>2026</v>
      </c>
      <c r="D264" s="106" t="inlineStr">
        <is>
          <t>Q1</t>
        </is>
      </c>
      <c r="E264" s="109" t="inlineStr">
        <is>
          <t>Ben/DeepSeek</t>
        </is>
      </c>
      <c r="F264" s="106" t="inlineStr">
        <is>
          <t>LLM</t>
        </is>
      </c>
      <c r="G264" s="128" t="n">
        <v>0.1675</v>
      </c>
      <c r="H264" s="106" t="inlineStr">
        <is>
          <t>HOLD</t>
        </is>
      </c>
      <c r="I264" s="128" t="n"/>
      <c r="J264" s="125" t="n">
        <v>46140</v>
      </c>
      <c r="K264" s="126" t="n">
        <v>46140</v>
      </c>
      <c r="L264" s="129" t="n">
        <v>309.3</v>
      </c>
      <c r="M264" s="126" t="n">
        <v>46141</v>
      </c>
      <c r="N264" s="129" t="n">
        <v>336.4</v>
      </c>
      <c r="O264" s="132" t="n">
        <v>0.010891</v>
      </c>
      <c r="P264" s="107" t="n">
        <v>0.087617</v>
      </c>
      <c r="Q264" s="106" t="inlineStr">
        <is>
          <t>UP</t>
        </is>
      </c>
      <c r="R264" s="106" t="inlineStr">
        <is>
          <t>NO</t>
        </is>
      </c>
      <c r="S264" s="105" t="n">
        <v>0</v>
      </c>
      <c r="T264" s="107" t="n">
        <v>0</v>
      </c>
      <c r="U264" s="130" t="inlineStr">
        <is>
          <t>w=[0.55,0.45,0,0] thr=(+0.25,-0.05), deployed default (risk-accepted, PSR=0.0/perm p=0.150 at N=161, not rechecked at N=268)</t>
        </is>
      </c>
      <c r="W264" t="inlineStr">
        <is>
          <t>price signal — both moved; this one dominates</t>
        </is>
      </c>
      <c r="X264" t="inlineStr">
        <is>
          <t>V</t>
        </is>
      </c>
      <c r="Y264" t="inlineStr">
        <is>
          <t>2026-04-28</t>
        </is>
      </c>
      <c r="Z264" t="n">
        <v>308.6601</v>
      </c>
      <c r="AA264" t="inlineStr">
        <is>
          <t>2026-04-29</t>
        </is>
      </c>
      <c r="AB264" t="n">
        <v>335.7041</v>
      </c>
      <c r="AC264" t="n">
        <v>0.0876172997754088</v>
      </c>
      <c r="AD264" t="inlineStr">
        <is>
          <t>UP</t>
        </is>
      </c>
      <c r="AE264" t="inlineStr">
        <is>
          <t>NO</t>
        </is>
      </c>
      <c r="AF264" t="n">
        <v>0</v>
      </c>
      <c r="AG264">
        <f>IF($A264="","",IFERROR(INDEX(Company_List!$G$3:$G$207,MATCH($A264,Company_List!$A$3:$A$207,0)),"unassigned"))</f>
        <v/>
      </c>
      <c r="AH264" t="inlineStr">
        <is>
          <t>Phase 3/Readings/Visa/CORRECTED-TRANSCRIPT_-Visa-Inc-V-US-Q2-2026-Earnings-Call-28-April-2026-5_00-PM-ET-4.pdf</t>
        </is>
      </c>
      <c r="AJ264" t="inlineStr">
        <is>
          <t>unique filename match</t>
        </is>
      </c>
      <c r="AK264">
        <f>IF($A264="","",IF(COUNTIFS(Human_Data_Entry!$A$3:$A$525,$A264)&gt;0,"YES","NO"))</f>
        <v/>
      </c>
      <c r="AL264">
        <f>IF($A264="","",IF(AND($C264&amp;"-"&amp;$D264&gt;=Settings!$B$19,$C264&amp;"-"&amp;$D264&lt;=Settings!$B$20),"IN","OUT"))</f>
        <v/>
      </c>
      <c r="AM264">
        <f>IF(AND(OR($H264="BUY",$H264="SELL"),ISNUMBER($T264)),$T264,"")</f>
        <v/>
      </c>
      <c r="AN264">
        <f>IF(AND(OR($H264="BUY",$H264="SELL"),ISNUMBER($AF264)),$AF264,"")</f>
        <v/>
      </c>
      <c r="AO264">
        <f>IF(ISNUMBER($AM264),ABS(IF(ISNUMBER($G264),$G264,0)-Settings!$B$25),"")</f>
        <v/>
      </c>
      <c r="AP264">
        <f>IF(ISNUMBER($AO264),$AO264*$AM264,"")</f>
        <v/>
      </c>
      <c r="AQ264">
        <f>IF(ISNUMBER($AN264),ABS(IF(ISNUMBER($G264),$G264,0)-Settings!$B$25),"")</f>
        <v/>
      </c>
      <c r="AR264">
        <f>IF(ISNUMBER($AQ264),$AQ264*$AN264,"")</f>
        <v/>
      </c>
      <c r="AS264">
        <f>IF($A264="","",IFERROR(INDEX(Company_List!$H$3:$H$207,MATCH($A264,Company_List!$A$3:$A$207,0)),"unassigned"))</f>
        <v/>
      </c>
      <c r="AT264" t="inlineStr">
        <is>
          <t>not in v1</t>
        </is>
      </c>
      <c r="AU264" t="inlineStr">
        <is>
          <t>no earlier record</t>
        </is>
      </c>
      <c r="AV264" t="n">
        <v>1</v>
      </c>
      <c r="AW264" t="inlineStr">
        <is>
          <t>FactSet CallStreet</t>
        </is>
      </c>
      <c r="AX264" t="inlineStr">
        <is>
          <t>licensed vendor</t>
        </is>
      </c>
      <c r="AY264" t="inlineStr">
        <is>
          <t>no</t>
        </is>
      </c>
      <c r="AZ264" t="inlineStr">
        <is>
          <t>no</t>
        </is>
      </c>
    </row>
    <row r="265">
      <c r="A265" s="115" t="inlineStr">
        <is>
          <t>Visa</t>
        </is>
      </c>
      <c r="B265" s="117" t="inlineStr">
        <is>
          <t>V</t>
        </is>
      </c>
      <c r="C265" s="105" t="n">
        <v>2025</v>
      </c>
      <c r="D265" s="106" t="inlineStr">
        <is>
          <t>Q2</t>
        </is>
      </c>
      <c r="E265" s="109" t="inlineStr">
        <is>
          <t>Ben/DeepSeek</t>
        </is>
      </c>
      <c r="F265" s="106" t="inlineStr">
        <is>
          <t>LLM</t>
        </is>
      </c>
      <c r="G265" s="128" t="n">
        <v>0.1825</v>
      </c>
      <c r="H265" s="106" t="inlineStr">
        <is>
          <t>HOLD</t>
        </is>
      </c>
      <c r="I265" s="128" t="n"/>
      <c r="J265" s="125" t="n">
        <v>45867</v>
      </c>
      <c r="K265" s="126" t="n">
        <v>45867</v>
      </c>
      <c r="L265" s="129" t="n">
        <v>351.29</v>
      </c>
      <c r="M265" s="126" t="n">
        <v>45868</v>
      </c>
      <c r="N265" s="129" t="n">
        <v>351.7</v>
      </c>
      <c r="O265" s="132" t="n">
        <v>0.004515</v>
      </c>
      <c r="P265" s="107" t="n">
        <v>0.001167</v>
      </c>
      <c r="Q265" s="106" t="inlineStr">
        <is>
          <t>FLAT</t>
        </is>
      </c>
      <c r="R265" s="106" t="inlineStr">
        <is>
          <t>YES</t>
        </is>
      </c>
      <c r="S265" s="105" t="n">
        <v>0</v>
      </c>
      <c r="T265" s="107" t="n">
        <v>0</v>
      </c>
      <c r="U265" s="130" t="inlineStr">
        <is>
          <t>w=[0.55,0.45,0,0] thr=(+0.25,-0.05), deployed default (risk-accepted, PSR=0.0/perm p=0.150 at N=161, not rechecked at N=268)</t>
        </is>
      </c>
      <c r="W265" t="inlineStr">
        <is>
          <t>release time published by the issuer</t>
        </is>
      </c>
      <c r="X265" t="inlineStr">
        <is>
          <t>V</t>
        </is>
      </c>
      <c r="Y265" t="inlineStr">
        <is>
          <t>2025-07-29</t>
        </is>
      </c>
      <c r="Z265" t="n">
        <v>348.537</v>
      </c>
      <c r="AA265" t="inlineStr">
        <is>
          <t>2025-07-30</t>
        </is>
      </c>
      <c r="AB265" t="n">
        <v>348.9438</v>
      </c>
      <c r="AC265" t="n">
        <v>0.001167086332530885</v>
      </c>
      <c r="AD265" t="inlineStr">
        <is>
          <t>FLAT</t>
        </is>
      </c>
      <c r="AE265" t="inlineStr">
        <is>
          <t>YES</t>
        </is>
      </c>
      <c r="AF265" t="n">
        <v>0</v>
      </c>
      <c r="AG265">
        <f>IF($A265="","",IFERROR(INDEX(Company_List!$G$3:$G$207,MATCH($A265,Company_List!$A$3:$A$207,0)),"unassigned"))</f>
        <v/>
      </c>
      <c r="AH265" t="inlineStr">
        <is>
          <t>Phase 3/Readings/Visa/CORRECTED-TRANSCRIPT_-Visa-Inc-V-US-Q3-2025-Earnings-Call-29-July-2025-5_00-PM-ET.pdf</t>
        </is>
      </c>
      <c r="AJ265" t="inlineStr">
        <is>
          <t>unique filename match</t>
        </is>
      </c>
      <c r="AK265">
        <f>IF($A265="","",IF(COUNTIFS(Human_Data_Entry!$A$3:$A$525,$A265)&gt;0,"YES","NO"))</f>
        <v/>
      </c>
      <c r="AL265">
        <f>IF($A265="","",IF(AND($C265&amp;"-"&amp;$D265&gt;=Settings!$B$19,$C265&amp;"-"&amp;$D265&lt;=Settings!$B$20),"IN","OUT"))</f>
        <v/>
      </c>
      <c r="AM265">
        <f>IF(AND(OR($H265="BUY",$H265="SELL"),ISNUMBER($T265)),$T265,"")</f>
        <v/>
      </c>
      <c r="AN265">
        <f>IF(AND(OR($H265="BUY",$H265="SELL"),ISNUMBER($AF265)),$AF265,"")</f>
        <v/>
      </c>
      <c r="AO265">
        <f>IF(ISNUMBER($AM265),ABS(IF(ISNUMBER($G265),$G265,0)-Settings!$B$25),"")</f>
        <v/>
      </c>
      <c r="AP265">
        <f>IF(ISNUMBER($AO265),$AO265*$AM265,"")</f>
        <v/>
      </c>
      <c r="AQ265">
        <f>IF(ISNUMBER($AN265),ABS(IF(ISNUMBER($G265),$G265,0)-Settings!$B$25),"")</f>
        <v/>
      </c>
      <c r="AR265">
        <f>IF(ISNUMBER($AQ265),$AQ265*$AN265,"")</f>
        <v/>
      </c>
      <c r="AS265">
        <f>IF($A265="","",IFERROR(INDEX(Company_List!$H$3:$H$207,MATCH($A265,Company_List!$A$3:$A$207,0)),"unassigned"))</f>
        <v/>
      </c>
      <c r="AT265" t="inlineStr">
        <is>
          <t>not in v1</t>
        </is>
      </c>
      <c r="AU265" t="inlineStr">
        <is>
          <t>no earlier record</t>
        </is>
      </c>
      <c r="AV265" t="n">
        <v>1</v>
      </c>
      <c r="AW265" t="inlineStr">
        <is>
          <t>FactSet CallStreet</t>
        </is>
      </c>
      <c r="AX265" t="inlineStr">
        <is>
          <t>licensed vendor</t>
        </is>
      </c>
      <c r="AY265" t="inlineStr">
        <is>
          <t>no</t>
        </is>
      </c>
      <c r="AZ265" t="inlineStr">
        <is>
          <t>no</t>
        </is>
      </c>
    </row>
    <row r="266">
      <c r="A266" s="115" t="inlineStr">
        <is>
          <t>Visa</t>
        </is>
      </c>
      <c r="B266" s="117" t="inlineStr">
        <is>
          <t>V</t>
        </is>
      </c>
      <c r="C266" s="105" t="n">
        <v>2025</v>
      </c>
      <c r="D266" s="106" t="inlineStr">
        <is>
          <t>Q3</t>
        </is>
      </c>
      <c r="E266" s="109" t="inlineStr">
        <is>
          <t>Ben/DeepSeek</t>
        </is>
      </c>
      <c r="F266" s="106" t="inlineStr">
        <is>
          <t>LLM</t>
        </is>
      </c>
      <c r="G266" s="128" t="n">
        <v>0.3</v>
      </c>
      <c r="H266" s="106" t="inlineStr">
        <is>
          <t>BUY</t>
        </is>
      </c>
      <c r="I266" s="128" t="n"/>
      <c r="J266" s="125" t="n">
        <v>45958</v>
      </c>
      <c r="K266" s="126" t="n">
        <v>45958</v>
      </c>
      <c r="L266" s="129" t="n">
        <v>346.9</v>
      </c>
      <c r="M266" s="126" t="n">
        <v>45959</v>
      </c>
      <c r="N266" s="129" t="n">
        <v>346</v>
      </c>
      <c r="O266" s="132" t="n">
        <v>0.011387</v>
      </c>
      <c r="P266" s="107" t="n">
        <v>-0.002594</v>
      </c>
      <c r="Q266" s="106" t="inlineStr">
        <is>
          <t>FLAT</t>
        </is>
      </c>
      <c r="R266" s="106" t="inlineStr">
        <is>
          <t>NO</t>
        </is>
      </c>
      <c r="S266" s="105" t="n">
        <v>1</v>
      </c>
      <c r="T266" s="107" t="n">
        <v>-0.003594</v>
      </c>
      <c r="U266" s="130" t="inlineStr">
        <is>
          <t>w=[0.55,0.45,0,0] thr=(+0.25,-0.05), deployed default (risk-accepted, PSR=0.0/perm p=0.150 at N=161, not rechecked at N=268) | report_date ambiguous (multiple candidate trading days), unreviewed - see phase2/report_dates.json</t>
        </is>
      </c>
      <c r="W266" t="inlineStr">
        <is>
          <t>release time published by the issuer</t>
        </is>
      </c>
      <c r="X266" t="inlineStr">
        <is>
          <t>V</t>
        </is>
      </c>
      <c r="Y266" t="inlineStr">
        <is>
          <t>2025-10-28</t>
        </is>
      </c>
      <c r="Z266" t="n">
        <v>344.787</v>
      </c>
      <c r="AA266" t="inlineStr">
        <is>
          <t>2025-10-29</t>
        </is>
      </c>
      <c r="AB266" t="n">
        <v>343.8925</v>
      </c>
      <c r="AC266" t="n">
        <v>-0.002594277179821893</v>
      </c>
      <c r="AD266" t="inlineStr">
        <is>
          <t>FLAT</t>
        </is>
      </c>
      <c r="AE266" t="inlineStr">
        <is>
          <t>NO</t>
        </is>
      </c>
      <c r="AF266" t="n">
        <v>-0.003594</v>
      </c>
      <c r="AG266">
        <f>IF($A266="","",IFERROR(INDEX(Company_List!$G$3:$G$207,MATCH($A266,Company_List!$A$3:$A$207,0)),"unassigned"))</f>
        <v/>
      </c>
      <c r="AH266" t="inlineStr">
        <is>
          <t>Phase 3/Readings/Visa/CORRECTED-TRANSCRIPT_-Visa-Inc-V-US-Q4-2025-Earnings-Call-28-October-2025-5_00-PM-ET.pdf</t>
        </is>
      </c>
      <c r="AJ266" t="inlineStr">
        <is>
          <t>unique filename match</t>
        </is>
      </c>
      <c r="AK266">
        <f>IF($A266="","",IF(COUNTIFS(Human_Data_Entry!$A$3:$A$525,$A266)&gt;0,"YES","NO"))</f>
        <v/>
      </c>
      <c r="AL266">
        <f>IF($A266="","",IF(AND($C266&amp;"-"&amp;$D266&gt;=Settings!$B$19,$C266&amp;"-"&amp;$D266&lt;=Settings!$B$20),"IN","OUT"))</f>
        <v/>
      </c>
      <c r="AM266">
        <f>IF(AND(OR($H266="BUY",$H266="SELL"),ISNUMBER($T266)),$T266,"")</f>
        <v/>
      </c>
      <c r="AN266">
        <f>IF(AND(OR($H266="BUY",$H266="SELL"),ISNUMBER($AF266)),$AF266,"")</f>
        <v/>
      </c>
      <c r="AO266">
        <f>IF(ISNUMBER($AM266),ABS(IF(ISNUMBER($G266),$G266,0)-Settings!$B$25),"")</f>
        <v/>
      </c>
      <c r="AP266">
        <f>IF(ISNUMBER($AO266),$AO266*$AM266,"")</f>
        <v/>
      </c>
      <c r="AQ266">
        <f>IF(ISNUMBER($AN266),ABS(IF(ISNUMBER($G266),$G266,0)-Settings!$B$25),"")</f>
        <v/>
      </c>
      <c r="AR266">
        <f>IF(ISNUMBER($AQ266),$AQ266*$AN266,"")</f>
        <v/>
      </c>
      <c r="AS266">
        <f>IF($A266="","",IFERROR(INDEX(Company_List!$H$3:$H$207,MATCH($A266,Company_List!$A$3:$A$207,0)),"unassigned"))</f>
        <v/>
      </c>
      <c r="AT266" t="inlineStr">
        <is>
          <t>not in v1</t>
        </is>
      </c>
      <c r="AU266" t="inlineStr">
        <is>
          <t>no earlier record</t>
        </is>
      </c>
      <c r="AV266" t="n">
        <v>1</v>
      </c>
      <c r="AW266" t="inlineStr">
        <is>
          <t>FactSet CallStreet</t>
        </is>
      </c>
      <c r="AX266" t="inlineStr">
        <is>
          <t>licensed vendor</t>
        </is>
      </c>
      <c r="AY266" t="inlineStr">
        <is>
          <t>no</t>
        </is>
      </c>
      <c r="AZ266" t="inlineStr">
        <is>
          <t>no</t>
        </is>
      </c>
    </row>
    <row r="267">
      <c r="A267" s="115" t="inlineStr">
        <is>
          <t>Workday</t>
        </is>
      </c>
      <c r="B267" s="117" t="inlineStr">
        <is>
          <t>WDAY</t>
        </is>
      </c>
      <c r="C267" s="105" t="n">
        <v>2025</v>
      </c>
      <c r="D267" s="106" t="inlineStr">
        <is>
          <t>Q1</t>
        </is>
      </c>
      <c r="E267" s="109" t="inlineStr">
        <is>
          <t>Ben/DeepSeek</t>
        </is>
      </c>
      <c r="F267" s="106" t="inlineStr">
        <is>
          <t>LLM</t>
        </is>
      </c>
      <c r="G267" s="128" t="n">
        <v>-0.025</v>
      </c>
      <c r="H267" s="106" t="inlineStr">
        <is>
          <t>HOLD</t>
        </is>
      </c>
      <c r="I267" s="128" t="n"/>
      <c r="J267" s="125" t="n">
        <v>45799</v>
      </c>
      <c r="K267" s="126" t="n">
        <v>45799</v>
      </c>
      <c r="L267" s="129" t="n">
        <v>272.07</v>
      </c>
      <c r="M267" s="126" t="n">
        <v>45800</v>
      </c>
      <c r="N267" s="129" t="n">
        <v>241.6</v>
      </c>
      <c r="O267" s="132" t="n">
        <v>0.005443</v>
      </c>
      <c r="P267" s="107" t="n">
        <v>-0.111993</v>
      </c>
      <c r="Q267" s="106" t="inlineStr">
        <is>
          <t>DOWN</t>
        </is>
      </c>
      <c r="R267" s="106" t="inlineStr">
        <is>
          <t>NO</t>
        </is>
      </c>
      <c r="S267" s="105" t="n">
        <v>0</v>
      </c>
      <c r="T267" s="107" t="n">
        <v>0</v>
      </c>
      <c r="U267" s="130" t="inlineStr">
        <is>
          <t>w=[0.55,0.45,0,0] thr=(+0.25,-0.05), deployed default (risk-accepted, PSR=0.0/perm p=0.150 at N=161, not rechecked at N=268)</t>
        </is>
      </c>
      <c r="W267" t="inlineStr">
        <is>
          <t>price signal, re-derived — only this window shows an abnormal move</t>
        </is>
      </c>
      <c r="X267" t="inlineStr">
        <is>
          <t>WDAY</t>
        </is>
      </c>
      <c r="Y267" t="inlineStr">
        <is>
          <t>2025-05-22</t>
        </is>
      </c>
      <c r="Z267" t="n">
        <v>272.07</v>
      </c>
      <c r="AA267" t="inlineStr">
        <is>
          <t>2025-05-23</t>
        </is>
      </c>
      <c r="AB267" t="n">
        <v>241.6</v>
      </c>
      <c r="AC267" t="n">
        <v>-0.1119932378286739</v>
      </c>
      <c r="AD267" t="inlineStr">
        <is>
          <t>DOWN</t>
        </is>
      </c>
      <c r="AE267" t="inlineStr">
        <is>
          <t>NO</t>
        </is>
      </c>
      <c r="AF267" t="n">
        <v>0</v>
      </c>
      <c r="AG267">
        <f>IF($A267="","",IFERROR(INDEX(Company_List!$G$3:$G$207,MATCH($A267,Company_List!$A$3:$A$207,0)),"unassigned"))</f>
        <v/>
      </c>
      <c r="AH267" t="inlineStr">
        <is>
          <t>Phase 3/Readings/Workday/Q1/workday-fiscal-2025-first-quarter-investor-presentation.pdf; Phase 3/Readings/Workday/Q1/Workday-Announces-Fiscal-2025-First-Quarter-Financial-Results-05-23-2024-2024.pdf; Phase 3/Readings/Workday/Q1/Transcript : Workday, Inc., Q1 2025 Earnings Call, May 23, 2024 | MarketScreener UK.pdf</t>
        </is>
      </c>
      <c r="AJ267" t="inlineStr">
        <is>
          <t>whole bundle (Document = All)</t>
        </is>
      </c>
      <c r="AK267">
        <f>IF($A267="","",IF(COUNTIFS(Human_Data_Entry!$A$3:$A$525,$A267)&gt;0,"YES","NO"))</f>
        <v/>
      </c>
      <c r="AL267">
        <f>IF($A267="","",IF(AND($C267&amp;"-"&amp;$D267&gt;=Settings!$B$19,$C267&amp;"-"&amp;$D267&lt;=Settings!$B$20),"IN","OUT"))</f>
        <v/>
      </c>
      <c r="AM267">
        <f>IF(AND(OR($H267="BUY",$H267="SELL"),ISNUMBER($T267)),$T267,"")</f>
        <v/>
      </c>
      <c r="AN267">
        <f>IF(AND(OR($H267="BUY",$H267="SELL"),ISNUMBER($AF267)),$AF267,"")</f>
        <v/>
      </c>
      <c r="AO267">
        <f>IF(ISNUMBER($AM267),ABS(IF(ISNUMBER($G267),$G267,0)-Settings!$B$25),"")</f>
        <v/>
      </c>
      <c r="AP267">
        <f>IF(ISNUMBER($AO267),$AO267*$AM267,"")</f>
        <v/>
      </c>
      <c r="AQ267">
        <f>IF(ISNUMBER($AN267),ABS(IF(ISNUMBER($G267),$G267,0)-Settings!$B$25),"")</f>
        <v/>
      </c>
      <c r="AR267">
        <f>IF(ISNUMBER($AQ267),$AQ267*$AN267,"")</f>
        <v/>
      </c>
      <c r="AS267">
        <f>IF($A267="","",IFERROR(INDEX(Company_List!$H$3:$H$207,MATCH($A267,Company_List!$A$3:$A$207,0)),"unassigned"))</f>
        <v/>
      </c>
      <c r="AT267" t="inlineStr">
        <is>
          <t>not in v1</t>
        </is>
      </c>
      <c r="AU267" t="inlineStr">
        <is>
          <t>no earlier record</t>
        </is>
      </c>
      <c r="AV267" t="n">
        <v>3</v>
      </c>
      <c r="AW267" t="inlineStr">
        <is>
          <t>MarketScreener (Surperformance SAS)</t>
        </is>
      </c>
      <c r="AX267" t="inlineStr">
        <is>
          <t>licensed vendor</t>
        </is>
      </c>
      <c r="AY267" t="inlineStr">
        <is>
          <t>no</t>
        </is>
      </c>
      <c r="AZ267" t="inlineStr">
        <is>
          <t>no</t>
        </is>
      </c>
    </row>
    <row r="268">
      <c r="A268" s="115" t="inlineStr">
        <is>
          <t>Workday</t>
        </is>
      </c>
      <c r="B268" s="117" t="inlineStr">
        <is>
          <t>WDAY</t>
        </is>
      </c>
      <c r="C268" s="105" t="n">
        <v>2025</v>
      </c>
      <c r="D268" s="106" t="inlineStr">
        <is>
          <t>Q2</t>
        </is>
      </c>
      <c r="E268" s="109" t="inlineStr">
        <is>
          <t>Ben/DeepSeek</t>
        </is>
      </c>
      <c r="F268" s="106" t="inlineStr">
        <is>
          <t>LLM</t>
        </is>
      </c>
      <c r="G268" s="128" t="n">
        <v>0.3025</v>
      </c>
      <c r="H268" s="106" t="inlineStr">
        <is>
          <t>BUY</t>
        </is>
      </c>
      <c r="I268" s="128" t="n"/>
      <c r="J268" s="125" t="n">
        <v>45890</v>
      </c>
      <c r="K268" s="126" t="n">
        <v>45890</v>
      </c>
      <c r="L268" s="129" t="n">
        <v>227.58</v>
      </c>
      <c r="M268" s="126" t="n">
        <v>45891</v>
      </c>
      <c r="N268" s="129" t="n">
        <v>213.88</v>
      </c>
      <c r="O268" s="132" t="n">
        <v>0.025679</v>
      </c>
      <c r="P268" s="107" t="n">
        <v>-0.060199</v>
      </c>
      <c r="Q268" s="106" t="inlineStr">
        <is>
          <t>DOWN</t>
        </is>
      </c>
      <c r="R268" s="106" t="inlineStr">
        <is>
          <t>NO</t>
        </is>
      </c>
      <c r="S268" s="105" t="n">
        <v>1</v>
      </c>
      <c r="T268" s="107" t="n">
        <v>-0.061199</v>
      </c>
      <c r="U268" s="130" t="inlineStr">
        <is>
          <t>w=[0.55,0.45,0,0] thr=(+0.25,-0.05), deployed default (risk-accepted, PSR=0.0/perm p=0.150 at N=161, not rechecked at N=268)</t>
        </is>
      </c>
      <c r="W268" t="inlineStr">
        <is>
          <t>price signal, re-derived — only this window shows an abnormal move</t>
        </is>
      </c>
      <c r="X268" t="inlineStr">
        <is>
          <t>WDAY</t>
        </is>
      </c>
      <c r="Y268" t="inlineStr">
        <is>
          <t>2025-08-21</t>
        </is>
      </c>
      <c r="Z268" t="n">
        <v>227.58</v>
      </c>
      <c r="AA268" t="inlineStr">
        <is>
          <t>2025-08-22</t>
        </is>
      </c>
      <c r="AB268" t="n">
        <v>213.88</v>
      </c>
      <c r="AC268" t="n">
        <v>-0.06019859776607259</v>
      </c>
      <c r="AD268" t="inlineStr">
        <is>
          <t>DOWN</t>
        </is>
      </c>
      <c r="AE268" t="inlineStr">
        <is>
          <t>NO</t>
        </is>
      </c>
      <c r="AF268" t="n">
        <v>-0.061199</v>
      </c>
      <c r="AG268">
        <f>IF($A268="","",IFERROR(INDEX(Company_List!$G$3:$G$207,MATCH($A268,Company_List!$A$3:$A$207,0)),"unassigned"))</f>
        <v/>
      </c>
      <c r="AH268" t="inlineStr">
        <is>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is>
      </c>
      <c r="AJ268" t="inlineStr">
        <is>
          <t>whole bundle (Document = All)</t>
        </is>
      </c>
      <c r="AK268">
        <f>IF($A268="","",IF(COUNTIFS(Human_Data_Entry!$A$3:$A$525,$A268)&gt;0,"YES","NO"))</f>
        <v/>
      </c>
      <c r="AL268">
        <f>IF($A268="","",IF(AND($C268&amp;"-"&amp;$D268&gt;=Settings!$B$19,$C268&amp;"-"&amp;$D268&lt;=Settings!$B$20),"IN","OUT"))</f>
        <v/>
      </c>
      <c r="AM268">
        <f>IF(AND(OR($H268="BUY",$H268="SELL"),ISNUMBER($T268)),$T268,"")</f>
        <v/>
      </c>
      <c r="AN268">
        <f>IF(AND(OR($H268="BUY",$H268="SELL"),ISNUMBER($AF268)),$AF268,"")</f>
        <v/>
      </c>
      <c r="AO268">
        <f>IF(ISNUMBER($AM268),ABS(IF(ISNUMBER($G268),$G268,0)-Settings!$B$25),"")</f>
        <v/>
      </c>
      <c r="AP268">
        <f>IF(ISNUMBER($AO268),$AO268*$AM268,"")</f>
        <v/>
      </c>
      <c r="AQ268">
        <f>IF(ISNUMBER($AN268),ABS(IF(ISNUMBER($G268),$G268,0)-Settings!$B$25),"")</f>
        <v/>
      </c>
      <c r="AR268">
        <f>IF(ISNUMBER($AQ268),$AQ268*$AN268,"")</f>
        <v/>
      </c>
      <c r="AS268">
        <f>IF($A268="","",IFERROR(INDEX(Company_List!$H$3:$H$207,MATCH($A268,Company_List!$A$3:$A$207,0)),"unassigned"))</f>
        <v/>
      </c>
      <c r="AT268" t="inlineStr">
        <is>
          <t>not in v1</t>
        </is>
      </c>
      <c r="AU268" t="inlineStr">
        <is>
          <t>no earlier record</t>
        </is>
      </c>
      <c r="AV268" t="n">
        <v>4</v>
      </c>
      <c r="AW268" t="inlineStr">
        <is>
          <t>MarketScreener (Surperformance SAS)</t>
        </is>
      </c>
      <c r="AX268" t="inlineStr">
        <is>
          <t>licensed vendor</t>
        </is>
      </c>
      <c r="AY268" t="inlineStr">
        <is>
          <t>no</t>
        </is>
      </c>
      <c r="AZ268" t="inlineStr">
        <is>
          <t>no</t>
        </is>
      </c>
    </row>
    <row r="269">
      <c r="A269" s="115" t="inlineStr">
        <is>
          <t>Workday</t>
        </is>
      </c>
      <c r="B269" s="117" t="inlineStr">
        <is>
          <t>WDAY</t>
        </is>
      </c>
      <c r="C269" s="105" t="n">
        <v>2025</v>
      </c>
      <c r="D269" s="106" t="inlineStr">
        <is>
          <t>Q3</t>
        </is>
      </c>
      <c r="E269" s="109" t="inlineStr">
        <is>
          <t>Ben/DeepSeek</t>
        </is>
      </c>
      <c r="F269" s="106" t="inlineStr">
        <is>
          <t>LLM</t>
        </is>
      </c>
      <c r="G269" s="128" t="n">
        <v>0.21</v>
      </c>
      <c r="H269" s="106" t="inlineStr">
        <is>
          <t>HOLD</t>
        </is>
      </c>
      <c r="I269" s="128" t="n"/>
      <c r="J269" s="125" t="n">
        <v>45986</v>
      </c>
      <c r="K269" s="126" t="n">
        <v>45986</v>
      </c>
      <c r="L269" s="129" t="n">
        <v>233.69</v>
      </c>
      <c r="M269" s="126" t="n">
        <v>45987</v>
      </c>
      <c r="N269" s="129" t="n">
        <v>215.34</v>
      </c>
      <c r="O269" s="132" t="n">
        <v>0.004464</v>
      </c>
      <c r="P269" s="107" t="n">
        <v>-0.078523</v>
      </c>
      <c r="Q269" s="106" t="inlineStr">
        <is>
          <t>DOWN</t>
        </is>
      </c>
      <c r="R269" s="106" t="inlineStr">
        <is>
          <t>NO</t>
        </is>
      </c>
      <c r="S269" s="105" t="n">
        <v>0</v>
      </c>
      <c r="T269" s="107" t="n">
        <v>0</v>
      </c>
      <c r="U269" s="130" t="inlineStr">
        <is>
          <t>w=[0.55,0.45,0,0] thr=(+0.25,-0.05), deployed default (risk-accepted, PSR=0.0/perm p=0.150 at N=161, not rechecked at N=268)</t>
        </is>
      </c>
      <c r="W269" t="inlineStr">
        <is>
          <t>price signal, re-derived — only this window shows an abnormal move</t>
        </is>
      </c>
      <c r="X269" t="inlineStr">
        <is>
          <t>WDAY</t>
        </is>
      </c>
      <c r="Y269" t="inlineStr">
        <is>
          <t>2025-11-25</t>
        </is>
      </c>
      <c r="Z269" t="n">
        <v>233.69</v>
      </c>
      <c r="AA269" t="inlineStr">
        <is>
          <t>2025-11-26</t>
        </is>
      </c>
      <c r="AB269" t="n">
        <v>215.34</v>
      </c>
      <c r="AC269" t="n">
        <v>-0.07852285439237568</v>
      </c>
      <c r="AD269" t="inlineStr">
        <is>
          <t>DOWN</t>
        </is>
      </c>
      <c r="AE269" t="inlineStr">
        <is>
          <t>NO</t>
        </is>
      </c>
      <c r="AF269" t="n">
        <v>0</v>
      </c>
      <c r="AG269">
        <f>IF($A269="","",IFERROR(INDEX(Company_List!$G$3:$G$207,MATCH($A269,Company_List!$A$3:$A$207,0)),"unassigned"))</f>
        <v/>
      </c>
      <c r="AH269" t="inlineStr">
        <is>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is>
      </c>
      <c r="AJ269" t="inlineStr">
        <is>
          <t>whole bundle (Document = All)</t>
        </is>
      </c>
      <c r="AK269">
        <f>IF($A269="","",IF(COUNTIFS(Human_Data_Entry!$A$3:$A$525,$A269)&gt;0,"YES","NO"))</f>
        <v/>
      </c>
      <c r="AL269">
        <f>IF($A269="","",IF(AND($C269&amp;"-"&amp;$D269&gt;=Settings!$B$19,$C269&amp;"-"&amp;$D269&lt;=Settings!$B$20),"IN","OUT"))</f>
        <v/>
      </c>
      <c r="AM269">
        <f>IF(AND(OR($H269="BUY",$H269="SELL"),ISNUMBER($T269)),$T269,"")</f>
        <v/>
      </c>
      <c r="AN269">
        <f>IF(AND(OR($H269="BUY",$H269="SELL"),ISNUMBER($AF269)),$AF269,"")</f>
        <v/>
      </c>
      <c r="AO269">
        <f>IF(ISNUMBER($AM269),ABS(IF(ISNUMBER($G269),$G269,0)-Settings!$B$25),"")</f>
        <v/>
      </c>
      <c r="AP269">
        <f>IF(ISNUMBER($AO269),$AO269*$AM269,"")</f>
        <v/>
      </c>
      <c r="AQ269">
        <f>IF(ISNUMBER($AN269),ABS(IF(ISNUMBER($G269),$G269,0)-Settings!$B$25),"")</f>
        <v/>
      </c>
      <c r="AR269">
        <f>IF(ISNUMBER($AQ269),$AQ269*$AN269,"")</f>
        <v/>
      </c>
      <c r="AS269">
        <f>IF($A269="","",IFERROR(INDEX(Company_List!$H$3:$H$207,MATCH($A269,Company_List!$A$3:$A$207,0)),"unassigned"))</f>
        <v/>
      </c>
      <c r="AT269" t="inlineStr">
        <is>
          <t>not in v1</t>
        </is>
      </c>
      <c r="AU269" t="inlineStr">
        <is>
          <t>no earlier record</t>
        </is>
      </c>
      <c r="AV269" t="n">
        <v>4</v>
      </c>
      <c r="AW269" t="inlineStr">
        <is>
          <t>MarketScreener (Surperformance SAS)</t>
        </is>
      </c>
      <c r="AX269" t="inlineStr">
        <is>
          <t>licensed vendor</t>
        </is>
      </c>
      <c r="AY269" t="inlineStr">
        <is>
          <t>no</t>
        </is>
      </c>
      <c r="AZ269" t="inlineStr">
        <is>
          <t>no</t>
        </is>
      </c>
    </row>
    <row r="270">
      <c r="A270" s="115" t="inlineStr">
        <is>
          <t>Workday</t>
        </is>
      </c>
      <c r="B270" s="117" t="inlineStr">
        <is>
          <t>WDAY</t>
        </is>
      </c>
      <c r="C270" s="105" t="n">
        <v>2025</v>
      </c>
      <c r="D270" s="106" t="inlineStr">
        <is>
          <t>Q4</t>
        </is>
      </c>
      <c r="E270" s="109" t="inlineStr">
        <is>
          <t>Ben/DeepSeek</t>
        </is>
      </c>
      <c r="F270" s="106" t="inlineStr">
        <is>
          <t>LLM</t>
        </is>
      </c>
      <c r="G270" s="128" t="n">
        <v>0.0375</v>
      </c>
      <c r="H270" s="106" t="inlineStr">
        <is>
          <t>HOLD</t>
        </is>
      </c>
      <c r="I270" s="128" t="n"/>
      <c r="J270" s="123" t="n">
        <v>46077</v>
      </c>
      <c r="K270" s="126" t="n">
        <v>46077</v>
      </c>
      <c r="L270" s="129" t="n">
        <v>130.23</v>
      </c>
      <c r="M270" s="126" t="n">
        <v>46078</v>
      </c>
      <c r="N270" s="129" t="n">
        <v>119.56</v>
      </c>
      <c r="O270" s="133" t="n">
        <v>0.026431</v>
      </c>
      <c r="P270" s="107" t="n">
        <v>-0.08193199999999999</v>
      </c>
      <c r="Q270" s="106" t="inlineStr">
        <is>
          <t>DOWN</t>
        </is>
      </c>
      <c r="R270" s="106" t="inlineStr">
        <is>
          <t>NO</t>
        </is>
      </c>
      <c r="S270" s="105" t="n">
        <v>0</v>
      </c>
      <c r="T270" s="107" t="n">
        <v>0</v>
      </c>
      <c r="U270" s="130" t="inlineStr">
        <is>
          <t>w=[0.55,0.45,0,0] thr=(+0.25,-0.05), deployed default (risk-accepted, PSR=0.0/perm p=0.150 at N=161, not rechecked at N=268)</t>
        </is>
      </c>
      <c r="W270" t="inlineStr">
        <is>
          <t>price signal, re-derived — only this window shows an abnormal move</t>
        </is>
      </c>
      <c r="X270" t="inlineStr">
        <is>
          <t>WDAY</t>
        </is>
      </c>
      <c r="Y270" t="inlineStr">
        <is>
          <t>2026-02-24</t>
        </is>
      </c>
      <c r="Z270" t="n">
        <v>130.23</v>
      </c>
      <c r="AA270" t="inlineStr">
        <is>
          <t>2026-02-25</t>
        </is>
      </c>
      <c r="AB270" t="n">
        <v>119.56</v>
      </c>
      <c r="AC270" t="n">
        <v>-0.08193195367985734</v>
      </c>
      <c r="AD270" t="inlineStr">
        <is>
          <t>DOWN</t>
        </is>
      </c>
      <c r="AE270" t="inlineStr">
        <is>
          <t>NO</t>
        </is>
      </c>
      <c r="AF270" t="n">
        <v>0</v>
      </c>
      <c r="AG270">
        <f>IF($A270="","",IFERROR(INDEX(Company_List!$G$3:$G$207,MATCH($A270,Company_List!$A$3:$A$207,0)),"unassigned"))</f>
        <v/>
      </c>
      <c r="AH270"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J270" t="inlineStr">
        <is>
          <t>whole bundle (Document = All)</t>
        </is>
      </c>
      <c r="AK270">
        <f>IF($A270="","",IF(COUNTIFS(Human_Data_Entry!$A$3:$A$525,$A270)&gt;0,"YES","NO"))</f>
        <v/>
      </c>
      <c r="AL270">
        <f>IF($A270="","",IF(AND($C270&amp;"-"&amp;$D270&gt;=Settings!$B$19,$C270&amp;"-"&amp;$D270&lt;=Settings!$B$20),"IN","OUT"))</f>
        <v/>
      </c>
      <c r="AM270">
        <f>IF(AND(OR($H270="BUY",$H270="SELL"),ISNUMBER($T270)),$T270,"")</f>
        <v/>
      </c>
      <c r="AN270">
        <f>IF(AND(OR($H270="BUY",$H270="SELL"),ISNUMBER($AF270)),$AF270,"")</f>
        <v/>
      </c>
      <c r="AO270">
        <f>IF(ISNUMBER($AM270),ABS(IF(ISNUMBER($G270),$G270,0)-Settings!$B$25),"")</f>
        <v/>
      </c>
      <c r="AP270">
        <f>IF(ISNUMBER($AO270),$AO270*$AM270,"")</f>
        <v/>
      </c>
      <c r="AQ270">
        <f>IF(ISNUMBER($AN270),ABS(IF(ISNUMBER($G270),$G270,0)-Settings!$B$25),"")</f>
        <v/>
      </c>
      <c r="AR270">
        <f>IF(ISNUMBER($AQ270),$AQ270*$AN270,"")</f>
        <v/>
      </c>
      <c r="AS270">
        <f>IF($A270="","",IFERROR(INDEX(Company_List!$H$3:$H$207,MATCH($A270,Company_List!$A$3:$A$207,0)),"unassigned"))</f>
        <v/>
      </c>
      <c r="AT270" t="inlineStr">
        <is>
          <t>not in v1</t>
        </is>
      </c>
      <c r="AU270" t="inlineStr">
        <is>
          <t>no earlier record</t>
        </is>
      </c>
      <c r="AV270" t="n">
        <v>4</v>
      </c>
      <c r="AW270" t="inlineStr">
        <is>
          <t>MarketScreener (Surperformance SAS)</t>
        </is>
      </c>
      <c r="AX270" t="inlineStr">
        <is>
          <t>licensed vendor</t>
        </is>
      </c>
      <c r="AY270" t="inlineStr">
        <is>
          <t>no</t>
        </is>
      </c>
      <c r="AZ270" t="inlineStr">
        <is>
          <t>no</t>
        </is>
      </c>
    </row>
    <row r="271">
      <c r="A271" s="1" t="n"/>
      <c r="B271" s="120" t="n"/>
      <c r="AG271">
        <f>IF($A271="","",IFERROR(INDEX(Company_List!$G$3:$G$207,MATCH($A271,Company_List!$A$3:$A$207,0)),"unassigned"))</f>
        <v/>
      </c>
      <c r="AK271">
        <f>IF($A271="","",IF(COUNTIFS(Human_Data_Entry!$A$3:$A$525,$A271)&gt;0,"YES","NO"))</f>
        <v/>
      </c>
      <c r="AL271">
        <f>IF($A271="","",IF(AND($C271&amp;"-"&amp;$D271&gt;=Settings!$B$19,$C271&amp;"-"&amp;$D271&lt;=Settings!$B$20),"IN","OUT"))</f>
        <v/>
      </c>
      <c r="AM271">
        <f>IF(AND(OR($H271="BUY",$H271="SELL"),ISNUMBER($T271)),$T271,"")</f>
        <v/>
      </c>
      <c r="AN271">
        <f>IF(AND(OR($H271="BUY",$H271="SELL"),ISNUMBER($AF271)),$AF271,"")</f>
        <v/>
      </c>
      <c r="AO271">
        <f>IF(ISNUMBER($AM271),ABS(IF(ISNUMBER($G271),$G271,0)-Settings!$B$25),"")</f>
        <v/>
      </c>
      <c r="AP271">
        <f>IF(ISNUMBER($AO271),$AO271*$AM271,"")</f>
        <v/>
      </c>
      <c r="AQ271">
        <f>IF(ISNUMBER($AN271),ABS(IF(ISNUMBER($G271),$G271,0)-Settings!$B$25),"")</f>
        <v/>
      </c>
      <c r="AR271">
        <f>IF(ISNUMBER($AQ271),$AQ271*$AN271,"")</f>
        <v/>
      </c>
      <c r="AS271">
        <f>IF($A271="","",IFERROR(INDEX(Company_List!$H$3:$H$207,MATCH($A271,Company_List!$A$3:$A$207,0)),"unassigned"))</f>
        <v/>
      </c>
    </row>
    <row r="272">
      <c r="A272" s="1" t="n"/>
      <c r="B272" s="120" t="n"/>
      <c r="AG272">
        <f>IF($A272="","",IFERROR(INDEX(Company_List!$G$3:$G$207,MATCH($A272,Company_List!$A$3:$A$207,0)),"unassigned"))</f>
        <v/>
      </c>
      <c r="AK272">
        <f>IF($A272="","",IF(COUNTIFS(Human_Data_Entry!$A$3:$A$525,$A272)&gt;0,"YES","NO"))</f>
        <v/>
      </c>
      <c r="AL272">
        <f>IF($A272="","",IF(AND($C272&amp;"-"&amp;$D272&gt;=Settings!$B$19,$C272&amp;"-"&amp;$D272&lt;=Settings!$B$20),"IN","OUT"))</f>
        <v/>
      </c>
      <c r="AM272">
        <f>IF(AND(OR($H272="BUY",$H272="SELL"),ISNUMBER($T272)),$T272,"")</f>
        <v/>
      </c>
      <c r="AN272">
        <f>IF(AND(OR($H272="BUY",$H272="SELL"),ISNUMBER($AF272)),$AF272,"")</f>
        <v/>
      </c>
      <c r="AO272">
        <f>IF(ISNUMBER($AM272),ABS(IF(ISNUMBER($G272),$G272,0)-Settings!$B$25),"")</f>
        <v/>
      </c>
      <c r="AP272">
        <f>IF(ISNUMBER($AO272),$AO272*$AM272,"")</f>
        <v/>
      </c>
      <c r="AQ272">
        <f>IF(ISNUMBER($AN272),ABS(IF(ISNUMBER($G272),$G272,0)-Settings!$B$25),"")</f>
        <v/>
      </c>
      <c r="AR272">
        <f>IF(ISNUMBER($AQ272),$AQ272*$AN272,"")</f>
        <v/>
      </c>
      <c r="AS272">
        <f>IF($A272="","",IFERROR(INDEX(Company_List!$H$3:$H$207,MATCH($A272,Company_List!$A$3:$A$207,0)),"unassigned"))</f>
        <v/>
      </c>
    </row>
    <row r="273">
      <c r="A273" s="1" t="n"/>
      <c r="B273" s="120" t="n"/>
      <c r="AG273">
        <f>IF($A273="","",IFERROR(INDEX(Company_List!$G$3:$G$207,MATCH($A273,Company_List!$A$3:$A$207,0)),"unassigned"))</f>
        <v/>
      </c>
      <c r="AK273">
        <f>IF($A273="","",IF(COUNTIFS(Human_Data_Entry!$A$3:$A$525,$A273)&gt;0,"YES","NO"))</f>
        <v/>
      </c>
      <c r="AL273">
        <f>IF($A273="","",IF(AND($C273&amp;"-"&amp;$D273&gt;=Settings!$B$19,$C273&amp;"-"&amp;$D273&lt;=Settings!$B$20),"IN","OUT"))</f>
        <v/>
      </c>
      <c r="AM273">
        <f>IF(AND(OR($H273="BUY",$H273="SELL"),ISNUMBER($T273)),$T273,"")</f>
        <v/>
      </c>
      <c r="AN273">
        <f>IF(AND(OR($H273="BUY",$H273="SELL"),ISNUMBER($AF273)),$AF273,"")</f>
        <v/>
      </c>
      <c r="AO273">
        <f>IF(ISNUMBER($AM273),ABS(IF(ISNUMBER($G273),$G273,0)-Settings!$B$25),"")</f>
        <v/>
      </c>
      <c r="AP273">
        <f>IF(ISNUMBER($AO273),$AO273*$AM273,"")</f>
        <v/>
      </c>
      <c r="AQ273">
        <f>IF(ISNUMBER($AN273),ABS(IF(ISNUMBER($G273),$G273,0)-Settings!$B$25),"")</f>
        <v/>
      </c>
      <c r="AR273">
        <f>IF(ISNUMBER($AQ273),$AQ273*$AN273,"")</f>
        <v/>
      </c>
      <c r="AS273">
        <f>IF($A273="","",IFERROR(INDEX(Company_List!$H$3:$H$207,MATCH($A273,Company_List!$A$3:$A$207,0)),"unassigned"))</f>
        <v/>
      </c>
    </row>
    <row r="274">
      <c r="A274" s="1" t="n"/>
      <c r="B274" s="120" t="n"/>
      <c r="AG274">
        <f>IF($A274="","",IFERROR(INDEX(Company_List!$G$3:$G$207,MATCH($A274,Company_List!$A$3:$A$207,0)),"unassigned"))</f>
        <v/>
      </c>
      <c r="AK274">
        <f>IF($A274="","",IF(COUNTIFS(Human_Data_Entry!$A$3:$A$525,$A274)&gt;0,"YES","NO"))</f>
        <v/>
      </c>
      <c r="AL274">
        <f>IF($A274="","",IF(AND($C274&amp;"-"&amp;$D274&gt;=Settings!$B$19,$C274&amp;"-"&amp;$D274&lt;=Settings!$B$20),"IN","OUT"))</f>
        <v/>
      </c>
      <c r="AM274">
        <f>IF(AND(OR($H274="BUY",$H274="SELL"),ISNUMBER($T274)),$T274,"")</f>
        <v/>
      </c>
      <c r="AN274">
        <f>IF(AND(OR($H274="BUY",$H274="SELL"),ISNUMBER($AF274)),$AF274,"")</f>
        <v/>
      </c>
      <c r="AO274">
        <f>IF(ISNUMBER($AM274),ABS(IF(ISNUMBER($G274),$G274,0)-Settings!$B$25),"")</f>
        <v/>
      </c>
      <c r="AP274">
        <f>IF(ISNUMBER($AO274),$AO274*$AM274,"")</f>
        <v/>
      </c>
      <c r="AQ274">
        <f>IF(ISNUMBER($AN274),ABS(IF(ISNUMBER($G274),$G274,0)-Settings!$B$25),"")</f>
        <v/>
      </c>
      <c r="AR274">
        <f>IF(ISNUMBER($AQ274),$AQ274*$AN274,"")</f>
        <v/>
      </c>
      <c r="AS274">
        <f>IF($A274="","",IFERROR(INDEX(Company_List!$H$3:$H$207,MATCH($A274,Company_List!$A$3:$A$207,0)),"unassigned"))</f>
        <v/>
      </c>
    </row>
    <row r="275">
      <c r="A275" s="1" t="n"/>
      <c r="B275" s="120" t="n"/>
      <c r="AG275">
        <f>IF($A275="","",IFERROR(INDEX(Company_List!$G$3:$G$207,MATCH($A275,Company_List!$A$3:$A$207,0)),"unassigned"))</f>
        <v/>
      </c>
      <c r="AK275">
        <f>IF($A275="","",IF(COUNTIFS(Human_Data_Entry!$A$3:$A$525,$A275)&gt;0,"YES","NO"))</f>
        <v/>
      </c>
      <c r="AL275">
        <f>IF($A275="","",IF(AND($C275&amp;"-"&amp;$D275&gt;=Settings!$B$19,$C275&amp;"-"&amp;$D275&lt;=Settings!$B$20),"IN","OUT"))</f>
        <v/>
      </c>
      <c r="AM275">
        <f>IF(AND(OR($H275="BUY",$H275="SELL"),ISNUMBER($T275)),$T275,"")</f>
        <v/>
      </c>
      <c r="AN275">
        <f>IF(AND(OR($H275="BUY",$H275="SELL"),ISNUMBER($AF275)),$AF275,"")</f>
        <v/>
      </c>
      <c r="AO275">
        <f>IF(ISNUMBER($AM275),ABS(IF(ISNUMBER($G275),$G275,0)-Settings!$B$25),"")</f>
        <v/>
      </c>
      <c r="AP275">
        <f>IF(ISNUMBER($AO275),$AO275*$AM275,"")</f>
        <v/>
      </c>
      <c r="AQ275">
        <f>IF(ISNUMBER($AN275),ABS(IF(ISNUMBER($G275),$G275,0)-Settings!$B$25),"")</f>
        <v/>
      </c>
      <c r="AR275">
        <f>IF(ISNUMBER($AQ275),$AQ275*$AN275,"")</f>
        <v/>
      </c>
      <c r="AS275">
        <f>IF($A275="","",IFERROR(INDEX(Company_List!$H$3:$H$207,MATCH($A275,Company_List!$A$3:$A$207,0)),"unassigned"))</f>
        <v/>
      </c>
    </row>
    <row r="276">
      <c r="A276" s="1" t="n"/>
      <c r="B276" s="120" t="n"/>
      <c r="AG276">
        <f>IF($A276="","",IFERROR(INDEX(Company_List!$G$3:$G$207,MATCH($A276,Company_List!$A$3:$A$207,0)),"unassigned"))</f>
        <v/>
      </c>
      <c r="AK276">
        <f>IF($A276="","",IF(COUNTIFS(Human_Data_Entry!$A$3:$A$525,$A276)&gt;0,"YES","NO"))</f>
        <v/>
      </c>
      <c r="AL276">
        <f>IF($A276="","",IF(AND($C276&amp;"-"&amp;$D276&gt;=Settings!$B$19,$C276&amp;"-"&amp;$D276&lt;=Settings!$B$20),"IN","OUT"))</f>
        <v/>
      </c>
      <c r="AM276">
        <f>IF(AND(OR($H276="BUY",$H276="SELL"),ISNUMBER($T276)),$T276,"")</f>
        <v/>
      </c>
      <c r="AN276">
        <f>IF(AND(OR($H276="BUY",$H276="SELL"),ISNUMBER($AF276)),$AF276,"")</f>
        <v/>
      </c>
      <c r="AO276">
        <f>IF(ISNUMBER($AM276),ABS(IF(ISNUMBER($G276),$G276,0)-Settings!$B$25),"")</f>
        <v/>
      </c>
      <c r="AP276">
        <f>IF(ISNUMBER($AO276),$AO276*$AM276,"")</f>
        <v/>
      </c>
      <c r="AQ276">
        <f>IF(ISNUMBER($AN276),ABS(IF(ISNUMBER($G276),$G276,0)-Settings!$B$25),"")</f>
        <v/>
      </c>
      <c r="AR276">
        <f>IF(ISNUMBER($AQ276),$AQ276*$AN276,"")</f>
        <v/>
      </c>
      <c r="AS276">
        <f>IF($A276="","",IFERROR(INDEX(Company_List!$H$3:$H$207,MATCH($A276,Company_List!$A$3:$A$207,0)),"unassigned"))</f>
        <v/>
      </c>
    </row>
    <row r="277">
      <c r="A277" s="1" t="n"/>
      <c r="B277" s="120" t="n"/>
      <c r="AG277">
        <f>IF($A277="","",IFERROR(INDEX(Company_List!$G$3:$G$207,MATCH($A277,Company_List!$A$3:$A$207,0)),"unassigned"))</f>
        <v/>
      </c>
      <c r="AK277">
        <f>IF($A277="","",IF(COUNTIFS(Human_Data_Entry!$A$3:$A$525,$A277)&gt;0,"YES","NO"))</f>
        <v/>
      </c>
      <c r="AL277">
        <f>IF($A277="","",IF(AND($C277&amp;"-"&amp;$D277&gt;=Settings!$B$19,$C277&amp;"-"&amp;$D277&lt;=Settings!$B$20),"IN","OUT"))</f>
        <v/>
      </c>
      <c r="AM277">
        <f>IF(AND(OR($H277="BUY",$H277="SELL"),ISNUMBER($T277)),$T277,"")</f>
        <v/>
      </c>
      <c r="AN277">
        <f>IF(AND(OR($H277="BUY",$H277="SELL"),ISNUMBER($AF277)),$AF277,"")</f>
        <v/>
      </c>
      <c r="AO277">
        <f>IF(ISNUMBER($AM277),ABS(IF(ISNUMBER($G277),$G277,0)-Settings!$B$25),"")</f>
        <v/>
      </c>
      <c r="AP277">
        <f>IF(ISNUMBER($AO277),$AO277*$AM277,"")</f>
        <v/>
      </c>
      <c r="AQ277">
        <f>IF(ISNUMBER($AN277),ABS(IF(ISNUMBER($G277),$G277,0)-Settings!$B$25),"")</f>
        <v/>
      </c>
      <c r="AR277">
        <f>IF(ISNUMBER($AQ277),$AQ277*$AN277,"")</f>
        <v/>
      </c>
      <c r="AS277">
        <f>IF($A277="","",IFERROR(INDEX(Company_List!$H$3:$H$207,MATCH($A277,Company_List!$A$3:$A$207,0)),"unassigned"))</f>
        <v/>
      </c>
    </row>
    <row r="278">
      <c r="A278" s="1" t="n"/>
      <c r="B278" s="120" t="n"/>
      <c r="AG278">
        <f>IF($A278="","",IFERROR(INDEX(Company_List!$G$3:$G$207,MATCH($A278,Company_List!$A$3:$A$207,0)),"unassigned"))</f>
        <v/>
      </c>
      <c r="AK278">
        <f>IF($A278="","",IF(COUNTIFS(Human_Data_Entry!$A$3:$A$525,$A278)&gt;0,"YES","NO"))</f>
        <v/>
      </c>
      <c r="AL278">
        <f>IF($A278="","",IF(AND($C278&amp;"-"&amp;$D278&gt;=Settings!$B$19,$C278&amp;"-"&amp;$D278&lt;=Settings!$B$20),"IN","OUT"))</f>
        <v/>
      </c>
      <c r="AM278">
        <f>IF(AND(OR($H278="BUY",$H278="SELL"),ISNUMBER($T278)),$T278,"")</f>
        <v/>
      </c>
      <c r="AN278">
        <f>IF(AND(OR($H278="BUY",$H278="SELL"),ISNUMBER($AF278)),$AF278,"")</f>
        <v/>
      </c>
      <c r="AO278">
        <f>IF(ISNUMBER($AM278),ABS(IF(ISNUMBER($G278),$G278,0)-Settings!$B$25),"")</f>
        <v/>
      </c>
      <c r="AP278">
        <f>IF(ISNUMBER($AO278),$AO278*$AM278,"")</f>
        <v/>
      </c>
      <c r="AQ278">
        <f>IF(ISNUMBER($AN278),ABS(IF(ISNUMBER($G278),$G278,0)-Settings!$B$25),"")</f>
        <v/>
      </c>
      <c r="AR278">
        <f>IF(ISNUMBER($AQ278),$AQ278*$AN278,"")</f>
        <v/>
      </c>
      <c r="AS278">
        <f>IF($A278="","",IFERROR(INDEX(Company_List!$H$3:$H$207,MATCH($A278,Company_List!$A$3:$A$207,0)),"unassigned"))</f>
        <v/>
      </c>
    </row>
    <row r="279">
      <c r="A279" s="1" t="n"/>
      <c r="B279" s="120" t="n"/>
      <c r="AG279">
        <f>IF($A279="","",IFERROR(INDEX(Company_List!$G$3:$G$207,MATCH($A279,Company_List!$A$3:$A$207,0)),"unassigned"))</f>
        <v/>
      </c>
      <c r="AK279">
        <f>IF($A279="","",IF(COUNTIFS(Human_Data_Entry!$A$3:$A$525,$A279)&gt;0,"YES","NO"))</f>
        <v/>
      </c>
      <c r="AL279">
        <f>IF($A279="","",IF(AND($C279&amp;"-"&amp;$D279&gt;=Settings!$B$19,$C279&amp;"-"&amp;$D279&lt;=Settings!$B$20),"IN","OUT"))</f>
        <v/>
      </c>
      <c r="AM279">
        <f>IF(AND(OR($H279="BUY",$H279="SELL"),ISNUMBER($T279)),$T279,"")</f>
        <v/>
      </c>
      <c r="AN279">
        <f>IF(AND(OR($H279="BUY",$H279="SELL"),ISNUMBER($AF279)),$AF279,"")</f>
        <v/>
      </c>
      <c r="AO279">
        <f>IF(ISNUMBER($AM279),ABS(IF(ISNUMBER($G279),$G279,0)-Settings!$B$25),"")</f>
        <v/>
      </c>
      <c r="AP279">
        <f>IF(ISNUMBER($AO279),$AO279*$AM279,"")</f>
        <v/>
      </c>
      <c r="AQ279">
        <f>IF(ISNUMBER($AN279),ABS(IF(ISNUMBER($G279),$G279,0)-Settings!$B$25),"")</f>
        <v/>
      </c>
      <c r="AR279">
        <f>IF(ISNUMBER($AQ279),$AQ279*$AN279,"")</f>
        <v/>
      </c>
      <c r="AS279">
        <f>IF($A279="","",IFERROR(INDEX(Company_List!$H$3:$H$207,MATCH($A279,Company_List!$A$3:$A$207,0)),"unassigned"))</f>
        <v/>
      </c>
    </row>
    <row r="280">
      <c r="A280" s="1" t="n"/>
      <c r="B280" s="120" t="n"/>
      <c r="AG280">
        <f>IF($A280="","",IFERROR(INDEX(Company_List!$G$3:$G$207,MATCH($A280,Company_List!$A$3:$A$207,0)),"unassigned"))</f>
        <v/>
      </c>
      <c r="AK280">
        <f>IF($A280="","",IF(COUNTIFS(Human_Data_Entry!$A$3:$A$525,$A280)&gt;0,"YES","NO"))</f>
        <v/>
      </c>
      <c r="AL280">
        <f>IF($A280="","",IF(AND($C280&amp;"-"&amp;$D280&gt;=Settings!$B$19,$C280&amp;"-"&amp;$D280&lt;=Settings!$B$20),"IN","OUT"))</f>
        <v/>
      </c>
      <c r="AM280">
        <f>IF(AND(OR($H280="BUY",$H280="SELL"),ISNUMBER($T280)),$T280,"")</f>
        <v/>
      </c>
      <c r="AN280">
        <f>IF(AND(OR($H280="BUY",$H280="SELL"),ISNUMBER($AF280)),$AF280,"")</f>
        <v/>
      </c>
      <c r="AO280">
        <f>IF(ISNUMBER($AM280),ABS(IF(ISNUMBER($G280),$G280,0)-Settings!$B$25),"")</f>
        <v/>
      </c>
      <c r="AP280">
        <f>IF(ISNUMBER($AO280),$AO280*$AM280,"")</f>
        <v/>
      </c>
      <c r="AQ280">
        <f>IF(ISNUMBER($AN280),ABS(IF(ISNUMBER($G280),$G280,0)-Settings!$B$25),"")</f>
        <v/>
      </c>
      <c r="AR280">
        <f>IF(ISNUMBER($AQ280),$AQ280*$AN280,"")</f>
        <v/>
      </c>
      <c r="AS280">
        <f>IF($A280="","",IFERROR(INDEX(Company_List!$H$3:$H$207,MATCH($A280,Company_List!$A$3:$A$207,0)),"unassigned"))</f>
        <v/>
      </c>
    </row>
    <row r="281">
      <c r="A281" s="1" t="n"/>
      <c r="B281" s="120" t="n"/>
      <c r="AG281">
        <f>IF($A281="","",IFERROR(INDEX(Company_List!$G$3:$G$207,MATCH($A281,Company_List!$A$3:$A$207,0)),"unassigned"))</f>
        <v/>
      </c>
      <c r="AK281">
        <f>IF($A281="","",IF(COUNTIFS(Human_Data_Entry!$A$3:$A$525,$A281)&gt;0,"YES","NO"))</f>
        <v/>
      </c>
      <c r="AL281">
        <f>IF($A281="","",IF(AND($C281&amp;"-"&amp;$D281&gt;=Settings!$B$19,$C281&amp;"-"&amp;$D281&lt;=Settings!$B$20),"IN","OUT"))</f>
        <v/>
      </c>
      <c r="AM281">
        <f>IF(AND(OR($H281="BUY",$H281="SELL"),ISNUMBER($T281)),$T281,"")</f>
        <v/>
      </c>
      <c r="AN281">
        <f>IF(AND(OR($H281="BUY",$H281="SELL"),ISNUMBER($AF281)),$AF281,"")</f>
        <v/>
      </c>
      <c r="AO281">
        <f>IF(ISNUMBER($AM281),ABS(IF(ISNUMBER($G281),$G281,0)-Settings!$B$25),"")</f>
        <v/>
      </c>
      <c r="AP281">
        <f>IF(ISNUMBER($AO281),$AO281*$AM281,"")</f>
        <v/>
      </c>
      <c r="AQ281">
        <f>IF(ISNUMBER($AN281),ABS(IF(ISNUMBER($G281),$G281,0)-Settings!$B$25),"")</f>
        <v/>
      </c>
      <c r="AR281">
        <f>IF(ISNUMBER($AQ281),$AQ281*$AN281,"")</f>
        <v/>
      </c>
      <c r="AS281">
        <f>IF($A281="","",IFERROR(INDEX(Company_List!$H$3:$H$207,MATCH($A281,Company_List!$A$3:$A$207,0)),"unassigned"))</f>
        <v/>
      </c>
    </row>
    <row r="282">
      <c r="A282" s="1" t="n"/>
      <c r="B282" s="120" t="n"/>
      <c r="AG282">
        <f>IF($A282="","",IFERROR(INDEX(Company_List!$G$3:$G$207,MATCH($A282,Company_List!$A$3:$A$207,0)),"unassigned"))</f>
        <v/>
      </c>
      <c r="AK282">
        <f>IF($A282="","",IF(COUNTIFS(Human_Data_Entry!$A$3:$A$525,$A282)&gt;0,"YES","NO"))</f>
        <v/>
      </c>
      <c r="AL282">
        <f>IF($A282="","",IF(AND($C282&amp;"-"&amp;$D282&gt;=Settings!$B$19,$C282&amp;"-"&amp;$D282&lt;=Settings!$B$20),"IN","OUT"))</f>
        <v/>
      </c>
      <c r="AM282">
        <f>IF(AND(OR($H282="BUY",$H282="SELL"),ISNUMBER($T282)),$T282,"")</f>
        <v/>
      </c>
      <c r="AN282">
        <f>IF(AND(OR($H282="BUY",$H282="SELL"),ISNUMBER($AF282)),$AF282,"")</f>
        <v/>
      </c>
      <c r="AO282">
        <f>IF(ISNUMBER($AM282),ABS(IF(ISNUMBER($G282),$G282,0)-Settings!$B$25),"")</f>
        <v/>
      </c>
      <c r="AP282">
        <f>IF(ISNUMBER($AO282),$AO282*$AM282,"")</f>
        <v/>
      </c>
      <c r="AQ282">
        <f>IF(ISNUMBER($AN282),ABS(IF(ISNUMBER($G282),$G282,0)-Settings!$B$25),"")</f>
        <v/>
      </c>
      <c r="AR282">
        <f>IF(ISNUMBER($AQ282),$AQ282*$AN282,"")</f>
        <v/>
      </c>
      <c r="AS282">
        <f>IF($A282="","",IFERROR(INDEX(Company_List!$H$3:$H$207,MATCH($A282,Company_List!$A$3:$A$207,0)),"unassigned"))</f>
        <v/>
      </c>
    </row>
    <row r="283">
      <c r="A283" s="1" t="n"/>
      <c r="B283" s="120" t="n"/>
      <c r="AG283">
        <f>IF($A283="","",IFERROR(INDEX(Company_List!$G$3:$G$207,MATCH($A283,Company_List!$A$3:$A$207,0)),"unassigned"))</f>
        <v/>
      </c>
      <c r="AK283">
        <f>IF($A283="","",IF(COUNTIFS(Human_Data_Entry!$A$3:$A$525,$A283)&gt;0,"YES","NO"))</f>
        <v/>
      </c>
      <c r="AL283">
        <f>IF($A283="","",IF(AND($C283&amp;"-"&amp;$D283&gt;=Settings!$B$19,$C283&amp;"-"&amp;$D283&lt;=Settings!$B$20),"IN","OUT"))</f>
        <v/>
      </c>
      <c r="AM283">
        <f>IF(AND(OR($H283="BUY",$H283="SELL"),ISNUMBER($T283)),$T283,"")</f>
        <v/>
      </c>
      <c r="AN283">
        <f>IF(AND(OR($H283="BUY",$H283="SELL"),ISNUMBER($AF283)),$AF283,"")</f>
        <v/>
      </c>
      <c r="AO283">
        <f>IF(ISNUMBER($AM283),ABS(IF(ISNUMBER($G283),$G283,0)-Settings!$B$25),"")</f>
        <v/>
      </c>
      <c r="AP283">
        <f>IF(ISNUMBER($AO283),$AO283*$AM283,"")</f>
        <v/>
      </c>
      <c r="AQ283">
        <f>IF(ISNUMBER($AN283),ABS(IF(ISNUMBER($G283),$G283,0)-Settings!$B$25),"")</f>
        <v/>
      </c>
      <c r="AR283">
        <f>IF(ISNUMBER($AQ283),$AQ283*$AN283,"")</f>
        <v/>
      </c>
      <c r="AS283">
        <f>IF($A283="","",IFERROR(INDEX(Company_List!$H$3:$H$207,MATCH($A283,Company_List!$A$3:$A$207,0)),"unassigned"))</f>
        <v/>
      </c>
    </row>
    <row r="284">
      <c r="A284" s="1" t="n"/>
      <c r="B284" s="120" t="n"/>
      <c r="AG284">
        <f>IF($A284="","",IFERROR(INDEX(Company_List!$G$3:$G$207,MATCH($A284,Company_List!$A$3:$A$207,0)),"unassigned"))</f>
        <v/>
      </c>
      <c r="AK284">
        <f>IF($A284="","",IF(COUNTIFS(Human_Data_Entry!$A$3:$A$525,$A284)&gt;0,"YES","NO"))</f>
        <v/>
      </c>
      <c r="AL284">
        <f>IF($A284="","",IF(AND($C284&amp;"-"&amp;$D284&gt;=Settings!$B$19,$C284&amp;"-"&amp;$D284&lt;=Settings!$B$20),"IN","OUT"))</f>
        <v/>
      </c>
      <c r="AM284">
        <f>IF(AND(OR($H284="BUY",$H284="SELL"),ISNUMBER($T284)),$T284,"")</f>
        <v/>
      </c>
      <c r="AN284">
        <f>IF(AND(OR($H284="BUY",$H284="SELL"),ISNUMBER($AF284)),$AF284,"")</f>
        <v/>
      </c>
      <c r="AO284">
        <f>IF(ISNUMBER($AM284),ABS(IF(ISNUMBER($G284),$G284,0)-Settings!$B$25),"")</f>
        <v/>
      </c>
      <c r="AP284">
        <f>IF(ISNUMBER($AO284),$AO284*$AM284,"")</f>
        <v/>
      </c>
      <c r="AQ284">
        <f>IF(ISNUMBER($AN284),ABS(IF(ISNUMBER($G284),$G284,0)-Settings!$B$25),"")</f>
        <v/>
      </c>
      <c r="AR284">
        <f>IF(ISNUMBER($AQ284),$AQ284*$AN284,"")</f>
        <v/>
      </c>
      <c r="AS284">
        <f>IF($A284="","",IFERROR(INDEX(Company_List!$H$3:$H$207,MATCH($A284,Company_List!$A$3:$A$207,0)),"unassigned"))</f>
        <v/>
      </c>
    </row>
    <row r="285">
      <c r="A285" s="1" t="n"/>
      <c r="B285" s="120" t="n"/>
      <c r="AG285">
        <f>IF($A285="","",IFERROR(INDEX(Company_List!$G$3:$G$207,MATCH($A285,Company_List!$A$3:$A$207,0)),"unassigned"))</f>
        <v/>
      </c>
      <c r="AK285">
        <f>IF($A285="","",IF(COUNTIFS(Human_Data_Entry!$A$3:$A$525,$A285)&gt;0,"YES","NO"))</f>
        <v/>
      </c>
      <c r="AL285">
        <f>IF($A285="","",IF(AND($C285&amp;"-"&amp;$D285&gt;=Settings!$B$19,$C285&amp;"-"&amp;$D285&lt;=Settings!$B$20),"IN","OUT"))</f>
        <v/>
      </c>
      <c r="AM285">
        <f>IF(AND(OR($H285="BUY",$H285="SELL"),ISNUMBER($T285)),$T285,"")</f>
        <v/>
      </c>
      <c r="AN285">
        <f>IF(AND(OR($H285="BUY",$H285="SELL"),ISNUMBER($AF285)),$AF285,"")</f>
        <v/>
      </c>
      <c r="AO285">
        <f>IF(ISNUMBER($AM285),ABS(IF(ISNUMBER($G285),$G285,0)-Settings!$B$25),"")</f>
        <v/>
      </c>
      <c r="AP285">
        <f>IF(ISNUMBER($AO285),$AO285*$AM285,"")</f>
        <v/>
      </c>
      <c r="AQ285">
        <f>IF(ISNUMBER($AN285),ABS(IF(ISNUMBER($G285),$G285,0)-Settings!$B$25),"")</f>
        <v/>
      </c>
      <c r="AR285">
        <f>IF(ISNUMBER($AQ285),$AQ285*$AN285,"")</f>
        <v/>
      </c>
      <c r="AS285">
        <f>IF($A285="","",IFERROR(INDEX(Company_List!$H$3:$H$207,MATCH($A285,Company_List!$A$3:$A$207,0)),"unassigned"))</f>
        <v/>
      </c>
    </row>
    <row r="286">
      <c r="A286" s="1" t="n"/>
      <c r="B286" s="120" t="n"/>
      <c r="AG286">
        <f>IF($A286="","",IFERROR(INDEX(Company_List!$G$3:$G$207,MATCH($A286,Company_List!$A$3:$A$207,0)),"unassigned"))</f>
        <v/>
      </c>
      <c r="AK286">
        <f>IF($A286="","",IF(COUNTIFS(Human_Data_Entry!$A$3:$A$525,$A286)&gt;0,"YES","NO"))</f>
        <v/>
      </c>
      <c r="AL286">
        <f>IF($A286="","",IF(AND($C286&amp;"-"&amp;$D286&gt;=Settings!$B$19,$C286&amp;"-"&amp;$D286&lt;=Settings!$B$20),"IN","OUT"))</f>
        <v/>
      </c>
      <c r="AM286">
        <f>IF(AND(OR($H286="BUY",$H286="SELL"),ISNUMBER($T286)),$T286,"")</f>
        <v/>
      </c>
      <c r="AN286">
        <f>IF(AND(OR($H286="BUY",$H286="SELL"),ISNUMBER($AF286)),$AF286,"")</f>
        <v/>
      </c>
      <c r="AO286">
        <f>IF(ISNUMBER($AM286),ABS(IF(ISNUMBER($G286),$G286,0)-Settings!$B$25),"")</f>
        <v/>
      </c>
      <c r="AP286">
        <f>IF(ISNUMBER($AO286),$AO286*$AM286,"")</f>
        <v/>
      </c>
      <c r="AQ286">
        <f>IF(ISNUMBER($AN286),ABS(IF(ISNUMBER($G286),$G286,0)-Settings!$B$25),"")</f>
        <v/>
      </c>
      <c r="AR286">
        <f>IF(ISNUMBER($AQ286),$AQ286*$AN286,"")</f>
        <v/>
      </c>
      <c r="AS286">
        <f>IF($A286="","",IFERROR(INDEX(Company_List!$H$3:$H$207,MATCH($A286,Company_List!$A$3:$A$207,0)),"unassigned"))</f>
        <v/>
      </c>
    </row>
    <row r="287">
      <c r="A287" s="1" t="n"/>
      <c r="B287" s="120" t="n"/>
      <c r="AG287">
        <f>IF($A287="","",IFERROR(INDEX(Company_List!$G$3:$G$207,MATCH($A287,Company_List!$A$3:$A$207,0)),"unassigned"))</f>
        <v/>
      </c>
      <c r="AK287">
        <f>IF($A287="","",IF(COUNTIFS(Human_Data_Entry!$A$3:$A$525,$A287)&gt;0,"YES","NO"))</f>
        <v/>
      </c>
      <c r="AL287">
        <f>IF($A287="","",IF(AND($C287&amp;"-"&amp;$D287&gt;=Settings!$B$19,$C287&amp;"-"&amp;$D287&lt;=Settings!$B$20),"IN","OUT"))</f>
        <v/>
      </c>
      <c r="AM287">
        <f>IF(AND(OR($H287="BUY",$H287="SELL"),ISNUMBER($T287)),$T287,"")</f>
        <v/>
      </c>
      <c r="AN287">
        <f>IF(AND(OR($H287="BUY",$H287="SELL"),ISNUMBER($AF287)),$AF287,"")</f>
        <v/>
      </c>
      <c r="AO287">
        <f>IF(ISNUMBER($AM287),ABS(IF(ISNUMBER($G287),$G287,0)-Settings!$B$25),"")</f>
        <v/>
      </c>
      <c r="AP287">
        <f>IF(ISNUMBER($AO287),$AO287*$AM287,"")</f>
        <v/>
      </c>
      <c r="AQ287">
        <f>IF(ISNUMBER($AN287),ABS(IF(ISNUMBER($G287),$G287,0)-Settings!$B$25),"")</f>
        <v/>
      </c>
      <c r="AR287">
        <f>IF(ISNUMBER($AQ287),$AQ287*$AN287,"")</f>
        <v/>
      </c>
      <c r="AS287">
        <f>IF($A287="","",IFERROR(INDEX(Company_List!$H$3:$H$207,MATCH($A287,Company_List!$A$3:$A$207,0)),"unassigned"))</f>
        <v/>
      </c>
    </row>
    <row r="288">
      <c r="A288" s="1" t="n"/>
      <c r="B288" s="120" t="n"/>
      <c r="AG288">
        <f>IF($A288="","",IFERROR(INDEX(Company_List!$G$3:$G$207,MATCH($A288,Company_List!$A$3:$A$207,0)),"unassigned"))</f>
        <v/>
      </c>
      <c r="AK288">
        <f>IF($A288="","",IF(COUNTIFS(Human_Data_Entry!$A$3:$A$525,$A288)&gt;0,"YES","NO"))</f>
        <v/>
      </c>
      <c r="AL288">
        <f>IF($A288="","",IF(AND($C288&amp;"-"&amp;$D288&gt;=Settings!$B$19,$C288&amp;"-"&amp;$D288&lt;=Settings!$B$20),"IN","OUT"))</f>
        <v/>
      </c>
      <c r="AM288">
        <f>IF(AND(OR($H288="BUY",$H288="SELL"),ISNUMBER($T288)),$T288,"")</f>
        <v/>
      </c>
      <c r="AN288">
        <f>IF(AND(OR($H288="BUY",$H288="SELL"),ISNUMBER($AF288)),$AF288,"")</f>
        <v/>
      </c>
      <c r="AO288">
        <f>IF(ISNUMBER($AM288),ABS(IF(ISNUMBER($G288),$G288,0)-Settings!$B$25),"")</f>
        <v/>
      </c>
      <c r="AP288">
        <f>IF(ISNUMBER($AO288),$AO288*$AM288,"")</f>
        <v/>
      </c>
      <c r="AQ288">
        <f>IF(ISNUMBER($AN288),ABS(IF(ISNUMBER($G288),$G288,0)-Settings!$B$25),"")</f>
        <v/>
      </c>
      <c r="AR288">
        <f>IF(ISNUMBER($AQ288),$AQ288*$AN288,"")</f>
        <v/>
      </c>
      <c r="AS288">
        <f>IF($A288="","",IFERROR(INDEX(Company_List!$H$3:$H$207,MATCH($A288,Company_List!$A$3:$A$207,0)),"unassigned"))</f>
        <v/>
      </c>
    </row>
    <row r="289">
      <c r="A289" s="1" t="n"/>
      <c r="B289" s="120" t="n"/>
      <c r="AG289">
        <f>IF($A289="","",IFERROR(INDEX(Company_List!$G$3:$G$207,MATCH($A289,Company_List!$A$3:$A$207,0)),"unassigned"))</f>
        <v/>
      </c>
      <c r="AK289">
        <f>IF($A289="","",IF(COUNTIFS(Human_Data_Entry!$A$3:$A$525,$A289)&gt;0,"YES","NO"))</f>
        <v/>
      </c>
      <c r="AL289">
        <f>IF($A289="","",IF(AND($C289&amp;"-"&amp;$D289&gt;=Settings!$B$19,$C289&amp;"-"&amp;$D289&lt;=Settings!$B$20),"IN","OUT"))</f>
        <v/>
      </c>
      <c r="AM289">
        <f>IF(AND(OR($H289="BUY",$H289="SELL"),ISNUMBER($T289)),$T289,"")</f>
        <v/>
      </c>
      <c r="AN289">
        <f>IF(AND(OR($H289="BUY",$H289="SELL"),ISNUMBER($AF289)),$AF289,"")</f>
        <v/>
      </c>
      <c r="AO289">
        <f>IF(ISNUMBER($AM289),ABS(IF(ISNUMBER($G289),$G289,0)-Settings!$B$25),"")</f>
        <v/>
      </c>
      <c r="AP289">
        <f>IF(ISNUMBER($AO289),$AO289*$AM289,"")</f>
        <v/>
      </c>
      <c r="AQ289">
        <f>IF(ISNUMBER($AN289),ABS(IF(ISNUMBER($G289),$G289,0)-Settings!$B$25),"")</f>
        <v/>
      </c>
      <c r="AR289">
        <f>IF(ISNUMBER($AQ289),$AQ289*$AN289,"")</f>
        <v/>
      </c>
      <c r="AS289">
        <f>IF($A289="","",IFERROR(INDEX(Company_List!$H$3:$H$207,MATCH($A289,Company_List!$A$3:$A$207,0)),"unassigned"))</f>
        <v/>
      </c>
    </row>
    <row r="290">
      <c r="A290" s="1" t="n"/>
      <c r="B290" s="120" t="n"/>
      <c r="AG290">
        <f>IF($A290="","",IFERROR(INDEX(Company_List!$G$3:$G$207,MATCH($A290,Company_List!$A$3:$A$207,0)),"unassigned"))</f>
        <v/>
      </c>
      <c r="AK290">
        <f>IF($A290="","",IF(COUNTIFS(Human_Data_Entry!$A$3:$A$525,$A290)&gt;0,"YES","NO"))</f>
        <v/>
      </c>
      <c r="AL290">
        <f>IF($A290="","",IF(AND($C290&amp;"-"&amp;$D290&gt;=Settings!$B$19,$C290&amp;"-"&amp;$D290&lt;=Settings!$B$20),"IN","OUT"))</f>
        <v/>
      </c>
      <c r="AM290">
        <f>IF(AND(OR($H290="BUY",$H290="SELL"),ISNUMBER($T290)),$T290,"")</f>
        <v/>
      </c>
      <c r="AN290">
        <f>IF(AND(OR($H290="BUY",$H290="SELL"),ISNUMBER($AF290)),$AF290,"")</f>
        <v/>
      </c>
      <c r="AO290">
        <f>IF(ISNUMBER($AM290),ABS(IF(ISNUMBER($G290),$G290,0)-Settings!$B$25),"")</f>
        <v/>
      </c>
      <c r="AP290">
        <f>IF(ISNUMBER($AO290),$AO290*$AM290,"")</f>
        <v/>
      </c>
      <c r="AQ290">
        <f>IF(ISNUMBER($AN290),ABS(IF(ISNUMBER($G290),$G290,0)-Settings!$B$25),"")</f>
        <v/>
      </c>
      <c r="AR290">
        <f>IF(ISNUMBER($AQ290),$AQ290*$AN290,"")</f>
        <v/>
      </c>
      <c r="AS290">
        <f>IF($A290="","",IFERROR(INDEX(Company_List!$H$3:$H$207,MATCH($A290,Company_List!$A$3:$A$207,0)),"unassigned"))</f>
        <v/>
      </c>
    </row>
    <row r="291">
      <c r="A291" s="1" t="n"/>
      <c r="B291" s="120" t="n"/>
      <c r="AG291">
        <f>IF($A291="","",IFERROR(INDEX(Company_List!$G$3:$G$207,MATCH($A291,Company_List!$A$3:$A$207,0)),"unassigned"))</f>
        <v/>
      </c>
      <c r="AK291">
        <f>IF($A291="","",IF(COUNTIFS(Human_Data_Entry!$A$3:$A$525,$A291)&gt;0,"YES","NO"))</f>
        <v/>
      </c>
      <c r="AL291">
        <f>IF($A291="","",IF(AND($C291&amp;"-"&amp;$D291&gt;=Settings!$B$19,$C291&amp;"-"&amp;$D291&lt;=Settings!$B$20),"IN","OUT"))</f>
        <v/>
      </c>
      <c r="AM291">
        <f>IF(AND(OR($H291="BUY",$H291="SELL"),ISNUMBER($T291)),$T291,"")</f>
        <v/>
      </c>
      <c r="AN291">
        <f>IF(AND(OR($H291="BUY",$H291="SELL"),ISNUMBER($AF291)),$AF291,"")</f>
        <v/>
      </c>
      <c r="AO291">
        <f>IF(ISNUMBER($AM291),ABS(IF(ISNUMBER($G291),$G291,0)-Settings!$B$25),"")</f>
        <v/>
      </c>
      <c r="AP291">
        <f>IF(ISNUMBER($AO291),$AO291*$AM291,"")</f>
        <v/>
      </c>
      <c r="AQ291">
        <f>IF(ISNUMBER($AN291),ABS(IF(ISNUMBER($G291),$G291,0)-Settings!$B$25),"")</f>
        <v/>
      </c>
      <c r="AR291">
        <f>IF(ISNUMBER($AQ291),$AQ291*$AN291,"")</f>
        <v/>
      </c>
      <c r="AS291">
        <f>IF($A291="","",IFERROR(INDEX(Company_List!$H$3:$H$207,MATCH($A291,Company_List!$A$3:$A$207,0)),"unassigned"))</f>
        <v/>
      </c>
    </row>
    <row r="292">
      <c r="A292" s="1" t="n"/>
      <c r="B292" s="120" t="n"/>
      <c r="AG292">
        <f>IF($A292="","",IFERROR(INDEX(Company_List!$G$3:$G$207,MATCH($A292,Company_List!$A$3:$A$207,0)),"unassigned"))</f>
        <v/>
      </c>
      <c r="AK292">
        <f>IF($A292="","",IF(COUNTIFS(Human_Data_Entry!$A$3:$A$525,$A292)&gt;0,"YES","NO"))</f>
        <v/>
      </c>
      <c r="AL292">
        <f>IF($A292="","",IF(AND($C292&amp;"-"&amp;$D292&gt;=Settings!$B$19,$C292&amp;"-"&amp;$D292&lt;=Settings!$B$20),"IN","OUT"))</f>
        <v/>
      </c>
      <c r="AM292">
        <f>IF(AND(OR($H292="BUY",$H292="SELL"),ISNUMBER($T292)),$T292,"")</f>
        <v/>
      </c>
      <c r="AN292">
        <f>IF(AND(OR($H292="BUY",$H292="SELL"),ISNUMBER($AF292)),$AF292,"")</f>
        <v/>
      </c>
      <c r="AO292">
        <f>IF(ISNUMBER($AM292),ABS(IF(ISNUMBER($G292),$G292,0)-Settings!$B$25),"")</f>
        <v/>
      </c>
      <c r="AP292">
        <f>IF(ISNUMBER($AO292),$AO292*$AM292,"")</f>
        <v/>
      </c>
      <c r="AQ292">
        <f>IF(ISNUMBER($AN292),ABS(IF(ISNUMBER($G292),$G292,0)-Settings!$B$25),"")</f>
        <v/>
      </c>
      <c r="AR292">
        <f>IF(ISNUMBER($AQ292),$AQ292*$AN292,"")</f>
        <v/>
      </c>
      <c r="AS292">
        <f>IF($A292="","",IFERROR(INDEX(Company_List!$H$3:$H$207,MATCH($A292,Company_List!$A$3:$A$207,0)),"unassigned"))</f>
        <v/>
      </c>
    </row>
    <row r="293">
      <c r="A293" s="1" t="n"/>
      <c r="B293" s="120" t="n"/>
      <c r="AG293">
        <f>IF($A293="","",IFERROR(INDEX(Company_List!$G$3:$G$207,MATCH($A293,Company_List!$A$3:$A$207,0)),"unassigned"))</f>
        <v/>
      </c>
      <c r="AK293">
        <f>IF($A293="","",IF(COUNTIFS(Human_Data_Entry!$A$3:$A$525,$A293)&gt;0,"YES","NO"))</f>
        <v/>
      </c>
      <c r="AL293">
        <f>IF($A293="","",IF(AND($C293&amp;"-"&amp;$D293&gt;=Settings!$B$19,$C293&amp;"-"&amp;$D293&lt;=Settings!$B$20),"IN","OUT"))</f>
        <v/>
      </c>
      <c r="AM293">
        <f>IF(AND(OR($H293="BUY",$H293="SELL"),ISNUMBER($T293)),$T293,"")</f>
        <v/>
      </c>
      <c r="AN293">
        <f>IF(AND(OR($H293="BUY",$H293="SELL"),ISNUMBER($AF293)),$AF293,"")</f>
        <v/>
      </c>
      <c r="AO293">
        <f>IF(ISNUMBER($AM293),ABS(IF(ISNUMBER($G293),$G293,0)-Settings!$B$25),"")</f>
        <v/>
      </c>
      <c r="AP293">
        <f>IF(ISNUMBER($AO293),$AO293*$AM293,"")</f>
        <v/>
      </c>
      <c r="AQ293">
        <f>IF(ISNUMBER($AN293),ABS(IF(ISNUMBER($G293),$G293,0)-Settings!$B$25),"")</f>
        <v/>
      </c>
      <c r="AR293">
        <f>IF(ISNUMBER($AQ293),$AQ293*$AN293,"")</f>
        <v/>
      </c>
      <c r="AS293">
        <f>IF($A293="","",IFERROR(INDEX(Company_List!$H$3:$H$207,MATCH($A293,Company_List!$A$3:$A$207,0)),"unassigned"))</f>
        <v/>
      </c>
    </row>
    <row r="294">
      <c r="A294" s="1" t="n"/>
      <c r="B294" s="120" t="n"/>
      <c r="AG294">
        <f>IF($A294="","",IFERROR(INDEX(Company_List!$G$3:$G$207,MATCH($A294,Company_List!$A$3:$A$207,0)),"unassigned"))</f>
        <v/>
      </c>
      <c r="AK294">
        <f>IF($A294="","",IF(COUNTIFS(Human_Data_Entry!$A$3:$A$525,$A294)&gt;0,"YES","NO"))</f>
        <v/>
      </c>
      <c r="AL294">
        <f>IF($A294="","",IF(AND($C294&amp;"-"&amp;$D294&gt;=Settings!$B$19,$C294&amp;"-"&amp;$D294&lt;=Settings!$B$20),"IN","OUT"))</f>
        <v/>
      </c>
      <c r="AM294">
        <f>IF(AND(OR($H294="BUY",$H294="SELL"),ISNUMBER($T294)),$T294,"")</f>
        <v/>
      </c>
      <c r="AN294">
        <f>IF(AND(OR($H294="BUY",$H294="SELL"),ISNUMBER($AF294)),$AF294,"")</f>
        <v/>
      </c>
      <c r="AO294">
        <f>IF(ISNUMBER($AM294),ABS(IF(ISNUMBER($G294),$G294,0)-Settings!$B$25),"")</f>
        <v/>
      </c>
      <c r="AP294">
        <f>IF(ISNUMBER($AO294),$AO294*$AM294,"")</f>
        <v/>
      </c>
      <c r="AQ294">
        <f>IF(ISNUMBER($AN294),ABS(IF(ISNUMBER($G294),$G294,0)-Settings!$B$25),"")</f>
        <v/>
      </c>
      <c r="AR294">
        <f>IF(ISNUMBER($AQ294),$AQ294*$AN294,"")</f>
        <v/>
      </c>
      <c r="AS294">
        <f>IF($A294="","",IFERROR(INDEX(Company_List!$H$3:$H$207,MATCH($A294,Company_List!$A$3:$A$207,0)),"unassigned"))</f>
        <v/>
      </c>
    </row>
    <row r="295">
      <c r="A295" s="1" t="n"/>
      <c r="B295" s="120" t="n"/>
      <c r="AG295">
        <f>IF($A295="","",IFERROR(INDEX(Company_List!$G$3:$G$207,MATCH($A295,Company_List!$A$3:$A$207,0)),"unassigned"))</f>
        <v/>
      </c>
      <c r="AK295">
        <f>IF($A295="","",IF(COUNTIFS(Human_Data_Entry!$A$3:$A$525,$A295)&gt;0,"YES","NO"))</f>
        <v/>
      </c>
      <c r="AL295">
        <f>IF($A295="","",IF(AND($C295&amp;"-"&amp;$D295&gt;=Settings!$B$19,$C295&amp;"-"&amp;$D295&lt;=Settings!$B$20),"IN","OUT"))</f>
        <v/>
      </c>
      <c r="AM295">
        <f>IF(AND(OR($H295="BUY",$H295="SELL"),ISNUMBER($T295)),$T295,"")</f>
        <v/>
      </c>
      <c r="AN295">
        <f>IF(AND(OR($H295="BUY",$H295="SELL"),ISNUMBER($AF295)),$AF295,"")</f>
        <v/>
      </c>
      <c r="AO295">
        <f>IF(ISNUMBER($AM295),ABS(IF(ISNUMBER($G295),$G295,0)-Settings!$B$25),"")</f>
        <v/>
      </c>
      <c r="AP295">
        <f>IF(ISNUMBER($AO295),$AO295*$AM295,"")</f>
        <v/>
      </c>
      <c r="AQ295">
        <f>IF(ISNUMBER($AN295),ABS(IF(ISNUMBER($G295),$G295,0)-Settings!$B$25),"")</f>
        <v/>
      </c>
      <c r="AR295">
        <f>IF(ISNUMBER($AQ295),$AQ295*$AN295,"")</f>
        <v/>
      </c>
      <c r="AS295">
        <f>IF($A295="","",IFERROR(INDEX(Company_List!$H$3:$H$207,MATCH($A295,Company_List!$A$3:$A$207,0)),"unassigned"))</f>
        <v/>
      </c>
    </row>
    <row r="296">
      <c r="A296" s="1" t="n"/>
      <c r="B296" s="120" t="n"/>
      <c r="AG296">
        <f>IF($A296="","",IFERROR(INDEX(Company_List!$G$3:$G$207,MATCH($A296,Company_List!$A$3:$A$207,0)),"unassigned"))</f>
        <v/>
      </c>
      <c r="AK296">
        <f>IF($A296="","",IF(COUNTIFS(Human_Data_Entry!$A$3:$A$525,$A296)&gt;0,"YES","NO"))</f>
        <v/>
      </c>
      <c r="AL296">
        <f>IF($A296="","",IF(AND($C296&amp;"-"&amp;$D296&gt;=Settings!$B$19,$C296&amp;"-"&amp;$D296&lt;=Settings!$B$20),"IN","OUT"))</f>
        <v/>
      </c>
      <c r="AM296">
        <f>IF(AND(OR($H296="BUY",$H296="SELL"),ISNUMBER($T296)),$T296,"")</f>
        <v/>
      </c>
      <c r="AN296">
        <f>IF(AND(OR($H296="BUY",$H296="SELL"),ISNUMBER($AF296)),$AF296,"")</f>
        <v/>
      </c>
      <c r="AO296">
        <f>IF(ISNUMBER($AM296),ABS(IF(ISNUMBER($G296),$G296,0)-Settings!$B$25),"")</f>
        <v/>
      </c>
      <c r="AP296">
        <f>IF(ISNUMBER($AO296),$AO296*$AM296,"")</f>
        <v/>
      </c>
      <c r="AQ296">
        <f>IF(ISNUMBER($AN296),ABS(IF(ISNUMBER($G296),$G296,0)-Settings!$B$25),"")</f>
        <v/>
      </c>
      <c r="AR296">
        <f>IF(ISNUMBER($AQ296),$AQ296*$AN296,"")</f>
        <v/>
      </c>
      <c r="AS296">
        <f>IF($A296="","",IFERROR(INDEX(Company_List!$H$3:$H$207,MATCH($A296,Company_List!$A$3:$A$207,0)),"unassigned"))</f>
        <v/>
      </c>
    </row>
    <row r="297">
      <c r="A297" s="1" t="n"/>
      <c r="B297" s="120" t="n"/>
      <c r="AG297">
        <f>IF($A297="","",IFERROR(INDEX(Company_List!$G$3:$G$207,MATCH($A297,Company_List!$A$3:$A$207,0)),"unassigned"))</f>
        <v/>
      </c>
      <c r="AK297">
        <f>IF($A297="","",IF(COUNTIFS(Human_Data_Entry!$A$3:$A$525,$A297)&gt;0,"YES","NO"))</f>
        <v/>
      </c>
      <c r="AL297">
        <f>IF($A297="","",IF(AND($C297&amp;"-"&amp;$D297&gt;=Settings!$B$19,$C297&amp;"-"&amp;$D297&lt;=Settings!$B$20),"IN","OUT"))</f>
        <v/>
      </c>
      <c r="AM297">
        <f>IF(AND(OR($H297="BUY",$H297="SELL"),ISNUMBER($T297)),$T297,"")</f>
        <v/>
      </c>
      <c r="AN297">
        <f>IF(AND(OR($H297="BUY",$H297="SELL"),ISNUMBER($AF297)),$AF297,"")</f>
        <v/>
      </c>
      <c r="AO297">
        <f>IF(ISNUMBER($AM297),ABS(IF(ISNUMBER($G297),$G297,0)-Settings!$B$25),"")</f>
        <v/>
      </c>
      <c r="AP297">
        <f>IF(ISNUMBER($AO297),$AO297*$AM297,"")</f>
        <v/>
      </c>
      <c r="AQ297">
        <f>IF(ISNUMBER($AN297),ABS(IF(ISNUMBER($G297),$G297,0)-Settings!$B$25),"")</f>
        <v/>
      </c>
      <c r="AR297">
        <f>IF(ISNUMBER($AQ297),$AQ297*$AN297,"")</f>
        <v/>
      </c>
      <c r="AS297">
        <f>IF($A297="","",IFERROR(INDEX(Company_List!$H$3:$H$207,MATCH($A297,Company_List!$A$3:$A$207,0)),"unassigned"))</f>
        <v/>
      </c>
    </row>
    <row r="298">
      <c r="A298" s="1" t="n"/>
      <c r="B298" s="120" t="n"/>
      <c r="AG298">
        <f>IF($A298="","",IFERROR(INDEX(Company_List!$G$3:$G$207,MATCH($A298,Company_List!$A$3:$A$207,0)),"unassigned"))</f>
        <v/>
      </c>
      <c r="AK298">
        <f>IF($A298="","",IF(COUNTIFS(Human_Data_Entry!$A$3:$A$525,$A298)&gt;0,"YES","NO"))</f>
        <v/>
      </c>
      <c r="AL298">
        <f>IF($A298="","",IF(AND($C298&amp;"-"&amp;$D298&gt;=Settings!$B$19,$C298&amp;"-"&amp;$D298&lt;=Settings!$B$20),"IN","OUT"))</f>
        <v/>
      </c>
      <c r="AM298">
        <f>IF(AND(OR($H298="BUY",$H298="SELL"),ISNUMBER($T298)),$T298,"")</f>
        <v/>
      </c>
      <c r="AN298">
        <f>IF(AND(OR($H298="BUY",$H298="SELL"),ISNUMBER($AF298)),$AF298,"")</f>
        <v/>
      </c>
      <c r="AO298">
        <f>IF(ISNUMBER($AM298),ABS(IF(ISNUMBER($G298),$G298,0)-Settings!$B$25),"")</f>
        <v/>
      </c>
      <c r="AP298">
        <f>IF(ISNUMBER($AO298),$AO298*$AM298,"")</f>
        <v/>
      </c>
      <c r="AQ298">
        <f>IF(ISNUMBER($AN298),ABS(IF(ISNUMBER($G298),$G298,0)-Settings!$B$25),"")</f>
        <v/>
      </c>
      <c r="AR298">
        <f>IF(ISNUMBER($AQ298),$AQ298*$AN298,"")</f>
        <v/>
      </c>
      <c r="AS298">
        <f>IF($A298="","",IFERROR(INDEX(Company_List!$H$3:$H$207,MATCH($A298,Company_List!$A$3:$A$207,0)),"unassigned"))</f>
        <v/>
      </c>
    </row>
    <row r="299">
      <c r="A299" s="1" t="n"/>
      <c r="B299" s="120" t="n"/>
      <c r="AG299">
        <f>IF($A299="","",IFERROR(INDEX(Company_List!$G$3:$G$207,MATCH($A299,Company_List!$A$3:$A$207,0)),"unassigned"))</f>
        <v/>
      </c>
      <c r="AK299">
        <f>IF($A299="","",IF(COUNTIFS(Human_Data_Entry!$A$3:$A$525,$A299)&gt;0,"YES","NO"))</f>
        <v/>
      </c>
      <c r="AL299">
        <f>IF($A299="","",IF(AND($C299&amp;"-"&amp;$D299&gt;=Settings!$B$19,$C299&amp;"-"&amp;$D299&lt;=Settings!$B$20),"IN","OUT"))</f>
        <v/>
      </c>
      <c r="AM299">
        <f>IF(AND(OR($H299="BUY",$H299="SELL"),ISNUMBER($T299)),$T299,"")</f>
        <v/>
      </c>
      <c r="AN299">
        <f>IF(AND(OR($H299="BUY",$H299="SELL"),ISNUMBER($AF299)),$AF299,"")</f>
        <v/>
      </c>
      <c r="AO299">
        <f>IF(ISNUMBER($AM299),ABS(IF(ISNUMBER($G299),$G299,0)-Settings!$B$25),"")</f>
        <v/>
      </c>
      <c r="AP299">
        <f>IF(ISNUMBER($AO299),$AO299*$AM299,"")</f>
        <v/>
      </c>
      <c r="AQ299">
        <f>IF(ISNUMBER($AN299),ABS(IF(ISNUMBER($G299),$G299,0)-Settings!$B$25),"")</f>
        <v/>
      </c>
      <c r="AR299">
        <f>IF(ISNUMBER($AQ299),$AQ299*$AN299,"")</f>
        <v/>
      </c>
      <c r="AS299">
        <f>IF($A299="","",IFERROR(INDEX(Company_List!$H$3:$H$207,MATCH($A299,Company_List!$A$3:$A$207,0)),"unassigned"))</f>
        <v/>
      </c>
    </row>
    <row r="300">
      <c r="A300" s="1" t="n"/>
      <c r="B300" s="120" t="n"/>
      <c r="AG300">
        <f>IF($A300="","",IFERROR(INDEX(Company_List!$G$3:$G$207,MATCH($A300,Company_List!$A$3:$A$207,0)),"unassigned"))</f>
        <v/>
      </c>
      <c r="AK300">
        <f>IF($A300="","",IF(COUNTIFS(Human_Data_Entry!$A$3:$A$525,$A300)&gt;0,"YES","NO"))</f>
        <v/>
      </c>
      <c r="AL300">
        <f>IF($A300="","",IF(AND($C300&amp;"-"&amp;$D300&gt;=Settings!$B$19,$C300&amp;"-"&amp;$D300&lt;=Settings!$B$20),"IN","OUT"))</f>
        <v/>
      </c>
      <c r="AM300">
        <f>IF(AND(OR($H300="BUY",$H300="SELL"),ISNUMBER($T300)),$T300,"")</f>
        <v/>
      </c>
      <c r="AN300">
        <f>IF(AND(OR($H300="BUY",$H300="SELL"),ISNUMBER($AF300)),$AF300,"")</f>
        <v/>
      </c>
      <c r="AO300">
        <f>IF(ISNUMBER($AM300),ABS(IF(ISNUMBER($G300),$G300,0)-Settings!$B$25),"")</f>
        <v/>
      </c>
      <c r="AP300">
        <f>IF(ISNUMBER($AO300),$AO300*$AM300,"")</f>
        <v/>
      </c>
      <c r="AQ300">
        <f>IF(ISNUMBER($AN300),ABS(IF(ISNUMBER($G300),$G300,0)-Settings!$B$25),"")</f>
        <v/>
      </c>
      <c r="AR300">
        <f>IF(ISNUMBER($AQ300),$AQ300*$AN300,"")</f>
        <v/>
      </c>
      <c r="AS300">
        <f>IF($A300="","",IFERROR(INDEX(Company_List!$H$3:$H$207,MATCH($A300,Company_List!$A$3:$A$207,0)),"unassigned"))</f>
        <v/>
      </c>
    </row>
    <row r="301">
      <c r="A301" s="1" t="n"/>
      <c r="B301" s="120" t="n"/>
      <c r="M301" s="121" t="inlineStr">
        <is>
          <t xml:space="preserve"> </t>
        </is>
      </c>
      <c r="AG301">
        <f>IF($A301="","",IFERROR(INDEX(Company_List!$G$3:$G$207,MATCH($A301,Company_List!$A$3:$A$207,0)),"unassigned"))</f>
        <v/>
      </c>
      <c r="AK301">
        <f>IF($A301="","",IF(COUNTIFS(Human_Data_Entry!$A$3:$A$525,$A301)&gt;0,"YES","NO"))</f>
        <v/>
      </c>
      <c r="AL301">
        <f>IF($A301="","",IF(AND($C301&amp;"-"&amp;$D301&gt;=Settings!$B$19,$C301&amp;"-"&amp;$D301&lt;=Settings!$B$20),"IN","OUT"))</f>
        <v/>
      </c>
      <c r="AM301">
        <f>IF(AND(OR($H301="BUY",$H301="SELL"),ISNUMBER($T301)),$T301,"")</f>
        <v/>
      </c>
      <c r="AN301">
        <f>IF(AND(OR($H301="BUY",$H301="SELL"),ISNUMBER($AF301)),$AF301,"")</f>
        <v/>
      </c>
      <c r="AO301">
        <f>IF(ISNUMBER($AM301),ABS(IF(ISNUMBER($G301),$G301,0)-Settings!$B$25),"")</f>
        <v/>
      </c>
      <c r="AP301">
        <f>IF(ISNUMBER($AO301),$AO301*$AM301,"")</f>
        <v/>
      </c>
      <c r="AQ301">
        <f>IF(ISNUMBER($AN301),ABS(IF(ISNUMBER($G301),$G301,0)-Settings!$B$25),"")</f>
        <v/>
      </c>
      <c r="AR301">
        <f>IF(ISNUMBER($AQ301),$AQ301*$AN301,"")</f>
        <v/>
      </c>
      <c r="AS301">
        <f>IF($A301="","",IFERROR(INDEX(Company_List!$H$3:$H$207,MATCH($A301,Company_List!$A$3:$A$207,0)),"unassigned"))</f>
        <v/>
      </c>
    </row>
    <row r="302">
      <c r="A302" s="1" t="n"/>
      <c r="B302" s="120" t="n"/>
      <c r="AG302">
        <f>IF($A302="","",IFERROR(INDEX(Company_List!$G$3:$G$207,MATCH($A302,Company_List!$A$3:$A$207,0)),"unassigned"))</f>
        <v/>
      </c>
      <c r="AK302">
        <f>IF($A302="","",IF(COUNTIFS(Human_Data_Entry!$A$3:$A$525,$A302)&gt;0,"YES","NO"))</f>
        <v/>
      </c>
      <c r="AL302">
        <f>IF($A302="","",IF(AND($C302&amp;"-"&amp;$D302&gt;=Settings!$B$19,$C302&amp;"-"&amp;$D302&lt;=Settings!$B$20),"IN","OUT"))</f>
        <v/>
      </c>
      <c r="AM302">
        <f>IF(AND(OR($H302="BUY",$H302="SELL"),ISNUMBER($T302)),$T302,"")</f>
        <v/>
      </c>
      <c r="AN302">
        <f>IF(AND(OR($H302="BUY",$H302="SELL"),ISNUMBER($AF302)),$AF302,"")</f>
        <v/>
      </c>
      <c r="AO302">
        <f>IF(ISNUMBER($AM302),ABS(IF(ISNUMBER($G302),$G302,0)-Settings!$B$25),"")</f>
        <v/>
      </c>
      <c r="AP302">
        <f>IF(ISNUMBER($AO302),$AO302*$AM302,"")</f>
        <v/>
      </c>
      <c r="AQ302">
        <f>IF(ISNUMBER($AN302),ABS(IF(ISNUMBER($G302),$G302,0)-Settings!$B$25),"")</f>
        <v/>
      </c>
      <c r="AR302">
        <f>IF(ISNUMBER($AQ302),$AQ302*$AN302,"")</f>
        <v/>
      </c>
      <c r="AS302">
        <f>IF($A302="","",IFERROR(INDEX(Company_List!$H$3:$H$207,MATCH($A302,Company_List!$A$3:$A$207,0)),"unassigned"))</f>
        <v/>
      </c>
    </row>
    <row r="303">
      <c r="A303" s="1" t="n"/>
      <c r="B303" s="120" t="n"/>
      <c r="AG303">
        <f>IF($A303="","",IFERROR(INDEX(Company_List!$G$3:$G$207,MATCH($A303,Company_List!$A$3:$A$207,0)),"unassigned"))</f>
        <v/>
      </c>
      <c r="AK303">
        <f>IF($A303="","",IF(COUNTIFS(Human_Data_Entry!$A$3:$A$525,$A303)&gt;0,"YES","NO"))</f>
        <v/>
      </c>
      <c r="AL303">
        <f>IF($A303="","",IF(AND($C303&amp;"-"&amp;$D303&gt;=Settings!$B$19,$C303&amp;"-"&amp;$D303&lt;=Settings!$B$20),"IN","OUT"))</f>
        <v/>
      </c>
      <c r="AM303">
        <f>IF(AND(OR($H303="BUY",$H303="SELL"),ISNUMBER($T303)),$T303,"")</f>
        <v/>
      </c>
      <c r="AN303">
        <f>IF(AND(OR($H303="BUY",$H303="SELL"),ISNUMBER($AF303)),$AF303,"")</f>
        <v/>
      </c>
      <c r="AO303">
        <f>IF(ISNUMBER($AM303),ABS(IF(ISNUMBER($G303),$G303,0)-Settings!$B$25),"")</f>
        <v/>
      </c>
      <c r="AP303">
        <f>IF(ISNUMBER($AO303),$AO303*$AM303,"")</f>
        <v/>
      </c>
      <c r="AQ303">
        <f>IF(ISNUMBER($AN303),ABS(IF(ISNUMBER($G303),$G303,0)-Settings!$B$25),"")</f>
        <v/>
      </c>
      <c r="AR303">
        <f>IF(ISNUMBER($AQ303),$AQ303*$AN303,"")</f>
        <v/>
      </c>
      <c r="AS303">
        <f>IF($A303="","",IFERROR(INDEX(Company_List!$H$3:$H$207,MATCH($A303,Company_List!$A$3:$A$207,0)),"unassigned"))</f>
        <v/>
      </c>
    </row>
    <row r="304">
      <c r="A304" s="1" t="n"/>
      <c r="B304" s="120" t="n"/>
      <c r="AG304">
        <f>IF($A304="","",IFERROR(INDEX(Company_List!$G$3:$G$207,MATCH($A304,Company_List!$A$3:$A$207,0)),"unassigned"))</f>
        <v/>
      </c>
      <c r="AK304">
        <f>IF($A304="","",IF(COUNTIFS(Human_Data_Entry!$A$3:$A$525,$A304)&gt;0,"YES","NO"))</f>
        <v/>
      </c>
      <c r="AL304">
        <f>IF($A304="","",IF(AND($C304&amp;"-"&amp;$D304&gt;=Settings!$B$19,$C304&amp;"-"&amp;$D304&lt;=Settings!$B$20),"IN","OUT"))</f>
        <v/>
      </c>
      <c r="AM304">
        <f>IF(AND(OR($H304="BUY",$H304="SELL"),ISNUMBER($T304)),$T304,"")</f>
        <v/>
      </c>
      <c r="AN304">
        <f>IF(AND(OR($H304="BUY",$H304="SELL"),ISNUMBER($AF304)),$AF304,"")</f>
        <v/>
      </c>
      <c r="AO304">
        <f>IF(ISNUMBER($AM304),ABS(IF(ISNUMBER($G304),$G304,0)-Settings!$B$25),"")</f>
        <v/>
      </c>
      <c r="AP304">
        <f>IF(ISNUMBER($AO304),$AO304*$AM304,"")</f>
        <v/>
      </c>
      <c r="AQ304">
        <f>IF(ISNUMBER($AN304),ABS(IF(ISNUMBER($G304),$G304,0)-Settings!$B$25),"")</f>
        <v/>
      </c>
      <c r="AR304">
        <f>IF(ISNUMBER($AQ304),$AQ304*$AN304,"")</f>
        <v/>
      </c>
      <c r="AS304">
        <f>IF($A304="","",IFERROR(INDEX(Company_List!$H$3:$H$207,MATCH($A304,Company_List!$A$3:$A$207,0)),"unassigned"))</f>
        <v/>
      </c>
    </row>
    <row r="305">
      <c r="A305" s="1" t="n"/>
      <c r="B305" s="120" t="n"/>
      <c r="AG305">
        <f>IF($A305="","",IFERROR(INDEX(Company_List!$G$3:$G$207,MATCH($A305,Company_List!$A$3:$A$207,0)),"unassigned"))</f>
        <v/>
      </c>
      <c r="AK305">
        <f>IF($A305="","",IF(COUNTIFS(Human_Data_Entry!$A$3:$A$525,$A305)&gt;0,"YES","NO"))</f>
        <v/>
      </c>
      <c r="AL305">
        <f>IF($A305="","",IF(AND($C305&amp;"-"&amp;$D305&gt;=Settings!$B$19,$C305&amp;"-"&amp;$D305&lt;=Settings!$B$20),"IN","OUT"))</f>
        <v/>
      </c>
      <c r="AM305">
        <f>IF(AND(OR($H305="BUY",$H305="SELL"),ISNUMBER($T305)),$T305,"")</f>
        <v/>
      </c>
      <c r="AN305">
        <f>IF(AND(OR($H305="BUY",$H305="SELL"),ISNUMBER($AF305)),$AF305,"")</f>
        <v/>
      </c>
      <c r="AO305">
        <f>IF(ISNUMBER($AM305),ABS(IF(ISNUMBER($G305),$G305,0)-Settings!$B$25),"")</f>
        <v/>
      </c>
      <c r="AP305">
        <f>IF(ISNUMBER($AO305),$AO305*$AM305,"")</f>
        <v/>
      </c>
      <c r="AQ305">
        <f>IF(ISNUMBER($AN305),ABS(IF(ISNUMBER($G305),$G305,0)-Settings!$B$25),"")</f>
        <v/>
      </c>
      <c r="AR305">
        <f>IF(ISNUMBER($AQ305),$AQ305*$AN305,"")</f>
        <v/>
      </c>
      <c r="AS305">
        <f>IF($A305="","",IFERROR(INDEX(Company_List!$H$3:$H$207,MATCH($A305,Company_List!$A$3:$A$207,0)),"unassigned"))</f>
        <v/>
      </c>
    </row>
    <row r="306">
      <c r="A306" s="1" t="n"/>
      <c r="B306" s="120" t="n"/>
      <c r="AG306">
        <f>IF($A306="","",IFERROR(INDEX(Company_List!$G$3:$G$207,MATCH($A306,Company_List!$A$3:$A$207,0)),"unassigned"))</f>
        <v/>
      </c>
      <c r="AK306">
        <f>IF($A306="","",IF(COUNTIFS(Human_Data_Entry!$A$3:$A$525,$A306)&gt;0,"YES","NO"))</f>
        <v/>
      </c>
      <c r="AL306">
        <f>IF($A306="","",IF(AND($C306&amp;"-"&amp;$D306&gt;=Settings!$B$19,$C306&amp;"-"&amp;$D306&lt;=Settings!$B$20),"IN","OUT"))</f>
        <v/>
      </c>
      <c r="AM306">
        <f>IF(AND(OR($H306="BUY",$H306="SELL"),ISNUMBER($T306)),$T306,"")</f>
        <v/>
      </c>
      <c r="AN306">
        <f>IF(AND(OR($H306="BUY",$H306="SELL"),ISNUMBER($AF306)),$AF306,"")</f>
        <v/>
      </c>
      <c r="AO306">
        <f>IF(ISNUMBER($AM306),ABS(IF(ISNUMBER($G306),$G306,0)-Settings!$B$25),"")</f>
        <v/>
      </c>
      <c r="AP306">
        <f>IF(ISNUMBER($AO306),$AO306*$AM306,"")</f>
        <v/>
      </c>
      <c r="AQ306">
        <f>IF(ISNUMBER($AN306),ABS(IF(ISNUMBER($G306),$G306,0)-Settings!$B$25),"")</f>
        <v/>
      </c>
      <c r="AR306">
        <f>IF(ISNUMBER($AQ306),$AQ306*$AN306,"")</f>
        <v/>
      </c>
      <c r="AS306">
        <f>IF($A306="","",IFERROR(INDEX(Company_List!$H$3:$H$207,MATCH($A306,Company_List!$A$3:$A$207,0)),"unassigned"))</f>
        <v/>
      </c>
    </row>
    <row r="307">
      <c r="A307" s="1" t="n"/>
      <c r="B307" s="120" t="n"/>
      <c r="AG307">
        <f>IF($A307="","",IFERROR(INDEX(Company_List!$G$3:$G$207,MATCH($A307,Company_List!$A$3:$A$207,0)),"unassigned"))</f>
        <v/>
      </c>
      <c r="AK307">
        <f>IF($A307="","",IF(COUNTIFS(Human_Data_Entry!$A$3:$A$525,$A307)&gt;0,"YES","NO"))</f>
        <v/>
      </c>
      <c r="AL307">
        <f>IF($A307="","",IF(AND($C307&amp;"-"&amp;$D307&gt;=Settings!$B$19,$C307&amp;"-"&amp;$D307&lt;=Settings!$B$20),"IN","OUT"))</f>
        <v/>
      </c>
      <c r="AM307">
        <f>IF(AND(OR($H307="BUY",$H307="SELL"),ISNUMBER($T307)),$T307,"")</f>
        <v/>
      </c>
      <c r="AN307">
        <f>IF(AND(OR($H307="BUY",$H307="SELL"),ISNUMBER($AF307)),$AF307,"")</f>
        <v/>
      </c>
      <c r="AO307">
        <f>IF(ISNUMBER($AM307),ABS(IF(ISNUMBER($G307),$G307,0)-Settings!$B$25),"")</f>
        <v/>
      </c>
      <c r="AP307">
        <f>IF(ISNUMBER($AO307),$AO307*$AM307,"")</f>
        <v/>
      </c>
      <c r="AQ307">
        <f>IF(ISNUMBER($AN307),ABS(IF(ISNUMBER($G307),$G307,0)-Settings!$B$25),"")</f>
        <v/>
      </c>
      <c r="AR307">
        <f>IF(ISNUMBER($AQ307),$AQ307*$AN307,"")</f>
        <v/>
      </c>
      <c r="AS307">
        <f>IF($A307="","",IFERROR(INDEX(Company_List!$H$3:$H$207,MATCH($A307,Company_List!$A$3:$A$207,0)),"unassigned"))</f>
        <v/>
      </c>
    </row>
    <row r="308">
      <c r="A308" s="1" t="n"/>
      <c r="B308" s="120" t="n"/>
      <c r="AG308">
        <f>IF($A308="","",IFERROR(INDEX(Company_List!$G$3:$G$207,MATCH($A308,Company_List!$A$3:$A$207,0)),"unassigned"))</f>
        <v/>
      </c>
      <c r="AK308">
        <f>IF($A308="","",IF(COUNTIFS(Human_Data_Entry!$A$3:$A$525,$A308)&gt;0,"YES","NO"))</f>
        <v/>
      </c>
      <c r="AL308">
        <f>IF($A308="","",IF(AND($C308&amp;"-"&amp;$D308&gt;=Settings!$B$19,$C308&amp;"-"&amp;$D308&lt;=Settings!$B$20),"IN","OUT"))</f>
        <v/>
      </c>
      <c r="AM308">
        <f>IF(AND(OR($H308="BUY",$H308="SELL"),ISNUMBER($T308)),$T308,"")</f>
        <v/>
      </c>
      <c r="AN308">
        <f>IF(AND(OR($H308="BUY",$H308="SELL"),ISNUMBER($AF308)),$AF308,"")</f>
        <v/>
      </c>
      <c r="AO308">
        <f>IF(ISNUMBER($AM308),ABS(IF(ISNUMBER($G308),$G308,0)-Settings!$B$25),"")</f>
        <v/>
      </c>
      <c r="AP308">
        <f>IF(ISNUMBER($AO308),$AO308*$AM308,"")</f>
        <v/>
      </c>
      <c r="AQ308">
        <f>IF(ISNUMBER($AN308),ABS(IF(ISNUMBER($G308),$G308,0)-Settings!$B$25),"")</f>
        <v/>
      </c>
      <c r="AR308">
        <f>IF(ISNUMBER($AQ308),$AQ308*$AN308,"")</f>
        <v/>
      </c>
      <c r="AS308">
        <f>IF($A308="","",IFERROR(INDEX(Company_List!$H$3:$H$207,MATCH($A308,Company_List!$A$3:$A$207,0)),"unassigned"))</f>
        <v/>
      </c>
    </row>
    <row r="309">
      <c r="A309" s="1" t="n"/>
      <c r="B309" s="120" t="n"/>
      <c r="AG309">
        <f>IF($A309="","",IFERROR(INDEX(Company_List!$G$3:$G$207,MATCH($A309,Company_List!$A$3:$A$207,0)),"unassigned"))</f>
        <v/>
      </c>
      <c r="AK309">
        <f>IF($A309="","",IF(COUNTIFS(Human_Data_Entry!$A$3:$A$525,$A309)&gt;0,"YES","NO"))</f>
        <v/>
      </c>
      <c r="AL309">
        <f>IF($A309="","",IF(AND($C309&amp;"-"&amp;$D309&gt;=Settings!$B$19,$C309&amp;"-"&amp;$D309&lt;=Settings!$B$20),"IN","OUT"))</f>
        <v/>
      </c>
      <c r="AM309">
        <f>IF(AND(OR($H309="BUY",$H309="SELL"),ISNUMBER($T309)),$T309,"")</f>
        <v/>
      </c>
      <c r="AN309">
        <f>IF(AND(OR($H309="BUY",$H309="SELL"),ISNUMBER($AF309)),$AF309,"")</f>
        <v/>
      </c>
      <c r="AO309">
        <f>IF(ISNUMBER($AM309),ABS(IF(ISNUMBER($G309),$G309,0)-Settings!$B$25),"")</f>
        <v/>
      </c>
      <c r="AP309">
        <f>IF(ISNUMBER($AO309),$AO309*$AM309,"")</f>
        <v/>
      </c>
      <c r="AQ309">
        <f>IF(ISNUMBER($AN309),ABS(IF(ISNUMBER($G309),$G309,0)-Settings!$B$25),"")</f>
        <v/>
      </c>
      <c r="AR309">
        <f>IF(ISNUMBER($AQ309),$AQ309*$AN309,"")</f>
        <v/>
      </c>
      <c r="AS309">
        <f>IF($A309="","",IFERROR(INDEX(Company_List!$H$3:$H$207,MATCH($A309,Company_List!$A$3:$A$207,0)),"unassigned"))</f>
        <v/>
      </c>
    </row>
    <row r="310">
      <c r="A310" s="1" t="n"/>
      <c r="B310" s="120" t="n"/>
      <c r="AG310">
        <f>IF($A310="","",IFERROR(INDEX(Company_List!$G$3:$G$207,MATCH($A310,Company_List!$A$3:$A$207,0)),"unassigned"))</f>
        <v/>
      </c>
      <c r="AK310">
        <f>IF($A310="","",IF(COUNTIFS(Human_Data_Entry!$A$3:$A$525,$A310)&gt;0,"YES","NO"))</f>
        <v/>
      </c>
      <c r="AL310">
        <f>IF($A310="","",IF(AND($C310&amp;"-"&amp;$D310&gt;=Settings!$B$19,$C310&amp;"-"&amp;$D310&lt;=Settings!$B$20),"IN","OUT"))</f>
        <v/>
      </c>
      <c r="AM310">
        <f>IF(AND(OR($H310="BUY",$H310="SELL"),ISNUMBER($T310)),$T310,"")</f>
        <v/>
      </c>
      <c r="AN310">
        <f>IF(AND(OR($H310="BUY",$H310="SELL"),ISNUMBER($AF310)),$AF310,"")</f>
        <v/>
      </c>
      <c r="AO310">
        <f>IF(ISNUMBER($AM310),ABS(IF(ISNUMBER($G310),$G310,0)-Settings!$B$25),"")</f>
        <v/>
      </c>
      <c r="AP310">
        <f>IF(ISNUMBER($AO310),$AO310*$AM310,"")</f>
        <v/>
      </c>
      <c r="AQ310">
        <f>IF(ISNUMBER($AN310),ABS(IF(ISNUMBER($G310),$G310,0)-Settings!$B$25),"")</f>
        <v/>
      </c>
      <c r="AR310">
        <f>IF(ISNUMBER($AQ310),$AQ310*$AN310,"")</f>
        <v/>
      </c>
      <c r="AS310">
        <f>IF($A310="","",IFERROR(INDEX(Company_List!$H$3:$H$207,MATCH($A310,Company_List!$A$3:$A$207,0)),"unassigned"))</f>
        <v/>
      </c>
    </row>
    <row r="311">
      <c r="A311" s="1" t="n"/>
      <c r="B311" s="120" t="n"/>
      <c r="AG311">
        <f>IF($A311="","",IFERROR(INDEX(Company_List!$G$3:$G$207,MATCH($A311,Company_List!$A$3:$A$207,0)),"unassigned"))</f>
        <v/>
      </c>
      <c r="AK311">
        <f>IF($A311="","",IF(COUNTIFS(Human_Data_Entry!$A$3:$A$525,$A311)&gt;0,"YES","NO"))</f>
        <v/>
      </c>
      <c r="AL311">
        <f>IF($A311="","",IF(AND($C311&amp;"-"&amp;$D311&gt;=Settings!$B$19,$C311&amp;"-"&amp;$D311&lt;=Settings!$B$20),"IN","OUT"))</f>
        <v/>
      </c>
      <c r="AM311">
        <f>IF(AND(OR($H311="BUY",$H311="SELL"),ISNUMBER($T311)),$T311,"")</f>
        <v/>
      </c>
      <c r="AN311">
        <f>IF(AND(OR($H311="BUY",$H311="SELL"),ISNUMBER($AF311)),$AF311,"")</f>
        <v/>
      </c>
      <c r="AO311">
        <f>IF(ISNUMBER($AM311),ABS(IF(ISNUMBER($G311),$G311,0)-Settings!$B$25),"")</f>
        <v/>
      </c>
      <c r="AP311">
        <f>IF(ISNUMBER($AO311),$AO311*$AM311,"")</f>
        <v/>
      </c>
      <c r="AQ311">
        <f>IF(ISNUMBER($AN311),ABS(IF(ISNUMBER($G311),$G311,0)-Settings!$B$25),"")</f>
        <v/>
      </c>
      <c r="AR311">
        <f>IF(ISNUMBER($AQ311),$AQ311*$AN311,"")</f>
        <v/>
      </c>
      <c r="AS311">
        <f>IF($A311="","",IFERROR(INDEX(Company_List!$H$3:$H$207,MATCH($A311,Company_List!$A$3:$A$207,0)),"unassigned"))</f>
        <v/>
      </c>
    </row>
    <row r="312">
      <c r="A312" s="1" t="n"/>
      <c r="B312" s="120" t="n"/>
      <c r="AG312">
        <f>IF($A312="","",IFERROR(INDEX(Company_List!$G$3:$G$207,MATCH($A312,Company_List!$A$3:$A$207,0)),"unassigned"))</f>
        <v/>
      </c>
      <c r="AK312">
        <f>IF($A312="","",IF(COUNTIFS(Human_Data_Entry!$A$3:$A$525,$A312)&gt;0,"YES","NO"))</f>
        <v/>
      </c>
      <c r="AL312">
        <f>IF($A312="","",IF(AND($C312&amp;"-"&amp;$D312&gt;=Settings!$B$19,$C312&amp;"-"&amp;$D312&lt;=Settings!$B$20),"IN","OUT"))</f>
        <v/>
      </c>
      <c r="AM312">
        <f>IF(AND(OR($H312="BUY",$H312="SELL"),ISNUMBER($T312)),$T312,"")</f>
        <v/>
      </c>
      <c r="AN312">
        <f>IF(AND(OR($H312="BUY",$H312="SELL"),ISNUMBER($AF312)),$AF312,"")</f>
        <v/>
      </c>
      <c r="AO312">
        <f>IF(ISNUMBER($AM312),ABS(IF(ISNUMBER($G312),$G312,0)-Settings!$B$25),"")</f>
        <v/>
      </c>
      <c r="AP312">
        <f>IF(ISNUMBER($AO312),$AO312*$AM312,"")</f>
        <v/>
      </c>
      <c r="AQ312">
        <f>IF(ISNUMBER($AN312),ABS(IF(ISNUMBER($G312),$G312,0)-Settings!$B$25),"")</f>
        <v/>
      </c>
      <c r="AR312">
        <f>IF(ISNUMBER($AQ312),$AQ312*$AN312,"")</f>
        <v/>
      </c>
      <c r="AS312">
        <f>IF($A312="","",IFERROR(INDEX(Company_List!$H$3:$H$207,MATCH($A312,Company_List!$A$3:$A$207,0)),"unassigned"))</f>
        <v/>
      </c>
    </row>
    <row r="313">
      <c r="A313" s="1" t="n"/>
      <c r="B313" s="120" t="n"/>
      <c r="AG313">
        <f>IF($A313="","",IFERROR(INDEX(Company_List!$G$3:$G$207,MATCH($A313,Company_List!$A$3:$A$207,0)),"unassigned"))</f>
        <v/>
      </c>
      <c r="AK313">
        <f>IF($A313="","",IF(COUNTIFS(Human_Data_Entry!$A$3:$A$525,$A313)&gt;0,"YES","NO"))</f>
        <v/>
      </c>
      <c r="AL313">
        <f>IF($A313="","",IF(AND($C313&amp;"-"&amp;$D313&gt;=Settings!$B$19,$C313&amp;"-"&amp;$D313&lt;=Settings!$B$20),"IN","OUT"))</f>
        <v/>
      </c>
      <c r="AM313">
        <f>IF(AND(OR($H313="BUY",$H313="SELL"),ISNUMBER($T313)),$T313,"")</f>
        <v/>
      </c>
      <c r="AN313">
        <f>IF(AND(OR($H313="BUY",$H313="SELL"),ISNUMBER($AF313)),$AF313,"")</f>
        <v/>
      </c>
      <c r="AO313">
        <f>IF(ISNUMBER($AM313),ABS(IF(ISNUMBER($G313),$G313,0)-Settings!$B$25),"")</f>
        <v/>
      </c>
      <c r="AP313">
        <f>IF(ISNUMBER($AO313),$AO313*$AM313,"")</f>
        <v/>
      </c>
      <c r="AQ313">
        <f>IF(ISNUMBER($AN313),ABS(IF(ISNUMBER($G313),$G313,0)-Settings!$B$25),"")</f>
        <v/>
      </c>
      <c r="AR313">
        <f>IF(ISNUMBER($AQ313),$AQ313*$AN313,"")</f>
        <v/>
      </c>
      <c r="AS313">
        <f>IF($A313="","",IFERROR(INDEX(Company_List!$H$3:$H$207,MATCH($A313,Company_List!$A$3:$A$207,0)),"unassigned"))</f>
        <v/>
      </c>
    </row>
    <row r="314">
      <c r="A314" s="1" t="n"/>
      <c r="B314" s="120" t="n"/>
      <c r="AG314">
        <f>IF($A314="","",IFERROR(INDEX(Company_List!$G$3:$G$207,MATCH($A314,Company_List!$A$3:$A$207,0)),"unassigned"))</f>
        <v/>
      </c>
      <c r="AK314">
        <f>IF($A314="","",IF(COUNTIFS(Human_Data_Entry!$A$3:$A$525,$A314)&gt;0,"YES","NO"))</f>
        <v/>
      </c>
      <c r="AL314">
        <f>IF($A314="","",IF(AND($C314&amp;"-"&amp;$D314&gt;=Settings!$B$19,$C314&amp;"-"&amp;$D314&lt;=Settings!$B$20),"IN","OUT"))</f>
        <v/>
      </c>
      <c r="AM314">
        <f>IF(AND(OR($H314="BUY",$H314="SELL"),ISNUMBER($T314)),$T314,"")</f>
        <v/>
      </c>
      <c r="AN314">
        <f>IF(AND(OR($H314="BUY",$H314="SELL"),ISNUMBER($AF314)),$AF314,"")</f>
        <v/>
      </c>
      <c r="AO314">
        <f>IF(ISNUMBER($AM314),ABS(IF(ISNUMBER($G314),$G314,0)-Settings!$B$25),"")</f>
        <v/>
      </c>
      <c r="AP314">
        <f>IF(ISNUMBER($AO314),$AO314*$AM314,"")</f>
        <v/>
      </c>
      <c r="AQ314">
        <f>IF(ISNUMBER($AN314),ABS(IF(ISNUMBER($G314),$G314,0)-Settings!$B$25),"")</f>
        <v/>
      </c>
      <c r="AR314">
        <f>IF(ISNUMBER($AQ314),$AQ314*$AN314,"")</f>
        <v/>
      </c>
      <c r="AS314">
        <f>IF($A314="","",IFERROR(INDEX(Company_List!$H$3:$H$207,MATCH($A314,Company_List!$A$3:$A$207,0)),"unassigned"))</f>
        <v/>
      </c>
    </row>
    <row r="315">
      <c r="A315" s="1" t="n"/>
      <c r="B315" s="120" t="n"/>
      <c r="AG315">
        <f>IF($A315="","",IFERROR(INDEX(Company_List!$G$3:$G$207,MATCH($A315,Company_List!$A$3:$A$207,0)),"unassigned"))</f>
        <v/>
      </c>
      <c r="AK315">
        <f>IF($A315="","",IF(COUNTIFS(Human_Data_Entry!$A$3:$A$525,$A315)&gt;0,"YES","NO"))</f>
        <v/>
      </c>
      <c r="AL315">
        <f>IF($A315="","",IF(AND($C315&amp;"-"&amp;$D315&gt;=Settings!$B$19,$C315&amp;"-"&amp;$D315&lt;=Settings!$B$20),"IN","OUT"))</f>
        <v/>
      </c>
      <c r="AM315">
        <f>IF(AND(OR($H315="BUY",$H315="SELL"),ISNUMBER($T315)),$T315,"")</f>
        <v/>
      </c>
      <c r="AN315">
        <f>IF(AND(OR($H315="BUY",$H315="SELL"),ISNUMBER($AF315)),$AF315,"")</f>
        <v/>
      </c>
      <c r="AO315">
        <f>IF(ISNUMBER($AM315),ABS(IF(ISNUMBER($G315),$G315,0)-Settings!$B$25),"")</f>
        <v/>
      </c>
      <c r="AP315">
        <f>IF(ISNUMBER($AO315),$AO315*$AM315,"")</f>
        <v/>
      </c>
      <c r="AQ315">
        <f>IF(ISNUMBER($AN315),ABS(IF(ISNUMBER($G315),$G315,0)-Settings!$B$25),"")</f>
        <v/>
      </c>
      <c r="AR315">
        <f>IF(ISNUMBER($AQ315),$AQ315*$AN315,"")</f>
        <v/>
      </c>
      <c r="AS315">
        <f>IF($A315="","",IFERROR(INDEX(Company_List!$H$3:$H$207,MATCH($A315,Company_List!$A$3:$A$207,0)),"unassigned"))</f>
        <v/>
      </c>
    </row>
    <row r="316">
      <c r="A316" s="1" t="n"/>
      <c r="B316" s="120" t="n"/>
      <c r="AG316">
        <f>IF($A316="","",IFERROR(INDEX(Company_List!$G$3:$G$207,MATCH($A316,Company_List!$A$3:$A$207,0)),"unassigned"))</f>
        <v/>
      </c>
      <c r="AK316">
        <f>IF($A316="","",IF(COUNTIFS(Human_Data_Entry!$A$3:$A$525,$A316)&gt;0,"YES","NO"))</f>
        <v/>
      </c>
      <c r="AL316">
        <f>IF($A316="","",IF(AND($C316&amp;"-"&amp;$D316&gt;=Settings!$B$19,$C316&amp;"-"&amp;$D316&lt;=Settings!$B$20),"IN","OUT"))</f>
        <v/>
      </c>
      <c r="AM316">
        <f>IF(AND(OR($H316="BUY",$H316="SELL"),ISNUMBER($T316)),$T316,"")</f>
        <v/>
      </c>
      <c r="AN316">
        <f>IF(AND(OR($H316="BUY",$H316="SELL"),ISNUMBER($AF316)),$AF316,"")</f>
        <v/>
      </c>
      <c r="AO316">
        <f>IF(ISNUMBER($AM316),ABS(IF(ISNUMBER($G316),$G316,0)-Settings!$B$25),"")</f>
        <v/>
      </c>
      <c r="AP316">
        <f>IF(ISNUMBER($AO316),$AO316*$AM316,"")</f>
        <v/>
      </c>
      <c r="AQ316">
        <f>IF(ISNUMBER($AN316),ABS(IF(ISNUMBER($G316),$G316,0)-Settings!$B$25),"")</f>
        <v/>
      </c>
      <c r="AR316">
        <f>IF(ISNUMBER($AQ316),$AQ316*$AN316,"")</f>
        <v/>
      </c>
      <c r="AS316">
        <f>IF($A316="","",IFERROR(INDEX(Company_List!$H$3:$H$207,MATCH($A316,Company_List!$A$3:$A$207,0)),"unassigned"))</f>
        <v/>
      </c>
    </row>
    <row r="317">
      <c r="A317" s="1" t="n"/>
      <c r="B317" s="120" t="n"/>
      <c r="AG317">
        <f>IF($A317="","",IFERROR(INDEX(Company_List!$G$3:$G$207,MATCH($A317,Company_List!$A$3:$A$207,0)),"unassigned"))</f>
        <v/>
      </c>
      <c r="AK317">
        <f>IF($A317="","",IF(COUNTIFS(Human_Data_Entry!$A$3:$A$525,$A317)&gt;0,"YES","NO"))</f>
        <v/>
      </c>
      <c r="AL317">
        <f>IF($A317="","",IF(AND($C317&amp;"-"&amp;$D317&gt;=Settings!$B$19,$C317&amp;"-"&amp;$D317&lt;=Settings!$B$20),"IN","OUT"))</f>
        <v/>
      </c>
      <c r="AM317">
        <f>IF(AND(OR($H317="BUY",$H317="SELL"),ISNUMBER($T317)),$T317,"")</f>
        <v/>
      </c>
      <c r="AN317">
        <f>IF(AND(OR($H317="BUY",$H317="SELL"),ISNUMBER($AF317)),$AF317,"")</f>
        <v/>
      </c>
      <c r="AO317">
        <f>IF(ISNUMBER($AM317),ABS(IF(ISNUMBER($G317),$G317,0)-Settings!$B$25),"")</f>
        <v/>
      </c>
      <c r="AP317">
        <f>IF(ISNUMBER($AO317),$AO317*$AM317,"")</f>
        <v/>
      </c>
      <c r="AQ317">
        <f>IF(ISNUMBER($AN317),ABS(IF(ISNUMBER($G317),$G317,0)-Settings!$B$25),"")</f>
        <v/>
      </c>
      <c r="AR317">
        <f>IF(ISNUMBER($AQ317),$AQ317*$AN317,"")</f>
        <v/>
      </c>
      <c r="AS317">
        <f>IF($A317="","",IFERROR(INDEX(Company_List!$H$3:$H$207,MATCH($A317,Company_List!$A$3:$A$207,0)),"unassigned"))</f>
        <v/>
      </c>
    </row>
    <row r="318">
      <c r="A318" s="1" t="n"/>
      <c r="B318" s="120" t="n"/>
      <c r="AG318">
        <f>IF($A318="","",IFERROR(INDEX(Company_List!$G$3:$G$207,MATCH($A318,Company_List!$A$3:$A$207,0)),"unassigned"))</f>
        <v/>
      </c>
      <c r="AK318">
        <f>IF($A318="","",IF(COUNTIFS(Human_Data_Entry!$A$3:$A$525,$A318)&gt;0,"YES","NO"))</f>
        <v/>
      </c>
      <c r="AL318">
        <f>IF($A318="","",IF(AND($C318&amp;"-"&amp;$D318&gt;=Settings!$B$19,$C318&amp;"-"&amp;$D318&lt;=Settings!$B$20),"IN","OUT"))</f>
        <v/>
      </c>
      <c r="AM318">
        <f>IF(AND(OR($H318="BUY",$H318="SELL"),ISNUMBER($T318)),$T318,"")</f>
        <v/>
      </c>
      <c r="AN318">
        <f>IF(AND(OR($H318="BUY",$H318="SELL"),ISNUMBER($AF318)),$AF318,"")</f>
        <v/>
      </c>
      <c r="AO318">
        <f>IF(ISNUMBER($AM318),ABS(IF(ISNUMBER($G318),$G318,0)-Settings!$B$25),"")</f>
        <v/>
      </c>
      <c r="AP318">
        <f>IF(ISNUMBER($AO318),$AO318*$AM318,"")</f>
        <v/>
      </c>
      <c r="AQ318">
        <f>IF(ISNUMBER($AN318),ABS(IF(ISNUMBER($G318),$G318,0)-Settings!$B$25),"")</f>
        <v/>
      </c>
      <c r="AR318">
        <f>IF(ISNUMBER($AQ318),$AQ318*$AN318,"")</f>
        <v/>
      </c>
      <c r="AS318">
        <f>IF($A318="","",IFERROR(INDEX(Company_List!$H$3:$H$207,MATCH($A318,Company_List!$A$3:$A$207,0)),"unassigned"))</f>
        <v/>
      </c>
    </row>
    <row r="319">
      <c r="A319" s="1" t="n"/>
      <c r="B319" s="120" t="n"/>
      <c r="AG319">
        <f>IF($A319="","",IFERROR(INDEX(Company_List!$G$3:$G$207,MATCH($A319,Company_List!$A$3:$A$207,0)),"unassigned"))</f>
        <v/>
      </c>
      <c r="AK319">
        <f>IF($A319="","",IF(COUNTIFS(Human_Data_Entry!$A$3:$A$525,$A319)&gt;0,"YES","NO"))</f>
        <v/>
      </c>
      <c r="AL319">
        <f>IF($A319="","",IF(AND($C319&amp;"-"&amp;$D319&gt;=Settings!$B$19,$C319&amp;"-"&amp;$D319&lt;=Settings!$B$20),"IN","OUT"))</f>
        <v/>
      </c>
      <c r="AM319">
        <f>IF(AND(OR($H319="BUY",$H319="SELL"),ISNUMBER($T319)),$T319,"")</f>
        <v/>
      </c>
      <c r="AN319">
        <f>IF(AND(OR($H319="BUY",$H319="SELL"),ISNUMBER($AF319)),$AF319,"")</f>
        <v/>
      </c>
      <c r="AO319">
        <f>IF(ISNUMBER($AM319),ABS(IF(ISNUMBER($G319),$G319,0)-Settings!$B$25),"")</f>
        <v/>
      </c>
      <c r="AP319">
        <f>IF(ISNUMBER($AO319),$AO319*$AM319,"")</f>
        <v/>
      </c>
      <c r="AQ319">
        <f>IF(ISNUMBER($AN319),ABS(IF(ISNUMBER($G319),$G319,0)-Settings!$B$25),"")</f>
        <v/>
      </c>
      <c r="AR319">
        <f>IF(ISNUMBER($AQ319),$AQ319*$AN319,"")</f>
        <v/>
      </c>
      <c r="AS319">
        <f>IF($A319="","",IFERROR(INDEX(Company_List!$H$3:$H$207,MATCH($A319,Company_List!$A$3:$A$207,0)),"unassigned"))</f>
        <v/>
      </c>
    </row>
    <row r="320">
      <c r="A320" s="1" t="n"/>
      <c r="B320" s="120" t="n"/>
      <c r="AG320">
        <f>IF($A320="","",IFERROR(INDEX(Company_List!$G$3:$G$207,MATCH($A320,Company_List!$A$3:$A$207,0)),"unassigned"))</f>
        <v/>
      </c>
      <c r="AK320">
        <f>IF($A320="","",IF(COUNTIFS(Human_Data_Entry!$A$3:$A$525,$A320)&gt;0,"YES","NO"))</f>
        <v/>
      </c>
      <c r="AL320">
        <f>IF($A320="","",IF(AND($C320&amp;"-"&amp;$D320&gt;=Settings!$B$19,$C320&amp;"-"&amp;$D320&lt;=Settings!$B$20),"IN","OUT"))</f>
        <v/>
      </c>
      <c r="AM320">
        <f>IF(AND(OR($H320="BUY",$H320="SELL"),ISNUMBER($T320)),$T320,"")</f>
        <v/>
      </c>
      <c r="AN320">
        <f>IF(AND(OR($H320="BUY",$H320="SELL"),ISNUMBER($AF320)),$AF320,"")</f>
        <v/>
      </c>
      <c r="AO320">
        <f>IF(ISNUMBER($AM320),ABS(IF(ISNUMBER($G320),$G320,0)-Settings!$B$25),"")</f>
        <v/>
      </c>
      <c r="AP320">
        <f>IF(ISNUMBER($AO320),$AO320*$AM320,"")</f>
        <v/>
      </c>
      <c r="AQ320">
        <f>IF(ISNUMBER($AN320),ABS(IF(ISNUMBER($G320),$G320,0)-Settings!$B$25),"")</f>
        <v/>
      </c>
      <c r="AR320">
        <f>IF(ISNUMBER($AQ320),$AQ320*$AN320,"")</f>
        <v/>
      </c>
      <c r="AS320">
        <f>IF($A320="","",IFERROR(INDEX(Company_List!$H$3:$H$207,MATCH($A320,Company_List!$A$3:$A$207,0)),"unassigned"))</f>
        <v/>
      </c>
    </row>
    <row r="321">
      <c r="A321" s="1" t="n"/>
      <c r="B321" s="120" t="n"/>
      <c r="AG321">
        <f>IF($A321="","",IFERROR(INDEX(Company_List!$G$3:$G$207,MATCH($A321,Company_List!$A$3:$A$207,0)),"unassigned"))</f>
        <v/>
      </c>
      <c r="AK321">
        <f>IF($A321="","",IF(COUNTIFS(Human_Data_Entry!$A$3:$A$525,$A321)&gt;0,"YES","NO"))</f>
        <v/>
      </c>
      <c r="AL321">
        <f>IF($A321="","",IF(AND($C321&amp;"-"&amp;$D321&gt;=Settings!$B$19,$C321&amp;"-"&amp;$D321&lt;=Settings!$B$20),"IN","OUT"))</f>
        <v/>
      </c>
      <c r="AM321">
        <f>IF(AND(OR($H321="BUY",$H321="SELL"),ISNUMBER($T321)),$T321,"")</f>
        <v/>
      </c>
      <c r="AN321">
        <f>IF(AND(OR($H321="BUY",$H321="SELL"),ISNUMBER($AF321)),$AF321,"")</f>
        <v/>
      </c>
      <c r="AO321">
        <f>IF(ISNUMBER($AM321),ABS(IF(ISNUMBER($G321),$G321,0)-Settings!$B$25),"")</f>
        <v/>
      </c>
      <c r="AP321">
        <f>IF(ISNUMBER($AO321),$AO321*$AM321,"")</f>
        <v/>
      </c>
      <c r="AQ321">
        <f>IF(ISNUMBER($AN321),ABS(IF(ISNUMBER($G321),$G321,0)-Settings!$B$25),"")</f>
        <v/>
      </c>
      <c r="AR321">
        <f>IF(ISNUMBER($AQ321),$AQ321*$AN321,"")</f>
        <v/>
      </c>
      <c r="AS321">
        <f>IF($A321="","",IFERROR(INDEX(Company_List!$H$3:$H$207,MATCH($A321,Company_List!$A$3:$A$207,0)),"unassigned"))</f>
        <v/>
      </c>
    </row>
    <row r="322">
      <c r="A322" s="1" t="n"/>
      <c r="B322" s="120" t="n"/>
      <c r="AG322">
        <f>IF($A322="","",IFERROR(INDEX(Company_List!$G$3:$G$207,MATCH($A322,Company_List!$A$3:$A$207,0)),"unassigned"))</f>
        <v/>
      </c>
      <c r="AK322">
        <f>IF($A322="","",IF(COUNTIFS(Human_Data_Entry!$A$3:$A$525,$A322)&gt;0,"YES","NO"))</f>
        <v/>
      </c>
      <c r="AL322">
        <f>IF($A322="","",IF(AND($C322&amp;"-"&amp;$D322&gt;=Settings!$B$19,$C322&amp;"-"&amp;$D322&lt;=Settings!$B$20),"IN","OUT"))</f>
        <v/>
      </c>
      <c r="AM322">
        <f>IF(AND(OR($H322="BUY",$H322="SELL"),ISNUMBER($T322)),$T322,"")</f>
        <v/>
      </c>
      <c r="AN322">
        <f>IF(AND(OR($H322="BUY",$H322="SELL"),ISNUMBER($AF322)),$AF322,"")</f>
        <v/>
      </c>
      <c r="AO322">
        <f>IF(ISNUMBER($AM322),ABS(IF(ISNUMBER($G322),$G322,0)-Settings!$B$25),"")</f>
        <v/>
      </c>
      <c r="AP322">
        <f>IF(ISNUMBER($AO322),$AO322*$AM322,"")</f>
        <v/>
      </c>
      <c r="AQ322">
        <f>IF(ISNUMBER($AN322),ABS(IF(ISNUMBER($G322),$G322,0)-Settings!$B$25),"")</f>
        <v/>
      </c>
      <c r="AR322">
        <f>IF(ISNUMBER($AQ322),$AQ322*$AN322,"")</f>
        <v/>
      </c>
      <c r="AS322">
        <f>IF($A322="","",IFERROR(INDEX(Company_List!$H$3:$H$207,MATCH($A322,Company_List!$A$3:$A$207,0)),"unassigned"))</f>
        <v/>
      </c>
    </row>
    <row r="323">
      <c r="A323" s="1" t="n"/>
      <c r="B323" s="120" t="n"/>
      <c r="AG323">
        <f>IF($A323="","",IFERROR(INDEX(Company_List!$G$3:$G$207,MATCH($A323,Company_List!$A$3:$A$207,0)),"unassigned"))</f>
        <v/>
      </c>
      <c r="AK323">
        <f>IF($A323="","",IF(COUNTIFS(Human_Data_Entry!$A$3:$A$525,$A323)&gt;0,"YES","NO"))</f>
        <v/>
      </c>
      <c r="AL323">
        <f>IF($A323="","",IF(AND($C323&amp;"-"&amp;$D323&gt;=Settings!$B$19,$C323&amp;"-"&amp;$D323&lt;=Settings!$B$20),"IN","OUT"))</f>
        <v/>
      </c>
      <c r="AM323">
        <f>IF(AND(OR($H323="BUY",$H323="SELL"),ISNUMBER($T323)),$T323,"")</f>
        <v/>
      </c>
      <c r="AN323">
        <f>IF(AND(OR($H323="BUY",$H323="SELL"),ISNUMBER($AF323)),$AF323,"")</f>
        <v/>
      </c>
      <c r="AO323">
        <f>IF(ISNUMBER($AM323),ABS(IF(ISNUMBER($G323),$G323,0)-Settings!$B$25),"")</f>
        <v/>
      </c>
      <c r="AP323">
        <f>IF(ISNUMBER($AO323),$AO323*$AM323,"")</f>
        <v/>
      </c>
      <c r="AQ323">
        <f>IF(ISNUMBER($AN323),ABS(IF(ISNUMBER($G323),$G323,0)-Settings!$B$25),"")</f>
        <v/>
      </c>
      <c r="AR323">
        <f>IF(ISNUMBER($AQ323),$AQ323*$AN323,"")</f>
        <v/>
      </c>
      <c r="AS323">
        <f>IF($A323="","",IFERROR(INDEX(Company_List!$H$3:$H$207,MATCH($A323,Company_List!$A$3:$A$207,0)),"unassigned"))</f>
        <v/>
      </c>
    </row>
    <row r="324">
      <c r="A324" s="1" t="n"/>
      <c r="B324" s="120" t="n"/>
      <c r="AG324">
        <f>IF($A324="","",IFERROR(INDEX(Company_List!$G$3:$G$207,MATCH($A324,Company_List!$A$3:$A$207,0)),"unassigned"))</f>
        <v/>
      </c>
      <c r="AK324">
        <f>IF($A324="","",IF(COUNTIFS(Human_Data_Entry!$A$3:$A$525,$A324)&gt;0,"YES","NO"))</f>
        <v/>
      </c>
      <c r="AL324">
        <f>IF($A324="","",IF(AND($C324&amp;"-"&amp;$D324&gt;=Settings!$B$19,$C324&amp;"-"&amp;$D324&lt;=Settings!$B$20),"IN","OUT"))</f>
        <v/>
      </c>
      <c r="AM324">
        <f>IF(AND(OR($H324="BUY",$H324="SELL"),ISNUMBER($T324)),$T324,"")</f>
        <v/>
      </c>
      <c r="AN324">
        <f>IF(AND(OR($H324="BUY",$H324="SELL"),ISNUMBER($AF324)),$AF324,"")</f>
        <v/>
      </c>
      <c r="AO324">
        <f>IF(ISNUMBER($AM324),ABS(IF(ISNUMBER($G324),$G324,0)-Settings!$B$25),"")</f>
        <v/>
      </c>
      <c r="AP324">
        <f>IF(ISNUMBER($AO324),$AO324*$AM324,"")</f>
        <v/>
      </c>
      <c r="AQ324">
        <f>IF(ISNUMBER($AN324),ABS(IF(ISNUMBER($G324),$G324,0)-Settings!$B$25),"")</f>
        <v/>
      </c>
      <c r="AR324">
        <f>IF(ISNUMBER($AQ324),$AQ324*$AN324,"")</f>
        <v/>
      </c>
      <c r="AS324">
        <f>IF($A324="","",IFERROR(INDEX(Company_List!$H$3:$H$207,MATCH($A324,Company_List!$A$3:$A$207,0)),"unassigned"))</f>
        <v/>
      </c>
    </row>
    <row r="325">
      <c r="A325" s="1" t="n"/>
      <c r="B325" s="120" t="n"/>
      <c r="AG325">
        <f>IF($A325="","",IFERROR(INDEX(Company_List!$G$3:$G$207,MATCH($A325,Company_List!$A$3:$A$207,0)),"unassigned"))</f>
        <v/>
      </c>
      <c r="AK325">
        <f>IF($A325="","",IF(COUNTIFS(Human_Data_Entry!$A$3:$A$525,$A325)&gt;0,"YES","NO"))</f>
        <v/>
      </c>
      <c r="AL325">
        <f>IF($A325="","",IF(AND($C325&amp;"-"&amp;$D325&gt;=Settings!$B$19,$C325&amp;"-"&amp;$D325&lt;=Settings!$B$20),"IN","OUT"))</f>
        <v/>
      </c>
      <c r="AM325">
        <f>IF(AND(OR($H325="BUY",$H325="SELL"),ISNUMBER($T325)),$T325,"")</f>
        <v/>
      </c>
      <c r="AN325">
        <f>IF(AND(OR($H325="BUY",$H325="SELL"),ISNUMBER($AF325)),$AF325,"")</f>
        <v/>
      </c>
      <c r="AO325">
        <f>IF(ISNUMBER($AM325),ABS(IF(ISNUMBER($G325),$G325,0)-Settings!$B$25),"")</f>
        <v/>
      </c>
      <c r="AP325">
        <f>IF(ISNUMBER($AO325),$AO325*$AM325,"")</f>
        <v/>
      </c>
      <c r="AQ325">
        <f>IF(ISNUMBER($AN325),ABS(IF(ISNUMBER($G325),$G325,0)-Settings!$B$25),"")</f>
        <v/>
      </c>
      <c r="AR325">
        <f>IF(ISNUMBER($AQ325),$AQ325*$AN325,"")</f>
        <v/>
      </c>
      <c r="AS325">
        <f>IF($A325="","",IFERROR(INDEX(Company_List!$H$3:$H$207,MATCH($A325,Company_List!$A$3:$A$207,0)),"unassigned"))</f>
        <v/>
      </c>
    </row>
    <row r="326">
      <c r="A326" s="1" t="n"/>
      <c r="B326" s="120" t="n"/>
      <c r="AG326">
        <f>IF($A326="","",IFERROR(INDEX(Company_List!$G$3:$G$207,MATCH($A326,Company_List!$A$3:$A$207,0)),"unassigned"))</f>
        <v/>
      </c>
      <c r="AK326">
        <f>IF($A326="","",IF(COUNTIFS(Human_Data_Entry!$A$3:$A$525,$A326)&gt;0,"YES","NO"))</f>
        <v/>
      </c>
      <c r="AL326">
        <f>IF($A326="","",IF(AND($C326&amp;"-"&amp;$D326&gt;=Settings!$B$19,$C326&amp;"-"&amp;$D326&lt;=Settings!$B$20),"IN","OUT"))</f>
        <v/>
      </c>
      <c r="AM326">
        <f>IF(AND(OR($H326="BUY",$H326="SELL"),ISNUMBER($T326)),$T326,"")</f>
        <v/>
      </c>
      <c r="AN326">
        <f>IF(AND(OR($H326="BUY",$H326="SELL"),ISNUMBER($AF326)),$AF326,"")</f>
        <v/>
      </c>
      <c r="AO326">
        <f>IF(ISNUMBER($AM326),ABS(IF(ISNUMBER($G326),$G326,0)-Settings!$B$25),"")</f>
        <v/>
      </c>
      <c r="AP326">
        <f>IF(ISNUMBER($AO326),$AO326*$AM326,"")</f>
        <v/>
      </c>
      <c r="AQ326">
        <f>IF(ISNUMBER($AN326),ABS(IF(ISNUMBER($G326),$G326,0)-Settings!$B$25),"")</f>
        <v/>
      </c>
      <c r="AR326">
        <f>IF(ISNUMBER($AQ326),$AQ326*$AN326,"")</f>
        <v/>
      </c>
      <c r="AS326">
        <f>IF($A326="","",IFERROR(INDEX(Company_List!$H$3:$H$207,MATCH($A326,Company_List!$A$3:$A$207,0)),"unassigned"))</f>
        <v/>
      </c>
    </row>
    <row r="327">
      <c r="A327" s="1" t="n"/>
      <c r="B327" s="120" t="n"/>
      <c r="AG327">
        <f>IF($A327="","",IFERROR(INDEX(Company_List!$G$3:$G$207,MATCH($A327,Company_List!$A$3:$A$207,0)),"unassigned"))</f>
        <v/>
      </c>
      <c r="AK327">
        <f>IF($A327="","",IF(COUNTIFS(Human_Data_Entry!$A$3:$A$525,$A327)&gt;0,"YES","NO"))</f>
        <v/>
      </c>
      <c r="AL327">
        <f>IF($A327="","",IF(AND($C327&amp;"-"&amp;$D327&gt;=Settings!$B$19,$C327&amp;"-"&amp;$D327&lt;=Settings!$B$20),"IN","OUT"))</f>
        <v/>
      </c>
      <c r="AM327">
        <f>IF(AND(OR($H327="BUY",$H327="SELL"),ISNUMBER($T327)),$T327,"")</f>
        <v/>
      </c>
      <c r="AN327">
        <f>IF(AND(OR($H327="BUY",$H327="SELL"),ISNUMBER($AF327)),$AF327,"")</f>
        <v/>
      </c>
      <c r="AO327">
        <f>IF(ISNUMBER($AM327),ABS(IF(ISNUMBER($G327),$G327,0)-Settings!$B$25),"")</f>
        <v/>
      </c>
      <c r="AP327">
        <f>IF(ISNUMBER($AO327),$AO327*$AM327,"")</f>
        <v/>
      </c>
      <c r="AQ327">
        <f>IF(ISNUMBER($AN327),ABS(IF(ISNUMBER($G327),$G327,0)-Settings!$B$25),"")</f>
        <v/>
      </c>
      <c r="AR327">
        <f>IF(ISNUMBER($AQ327),$AQ327*$AN327,"")</f>
        <v/>
      </c>
      <c r="AS327">
        <f>IF($A327="","",IFERROR(INDEX(Company_List!$H$3:$H$207,MATCH($A327,Company_List!$A$3:$A$207,0)),"unassigned"))</f>
        <v/>
      </c>
    </row>
    <row r="328">
      <c r="A328" s="1" t="n"/>
      <c r="B328" s="120" t="n"/>
      <c r="AG328">
        <f>IF($A328="","",IFERROR(INDEX(Company_List!$G$3:$G$207,MATCH($A328,Company_List!$A$3:$A$207,0)),"unassigned"))</f>
        <v/>
      </c>
      <c r="AK328">
        <f>IF($A328="","",IF(COUNTIFS(Human_Data_Entry!$A$3:$A$525,$A328)&gt;0,"YES","NO"))</f>
        <v/>
      </c>
      <c r="AL328">
        <f>IF($A328="","",IF(AND($C328&amp;"-"&amp;$D328&gt;=Settings!$B$19,$C328&amp;"-"&amp;$D328&lt;=Settings!$B$20),"IN","OUT"))</f>
        <v/>
      </c>
      <c r="AM328">
        <f>IF(AND(OR($H328="BUY",$H328="SELL"),ISNUMBER($T328)),$T328,"")</f>
        <v/>
      </c>
      <c r="AN328">
        <f>IF(AND(OR($H328="BUY",$H328="SELL"),ISNUMBER($AF328)),$AF328,"")</f>
        <v/>
      </c>
      <c r="AO328">
        <f>IF(ISNUMBER($AM328),ABS(IF(ISNUMBER($G328),$G328,0)-Settings!$B$25),"")</f>
        <v/>
      </c>
      <c r="AP328">
        <f>IF(ISNUMBER($AO328),$AO328*$AM328,"")</f>
        <v/>
      </c>
      <c r="AQ328">
        <f>IF(ISNUMBER($AN328),ABS(IF(ISNUMBER($G328),$G328,0)-Settings!$B$25),"")</f>
        <v/>
      </c>
      <c r="AR328">
        <f>IF(ISNUMBER($AQ328),$AQ328*$AN328,"")</f>
        <v/>
      </c>
      <c r="AS328">
        <f>IF($A328="","",IFERROR(INDEX(Company_List!$H$3:$H$207,MATCH($A328,Company_List!$A$3:$A$207,0)),"unassigned"))</f>
        <v/>
      </c>
    </row>
    <row r="329">
      <c r="A329" s="1" t="n"/>
      <c r="B329" s="120" t="n"/>
      <c r="AG329">
        <f>IF($A329="","",IFERROR(INDEX(Company_List!$G$3:$G$207,MATCH($A329,Company_List!$A$3:$A$207,0)),"unassigned"))</f>
        <v/>
      </c>
      <c r="AK329">
        <f>IF($A329="","",IF(COUNTIFS(Human_Data_Entry!$A$3:$A$525,$A329)&gt;0,"YES","NO"))</f>
        <v/>
      </c>
      <c r="AL329">
        <f>IF($A329="","",IF(AND($C329&amp;"-"&amp;$D329&gt;=Settings!$B$19,$C329&amp;"-"&amp;$D329&lt;=Settings!$B$20),"IN","OUT"))</f>
        <v/>
      </c>
      <c r="AM329">
        <f>IF(AND(OR($H329="BUY",$H329="SELL"),ISNUMBER($T329)),$T329,"")</f>
        <v/>
      </c>
      <c r="AN329">
        <f>IF(AND(OR($H329="BUY",$H329="SELL"),ISNUMBER($AF329)),$AF329,"")</f>
        <v/>
      </c>
      <c r="AO329">
        <f>IF(ISNUMBER($AM329),ABS(IF(ISNUMBER($G329),$G329,0)-Settings!$B$25),"")</f>
        <v/>
      </c>
      <c r="AP329">
        <f>IF(ISNUMBER($AO329),$AO329*$AM329,"")</f>
        <v/>
      </c>
      <c r="AQ329">
        <f>IF(ISNUMBER($AN329),ABS(IF(ISNUMBER($G329),$G329,0)-Settings!$B$25),"")</f>
        <v/>
      </c>
      <c r="AR329">
        <f>IF(ISNUMBER($AQ329),$AQ329*$AN329,"")</f>
        <v/>
      </c>
      <c r="AS329">
        <f>IF($A329="","",IFERROR(INDEX(Company_List!$H$3:$H$207,MATCH($A329,Company_List!$A$3:$A$207,0)),"unassigned"))</f>
        <v/>
      </c>
    </row>
    <row r="330">
      <c r="A330" s="1" t="n"/>
      <c r="B330" s="120" t="n"/>
      <c r="AG330">
        <f>IF($A330="","",IFERROR(INDEX(Company_List!$G$3:$G$207,MATCH($A330,Company_List!$A$3:$A$207,0)),"unassigned"))</f>
        <v/>
      </c>
      <c r="AK330">
        <f>IF($A330="","",IF(COUNTIFS(Human_Data_Entry!$A$3:$A$525,$A330)&gt;0,"YES","NO"))</f>
        <v/>
      </c>
      <c r="AL330">
        <f>IF($A330="","",IF(AND($C330&amp;"-"&amp;$D330&gt;=Settings!$B$19,$C330&amp;"-"&amp;$D330&lt;=Settings!$B$20),"IN","OUT"))</f>
        <v/>
      </c>
      <c r="AM330">
        <f>IF(AND(OR($H330="BUY",$H330="SELL"),ISNUMBER($T330)),$T330,"")</f>
        <v/>
      </c>
      <c r="AN330">
        <f>IF(AND(OR($H330="BUY",$H330="SELL"),ISNUMBER($AF330)),$AF330,"")</f>
        <v/>
      </c>
      <c r="AO330">
        <f>IF(ISNUMBER($AM330),ABS(IF(ISNUMBER($G330),$G330,0)-Settings!$B$25),"")</f>
        <v/>
      </c>
      <c r="AP330">
        <f>IF(ISNUMBER($AO330),$AO330*$AM330,"")</f>
        <v/>
      </c>
      <c r="AQ330">
        <f>IF(ISNUMBER($AN330),ABS(IF(ISNUMBER($G330),$G330,0)-Settings!$B$25),"")</f>
        <v/>
      </c>
      <c r="AR330">
        <f>IF(ISNUMBER($AQ330),$AQ330*$AN330,"")</f>
        <v/>
      </c>
      <c r="AS330">
        <f>IF($A330="","",IFERROR(INDEX(Company_List!$H$3:$H$207,MATCH($A330,Company_List!$A$3:$A$207,0)),"unassigned"))</f>
        <v/>
      </c>
    </row>
    <row r="331">
      <c r="A331" s="1" t="n"/>
      <c r="B331" s="120" t="n"/>
      <c r="AG331">
        <f>IF($A331="","",IFERROR(INDEX(Company_List!$G$3:$G$207,MATCH($A331,Company_List!$A$3:$A$207,0)),"unassigned"))</f>
        <v/>
      </c>
      <c r="AK331">
        <f>IF($A331="","",IF(COUNTIFS(Human_Data_Entry!$A$3:$A$525,$A331)&gt;0,"YES","NO"))</f>
        <v/>
      </c>
      <c r="AL331">
        <f>IF($A331="","",IF(AND($C331&amp;"-"&amp;$D331&gt;=Settings!$B$19,$C331&amp;"-"&amp;$D331&lt;=Settings!$B$20),"IN","OUT"))</f>
        <v/>
      </c>
      <c r="AM331">
        <f>IF(AND(OR($H331="BUY",$H331="SELL"),ISNUMBER($T331)),$T331,"")</f>
        <v/>
      </c>
      <c r="AN331">
        <f>IF(AND(OR($H331="BUY",$H331="SELL"),ISNUMBER($AF331)),$AF331,"")</f>
        <v/>
      </c>
      <c r="AO331">
        <f>IF(ISNUMBER($AM331),ABS(IF(ISNUMBER($G331),$G331,0)-Settings!$B$25),"")</f>
        <v/>
      </c>
      <c r="AP331">
        <f>IF(ISNUMBER($AO331),$AO331*$AM331,"")</f>
        <v/>
      </c>
      <c r="AQ331">
        <f>IF(ISNUMBER($AN331),ABS(IF(ISNUMBER($G331),$G331,0)-Settings!$B$25),"")</f>
        <v/>
      </c>
      <c r="AR331">
        <f>IF(ISNUMBER($AQ331),$AQ331*$AN331,"")</f>
        <v/>
      </c>
      <c r="AS331">
        <f>IF($A331="","",IFERROR(INDEX(Company_List!$H$3:$H$207,MATCH($A331,Company_List!$A$3:$A$207,0)),"unassigned"))</f>
        <v/>
      </c>
    </row>
    <row r="332">
      <c r="A332" s="1" t="n"/>
      <c r="B332" s="120" t="n"/>
      <c r="AG332">
        <f>IF($A332="","",IFERROR(INDEX(Company_List!$G$3:$G$207,MATCH($A332,Company_List!$A$3:$A$207,0)),"unassigned"))</f>
        <v/>
      </c>
      <c r="AK332">
        <f>IF($A332="","",IF(COUNTIFS(Human_Data_Entry!$A$3:$A$525,$A332)&gt;0,"YES","NO"))</f>
        <v/>
      </c>
      <c r="AL332">
        <f>IF($A332="","",IF(AND($C332&amp;"-"&amp;$D332&gt;=Settings!$B$19,$C332&amp;"-"&amp;$D332&lt;=Settings!$B$20),"IN","OUT"))</f>
        <v/>
      </c>
      <c r="AM332">
        <f>IF(AND(OR($H332="BUY",$H332="SELL"),ISNUMBER($T332)),$T332,"")</f>
        <v/>
      </c>
      <c r="AN332">
        <f>IF(AND(OR($H332="BUY",$H332="SELL"),ISNUMBER($AF332)),$AF332,"")</f>
        <v/>
      </c>
      <c r="AO332">
        <f>IF(ISNUMBER($AM332),ABS(IF(ISNUMBER($G332),$G332,0)-Settings!$B$25),"")</f>
        <v/>
      </c>
      <c r="AP332">
        <f>IF(ISNUMBER($AO332),$AO332*$AM332,"")</f>
        <v/>
      </c>
      <c r="AQ332">
        <f>IF(ISNUMBER($AN332),ABS(IF(ISNUMBER($G332),$G332,0)-Settings!$B$25),"")</f>
        <v/>
      </c>
      <c r="AR332">
        <f>IF(ISNUMBER($AQ332),$AQ332*$AN332,"")</f>
        <v/>
      </c>
      <c r="AS332">
        <f>IF($A332="","",IFERROR(INDEX(Company_List!$H$3:$H$207,MATCH($A332,Company_List!$A$3:$A$207,0)),"unassigned"))</f>
        <v/>
      </c>
    </row>
    <row r="333">
      <c r="A333" s="1" t="n"/>
      <c r="B333" s="120" t="n"/>
      <c r="AG333">
        <f>IF($A333="","",IFERROR(INDEX(Company_List!$G$3:$G$207,MATCH($A333,Company_List!$A$3:$A$207,0)),"unassigned"))</f>
        <v/>
      </c>
      <c r="AK333">
        <f>IF($A333="","",IF(COUNTIFS(Human_Data_Entry!$A$3:$A$525,$A333)&gt;0,"YES","NO"))</f>
        <v/>
      </c>
      <c r="AL333">
        <f>IF($A333="","",IF(AND($C333&amp;"-"&amp;$D333&gt;=Settings!$B$19,$C333&amp;"-"&amp;$D333&lt;=Settings!$B$20),"IN","OUT"))</f>
        <v/>
      </c>
      <c r="AM333">
        <f>IF(AND(OR($H333="BUY",$H333="SELL"),ISNUMBER($T333)),$T333,"")</f>
        <v/>
      </c>
      <c r="AN333">
        <f>IF(AND(OR($H333="BUY",$H333="SELL"),ISNUMBER($AF333)),$AF333,"")</f>
        <v/>
      </c>
      <c r="AO333">
        <f>IF(ISNUMBER($AM333),ABS(IF(ISNUMBER($G333),$G333,0)-Settings!$B$25),"")</f>
        <v/>
      </c>
      <c r="AP333">
        <f>IF(ISNUMBER($AO333),$AO333*$AM333,"")</f>
        <v/>
      </c>
      <c r="AQ333">
        <f>IF(ISNUMBER($AN333),ABS(IF(ISNUMBER($G333),$G333,0)-Settings!$B$25),"")</f>
        <v/>
      </c>
      <c r="AR333">
        <f>IF(ISNUMBER($AQ333),$AQ333*$AN333,"")</f>
        <v/>
      </c>
      <c r="AS333">
        <f>IF($A333="","",IFERROR(INDEX(Company_List!$H$3:$H$207,MATCH($A333,Company_List!$A$3:$A$207,0)),"unassigned"))</f>
        <v/>
      </c>
    </row>
    <row r="334">
      <c r="A334" s="1" t="n"/>
      <c r="B334" s="120" t="n"/>
      <c r="AG334">
        <f>IF($A334="","",IFERROR(INDEX(Company_List!$G$3:$G$207,MATCH($A334,Company_List!$A$3:$A$207,0)),"unassigned"))</f>
        <v/>
      </c>
      <c r="AK334">
        <f>IF($A334="","",IF(COUNTIFS(Human_Data_Entry!$A$3:$A$525,$A334)&gt;0,"YES","NO"))</f>
        <v/>
      </c>
      <c r="AL334">
        <f>IF($A334="","",IF(AND($C334&amp;"-"&amp;$D334&gt;=Settings!$B$19,$C334&amp;"-"&amp;$D334&lt;=Settings!$B$20),"IN","OUT"))</f>
        <v/>
      </c>
      <c r="AM334">
        <f>IF(AND(OR($H334="BUY",$H334="SELL"),ISNUMBER($T334)),$T334,"")</f>
        <v/>
      </c>
      <c r="AN334">
        <f>IF(AND(OR($H334="BUY",$H334="SELL"),ISNUMBER($AF334)),$AF334,"")</f>
        <v/>
      </c>
      <c r="AO334">
        <f>IF(ISNUMBER($AM334),ABS(IF(ISNUMBER($G334),$G334,0)-Settings!$B$25),"")</f>
        <v/>
      </c>
      <c r="AP334">
        <f>IF(ISNUMBER($AO334),$AO334*$AM334,"")</f>
        <v/>
      </c>
      <c r="AQ334">
        <f>IF(ISNUMBER($AN334),ABS(IF(ISNUMBER($G334),$G334,0)-Settings!$B$25),"")</f>
        <v/>
      </c>
      <c r="AR334">
        <f>IF(ISNUMBER($AQ334),$AQ334*$AN334,"")</f>
        <v/>
      </c>
      <c r="AS334">
        <f>IF($A334="","",IFERROR(INDEX(Company_List!$H$3:$H$207,MATCH($A334,Company_List!$A$3:$A$207,0)),"unassigned"))</f>
        <v/>
      </c>
    </row>
    <row r="335">
      <c r="A335" s="1" t="n"/>
      <c r="B335" s="120" t="n"/>
      <c r="AG335">
        <f>IF($A335="","",IFERROR(INDEX(Company_List!$G$3:$G$207,MATCH($A335,Company_List!$A$3:$A$207,0)),"unassigned"))</f>
        <v/>
      </c>
      <c r="AK335">
        <f>IF($A335="","",IF(COUNTIFS(Human_Data_Entry!$A$3:$A$525,$A335)&gt;0,"YES","NO"))</f>
        <v/>
      </c>
      <c r="AL335">
        <f>IF($A335="","",IF(AND($C335&amp;"-"&amp;$D335&gt;=Settings!$B$19,$C335&amp;"-"&amp;$D335&lt;=Settings!$B$20),"IN","OUT"))</f>
        <v/>
      </c>
      <c r="AM335">
        <f>IF(AND(OR($H335="BUY",$H335="SELL"),ISNUMBER($T335)),$T335,"")</f>
        <v/>
      </c>
      <c r="AN335">
        <f>IF(AND(OR($H335="BUY",$H335="SELL"),ISNUMBER($AF335)),$AF335,"")</f>
        <v/>
      </c>
      <c r="AO335">
        <f>IF(ISNUMBER($AM335),ABS(IF(ISNUMBER($G335),$G335,0)-Settings!$B$25),"")</f>
        <v/>
      </c>
      <c r="AP335">
        <f>IF(ISNUMBER($AO335),$AO335*$AM335,"")</f>
        <v/>
      </c>
      <c r="AQ335">
        <f>IF(ISNUMBER($AN335),ABS(IF(ISNUMBER($G335),$G335,0)-Settings!$B$25),"")</f>
        <v/>
      </c>
      <c r="AR335">
        <f>IF(ISNUMBER($AQ335),$AQ335*$AN335,"")</f>
        <v/>
      </c>
      <c r="AS335">
        <f>IF($A335="","",IFERROR(INDEX(Company_List!$H$3:$H$207,MATCH($A335,Company_List!$A$3:$A$207,0)),"unassigned"))</f>
        <v/>
      </c>
    </row>
    <row r="336">
      <c r="A336" s="1" t="n"/>
      <c r="B336" s="120" t="n"/>
      <c r="AG336">
        <f>IF($A336="","",IFERROR(INDEX(Company_List!$G$3:$G$207,MATCH($A336,Company_List!$A$3:$A$207,0)),"unassigned"))</f>
        <v/>
      </c>
      <c r="AK336">
        <f>IF($A336="","",IF(COUNTIFS(Human_Data_Entry!$A$3:$A$525,$A336)&gt;0,"YES","NO"))</f>
        <v/>
      </c>
      <c r="AL336">
        <f>IF($A336="","",IF(AND($C336&amp;"-"&amp;$D336&gt;=Settings!$B$19,$C336&amp;"-"&amp;$D336&lt;=Settings!$B$20),"IN","OUT"))</f>
        <v/>
      </c>
      <c r="AM336">
        <f>IF(AND(OR($H336="BUY",$H336="SELL"),ISNUMBER($T336)),$T336,"")</f>
        <v/>
      </c>
      <c r="AN336">
        <f>IF(AND(OR($H336="BUY",$H336="SELL"),ISNUMBER($AF336)),$AF336,"")</f>
        <v/>
      </c>
      <c r="AO336">
        <f>IF(ISNUMBER($AM336),ABS(IF(ISNUMBER($G336),$G336,0)-Settings!$B$25),"")</f>
        <v/>
      </c>
      <c r="AP336">
        <f>IF(ISNUMBER($AO336),$AO336*$AM336,"")</f>
        <v/>
      </c>
      <c r="AQ336">
        <f>IF(ISNUMBER($AN336),ABS(IF(ISNUMBER($G336),$G336,0)-Settings!$B$25),"")</f>
        <v/>
      </c>
      <c r="AR336">
        <f>IF(ISNUMBER($AQ336),$AQ336*$AN336,"")</f>
        <v/>
      </c>
      <c r="AS336">
        <f>IF($A336="","",IFERROR(INDEX(Company_List!$H$3:$H$207,MATCH($A336,Company_List!$A$3:$A$207,0)),"unassigned"))</f>
        <v/>
      </c>
    </row>
    <row r="337">
      <c r="A337" s="1" t="n"/>
      <c r="B337" s="120" t="n"/>
      <c r="AG337">
        <f>IF($A337="","",IFERROR(INDEX(Company_List!$G$3:$G$207,MATCH($A337,Company_List!$A$3:$A$207,0)),"unassigned"))</f>
        <v/>
      </c>
      <c r="AK337">
        <f>IF($A337="","",IF(COUNTIFS(Human_Data_Entry!$A$3:$A$525,$A337)&gt;0,"YES","NO"))</f>
        <v/>
      </c>
      <c r="AL337">
        <f>IF($A337="","",IF(AND($C337&amp;"-"&amp;$D337&gt;=Settings!$B$19,$C337&amp;"-"&amp;$D337&lt;=Settings!$B$20),"IN","OUT"))</f>
        <v/>
      </c>
      <c r="AM337">
        <f>IF(AND(OR($H337="BUY",$H337="SELL"),ISNUMBER($T337)),$T337,"")</f>
        <v/>
      </c>
      <c r="AN337">
        <f>IF(AND(OR($H337="BUY",$H337="SELL"),ISNUMBER($AF337)),$AF337,"")</f>
        <v/>
      </c>
      <c r="AO337">
        <f>IF(ISNUMBER($AM337),ABS(IF(ISNUMBER($G337),$G337,0)-Settings!$B$25),"")</f>
        <v/>
      </c>
      <c r="AP337">
        <f>IF(ISNUMBER($AO337),$AO337*$AM337,"")</f>
        <v/>
      </c>
      <c r="AQ337">
        <f>IF(ISNUMBER($AN337),ABS(IF(ISNUMBER($G337),$G337,0)-Settings!$B$25),"")</f>
        <v/>
      </c>
      <c r="AR337">
        <f>IF(ISNUMBER($AQ337),$AQ337*$AN337,"")</f>
        <v/>
      </c>
      <c r="AS337">
        <f>IF($A337="","",IFERROR(INDEX(Company_List!$H$3:$H$207,MATCH($A337,Company_List!$A$3:$A$207,0)),"unassigned"))</f>
        <v/>
      </c>
    </row>
    <row r="338">
      <c r="A338" s="1" t="n"/>
      <c r="B338" s="120" t="n"/>
      <c r="AG338">
        <f>IF($A338="","",IFERROR(INDEX(Company_List!$G$3:$G$207,MATCH($A338,Company_List!$A$3:$A$207,0)),"unassigned"))</f>
        <v/>
      </c>
      <c r="AK338">
        <f>IF($A338="","",IF(COUNTIFS(Human_Data_Entry!$A$3:$A$525,$A338)&gt;0,"YES","NO"))</f>
        <v/>
      </c>
      <c r="AL338">
        <f>IF($A338="","",IF(AND($C338&amp;"-"&amp;$D338&gt;=Settings!$B$19,$C338&amp;"-"&amp;$D338&lt;=Settings!$B$20),"IN","OUT"))</f>
        <v/>
      </c>
      <c r="AM338">
        <f>IF(AND(OR($H338="BUY",$H338="SELL"),ISNUMBER($T338)),$T338,"")</f>
        <v/>
      </c>
      <c r="AN338">
        <f>IF(AND(OR($H338="BUY",$H338="SELL"),ISNUMBER($AF338)),$AF338,"")</f>
        <v/>
      </c>
      <c r="AO338">
        <f>IF(ISNUMBER($AM338),ABS(IF(ISNUMBER($G338),$G338,0)-Settings!$B$25),"")</f>
        <v/>
      </c>
      <c r="AP338">
        <f>IF(ISNUMBER($AO338),$AO338*$AM338,"")</f>
        <v/>
      </c>
      <c r="AQ338">
        <f>IF(ISNUMBER($AN338),ABS(IF(ISNUMBER($G338),$G338,0)-Settings!$B$25),"")</f>
        <v/>
      </c>
      <c r="AR338">
        <f>IF(ISNUMBER($AQ338),$AQ338*$AN338,"")</f>
        <v/>
      </c>
      <c r="AS338">
        <f>IF($A338="","",IFERROR(INDEX(Company_List!$H$3:$H$207,MATCH($A338,Company_List!$A$3:$A$207,0)),"unassigned"))</f>
        <v/>
      </c>
    </row>
    <row r="339">
      <c r="A339" s="1" t="n"/>
      <c r="B339" s="120" t="n"/>
      <c r="AG339">
        <f>IF($A339="","",IFERROR(INDEX(Company_List!$G$3:$G$207,MATCH($A339,Company_List!$A$3:$A$207,0)),"unassigned"))</f>
        <v/>
      </c>
      <c r="AK339">
        <f>IF($A339="","",IF(COUNTIFS(Human_Data_Entry!$A$3:$A$525,$A339)&gt;0,"YES","NO"))</f>
        <v/>
      </c>
      <c r="AL339">
        <f>IF($A339="","",IF(AND($C339&amp;"-"&amp;$D339&gt;=Settings!$B$19,$C339&amp;"-"&amp;$D339&lt;=Settings!$B$20),"IN","OUT"))</f>
        <v/>
      </c>
      <c r="AM339">
        <f>IF(AND(OR($H339="BUY",$H339="SELL"),ISNUMBER($T339)),$T339,"")</f>
        <v/>
      </c>
      <c r="AN339">
        <f>IF(AND(OR($H339="BUY",$H339="SELL"),ISNUMBER($AF339)),$AF339,"")</f>
        <v/>
      </c>
      <c r="AO339">
        <f>IF(ISNUMBER($AM339),ABS(IF(ISNUMBER($G339),$G339,0)-Settings!$B$25),"")</f>
        <v/>
      </c>
      <c r="AP339">
        <f>IF(ISNUMBER($AO339),$AO339*$AM339,"")</f>
        <v/>
      </c>
      <c r="AQ339">
        <f>IF(ISNUMBER($AN339),ABS(IF(ISNUMBER($G339),$G339,0)-Settings!$B$25),"")</f>
        <v/>
      </c>
      <c r="AR339">
        <f>IF(ISNUMBER($AQ339),$AQ339*$AN339,"")</f>
        <v/>
      </c>
      <c r="AS339">
        <f>IF($A339="","",IFERROR(INDEX(Company_List!$H$3:$H$207,MATCH($A339,Company_List!$A$3:$A$207,0)),"unassigned"))</f>
        <v/>
      </c>
    </row>
    <row r="340">
      <c r="A340" s="1" t="n"/>
      <c r="B340" s="120" t="n"/>
      <c r="AG340">
        <f>IF($A340="","",IFERROR(INDEX(Company_List!$G$3:$G$207,MATCH($A340,Company_List!$A$3:$A$207,0)),"unassigned"))</f>
        <v/>
      </c>
      <c r="AK340">
        <f>IF($A340="","",IF(COUNTIFS(Human_Data_Entry!$A$3:$A$525,$A340)&gt;0,"YES","NO"))</f>
        <v/>
      </c>
      <c r="AL340">
        <f>IF($A340="","",IF(AND($C340&amp;"-"&amp;$D340&gt;=Settings!$B$19,$C340&amp;"-"&amp;$D340&lt;=Settings!$B$20),"IN","OUT"))</f>
        <v/>
      </c>
      <c r="AM340">
        <f>IF(AND(OR($H340="BUY",$H340="SELL"),ISNUMBER($T340)),$T340,"")</f>
        <v/>
      </c>
      <c r="AN340">
        <f>IF(AND(OR($H340="BUY",$H340="SELL"),ISNUMBER($AF340)),$AF340,"")</f>
        <v/>
      </c>
      <c r="AO340">
        <f>IF(ISNUMBER($AM340),ABS(IF(ISNUMBER($G340),$G340,0)-Settings!$B$25),"")</f>
        <v/>
      </c>
      <c r="AP340">
        <f>IF(ISNUMBER($AO340),$AO340*$AM340,"")</f>
        <v/>
      </c>
      <c r="AQ340">
        <f>IF(ISNUMBER($AN340),ABS(IF(ISNUMBER($G340),$G340,0)-Settings!$B$25),"")</f>
        <v/>
      </c>
      <c r="AR340">
        <f>IF(ISNUMBER($AQ340),$AQ340*$AN340,"")</f>
        <v/>
      </c>
      <c r="AS340">
        <f>IF($A340="","",IFERROR(INDEX(Company_List!$H$3:$H$207,MATCH($A340,Company_List!$A$3:$A$207,0)),"unassigned"))</f>
        <v/>
      </c>
    </row>
    <row r="341">
      <c r="A341" s="1" t="n"/>
      <c r="B341" s="120" t="n"/>
      <c r="AG341">
        <f>IF($A341="","",IFERROR(INDEX(Company_List!$G$3:$G$207,MATCH($A341,Company_List!$A$3:$A$207,0)),"unassigned"))</f>
        <v/>
      </c>
      <c r="AK341">
        <f>IF($A341="","",IF(COUNTIFS(Human_Data_Entry!$A$3:$A$525,$A341)&gt;0,"YES","NO"))</f>
        <v/>
      </c>
      <c r="AL341">
        <f>IF($A341="","",IF(AND($C341&amp;"-"&amp;$D341&gt;=Settings!$B$19,$C341&amp;"-"&amp;$D341&lt;=Settings!$B$20),"IN","OUT"))</f>
        <v/>
      </c>
      <c r="AM341">
        <f>IF(AND(OR($H341="BUY",$H341="SELL"),ISNUMBER($T341)),$T341,"")</f>
        <v/>
      </c>
      <c r="AN341">
        <f>IF(AND(OR($H341="BUY",$H341="SELL"),ISNUMBER($AF341)),$AF341,"")</f>
        <v/>
      </c>
      <c r="AO341">
        <f>IF(ISNUMBER($AM341),ABS(IF(ISNUMBER($G341),$G341,0)-Settings!$B$25),"")</f>
        <v/>
      </c>
      <c r="AP341">
        <f>IF(ISNUMBER($AO341),$AO341*$AM341,"")</f>
        <v/>
      </c>
      <c r="AQ341">
        <f>IF(ISNUMBER($AN341),ABS(IF(ISNUMBER($G341),$G341,0)-Settings!$B$25),"")</f>
        <v/>
      </c>
      <c r="AR341">
        <f>IF(ISNUMBER($AQ341),$AQ341*$AN341,"")</f>
        <v/>
      </c>
      <c r="AS341">
        <f>IF($A341="","",IFERROR(INDEX(Company_List!$H$3:$H$207,MATCH($A341,Company_List!$A$3:$A$207,0)),"unassigned"))</f>
        <v/>
      </c>
    </row>
    <row r="342">
      <c r="A342" s="1" t="n"/>
      <c r="B342" s="120" t="n"/>
      <c r="AG342">
        <f>IF($A342="","",IFERROR(INDEX(Company_List!$G$3:$G$207,MATCH($A342,Company_List!$A$3:$A$207,0)),"unassigned"))</f>
        <v/>
      </c>
      <c r="AK342">
        <f>IF($A342="","",IF(COUNTIFS(Human_Data_Entry!$A$3:$A$525,$A342)&gt;0,"YES","NO"))</f>
        <v/>
      </c>
      <c r="AL342">
        <f>IF($A342="","",IF(AND($C342&amp;"-"&amp;$D342&gt;=Settings!$B$19,$C342&amp;"-"&amp;$D342&lt;=Settings!$B$20),"IN","OUT"))</f>
        <v/>
      </c>
      <c r="AM342">
        <f>IF(AND(OR($H342="BUY",$H342="SELL"),ISNUMBER($T342)),$T342,"")</f>
        <v/>
      </c>
      <c r="AN342">
        <f>IF(AND(OR($H342="BUY",$H342="SELL"),ISNUMBER($AF342)),$AF342,"")</f>
        <v/>
      </c>
      <c r="AO342">
        <f>IF(ISNUMBER($AM342),ABS(IF(ISNUMBER($G342),$G342,0)-Settings!$B$25),"")</f>
        <v/>
      </c>
      <c r="AP342">
        <f>IF(ISNUMBER($AO342),$AO342*$AM342,"")</f>
        <v/>
      </c>
      <c r="AQ342">
        <f>IF(ISNUMBER($AN342),ABS(IF(ISNUMBER($G342),$G342,0)-Settings!$B$25),"")</f>
        <v/>
      </c>
      <c r="AR342">
        <f>IF(ISNUMBER($AQ342),$AQ342*$AN342,"")</f>
        <v/>
      </c>
      <c r="AS342">
        <f>IF($A342="","",IFERROR(INDEX(Company_List!$H$3:$H$207,MATCH($A342,Company_List!$A$3:$A$207,0)),"unassigned"))</f>
        <v/>
      </c>
    </row>
    <row r="343">
      <c r="A343" s="1" t="n"/>
      <c r="B343" s="120" t="n"/>
      <c r="AG343">
        <f>IF($A343="","",IFERROR(INDEX(Company_List!$G$3:$G$207,MATCH($A343,Company_List!$A$3:$A$207,0)),"unassigned"))</f>
        <v/>
      </c>
      <c r="AK343">
        <f>IF($A343="","",IF(COUNTIFS(Human_Data_Entry!$A$3:$A$525,$A343)&gt;0,"YES","NO"))</f>
        <v/>
      </c>
      <c r="AL343">
        <f>IF($A343="","",IF(AND($C343&amp;"-"&amp;$D343&gt;=Settings!$B$19,$C343&amp;"-"&amp;$D343&lt;=Settings!$B$20),"IN","OUT"))</f>
        <v/>
      </c>
      <c r="AM343">
        <f>IF(AND(OR($H343="BUY",$H343="SELL"),ISNUMBER($T343)),$T343,"")</f>
        <v/>
      </c>
      <c r="AN343">
        <f>IF(AND(OR($H343="BUY",$H343="SELL"),ISNUMBER($AF343)),$AF343,"")</f>
        <v/>
      </c>
      <c r="AO343">
        <f>IF(ISNUMBER($AM343),ABS(IF(ISNUMBER($G343),$G343,0)-Settings!$B$25),"")</f>
        <v/>
      </c>
      <c r="AP343">
        <f>IF(ISNUMBER($AO343),$AO343*$AM343,"")</f>
        <v/>
      </c>
      <c r="AQ343">
        <f>IF(ISNUMBER($AN343),ABS(IF(ISNUMBER($G343),$G343,0)-Settings!$B$25),"")</f>
        <v/>
      </c>
      <c r="AR343">
        <f>IF(ISNUMBER($AQ343),$AQ343*$AN343,"")</f>
        <v/>
      </c>
      <c r="AS343">
        <f>IF($A343="","",IFERROR(INDEX(Company_List!$H$3:$H$207,MATCH($A343,Company_List!$A$3:$A$207,0)),"unassigned"))</f>
        <v/>
      </c>
    </row>
    <row r="344">
      <c r="A344" s="1" t="n"/>
      <c r="B344" s="120" t="n"/>
      <c r="AG344">
        <f>IF($A344="","",IFERROR(INDEX(Company_List!$G$3:$G$207,MATCH($A344,Company_List!$A$3:$A$207,0)),"unassigned"))</f>
        <v/>
      </c>
      <c r="AK344">
        <f>IF($A344="","",IF(COUNTIFS(Human_Data_Entry!$A$3:$A$525,$A344)&gt;0,"YES","NO"))</f>
        <v/>
      </c>
      <c r="AL344">
        <f>IF($A344="","",IF(AND($C344&amp;"-"&amp;$D344&gt;=Settings!$B$19,$C344&amp;"-"&amp;$D344&lt;=Settings!$B$20),"IN","OUT"))</f>
        <v/>
      </c>
      <c r="AM344">
        <f>IF(AND(OR($H344="BUY",$H344="SELL"),ISNUMBER($T344)),$T344,"")</f>
        <v/>
      </c>
      <c r="AN344">
        <f>IF(AND(OR($H344="BUY",$H344="SELL"),ISNUMBER($AF344)),$AF344,"")</f>
        <v/>
      </c>
      <c r="AO344">
        <f>IF(ISNUMBER($AM344),ABS(IF(ISNUMBER($G344),$G344,0)-Settings!$B$25),"")</f>
        <v/>
      </c>
      <c r="AP344">
        <f>IF(ISNUMBER($AO344),$AO344*$AM344,"")</f>
        <v/>
      </c>
      <c r="AQ344">
        <f>IF(ISNUMBER($AN344),ABS(IF(ISNUMBER($G344),$G344,0)-Settings!$B$25),"")</f>
        <v/>
      </c>
      <c r="AR344">
        <f>IF(ISNUMBER($AQ344),$AQ344*$AN344,"")</f>
        <v/>
      </c>
      <c r="AS344">
        <f>IF($A344="","",IFERROR(INDEX(Company_List!$H$3:$H$207,MATCH($A344,Company_List!$A$3:$A$207,0)),"unassigned"))</f>
        <v/>
      </c>
    </row>
    <row r="345">
      <c r="A345" s="1" t="n"/>
      <c r="B345" s="120" t="n"/>
      <c r="AG345">
        <f>IF($A345="","",IFERROR(INDEX(Company_List!$G$3:$G$207,MATCH($A345,Company_List!$A$3:$A$207,0)),"unassigned"))</f>
        <v/>
      </c>
      <c r="AK345">
        <f>IF($A345="","",IF(COUNTIFS(Human_Data_Entry!$A$3:$A$525,$A345)&gt;0,"YES","NO"))</f>
        <v/>
      </c>
      <c r="AL345">
        <f>IF($A345="","",IF(AND($C345&amp;"-"&amp;$D345&gt;=Settings!$B$19,$C345&amp;"-"&amp;$D345&lt;=Settings!$B$20),"IN","OUT"))</f>
        <v/>
      </c>
      <c r="AM345">
        <f>IF(AND(OR($H345="BUY",$H345="SELL"),ISNUMBER($T345)),$T345,"")</f>
        <v/>
      </c>
      <c r="AN345">
        <f>IF(AND(OR($H345="BUY",$H345="SELL"),ISNUMBER($AF345)),$AF345,"")</f>
        <v/>
      </c>
      <c r="AO345">
        <f>IF(ISNUMBER($AM345),ABS(IF(ISNUMBER($G345),$G345,0)-Settings!$B$25),"")</f>
        <v/>
      </c>
      <c r="AP345">
        <f>IF(ISNUMBER($AO345),$AO345*$AM345,"")</f>
        <v/>
      </c>
      <c r="AQ345">
        <f>IF(ISNUMBER($AN345),ABS(IF(ISNUMBER($G345),$G345,0)-Settings!$B$25),"")</f>
        <v/>
      </c>
      <c r="AR345">
        <f>IF(ISNUMBER($AQ345),$AQ345*$AN345,"")</f>
        <v/>
      </c>
      <c r="AS345">
        <f>IF($A345="","",IFERROR(INDEX(Company_List!$H$3:$H$207,MATCH($A345,Company_List!$A$3:$A$207,0)),"unassigned"))</f>
        <v/>
      </c>
    </row>
    <row r="346">
      <c r="A346" s="1" t="n"/>
      <c r="B346" s="120" t="n"/>
      <c r="AG346">
        <f>IF($A346="","",IFERROR(INDEX(Company_List!$G$3:$G$207,MATCH($A346,Company_List!$A$3:$A$207,0)),"unassigned"))</f>
        <v/>
      </c>
      <c r="AK346">
        <f>IF($A346="","",IF(COUNTIFS(Human_Data_Entry!$A$3:$A$525,$A346)&gt;0,"YES","NO"))</f>
        <v/>
      </c>
      <c r="AL346">
        <f>IF($A346="","",IF(AND($C346&amp;"-"&amp;$D346&gt;=Settings!$B$19,$C346&amp;"-"&amp;$D346&lt;=Settings!$B$20),"IN","OUT"))</f>
        <v/>
      </c>
      <c r="AM346">
        <f>IF(AND(OR($H346="BUY",$H346="SELL"),ISNUMBER($T346)),$T346,"")</f>
        <v/>
      </c>
      <c r="AN346">
        <f>IF(AND(OR($H346="BUY",$H346="SELL"),ISNUMBER($AF346)),$AF346,"")</f>
        <v/>
      </c>
      <c r="AO346">
        <f>IF(ISNUMBER($AM346),ABS(IF(ISNUMBER($G346),$G346,0)-Settings!$B$25),"")</f>
        <v/>
      </c>
      <c r="AP346">
        <f>IF(ISNUMBER($AO346),$AO346*$AM346,"")</f>
        <v/>
      </c>
      <c r="AQ346">
        <f>IF(ISNUMBER($AN346),ABS(IF(ISNUMBER($G346),$G346,0)-Settings!$B$25),"")</f>
        <v/>
      </c>
      <c r="AR346">
        <f>IF(ISNUMBER($AQ346),$AQ346*$AN346,"")</f>
        <v/>
      </c>
      <c r="AS346">
        <f>IF($A346="","",IFERROR(INDEX(Company_List!$H$3:$H$207,MATCH($A346,Company_List!$A$3:$A$207,0)),"unassigned"))</f>
        <v/>
      </c>
    </row>
    <row r="347">
      <c r="A347" s="1" t="n"/>
      <c r="B347" s="120" t="n"/>
      <c r="AG347">
        <f>IF($A347="","",IFERROR(INDEX(Company_List!$G$3:$G$207,MATCH($A347,Company_List!$A$3:$A$207,0)),"unassigned"))</f>
        <v/>
      </c>
      <c r="AK347">
        <f>IF($A347="","",IF(COUNTIFS(Human_Data_Entry!$A$3:$A$525,$A347)&gt;0,"YES","NO"))</f>
        <v/>
      </c>
      <c r="AL347">
        <f>IF($A347="","",IF(AND($C347&amp;"-"&amp;$D347&gt;=Settings!$B$19,$C347&amp;"-"&amp;$D347&lt;=Settings!$B$20),"IN","OUT"))</f>
        <v/>
      </c>
      <c r="AM347">
        <f>IF(AND(OR($H347="BUY",$H347="SELL"),ISNUMBER($T347)),$T347,"")</f>
        <v/>
      </c>
      <c r="AN347">
        <f>IF(AND(OR($H347="BUY",$H347="SELL"),ISNUMBER($AF347)),$AF347,"")</f>
        <v/>
      </c>
      <c r="AO347">
        <f>IF(ISNUMBER($AM347),ABS(IF(ISNUMBER($G347),$G347,0)-Settings!$B$25),"")</f>
        <v/>
      </c>
      <c r="AP347">
        <f>IF(ISNUMBER($AO347),$AO347*$AM347,"")</f>
        <v/>
      </c>
      <c r="AQ347">
        <f>IF(ISNUMBER($AN347),ABS(IF(ISNUMBER($G347),$G347,0)-Settings!$B$25),"")</f>
        <v/>
      </c>
      <c r="AR347">
        <f>IF(ISNUMBER($AQ347),$AQ347*$AN347,"")</f>
        <v/>
      </c>
      <c r="AS347">
        <f>IF($A347="","",IFERROR(INDEX(Company_List!$H$3:$H$207,MATCH($A347,Company_List!$A$3:$A$207,0)),"unassigned"))</f>
        <v/>
      </c>
    </row>
    <row r="348">
      <c r="A348" s="1" t="n"/>
      <c r="B348" s="120" t="n"/>
      <c r="AG348">
        <f>IF($A348="","",IFERROR(INDEX(Company_List!$G$3:$G$207,MATCH($A348,Company_List!$A$3:$A$207,0)),"unassigned"))</f>
        <v/>
      </c>
      <c r="AK348">
        <f>IF($A348="","",IF(COUNTIFS(Human_Data_Entry!$A$3:$A$525,$A348)&gt;0,"YES","NO"))</f>
        <v/>
      </c>
      <c r="AL348">
        <f>IF($A348="","",IF(AND($C348&amp;"-"&amp;$D348&gt;=Settings!$B$19,$C348&amp;"-"&amp;$D348&lt;=Settings!$B$20),"IN","OUT"))</f>
        <v/>
      </c>
      <c r="AM348">
        <f>IF(AND(OR($H348="BUY",$H348="SELL"),ISNUMBER($T348)),$T348,"")</f>
        <v/>
      </c>
      <c r="AN348">
        <f>IF(AND(OR($H348="BUY",$H348="SELL"),ISNUMBER($AF348)),$AF348,"")</f>
        <v/>
      </c>
      <c r="AO348">
        <f>IF(ISNUMBER($AM348),ABS(IF(ISNUMBER($G348),$G348,0)-Settings!$B$25),"")</f>
        <v/>
      </c>
      <c r="AP348">
        <f>IF(ISNUMBER($AO348),$AO348*$AM348,"")</f>
        <v/>
      </c>
      <c r="AQ348">
        <f>IF(ISNUMBER($AN348),ABS(IF(ISNUMBER($G348),$G348,0)-Settings!$B$25),"")</f>
        <v/>
      </c>
      <c r="AR348">
        <f>IF(ISNUMBER($AQ348),$AQ348*$AN348,"")</f>
        <v/>
      </c>
      <c r="AS348">
        <f>IF($A348="","",IFERROR(INDEX(Company_List!$H$3:$H$207,MATCH($A348,Company_List!$A$3:$A$207,0)),"unassigned"))</f>
        <v/>
      </c>
    </row>
    <row r="349">
      <c r="A349" s="1" t="n"/>
      <c r="B349" s="120" t="n"/>
      <c r="AG349">
        <f>IF($A349="","",IFERROR(INDEX(Company_List!$G$3:$G$207,MATCH($A349,Company_List!$A$3:$A$207,0)),"unassigned"))</f>
        <v/>
      </c>
      <c r="AK349">
        <f>IF($A349="","",IF(COUNTIFS(Human_Data_Entry!$A$3:$A$525,$A349)&gt;0,"YES","NO"))</f>
        <v/>
      </c>
      <c r="AL349">
        <f>IF($A349="","",IF(AND($C349&amp;"-"&amp;$D349&gt;=Settings!$B$19,$C349&amp;"-"&amp;$D349&lt;=Settings!$B$20),"IN","OUT"))</f>
        <v/>
      </c>
      <c r="AM349">
        <f>IF(AND(OR($H349="BUY",$H349="SELL"),ISNUMBER($T349)),$T349,"")</f>
        <v/>
      </c>
      <c r="AN349">
        <f>IF(AND(OR($H349="BUY",$H349="SELL"),ISNUMBER($AF349)),$AF349,"")</f>
        <v/>
      </c>
      <c r="AO349">
        <f>IF(ISNUMBER($AM349),ABS(IF(ISNUMBER($G349),$G349,0)-Settings!$B$25),"")</f>
        <v/>
      </c>
      <c r="AP349">
        <f>IF(ISNUMBER($AO349),$AO349*$AM349,"")</f>
        <v/>
      </c>
      <c r="AQ349">
        <f>IF(ISNUMBER($AN349),ABS(IF(ISNUMBER($G349),$G349,0)-Settings!$B$25),"")</f>
        <v/>
      </c>
      <c r="AR349">
        <f>IF(ISNUMBER($AQ349),$AQ349*$AN349,"")</f>
        <v/>
      </c>
      <c r="AS349">
        <f>IF($A349="","",IFERROR(INDEX(Company_List!$H$3:$H$207,MATCH($A349,Company_List!$A$3:$A$207,0)),"unassigned"))</f>
        <v/>
      </c>
    </row>
    <row r="350">
      <c r="A350" s="1" t="n"/>
      <c r="B350" s="120" t="n"/>
      <c r="AG350">
        <f>IF($A350="","",IFERROR(INDEX(Company_List!$G$3:$G$207,MATCH($A350,Company_List!$A$3:$A$207,0)),"unassigned"))</f>
        <v/>
      </c>
      <c r="AK350">
        <f>IF($A350="","",IF(COUNTIFS(Human_Data_Entry!$A$3:$A$525,$A350)&gt;0,"YES","NO"))</f>
        <v/>
      </c>
      <c r="AL350">
        <f>IF($A350="","",IF(AND($C350&amp;"-"&amp;$D350&gt;=Settings!$B$19,$C350&amp;"-"&amp;$D350&lt;=Settings!$B$20),"IN","OUT"))</f>
        <v/>
      </c>
      <c r="AM350">
        <f>IF(AND(OR($H350="BUY",$H350="SELL"),ISNUMBER($T350)),$T350,"")</f>
        <v/>
      </c>
      <c r="AN350">
        <f>IF(AND(OR($H350="BUY",$H350="SELL"),ISNUMBER($AF350)),$AF350,"")</f>
        <v/>
      </c>
      <c r="AO350">
        <f>IF(ISNUMBER($AM350),ABS(IF(ISNUMBER($G350),$G350,0)-Settings!$B$25),"")</f>
        <v/>
      </c>
      <c r="AP350">
        <f>IF(ISNUMBER($AO350),$AO350*$AM350,"")</f>
        <v/>
      </c>
      <c r="AQ350">
        <f>IF(ISNUMBER($AN350),ABS(IF(ISNUMBER($G350),$G350,0)-Settings!$B$25),"")</f>
        <v/>
      </c>
      <c r="AR350">
        <f>IF(ISNUMBER($AQ350),$AQ350*$AN350,"")</f>
        <v/>
      </c>
      <c r="AS350">
        <f>IF($A350="","",IFERROR(INDEX(Company_List!$H$3:$H$207,MATCH($A350,Company_List!$A$3:$A$207,0)),"unassigned"))</f>
        <v/>
      </c>
    </row>
    <row r="351">
      <c r="A351" s="1" t="n"/>
      <c r="B351" s="120" t="n"/>
      <c r="AG351">
        <f>IF($A351="","",IFERROR(INDEX(Company_List!$G$3:$G$207,MATCH($A351,Company_List!$A$3:$A$207,0)),"unassigned"))</f>
        <v/>
      </c>
      <c r="AK351">
        <f>IF($A351="","",IF(COUNTIFS(Human_Data_Entry!$A$3:$A$525,$A351)&gt;0,"YES","NO"))</f>
        <v/>
      </c>
      <c r="AL351">
        <f>IF($A351="","",IF(AND($C351&amp;"-"&amp;$D351&gt;=Settings!$B$19,$C351&amp;"-"&amp;$D351&lt;=Settings!$B$20),"IN","OUT"))</f>
        <v/>
      </c>
      <c r="AM351">
        <f>IF(AND(OR($H351="BUY",$H351="SELL"),ISNUMBER($T351)),$T351,"")</f>
        <v/>
      </c>
      <c r="AN351">
        <f>IF(AND(OR($H351="BUY",$H351="SELL"),ISNUMBER($AF351)),$AF351,"")</f>
        <v/>
      </c>
      <c r="AO351">
        <f>IF(ISNUMBER($AM351),ABS(IF(ISNUMBER($G351),$G351,0)-Settings!$B$25),"")</f>
        <v/>
      </c>
      <c r="AP351">
        <f>IF(ISNUMBER($AO351),$AO351*$AM351,"")</f>
        <v/>
      </c>
      <c r="AQ351">
        <f>IF(ISNUMBER($AN351),ABS(IF(ISNUMBER($G351),$G351,0)-Settings!$B$25),"")</f>
        <v/>
      </c>
      <c r="AR351">
        <f>IF(ISNUMBER($AQ351),$AQ351*$AN351,"")</f>
        <v/>
      </c>
      <c r="AS351">
        <f>IF($A351="","",IFERROR(INDEX(Company_List!$H$3:$H$207,MATCH($A351,Company_List!$A$3:$A$207,0)),"unassigned"))</f>
        <v/>
      </c>
    </row>
    <row r="352">
      <c r="A352" s="1" t="n"/>
      <c r="B352" s="120" t="n"/>
      <c r="AG352">
        <f>IF($A352="","",IFERROR(INDEX(Company_List!$G$3:$G$207,MATCH($A352,Company_List!$A$3:$A$207,0)),"unassigned"))</f>
        <v/>
      </c>
      <c r="AK352">
        <f>IF($A352="","",IF(COUNTIFS(Human_Data_Entry!$A$3:$A$525,$A352)&gt;0,"YES","NO"))</f>
        <v/>
      </c>
      <c r="AL352">
        <f>IF($A352="","",IF(AND($C352&amp;"-"&amp;$D352&gt;=Settings!$B$19,$C352&amp;"-"&amp;$D352&lt;=Settings!$B$20),"IN","OUT"))</f>
        <v/>
      </c>
      <c r="AM352">
        <f>IF(AND(OR($H352="BUY",$H352="SELL"),ISNUMBER($T352)),$T352,"")</f>
        <v/>
      </c>
      <c r="AN352">
        <f>IF(AND(OR($H352="BUY",$H352="SELL"),ISNUMBER($AF352)),$AF352,"")</f>
        <v/>
      </c>
      <c r="AO352">
        <f>IF(ISNUMBER($AM352),ABS(IF(ISNUMBER($G352),$G352,0)-Settings!$B$25),"")</f>
        <v/>
      </c>
      <c r="AP352">
        <f>IF(ISNUMBER($AO352),$AO352*$AM352,"")</f>
        <v/>
      </c>
      <c r="AQ352">
        <f>IF(ISNUMBER($AN352),ABS(IF(ISNUMBER($G352),$G352,0)-Settings!$B$25),"")</f>
        <v/>
      </c>
      <c r="AR352">
        <f>IF(ISNUMBER($AQ352),$AQ352*$AN352,"")</f>
        <v/>
      </c>
      <c r="AS352">
        <f>IF($A352="","",IFERROR(INDEX(Company_List!$H$3:$H$207,MATCH($A352,Company_List!$A$3:$A$207,0)),"unassigned"))</f>
        <v/>
      </c>
    </row>
    <row r="353">
      <c r="A353" s="1" t="n"/>
      <c r="B353" s="120" t="n"/>
      <c r="AG353">
        <f>IF($A353="","",IFERROR(INDEX(Company_List!$G$3:$G$207,MATCH($A353,Company_List!$A$3:$A$207,0)),"unassigned"))</f>
        <v/>
      </c>
      <c r="AK353">
        <f>IF($A353="","",IF(COUNTIFS(Human_Data_Entry!$A$3:$A$525,$A353)&gt;0,"YES","NO"))</f>
        <v/>
      </c>
      <c r="AL353">
        <f>IF($A353="","",IF(AND($C353&amp;"-"&amp;$D353&gt;=Settings!$B$19,$C353&amp;"-"&amp;$D353&lt;=Settings!$B$20),"IN","OUT"))</f>
        <v/>
      </c>
      <c r="AM353">
        <f>IF(AND(OR($H353="BUY",$H353="SELL"),ISNUMBER($T353)),$T353,"")</f>
        <v/>
      </c>
      <c r="AN353">
        <f>IF(AND(OR($H353="BUY",$H353="SELL"),ISNUMBER($AF353)),$AF353,"")</f>
        <v/>
      </c>
      <c r="AO353">
        <f>IF(ISNUMBER($AM353),ABS(IF(ISNUMBER($G353),$G353,0)-Settings!$B$25),"")</f>
        <v/>
      </c>
      <c r="AP353">
        <f>IF(ISNUMBER($AO353),$AO353*$AM353,"")</f>
        <v/>
      </c>
      <c r="AQ353">
        <f>IF(ISNUMBER($AN353),ABS(IF(ISNUMBER($G353),$G353,0)-Settings!$B$25),"")</f>
        <v/>
      </c>
      <c r="AR353">
        <f>IF(ISNUMBER($AQ353),$AQ353*$AN353,"")</f>
        <v/>
      </c>
      <c r="AS353">
        <f>IF($A353="","",IFERROR(INDEX(Company_List!$H$3:$H$207,MATCH($A353,Company_List!$A$3:$A$207,0)),"unassigned"))</f>
        <v/>
      </c>
    </row>
    <row r="354">
      <c r="A354" s="1" t="n"/>
      <c r="B354" s="120" t="n"/>
      <c r="AG354">
        <f>IF($A354="","",IFERROR(INDEX(Company_List!$G$3:$G$207,MATCH($A354,Company_List!$A$3:$A$207,0)),"unassigned"))</f>
        <v/>
      </c>
      <c r="AK354">
        <f>IF($A354="","",IF(COUNTIFS(Human_Data_Entry!$A$3:$A$525,$A354)&gt;0,"YES","NO"))</f>
        <v/>
      </c>
      <c r="AL354">
        <f>IF($A354="","",IF(AND($C354&amp;"-"&amp;$D354&gt;=Settings!$B$19,$C354&amp;"-"&amp;$D354&lt;=Settings!$B$20),"IN","OUT"))</f>
        <v/>
      </c>
      <c r="AM354">
        <f>IF(AND(OR($H354="BUY",$H354="SELL"),ISNUMBER($T354)),$T354,"")</f>
        <v/>
      </c>
      <c r="AN354">
        <f>IF(AND(OR($H354="BUY",$H354="SELL"),ISNUMBER($AF354)),$AF354,"")</f>
        <v/>
      </c>
      <c r="AO354">
        <f>IF(ISNUMBER($AM354),ABS(IF(ISNUMBER($G354),$G354,0)-Settings!$B$25),"")</f>
        <v/>
      </c>
      <c r="AP354">
        <f>IF(ISNUMBER($AO354),$AO354*$AM354,"")</f>
        <v/>
      </c>
      <c r="AQ354">
        <f>IF(ISNUMBER($AN354),ABS(IF(ISNUMBER($G354),$G354,0)-Settings!$B$25),"")</f>
        <v/>
      </c>
      <c r="AR354">
        <f>IF(ISNUMBER($AQ354),$AQ354*$AN354,"")</f>
        <v/>
      </c>
      <c r="AS354">
        <f>IF($A354="","",IFERROR(INDEX(Company_List!$H$3:$H$207,MATCH($A354,Company_List!$A$3:$A$207,0)),"unassigned"))</f>
        <v/>
      </c>
    </row>
    <row r="355">
      <c r="A355" s="1" t="n"/>
      <c r="B355" s="120" t="n"/>
      <c r="AG355">
        <f>IF($A355="","",IFERROR(INDEX(Company_List!$G$3:$G$207,MATCH($A355,Company_List!$A$3:$A$207,0)),"unassigned"))</f>
        <v/>
      </c>
      <c r="AK355">
        <f>IF($A355="","",IF(COUNTIFS(Human_Data_Entry!$A$3:$A$525,$A355)&gt;0,"YES","NO"))</f>
        <v/>
      </c>
      <c r="AL355">
        <f>IF($A355="","",IF(AND($C355&amp;"-"&amp;$D355&gt;=Settings!$B$19,$C355&amp;"-"&amp;$D355&lt;=Settings!$B$20),"IN","OUT"))</f>
        <v/>
      </c>
      <c r="AM355">
        <f>IF(AND(OR($H355="BUY",$H355="SELL"),ISNUMBER($T355)),$T355,"")</f>
        <v/>
      </c>
      <c r="AN355">
        <f>IF(AND(OR($H355="BUY",$H355="SELL"),ISNUMBER($AF355)),$AF355,"")</f>
        <v/>
      </c>
      <c r="AO355">
        <f>IF(ISNUMBER($AM355),ABS(IF(ISNUMBER($G355),$G355,0)-Settings!$B$25),"")</f>
        <v/>
      </c>
      <c r="AP355">
        <f>IF(ISNUMBER($AO355),$AO355*$AM355,"")</f>
        <v/>
      </c>
      <c r="AQ355">
        <f>IF(ISNUMBER($AN355),ABS(IF(ISNUMBER($G355),$G355,0)-Settings!$B$25),"")</f>
        <v/>
      </c>
      <c r="AR355">
        <f>IF(ISNUMBER($AQ355),$AQ355*$AN355,"")</f>
        <v/>
      </c>
      <c r="AS355">
        <f>IF($A355="","",IFERROR(INDEX(Company_List!$H$3:$H$207,MATCH($A355,Company_List!$A$3:$A$207,0)),"unassigned"))</f>
        <v/>
      </c>
    </row>
    <row r="356">
      <c r="A356" s="1" t="n"/>
      <c r="B356" s="120" t="n"/>
      <c r="AG356">
        <f>IF($A356="","",IFERROR(INDEX(Company_List!$G$3:$G$207,MATCH($A356,Company_List!$A$3:$A$207,0)),"unassigned"))</f>
        <v/>
      </c>
      <c r="AK356">
        <f>IF($A356="","",IF(COUNTIFS(Human_Data_Entry!$A$3:$A$525,$A356)&gt;0,"YES","NO"))</f>
        <v/>
      </c>
      <c r="AL356">
        <f>IF($A356="","",IF(AND($C356&amp;"-"&amp;$D356&gt;=Settings!$B$19,$C356&amp;"-"&amp;$D356&lt;=Settings!$B$20),"IN","OUT"))</f>
        <v/>
      </c>
      <c r="AM356">
        <f>IF(AND(OR($H356="BUY",$H356="SELL"),ISNUMBER($T356)),$T356,"")</f>
        <v/>
      </c>
      <c r="AN356">
        <f>IF(AND(OR($H356="BUY",$H356="SELL"),ISNUMBER($AF356)),$AF356,"")</f>
        <v/>
      </c>
      <c r="AO356">
        <f>IF(ISNUMBER($AM356),ABS(IF(ISNUMBER($G356),$G356,0)-Settings!$B$25),"")</f>
        <v/>
      </c>
      <c r="AP356">
        <f>IF(ISNUMBER($AO356),$AO356*$AM356,"")</f>
        <v/>
      </c>
      <c r="AQ356">
        <f>IF(ISNUMBER($AN356),ABS(IF(ISNUMBER($G356),$G356,0)-Settings!$B$25),"")</f>
        <v/>
      </c>
      <c r="AR356">
        <f>IF(ISNUMBER($AQ356),$AQ356*$AN356,"")</f>
        <v/>
      </c>
      <c r="AS356">
        <f>IF($A356="","",IFERROR(INDEX(Company_List!$H$3:$H$207,MATCH($A356,Company_List!$A$3:$A$207,0)),"unassigned"))</f>
        <v/>
      </c>
    </row>
    <row r="357">
      <c r="A357" s="1" t="n"/>
      <c r="B357" s="120" t="n"/>
      <c r="AG357">
        <f>IF($A357="","",IFERROR(INDEX(Company_List!$G$3:$G$207,MATCH($A357,Company_List!$A$3:$A$207,0)),"unassigned"))</f>
        <v/>
      </c>
      <c r="AK357">
        <f>IF($A357="","",IF(COUNTIFS(Human_Data_Entry!$A$3:$A$525,$A357)&gt;0,"YES","NO"))</f>
        <v/>
      </c>
      <c r="AL357">
        <f>IF($A357="","",IF(AND($C357&amp;"-"&amp;$D357&gt;=Settings!$B$19,$C357&amp;"-"&amp;$D357&lt;=Settings!$B$20),"IN","OUT"))</f>
        <v/>
      </c>
      <c r="AM357">
        <f>IF(AND(OR($H357="BUY",$H357="SELL"),ISNUMBER($T357)),$T357,"")</f>
        <v/>
      </c>
      <c r="AN357">
        <f>IF(AND(OR($H357="BUY",$H357="SELL"),ISNUMBER($AF357)),$AF357,"")</f>
        <v/>
      </c>
      <c r="AO357">
        <f>IF(ISNUMBER($AM357),ABS(IF(ISNUMBER($G357),$G357,0)-Settings!$B$25),"")</f>
        <v/>
      </c>
      <c r="AP357">
        <f>IF(ISNUMBER($AO357),$AO357*$AM357,"")</f>
        <v/>
      </c>
      <c r="AQ357">
        <f>IF(ISNUMBER($AN357),ABS(IF(ISNUMBER($G357),$G357,0)-Settings!$B$25),"")</f>
        <v/>
      </c>
      <c r="AR357">
        <f>IF(ISNUMBER($AQ357),$AQ357*$AN357,"")</f>
        <v/>
      </c>
      <c r="AS357">
        <f>IF($A357="","",IFERROR(INDEX(Company_List!$H$3:$H$207,MATCH($A357,Company_List!$A$3:$A$207,0)),"unassigned"))</f>
        <v/>
      </c>
    </row>
    <row r="358">
      <c r="A358" s="1" t="n"/>
      <c r="B358" s="120" t="n"/>
      <c r="AG358">
        <f>IF($A358="","",IFERROR(INDEX(Company_List!$G$3:$G$207,MATCH($A358,Company_List!$A$3:$A$207,0)),"unassigned"))</f>
        <v/>
      </c>
      <c r="AK358">
        <f>IF($A358="","",IF(COUNTIFS(Human_Data_Entry!$A$3:$A$525,$A358)&gt;0,"YES","NO"))</f>
        <v/>
      </c>
      <c r="AL358">
        <f>IF($A358="","",IF(AND($C358&amp;"-"&amp;$D358&gt;=Settings!$B$19,$C358&amp;"-"&amp;$D358&lt;=Settings!$B$20),"IN","OUT"))</f>
        <v/>
      </c>
      <c r="AM358">
        <f>IF(AND(OR($H358="BUY",$H358="SELL"),ISNUMBER($T358)),$T358,"")</f>
        <v/>
      </c>
      <c r="AN358">
        <f>IF(AND(OR($H358="BUY",$H358="SELL"),ISNUMBER($AF358)),$AF358,"")</f>
        <v/>
      </c>
      <c r="AO358">
        <f>IF(ISNUMBER($AM358),ABS(IF(ISNUMBER($G358),$G358,0)-Settings!$B$25),"")</f>
        <v/>
      </c>
      <c r="AP358">
        <f>IF(ISNUMBER($AO358),$AO358*$AM358,"")</f>
        <v/>
      </c>
      <c r="AQ358">
        <f>IF(ISNUMBER($AN358),ABS(IF(ISNUMBER($G358),$G358,0)-Settings!$B$25),"")</f>
        <v/>
      </c>
      <c r="AR358">
        <f>IF(ISNUMBER($AQ358),$AQ358*$AN358,"")</f>
        <v/>
      </c>
      <c r="AS358">
        <f>IF($A358="","",IFERROR(INDEX(Company_List!$H$3:$H$207,MATCH($A358,Company_List!$A$3:$A$207,0)),"unassigned"))</f>
        <v/>
      </c>
    </row>
    <row r="359">
      <c r="A359" s="1" t="n"/>
      <c r="B359" s="120" t="n"/>
      <c r="AG359">
        <f>IF($A359="","",IFERROR(INDEX(Company_List!$G$3:$G$207,MATCH($A359,Company_List!$A$3:$A$207,0)),"unassigned"))</f>
        <v/>
      </c>
      <c r="AK359">
        <f>IF($A359="","",IF(COUNTIFS(Human_Data_Entry!$A$3:$A$525,$A359)&gt;0,"YES","NO"))</f>
        <v/>
      </c>
      <c r="AL359">
        <f>IF($A359="","",IF(AND($C359&amp;"-"&amp;$D359&gt;=Settings!$B$19,$C359&amp;"-"&amp;$D359&lt;=Settings!$B$20),"IN","OUT"))</f>
        <v/>
      </c>
      <c r="AM359">
        <f>IF(AND(OR($H359="BUY",$H359="SELL"),ISNUMBER($T359)),$T359,"")</f>
        <v/>
      </c>
      <c r="AN359">
        <f>IF(AND(OR($H359="BUY",$H359="SELL"),ISNUMBER($AF359)),$AF359,"")</f>
        <v/>
      </c>
      <c r="AO359">
        <f>IF(ISNUMBER($AM359),ABS(IF(ISNUMBER($G359),$G359,0)-Settings!$B$25),"")</f>
        <v/>
      </c>
      <c r="AP359">
        <f>IF(ISNUMBER($AO359),$AO359*$AM359,"")</f>
        <v/>
      </c>
      <c r="AQ359">
        <f>IF(ISNUMBER($AN359),ABS(IF(ISNUMBER($G359),$G359,0)-Settings!$B$25),"")</f>
        <v/>
      </c>
      <c r="AR359">
        <f>IF(ISNUMBER($AQ359),$AQ359*$AN359,"")</f>
        <v/>
      </c>
      <c r="AS359">
        <f>IF($A359="","",IFERROR(INDEX(Company_List!$H$3:$H$207,MATCH($A359,Company_List!$A$3:$A$207,0)),"unassigned"))</f>
        <v/>
      </c>
    </row>
    <row r="360">
      <c r="A360" s="1" t="n"/>
      <c r="B360" s="120" t="n"/>
      <c r="AG360">
        <f>IF($A360="","",IFERROR(INDEX(Company_List!$G$3:$G$207,MATCH($A360,Company_List!$A$3:$A$207,0)),"unassigned"))</f>
        <v/>
      </c>
      <c r="AK360">
        <f>IF($A360="","",IF(COUNTIFS(Human_Data_Entry!$A$3:$A$525,$A360)&gt;0,"YES","NO"))</f>
        <v/>
      </c>
      <c r="AL360">
        <f>IF($A360="","",IF(AND($C360&amp;"-"&amp;$D360&gt;=Settings!$B$19,$C360&amp;"-"&amp;$D360&lt;=Settings!$B$20),"IN","OUT"))</f>
        <v/>
      </c>
      <c r="AM360">
        <f>IF(AND(OR($H360="BUY",$H360="SELL"),ISNUMBER($T360)),$T360,"")</f>
        <v/>
      </c>
      <c r="AN360">
        <f>IF(AND(OR($H360="BUY",$H360="SELL"),ISNUMBER($AF360)),$AF360,"")</f>
        <v/>
      </c>
      <c r="AO360">
        <f>IF(ISNUMBER($AM360),ABS(IF(ISNUMBER($G360),$G360,0)-Settings!$B$25),"")</f>
        <v/>
      </c>
      <c r="AP360">
        <f>IF(ISNUMBER($AO360),$AO360*$AM360,"")</f>
        <v/>
      </c>
      <c r="AQ360">
        <f>IF(ISNUMBER($AN360),ABS(IF(ISNUMBER($G360),$G360,0)-Settings!$B$25),"")</f>
        <v/>
      </c>
      <c r="AR360">
        <f>IF(ISNUMBER($AQ360),$AQ360*$AN360,"")</f>
        <v/>
      </c>
      <c r="AS360">
        <f>IF($A360="","",IFERROR(INDEX(Company_List!$H$3:$H$207,MATCH($A360,Company_List!$A$3:$A$207,0)),"unassigned"))</f>
        <v/>
      </c>
    </row>
    <row r="361">
      <c r="A361" s="1" t="n"/>
      <c r="B361" s="120" t="n"/>
      <c r="AG361">
        <f>IF($A361="","",IFERROR(INDEX(Company_List!$G$3:$G$207,MATCH($A361,Company_List!$A$3:$A$207,0)),"unassigned"))</f>
        <v/>
      </c>
      <c r="AK361">
        <f>IF($A361="","",IF(COUNTIFS(Human_Data_Entry!$A$3:$A$525,$A361)&gt;0,"YES","NO"))</f>
        <v/>
      </c>
      <c r="AL361">
        <f>IF($A361="","",IF(AND($C361&amp;"-"&amp;$D361&gt;=Settings!$B$19,$C361&amp;"-"&amp;$D361&lt;=Settings!$B$20),"IN","OUT"))</f>
        <v/>
      </c>
      <c r="AM361">
        <f>IF(AND(OR($H361="BUY",$H361="SELL"),ISNUMBER($T361)),$T361,"")</f>
        <v/>
      </c>
      <c r="AN361">
        <f>IF(AND(OR($H361="BUY",$H361="SELL"),ISNUMBER($AF361)),$AF361,"")</f>
        <v/>
      </c>
      <c r="AO361">
        <f>IF(ISNUMBER($AM361),ABS(IF(ISNUMBER($G361),$G361,0)-Settings!$B$25),"")</f>
        <v/>
      </c>
      <c r="AP361">
        <f>IF(ISNUMBER($AO361),$AO361*$AM361,"")</f>
        <v/>
      </c>
      <c r="AQ361">
        <f>IF(ISNUMBER($AN361),ABS(IF(ISNUMBER($G361),$G361,0)-Settings!$B$25),"")</f>
        <v/>
      </c>
      <c r="AR361">
        <f>IF(ISNUMBER($AQ361),$AQ361*$AN361,"")</f>
        <v/>
      </c>
      <c r="AS361">
        <f>IF($A361="","",IFERROR(INDEX(Company_List!$H$3:$H$207,MATCH($A361,Company_List!$A$3:$A$207,0)),"unassigned"))</f>
        <v/>
      </c>
    </row>
    <row r="362">
      <c r="A362" s="1" t="n"/>
      <c r="B362" s="120" t="n"/>
      <c r="AG362">
        <f>IF($A362="","",IFERROR(INDEX(Company_List!$G$3:$G$207,MATCH($A362,Company_List!$A$3:$A$207,0)),"unassigned"))</f>
        <v/>
      </c>
      <c r="AK362">
        <f>IF($A362="","",IF(COUNTIFS(Human_Data_Entry!$A$3:$A$525,$A362)&gt;0,"YES","NO"))</f>
        <v/>
      </c>
      <c r="AL362">
        <f>IF($A362="","",IF(AND($C362&amp;"-"&amp;$D362&gt;=Settings!$B$19,$C362&amp;"-"&amp;$D362&lt;=Settings!$B$20),"IN","OUT"))</f>
        <v/>
      </c>
      <c r="AM362">
        <f>IF(AND(OR($H362="BUY",$H362="SELL"),ISNUMBER($T362)),$T362,"")</f>
        <v/>
      </c>
      <c r="AN362">
        <f>IF(AND(OR($H362="BUY",$H362="SELL"),ISNUMBER($AF362)),$AF362,"")</f>
        <v/>
      </c>
      <c r="AO362">
        <f>IF(ISNUMBER($AM362),ABS(IF(ISNUMBER($G362),$G362,0)-Settings!$B$25),"")</f>
        <v/>
      </c>
      <c r="AP362">
        <f>IF(ISNUMBER($AO362),$AO362*$AM362,"")</f>
        <v/>
      </c>
      <c r="AQ362">
        <f>IF(ISNUMBER($AN362),ABS(IF(ISNUMBER($G362),$G362,0)-Settings!$B$25),"")</f>
        <v/>
      </c>
      <c r="AR362">
        <f>IF(ISNUMBER($AQ362),$AQ362*$AN362,"")</f>
        <v/>
      </c>
      <c r="AS362">
        <f>IF($A362="","",IFERROR(INDEX(Company_List!$H$3:$H$207,MATCH($A362,Company_List!$A$3:$A$207,0)),"unassigned"))</f>
        <v/>
      </c>
    </row>
    <row r="363">
      <c r="A363" s="1" t="n"/>
      <c r="B363" s="120" t="n"/>
      <c r="AG363">
        <f>IF($A363="","",IFERROR(INDEX(Company_List!$G$3:$G$207,MATCH($A363,Company_List!$A$3:$A$207,0)),"unassigned"))</f>
        <v/>
      </c>
      <c r="AK363">
        <f>IF($A363="","",IF(COUNTIFS(Human_Data_Entry!$A$3:$A$525,$A363)&gt;0,"YES","NO"))</f>
        <v/>
      </c>
      <c r="AL363">
        <f>IF($A363="","",IF(AND($C363&amp;"-"&amp;$D363&gt;=Settings!$B$19,$C363&amp;"-"&amp;$D363&lt;=Settings!$B$20),"IN","OUT"))</f>
        <v/>
      </c>
      <c r="AM363">
        <f>IF(AND(OR($H363="BUY",$H363="SELL"),ISNUMBER($T363)),$T363,"")</f>
        <v/>
      </c>
      <c r="AN363">
        <f>IF(AND(OR($H363="BUY",$H363="SELL"),ISNUMBER($AF363)),$AF363,"")</f>
        <v/>
      </c>
      <c r="AO363">
        <f>IF(ISNUMBER($AM363),ABS(IF(ISNUMBER($G363),$G363,0)-Settings!$B$25),"")</f>
        <v/>
      </c>
      <c r="AP363">
        <f>IF(ISNUMBER($AO363),$AO363*$AM363,"")</f>
        <v/>
      </c>
      <c r="AQ363">
        <f>IF(ISNUMBER($AN363),ABS(IF(ISNUMBER($G363),$G363,0)-Settings!$B$25),"")</f>
        <v/>
      </c>
      <c r="AR363">
        <f>IF(ISNUMBER($AQ363),$AQ363*$AN363,"")</f>
        <v/>
      </c>
      <c r="AS363">
        <f>IF($A363="","",IFERROR(INDEX(Company_List!$H$3:$H$207,MATCH($A363,Company_List!$A$3:$A$207,0)),"unassigned"))</f>
        <v/>
      </c>
    </row>
    <row r="364">
      <c r="A364" s="1" t="n"/>
      <c r="B364" s="120" t="n"/>
      <c r="AG364">
        <f>IF($A364="","",IFERROR(INDEX(Company_List!$G$3:$G$207,MATCH($A364,Company_List!$A$3:$A$207,0)),"unassigned"))</f>
        <v/>
      </c>
      <c r="AK364">
        <f>IF($A364="","",IF(COUNTIFS(Human_Data_Entry!$A$3:$A$525,$A364)&gt;0,"YES","NO"))</f>
        <v/>
      </c>
      <c r="AL364">
        <f>IF($A364="","",IF(AND($C364&amp;"-"&amp;$D364&gt;=Settings!$B$19,$C364&amp;"-"&amp;$D364&lt;=Settings!$B$20),"IN","OUT"))</f>
        <v/>
      </c>
      <c r="AM364">
        <f>IF(AND(OR($H364="BUY",$H364="SELL"),ISNUMBER($T364)),$T364,"")</f>
        <v/>
      </c>
      <c r="AN364">
        <f>IF(AND(OR($H364="BUY",$H364="SELL"),ISNUMBER($AF364)),$AF364,"")</f>
        <v/>
      </c>
      <c r="AO364">
        <f>IF(ISNUMBER($AM364),ABS(IF(ISNUMBER($G364),$G364,0)-Settings!$B$25),"")</f>
        <v/>
      </c>
      <c r="AP364">
        <f>IF(ISNUMBER($AO364),$AO364*$AM364,"")</f>
        <v/>
      </c>
      <c r="AQ364">
        <f>IF(ISNUMBER($AN364),ABS(IF(ISNUMBER($G364),$G364,0)-Settings!$B$25),"")</f>
        <v/>
      </c>
      <c r="AR364">
        <f>IF(ISNUMBER($AQ364),$AQ364*$AN364,"")</f>
        <v/>
      </c>
      <c r="AS364">
        <f>IF($A364="","",IFERROR(INDEX(Company_List!$H$3:$H$207,MATCH($A364,Company_List!$A$3:$A$207,0)),"unassigned"))</f>
        <v/>
      </c>
    </row>
    <row r="365">
      <c r="A365" s="1" t="n"/>
      <c r="B365" s="120" t="n"/>
      <c r="AG365">
        <f>IF($A365="","",IFERROR(INDEX(Company_List!$G$3:$G$207,MATCH($A365,Company_List!$A$3:$A$207,0)),"unassigned"))</f>
        <v/>
      </c>
      <c r="AK365">
        <f>IF($A365="","",IF(COUNTIFS(Human_Data_Entry!$A$3:$A$525,$A365)&gt;0,"YES","NO"))</f>
        <v/>
      </c>
      <c r="AL365">
        <f>IF($A365="","",IF(AND($C365&amp;"-"&amp;$D365&gt;=Settings!$B$19,$C365&amp;"-"&amp;$D365&lt;=Settings!$B$20),"IN","OUT"))</f>
        <v/>
      </c>
      <c r="AM365">
        <f>IF(AND(OR($H365="BUY",$H365="SELL"),ISNUMBER($T365)),$T365,"")</f>
        <v/>
      </c>
      <c r="AN365">
        <f>IF(AND(OR($H365="BUY",$H365="SELL"),ISNUMBER($AF365)),$AF365,"")</f>
        <v/>
      </c>
      <c r="AO365">
        <f>IF(ISNUMBER($AM365),ABS(IF(ISNUMBER($G365),$G365,0)-Settings!$B$25),"")</f>
        <v/>
      </c>
      <c r="AP365">
        <f>IF(ISNUMBER($AO365),$AO365*$AM365,"")</f>
        <v/>
      </c>
      <c r="AQ365">
        <f>IF(ISNUMBER($AN365),ABS(IF(ISNUMBER($G365),$G365,0)-Settings!$B$25),"")</f>
        <v/>
      </c>
      <c r="AR365">
        <f>IF(ISNUMBER($AQ365),$AQ365*$AN365,"")</f>
        <v/>
      </c>
      <c r="AS365">
        <f>IF($A365="","",IFERROR(INDEX(Company_List!$H$3:$H$207,MATCH($A365,Company_List!$A$3:$A$207,0)),"unassigned"))</f>
        <v/>
      </c>
    </row>
    <row r="366">
      <c r="A366" s="1" t="n"/>
      <c r="B366" s="120" t="n"/>
      <c r="AG366">
        <f>IF($A366="","",IFERROR(INDEX(Company_List!$G$3:$G$207,MATCH($A366,Company_List!$A$3:$A$207,0)),"unassigned"))</f>
        <v/>
      </c>
      <c r="AK366">
        <f>IF($A366="","",IF(COUNTIFS(Human_Data_Entry!$A$3:$A$525,$A366)&gt;0,"YES","NO"))</f>
        <v/>
      </c>
      <c r="AL366">
        <f>IF($A366="","",IF(AND($C366&amp;"-"&amp;$D366&gt;=Settings!$B$19,$C366&amp;"-"&amp;$D366&lt;=Settings!$B$20),"IN","OUT"))</f>
        <v/>
      </c>
      <c r="AM366">
        <f>IF(AND(OR($H366="BUY",$H366="SELL"),ISNUMBER($T366)),$T366,"")</f>
        <v/>
      </c>
      <c r="AN366">
        <f>IF(AND(OR($H366="BUY",$H366="SELL"),ISNUMBER($AF366)),$AF366,"")</f>
        <v/>
      </c>
      <c r="AO366">
        <f>IF(ISNUMBER($AM366),ABS(IF(ISNUMBER($G366),$G366,0)-Settings!$B$25),"")</f>
        <v/>
      </c>
      <c r="AP366">
        <f>IF(ISNUMBER($AO366),$AO366*$AM366,"")</f>
        <v/>
      </c>
      <c r="AQ366">
        <f>IF(ISNUMBER($AN366),ABS(IF(ISNUMBER($G366),$G366,0)-Settings!$B$25),"")</f>
        <v/>
      </c>
      <c r="AR366">
        <f>IF(ISNUMBER($AQ366),$AQ366*$AN366,"")</f>
        <v/>
      </c>
      <c r="AS366">
        <f>IF($A366="","",IFERROR(INDEX(Company_List!$H$3:$H$207,MATCH($A366,Company_List!$A$3:$A$207,0)),"unassigned"))</f>
        <v/>
      </c>
    </row>
    <row r="367">
      <c r="A367" s="1" t="n"/>
      <c r="B367" s="120" t="n"/>
      <c r="AG367">
        <f>IF($A367="","",IFERROR(INDEX(Company_List!$G$3:$G$207,MATCH($A367,Company_List!$A$3:$A$207,0)),"unassigned"))</f>
        <v/>
      </c>
      <c r="AK367">
        <f>IF($A367="","",IF(COUNTIFS(Human_Data_Entry!$A$3:$A$525,$A367)&gt;0,"YES","NO"))</f>
        <v/>
      </c>
      <c r="AL367">
        <f>IF($A367="","",IF(AND($C367&amp;"-"&amp;$D367&gt;=Settings!$B$19,$C367&amp;"-"&amp;$D367&lt;=Settings!$B$20),"IN","OUT"))</f>
        <v/>
      </c>
      <c r="AM367">
        <f>IF(AND(OR($H367="BUY",$H367="SELL"),ISNUMBER($T367)),$T367,"")</f>
        <v/>
      </c>
      <c r="AN367">
        <f>IF(AND(OR($H367="BUY",$H367="SELL"),ISNUMBER($AF367)),$AF367,"")</f>
        <v/>
      </c>
      <c r="AO367">
        <f>IF(ISNUMBER($AM367),ABS(IF(ISNUMBER($G367),$G367,0)-Settings!$B$25),"")</f>
        <v/>
      </c>
      <c r="AP367">
        <f>IF(ISNUMBER($AO367),$AO367*$AM367,"")</f>
        <v/>
      </c>
      <c r="AQ367">
        <f>IF(ISNUMBER($AN367),ABS(IF(ISNUMBER($G367),$G367,0)-Settings!$B$25),"")</f>
        <v/>
      </c>
      <c r="AR367">
        <f>IF(ISNUMBER($AQ367),$AQ367*$AN367,"")</f>
        <v/>
      </c>
      <c r="AS367">
        <f>IF($A367="","",IFERROR(INDEX(Company_List!$H$3:$H$207,MATCH($A367,Company_List!$A$3:$A$207,0)),"unassigned"))</f>
        <v/>
      </c>
    </row>
    <row r="368">
      <c r="A368" s="1" t="n"/>
      <c r="B368" s="120" t="n"/>
      <c r="AG368">
        <f>IF($A368="","",IFERROR(INDEX(Company_List!$G$3:$G$207,MATCH($A368,Company_List!$A$3:$A$207,0)),"unassigned"))</f>
        <v/>
      </c>
      <c r="AK368">
        <f>IF($A368="","",IF(COUNTIFS(Human_Data_Entry!$A$3:$A$525,$A368)&gt;0,"YES","NO"))</f>
        <v/>
      </c>
      <c r="AL368">
        <f>IF($A368="","",IF(AND($C368&amp;"-"&amp;$D368&gt;=Settings!$B$19,$C368&amp;"-"&amp;$D368&lt;=Settings!$B$20),"IN","OUT"))</f>
        <v/>
      </c>
      <c r="AM368">
        <f>IF(AND(OR($H368="BUY",$H368="SELL"),ISNUMBER($T368)),$T368,"")</f>
        <v/>
      </c>
      <c r="AN368">
        <f>IF(AND(OR($H368="BUY",$H368="SELL"),ISNUMBER($AF368)),$AF368,"")</f>
        <v/>
      </c>
      <c r="AO368">
        <f>IF(ISNUMBER($AM368),ABS(IF(ISNUMBER($G368),$G368,0)-Settings!$B$25),"")</f>
        <v/>
      </c>
      <c r="AP368">
        <f>IF(ISNUMBER($AO368),$AO368*$AM368,"")</f>
        <v/>
      </c>
      <c r="AQ368">
        <f>IF(ISNUMBER($AN368),ABS(IF(ISNUMBER($G368),$G368,0)-Settings!$B$25),"")</f>
        <v/>
      </c>
      <c r="AR368">
        <f>IF(ISNUMBER($AQ368),$AQ368*$AN368,"")</f>
        <v/>
      </c>
      <c r="AS368">
        <f>IF($A368="","",IFERROR(INDEX(Company_List!$H$3:$H$207,MATCH($A368,Company_List!$A$3:$A$207,0)),"unassigned"))</f>
        <v/>
      </c>
    </row>
    <row r="369">
      <c r="A369" s="1" t="n"/>
      <c r="B369" s="120" t="n"/>
      <c r="AG369">
        <f>IF($A369="","",IFERROR(INDEX(Company_List!$G$3:$G$207,MATCH($A369,Company_List!$A$3:$A$207,0)),"unassigned"))</f>
        <v/>
      </c>
      <c r="AK369">
        <f>IF($A369="","",IF(COUNTIFS(Human_Data_Entry!$A$3:$A$525,$A369)&gt;0,"YES","NO"))</f>
        <v/>
      </c>
      <c r="AL369">
        <f>IF($A369="","",IF(AND($C369&amp;"-"&amp;$D369&gt;=Settings!$B$19,$C369&amp;"-"&amp;$D369&lt;=Settings!$B$20),"IN","OUT"))</f>
        <v/>
      </c>
      <c r="AM369">
        <f>IF(AND(OR($H369="BUY",$H369="SELL"),ISNUMBER($T369)),$T369,"")</f>
        <v/>
      </c>
      <c r="AN369">
        <f>IF(AND(OR($H369="BUY",$H369="SELL"),ISNUMBER($AF369)),$AF369,"")</f>
        <v/>
      </c>
      <c r="AO369">
        <f>IF(ISNUMBER($AM369),ABS(IF(ISNUMBER($G369),$G369,0)-Settings!$B$25),"")</f>
        <v/>
      </c>
      <c r="AP369">
        <f>IF(ISNUMBER($AO369),$AO369*$AM369,"")</f>
        <v/>
      </c>
      <c r="AQ369">
        <f>IF(ISNUMBER($AN369),ABS(IF(ISNUMBER($G369),$G369,0)-Settings!$B$25),"")</f>
        <v/>
      </c>
      <c r="AR369">
        <f>IF(ISNUMBER($AQ369),$AQ369*$AN369,"")</f>
        <v/>
      </c>
      <c r="AS369">
        <f>IF($A369="","",IFERROR(INDEX(Company_List!$H$3:$H$207,MATCH($A369,Company_List!$A$3:$A$207,0)),"unassigned"))</f>
        <v/>
      </c>
    </row>
    <row r="370">
      <c r="A370" s="1" t="n"/>
      <c r="B370" s="120" t="n"/>
      <c r="AG370">
        <f>IF($A370="","",IFERROR(INDEX(Company_List!$G$3:$G$207,MATCH($A370,Company_List!$A$3:$A$207,0)),"unassigned"))</f>
        <v/>
      </c>
      <c r="AK370">
        <f>IF($A370="","",IF(COUNTIFS(Human_Data_Entry!$A$3:$A$525,$A370)&gt;0,"YES","NO"))</f>
        <v/>
      </c>
      <c r="AL370">
        <f>IF($A370="","",IF(AND($C370&amp;"-"&amp;$D370&gt;=Settings!$B$19,$C370&amp;"-"&amp;$D370&lt;=Settings!$B$20),"IN","OUT"))</f>
        <v/>
      </c>
      <c r="AM370">
        <f>IF(AND(OR($H370="BUY",$H370="SELL"),ISNUMBER($T370)),$T370,"")</f>
        <v/>
      </c>
      <c r="AN370">
        <f>IF(AND(OR($H370="BUY",$H370="SELL"),ISNUMBER($AF370)),$AF370,"")</f>
        <v/>
      </c>
      <c r="AO370">
        <f>IF(ISNUMBER($AM370),ABS(IF(ISNUMBER($G370),$G370,0)-Settings!$B$25),"")</f>
        <v/>
      </c>
      <c r="AP370">
        <f>IF(ISNUMBER($AO370),$AO370*$AM370,"")</f>
        <v/>
      </c>
      <c r="AQ370">
        <f>IF(ISNUMBER($AN370),ABS(IF(ISNUMBER($G370),$G370,0)-Settings!$B$25),"")</f>
        <v/>
      </c>
      <c r="AR370">
        <f>IF(ISNUMBER($AQ370),$AQ370*$AN370,"")</f>
        <v/>
      </c>
      <c r="AS370">
        <f>IF($A370="","",IFERROR(INDEX(Company_List!$H$3:$H$207,MATCH($A370,Company_List!$A$3:$A$207,0)),"unassigned"))</f>
        <v/>
      </c>
    </row>
    <row r="371">
      <c r="A371" s="1" t="n"/>
      <c r="B371" s="120" t="n"/>
      <c r="AG371">
        <f>IF($A371="","",IFERROR(INDEX(Company_List!$G$3:$G$207,MATCH($A371,Company_List!$A$3:$A$207,0)),"unassigned"))</f>
        <v/>
      </c>
      <c r="AK371">
        <f>IF($A371="","",IF(COUNTIFS(Human_Data_Entry!$A$3:$A$525,$A371)&gt;0,"YES","NO"))</f>
        <v/>
      </c>
      <c r="AL371">
        <f>IF($A371="","",IF(AND($C371&amp;"-"&amp;$D371&gt;=Settings!$B$19,$C371&amp;"-"&amp;$D371&lt;=Settings!$B$20),"IN","OUT"))</f>
        <v/>
      </c>
      <c r="AM371">
        <f>IF(AND(OR($H371="BUY",$H371="SELL"),ISNUMBER($T371)),$T371,"")</f>
        <v/>
      </c>
      <c r="AN371">
        <f>IF(AND(OR($H371="BUY",$H371="SELL"),ISNUMBER($AF371)),$AF371,"")</f>
        <v/>
      </c>
      <c r="AO371">
        <f>IF(ISNUMBER($AM371),ABS(IF(ISNUMBER($G371),$G371,0)-Settings!$B$25),"")</f>
        <v/>
      </c>
      <c r="AP371">
        <f>IF(ISNUMBER($AO371),$AO371*$AM371,"")</f>
        <v/>
      </c>
      <c r="AQ371">
        <f>IF(ISNUMBER($AN371),ABS(IF(ISNUMBER($G371),$G371,0)-Settings!$B$25),"")</f>
        <v/>
      </c>
      <c r="AR371">
        <f>IF(ISNUMBER($AQ371),$AQ371*$AN371,"")</f>
        <v/>
      </c>
      <c r="AS371">
        <f>IF($A371="","",IFERROR(INDEX(Company_List!$H$3:$H$207,MATCH($A371,Company_List!$A$3:$A$207,0)),"unassigned"))</f>
        <v/>
      </c>
    </row>
    <row r="372">
      <c r="A372" s="1" t="n"/>
      <c r="B372" s="120" t="n"/>
      <c r="AG372">
        <f>IF($A372="","",IFERROR(INDEX(Company_List!$G$3:$G$207,MATCH($A372,Company_List!$A$3:$A$207,0)),"unassigned"))</f>
        <v/>
      </c>
      <c r="AK372">
        <f>IF($A372="","",IF(COUNTIFS(Human_Data_Entry!$A$3:$A$525,$A372)&gt;0,"YES","NO"))</f>
        <v/>
      </c>
      <c r="AL372">
        <f>IF($A372="","",IF(AND($C372&amp;"-"&amp;$D372&gt;=Settings!$B$19,$C372&amp;"-"&amp;$D372&lt;=Settings!$B$20),"IN","OUT"))</f>
        <v/>
      </c>
      <c r="AM372">
        <f>IF(AND(OR($H372="BUY",$H372="SELL"),ISNUMBER($T372)),$T372,"")</f>
        <v/>
      </c>
      <c r="AN372">
        <f>IF(AND(OR($H372="BUY",$H372="SELL"),ISNUMBER($AF372)),$AF372,"")</f>
        <v/>
      </c>
      <c r="AO372">
        <f>IF(ISNUMBER($AM372),ABS(IF(ISNUMBER($G372),$G372,0)-Settings!$B$25),"")</f>
        <v/>
      </c>
      <c r="AP372">
        <f>IF(ISNUMBER($AO372),$AO372*$AM372,"")</f>
        <v/>
      </c>
      <c r="AQ372">
        <f>IF(ISNUMBER($AN372),ABS(IF(ISNUMBER($G372),$G372,0)-Settings!$B$25),"")</f>
        <v/>
      </c>
      <c r="AR372">
        <f>IF(ISNUMBER($AQ372),$AQ372*$AN372,"")</f>
        <v/>
      </c>
      <c r="AS372">
        <f>IF($A372="","",IFERROR(INDEX(Company_List!$H$3:$H$207,MATCH($A372,Company_List!$A$3:$A$207,0)),"unassigned"))</f>
        <v/>
      </c>
    </row>
    <row r="373">
      <c r="A373" s="1" t="n"/>
      <c r="B373" s="120" t="n"/>
      <c r="AG373">
        <f>IF($A373="","",IFERROR(INDEX(Company_List!$G$3:$G$207,MATCH($A373,Company_List!$A$3:$A$207,0)),"unassigned"))</f>
        <v/>
      </c>
      <c r="AK373">
        <f>IF($A373="","",IF(COUNTIFS(Human_Data_Entry!$A$3:$A$525,$A373)&gt;0,"YES","NO"))</f>
        <v/>
      </c>
      <c r="AL373">
        <f>IF($A373="","",IF(AND($C373&amp;"-"&amp;$D373&gt;=Settings!$B$19,$C373&amp;"-"&amp;$D373&lt;=Settings!$B$20),"IN","OUT"))</f>
        <v/>
      </c>
      <c r="AM373">
        <f>IF(AND(OR($H373="BUY",$H373="SELL"),ISNUMBER($T373)),$T373,"")</f>
        <v/>
      </c>
      <c r="AN373">
        <f>IF(AND(OR($H373="BUY",$H373="SELL"),ISNUMBER($AF373)),$AF373,"")</f>
        <v/>
      </c>
      <c r="AO373">
        <f>IF(ISNUMBER($AM373),ABS(IF(ISNUMBER($G373),$G373,0)-Settings!$B$25),"")</f>
        <v/>
      </c>
      <c r="AP373">
        <f>IF(ISNUMBER($AO373),$AO373*$AM373,"")</f>
        <v/>
      </c>
      <c r="AQ373">
        <f>IF(ISNUMBER($AN373),ABS(IF(ISNUMBER($G373),$G373,0)-Settings!$B$25),"")</f>
        <v/>
      </c>
      <c r="AR373">
        <f>IF(ISNUMBER($AQ373),$AQ373*$AN373,"")</f>
        <v/>
      </c>
      <c r="AS373">
        <f>IF($A373="","",IFERROR(INDEX(Company_List!$H$3:$H$207,MATCH($A373,Company_List!$A$3:$A$207,0)),"unassigned"))</f>
        <v/>
      </c>
    </row>
    <row r="374">
      <c r="A374" s="1" t="n"/>
      <c r="B374" s="120" t="n"/>
      <c r="AG374">
        <f>IF($A374="","",IFERROR(INDEX(Company_List!$G$3:$G$207,MATCH($A374,Company_List!$A$3:$A$207,0)),"unassigned"))</f>
        <v/>
      </c>
      <c r="AK374">
        <f>IF($A374="","",IF(COUNTIFS(Human_Data_Entry!$A$3:$A$525,$A374)&gt;0,"YES","NO"))</f>
        <v/>
      </c>
      <c r="AL374">
        <f>IF($A374="","",IF(AND($C374&amp;"-"&amp;$D374&gt;=Settings!$B$19,$C374&amp;"-"&amp;$D374&lt;=Settings!$B$20),"IN","OUT"))</f>
        <v/>
      </c>
      <c r="AM374">
        <f>IF(AND(OR($H374="BUY",$H374="SELL"),ISNUMBER($T374)),$T374,"")</f>
        <v/>
      </c>
      <c r="AN374">
        <f>IF(AND(OR($H374="BUY",$H374="SELL"),ISNUMBER($AF374)),$AF374,"")</f>
        <v/>
      </c>
      <c r="AO374">
        <f>IF(ISNUMBER($AM374),ABS(IF(ISNUMBER($G374),$G374,0)-Settings!$B$25),"")</f>
        <v/>
      </c>
      <c r="AP374">
        <f>IF(ISNUMBER($AO374),$AO374*$AM374,"")</f>
        <v/>
      </c>
      <c r="AQ374">
        <f>IF(ISNUMBER($AN374),ABS(IF(ISNUMBER($G374),$G374,0)-Settings!$B$25),"")</f>
        <v/>
      </c>
      <c r="AR374">
        <f>IF(ISNUMBER($AQ374),$AQ374*$AN374,"")</f>
        <v/>
      </c>
      <c r="AS374">
        <f>IF($A374="","",IFERROR(INDEX(Company_List!$H$3:$H$207,MATCH($A374,Company_List!$A$3:$A$207,0)),"unassigned"))</f>
        <v/>
      </c>
    </row>
    <row r="375">
      <c r="A375" s="1" t="n"/>
      <c r="B375" s="120" t="n"/>
      <c r="AG375">
        <f>IF($A375="","",IFERROR(INDEX(Company_List!$G$3:$G$207,MATCH($A375,Company_List!$A$3:$A$207,0)),"unassigned"))</f>
        <v/>
      </c>
      <c r="AK375">
        <f>IF($A375="","",IF(COUNTIFS(Human_Data_Entry!$A$3:$A$525,$A375)&gt;0,"YES","NO"))</f>
        <v/>
      </c>
      <c r="AL375">
        <f>IF($A375="","",IF(AND($C375&amp;"-"&amp;$D375&gt;=Settings!$B$19,$C375&amp;"-"&amp;$D375&lt;=Settings!$B$20),"IN","OUT"))</f>
        <v/>
      </c>
      <c r="AM375">
        <f>IF(AND(OR($H375="BUY",$H375="SELL"),ISNUMBER($T375)),$T375,"")</f>
        <v/>
      </c>
      <c r="AN375">
        <f>IF(AND(OR($H375="BUY",$H375="SELL"),ISNUMBER($AF375)),$AF375,"")</f>
        <v/>
      </c>
      <c r="AO375">
        <f>IF(ISNUMBER($AM375),ABS(IF(ISNUMBER($G375),$G375,0)-Settings!$B$25),"")</f>
        <v/>
      </c>
      <c r="AP375">
        <f>IF(ISNUMBER($AO375),$AO375*$AM375,"")</f>
        <v/>
      </c>
      <c r="AQ375">
        <f>IF(ISNUMBER($AN375),ABS(IF(ISNUMBER($G375),$G375,0)-Settings!$B$25),"")</f>
        <v/>
      </c>
      <c r="AR375">
        <f>IF(ISNUMBER($AQ375),$AQ375*$AN375,"")</f>
        <v/>
      </c>
      <c r="AS375">
        <f>IF($A375="","",IFERROR(INDEX(Company_List!$H$3:$H$207,MATCH($A375,Company_List!$A$3:$A$207,0)),"unassigned"))</f>
        <v/>
      </c>
    </row>
    <row r="376">
      <c r="A376" s="1" t="n"/>
      <c r="B376" s="120" t="n"/>
      <c r="AG376">
        <f>IF($A376="","",IFERROR(INDEX(Company_List!$G$3:$G$207,MATCH($A376,Company_List!$A$3:$A$207,0)),"unassigned"))</f>
        <v/>
      </c>
      <c r="AK376">
        <f>IF($A376="","",IF(COUNTIFS(Human_Data_Entry!$A$3:$A$525,$A376)&gt;0,"YES","NO"))</f>
        <v/>
      </c>
      <c r="AL376">
        <f>IF($A376="","",IF(AND($C376&amp;"-"&amp;$D376&gt;=Settings!$B$19,$C376&amp;"-"&amp;$D376&lt;=Settings!$B$20),"IN","OUT"))</f>
        <v/>
      </c>
      <c r="AM376">
        <f>IF(AND(OR($H376="BUY",$H376="SELL"),ISNUMBER($T376)),$T376,"")</f>
        <v/>
      </c>
      <c r="AN376">
        <f>IF(AND(OR($H376="BUY",$H376="SELL"),ISNUMBER($AF376)),$AF376,"")</f>
        <v/>
      </c>
      <c r="AO376">
        <f>IF(ISNUMBER($AM376),ABS(IF(ISNUMBER($G376),$G376,0)-Settings!$B$25),"")</f>
        <v/>
      </c>
      <c r="AP376">
        <f>IF(ISNUMBER($AO376),$AO376*$AM376,"")</f>
        <v/>
      </c>
      <c r="AQ376">
        <f>IF(ISNUMBER($AN376),ABS(IF(ISNUMBER($G376),$G376,0)-Settings!$B$25),"")</f>
        <v/>
      </c>
      <c r="AR376">
        <f>IF(ISNUMBER($AQ376),$AQ376*$AN376,"")</f>
        <v/>
      </c>
      <c r="AS376">
        <f>IF($A376="","",IFERROR(INDEX(Company_List!$H$3:$H$207,MATCH($A376,Company_List!$A$3:$A$207,0)),"unassigned"))</f>
        <v/>
      </c>
    </row>
    <row r="377">
      <c r="A377" s="1" t="n"/>
      <c r="B377" s="120" t="n"/>
      <c r="AG377">
        <f>IF($A377="","",IFERROR(INDEX(Company_List!$G$3:$G$207,MATCH($A377,Company_List!$A$3:$A$207,0)),"unassigned"))</f>
        <v/>
      </c>
      <c r="AK377">
        <f>IF($A377="","",IF(COUNTIFS(Human_Data_Entry!$A$3:$A$525,$A377)&gt;0,"YES","NO"))</f>
        <v/>
      </c>
      <c r="AL377">
        <f>IF($A377="","",IF(AND($C377&amp;"-"&amp;$D377&gt;=Settings!$B$19,$C377&amp;"-"&amp;$D377&lt;=Settings!$B$20),"IN","OUT"))</f>
        <v/>
      </c>
      <c r="AM377">
        <f>IF(AND(OR($H377="BUY",$H377="SELL"),ISNUMBER($T377)),$T377,"")</f>
        <v/>
      </c>
      <c r="AN377">
        <f>IF(AND(OR($H377="BUY",$H377="SELL"),ISNUMBER($AF377)),$AF377,"")</f>
        <v/>
      </c>
      <c r="AO377">
        <f>IF(ISNUMBER($AM377),ABS(IF(ISNUMBER($G377),$G377,0)-Settings!$B$25),"")</f>
        <v/>
      </c>
      <c r="AP377">
        <f>IF(ISNUMBER($AO377),$AO377*$AM377,"")</f>
        <v/>
      </c>
      <c r="AQ377">
        <f>IF(ISNUMBER($AN377),ABS(IF(ISNUMBER($G377),$G377,0)-Settings!$B$25),"")</f>
        <v/>
      </c>
      <c r="AR377">
        <f>IF(ISNUMBER($AQ377),$AQ377*$AN377,"")</f>
        <v/>
      </c>
      <c r="AS377">
        <f>IF($A377="","",IFERROR(INDEX(Company_List!$H$3:$H$207,MATCH($A377,Company_List!$A$3:$A$207,0)),"unassigned"))</f>
        <v/>
      </c>
    </row>
    <row r="378">
      <c r="A378" s="1" t="n"/>
      <c r="B378" s="120" t="n"/>
      <c r="AG378">
        <f>IF($A378="","",IFERROR(INDEX(Company_List!$G$3:$G$207,MATCH($A378,Company_List!$A$3:$A$207,0)),"unassigned"))</f>
        <v/>
      </c>
      <c r="AK378">
        <f>IF($A378="","",IF(COUNTIFS(Human_Data_Entry!$A$3:$A$525,$A378)&gt;0,"YES","NO"))</f>
        <v/>
      </c>
      <c r="AL378">
        <f>IF($A378="","",IF(AND($C378&amp;"-"&amp;$D378&gt;=Settings!$B$19,$C378&amp;"-"&amp;$D378&lt;=Settings!$B$20),"IN","OUT"))</f>
        <v/>
      </c>
      <c r="AM378">
        <f>IF(AND(OR($H378="BUY",$H378="SELL"),ISNUMBER($T378)),$T378,"")</f>
        <v/>
      </c>
      <c r="AN378">
        <f>IF(AND(OR($H378="BUY",$H378="SELL"),ISNUMBER($AF378)),$AF378,"")</f>
        <v/>
      </c>
      <c r="AO378">
        <f>IF(ISNUMBER($AM378),ABS(IF(ISNUMBER($G378),$G378,0)-Settings!$B$25),"")</f>
        <v/>
      </c>
      <c r="AP378">
        <f>IF(ISNUMBER($AO378),$AO378*$AM378,"")</f>
        <v/>
      </c>
      <c r="AQ378">
        <f>IF(ISNUMBER($AN378),ABS(IF(ISNUMBER($G378),$G378,0)-Settings!$B$25),"")</f>
        <v/>
      </c>
      <c r="AR378">
        <f>IF(ISNUMBER($AQ378),$AQ378*$AN378,"")</f>
        <v/>
      </c>
      <c r="AS378">
        <f>IF($A378="","",IFERROR(INDEX(Company_List!$H$3:$H$207,MATCH($A378,Company_List!$A$3:$A$207,0)),"unassigned"))</f>
        <v/>
      </c>
    </row>
    <row r="379">
      <c r="A379" s="1" t="n"/>
      <c r="B379" s="120" t="n"/>
      <c r="AG379">
        <f>IF($A379="","",IFERROR(INDEX(Company_List!$G$3:$G$207,MATCH($A379,Company_List!$A$3:$A$207,0)),"unassigned"))</f>
        <v/>
      </c>
      <c r="AK379">
        <f>IF($A379="","",IF(COUNTIFS(Human_Data_Entry!$A$3:$A$525,$A379)&gt;0,"YES","NO"))</f>
        <v/>
      </c>
      <c r="AL379">
        <f>IF($A379="","",IF(AND($C379&amp;"-"&amp;$D379&gt;=Settings!$B$19,$C379&amp;"-"&amp;$D379&lt;=Settings!$B$20),"IN","OUT"))</f>
        <v/>
      </c>
      <c r="AM379">
        <f>IF(AND(OR($H379="BUY",$H379="SELL"),ISNUMBER($T379)),$T379,"")</f>
        <v/>
      </c>
      <c r="AN379">
        <f>IF(AND(OR($H379="BUY",$H379="SELL"),ISNUMBER($AF379)),$AF379,"")</f>
        <v/>
      </c>
      <c r="AO379">
        <f>IF(ISNUMBER($AM379),ABS(IF(ISNUMBER($G379),$G379,0)-Settings!$B$25),"")</f>
        <v/>
      </c>
      <c r="AP379">
        <f>IF(ISNUMBER($AO379),$AO379*$AM379,"")</f>
        <v/>
      </c>
      <c r="AQ379">
        <f>IF(ISNUMBER($AN379),ABS(IF(ISNUMBER($G379),$G379,0)-Settings!$B$25),"")</f>
        <v/>
      </c>
      <c r="AR379">
        <f>IF(ISNUMBER($AQ379),$AQ379*$AN379,"")</f>
        <v/>
      </c>
      <c r="AS379">
        <f>IF($A379="","",IFERROR(INDEX(Company_List!$H$3:$H$207,MATCH($A379,Company_List!$A$3:$A$207,0)),"unassigned"))</f>
        <v/>
      </c>
    </row>
    <row r="380">
      <c r="A380" s="1" t="n"/>
      <c r="B380" s="120" t="n"/>
      <c r="AG380">
        <f>IF($A380="","",IFERROR(INDEX(Company_List!$G$3:$G$207,MATCH($A380,Company_List!$A$3:$A$207,0)),"unassigned"))</f>
        <v/>
      </c>
      <c r="AK380">
        <f>IF($A380="","",IF(COUNTIFS(Human_Data_Entry!$A$3:$A$525,$A380)&gt;0,"YES","NO"))</f>
        <v/>
      </c>
      <c r="AL380">
        <f>IF($A380="","",IF(AND($C380&amp;"-"&amp;$D380&gt;=Settings!$B$19,$C380&amp;"-"&amp;$D380&lt;=Settings!$B$20),"IN","OUT"))</f>
        <v/>
      </c>
      <c r="AM380">
        <f>IF(AND(OR($H380="BUY",$H380="SELL"),ISNUMBER($T380)),$T380,"")</f>
        <v/>
      </c>
      <c r="AN380">
        <f>IF(AND(OR($H380="BUY",$H380="SELL"),ISNUMBER($AF380)),$AF380,"")</f>
        <v/>
      </c>
      <c r="AO380">
        <f>IF(ISNUMBER($AM380),ABS(IF(ISNUMBER($G380),$G380,0)-Settings!$B$25),"")</f>
        <v/>
      </c>
      <c r="AP380">
        <f>IF(ISNUMBER($AO380),$AO380*$AM380,"")</f>
        <v/>
      </c>
      <c r="AQ380">
        <f>IF(ISNUMBER($AN380),ABS(IF(ISNUMBER($G380),$G380,0)-Settings!$B$25),"")</f>
        <v/>
      </c>
      <c r="AR380">
        <f>IF(ISNUMBER($AQ380),$AQ380*$AN380,"")</f>
        <v/>
      </c>
      <c r="AS380">
        <f>IF($A380="","",IFERROR(INDEX(Company_List!$H$3:$H$207,MATCH($A380,Company_List!$A$3:$A$207,0)),"unassigned"))</f>
        <v/>
      </c>
    </row>
    <row r="381">
      <c r="A381" s="1" t="n"/>
      <c r="B381" s="120" t="n"/>
      <c r="AG381">
        <f>IF($A381="","",IFERROR(INDEX(Company_List!$G$3:$G$207,MATCH($A381,Company_List!$A$3:$A$207,0)),"unassigned"))</f>
        <v/>
      </c>
      <c r="AK381">
        <f>IF($A381="","",IF(COUNTIFS(Human_Data_Entry!$A$3:$A$525,$A381)&gt;0,"YES","NO"))</f>
        <v/>
      </c>
      <c r="AL381">
        <f>IF($A381="","",IF(AND($C381&amp;"-"&amp;$D381&gt;=Settings!$B$19,$C381&amp;"-"&amp;$D381&lt;=Settings!$B$20),"IN","OUT"))</f>
        <v/>
      </c>
      <c r="AM381">
        <f>IF(AND(OR($H381="BUY",$H381="SELL"),ISNUMBER($T381)),$T381,"")</f>
        <v/>
      </c>
      <c r="AN381">
        <f>IF(AND(OR($H381="BUY",$H381="SELL"),ISNUMBER($AF381)),$AF381,"")</f>
        <v/>
      </c>
      <c r="AO381">
        <f>IF(ISNUMBER($AM381),ABS(IF(ISNUMBER($G381),$G381,0)-Settings!$B$25),"")</f>
        <v/>
      </c>
      <c r="AP381">
        <f>IF(ISNUMBER($AO381),$AO381*$AM381,"")</f>
        <v/>
      </c>
      <c r="AQ381">
        <f>IF(ISNUMBER($AN381),ABS(IF(ISNUMBER($G381),$G381,0)-Settings!$B$25),"")</f>
        <v/>
      </c>
      <c r="AR381">
        <f>IF(ISNUMBER($AQ381),$AQ381*$AN381,"")</f>
        <v/>
      </c>
      <c r="AS381">
        <f>IF($A381="","",IFERROR(INDEX(Company_List!$H$3:$H$207,MATCH($A381,Company_List!$A$3:$A$207,0)),"unassigned"))</f>
        <v/>
      </c>
    </row>
    <row r="382">
      <c r="A382" s="1" t="n"/>
      <c r="B382" s="120" t="n"/>
      <c r="AG382">
        <f>IF($A382="","",IFERROR(INDEX(Company_List!$G$3:$G$207,MATCH($A382,Company_List!$A$3:$A$207,0)),"unassigned"))</f>
        <v/>
      </c>
      <c r="AK382">
        <f>IF($A382="","",IF(COUNTIFS(Human_Data_Entry!$A$3:$A$525,$A382)&gt;0,"YES","NO"))</f>
        <v/>
      </c>
      <c r="AL382">
        <f>IF($A382="","",IF(AND($C382&amp;"-"&amp;$D382&gt;=Settings!$B$19,$C382&amp;"-"&amp;$D382&lt;=Settings!$B$20),"IN","OUT"))</f>
        <v/>
      </c>
      <c r="AM382">
        <f>IF(AND(OR($H382="BUY",$H382="SELL"),ISNUMBER($T382)),$T382,"")</f>
        <v/>
      </c>
      <c r="AN382">
        <f>IF(AND(OR($H382="BUY",$H382="SELL"),ISNUMBER($AF382)),$AF382,"")</f>
        <v/>
      </c>
      <c r="AO382">
        <f>IF(ISNUMBER($AM382),ABS(IF(ISNUMBER($G382),$G382,0)-Settings!$B$25),"")</f>
        <v/>
      </c>
      <c r="AP382">
        <f>IF(ISNUMBER($AO382),$AO382*$AM382,"")</f>
        <v/>
      </c>
      <c r="AQ382">
        <f>IF(ISNUMBER($AN382),ABS(IF(ISNUMBER($G382),$G382,0)-Settings!$B$25),"")</f>
        <v/>
      </c>
      <c r="AR382">
        <f>IF(ISNUMBER($AQ382),$AQ382*$AN382,"")</f>
        <v/>
      </c>
      <c r="AS382">
        <f>IF($A382="","",IFERROR(INDEX(Company_List!$H$3:$H$207,MATCH($A382,Company_List!$A$3:$A$207,0)),"unassigned"))</f>
        <v/>
      </c>
    </row>
    <row r="383">
      <c r="A383" s="1" t="n"/>
      <c r="B383" s="120" t="n"/>
      <c r="AG383">
        <f>IF($A383="","",IFERROR(INDEX(Company_List!$G$3:$G$207,MATCH($A383,Company_List!$A$3:$A$207,0)),"unassigned"))</f>
        <v/>
      </c>
      <c r="AK383">
        <f>IF($A383="","",IF(COUNTIFS(Human_Data_Entry!$A$3:$A$525,$A383)&gt;0,"YES","NO"))</f>
        <v/>
      </c>
      <c r="AL383">
        <f>IF($A383="","",IF(AND($C383&amp;"-"&amp;$D383&gt;=Settings!$B$19,$C383&amp;"-"&amp;$D383&lt;=Settings!$B$20),"IN","OUT"))</f>
        <v/>
      </c>
      <c r="AM383">
        <f>IF(AND(OR($H383="BUY",$H383="SELL"),ISNUMBER($T383)),$T383,"")</f>
        <v/>
      </c>
      <c r="AN383">
        <f>IF(AND(OR($H383="BUY",$H383="SELL"),ISNUMBER($AF383)),$AF383,"")</f>
        <v/>
      </c>
      <c r="AO383">
        <f>IF(ISNUMBER($AM383),ABS(IF(ISNUMBER($G383),$G383,0)-Settings!$B$25),"")</f>
        <v/>
      </c>
      <c r="AP383">
        <f>IF(ISNUMBER($AO383),$AO383*$AM383,"")</f>
        <v/>
      </c>
      <c r="AQ383">
        <f>IF(ISNUMBER($AN383),ABS(IF(ISNUMBER($G383),$G383,0)-Settings!$B$25),"")</f>
        <v/>
      </c>
      <c r="AR383">
        <f>IF(ISNUMBER($AQ383),$AQ383*$AN383,"")</f>
        <v/>
      </c>
      <c r="AS383">
        <f>IF($A383="","",IFERROR(INDEX(Company_List!$H$3:$H$207,MATCH($A383,Company_List!$A$3:$A$207,0)),"unassigned"))</f>
        <v/>
      </c>
    </row>
    <row r="384">
      <c r="A384" s="1" t="n"/>
      <c r="B384" s="120" t="n"/>
      <c r="AG384">
        <f>IF($A384="","",IFERROR(INDEX(Company_List!$G$3:$G$207,MATCH($A384,Company_List!$A$3:$A$207,0)),"unassigned"))</f>
        <v/>
      </c>
      <c r="AK384">
        <f>IF($A384="","",IF(COUNTIFS(Human_Data_Entry!$A$3:$A$525,$A384)&gt;0,"YES","NO"))</f>
        <v/>
      </c>
      <c r="AL384">
        <f>IF($A384="","",IF(AND($C384&amp;"-"&amp;$D384&gt;=Settings!$B$19,$C384&amp;"-"&amp;$D384&lt;=Settings!$B$20),"IN","OUT"))</f>
        <v/>
      </c>
      <c r="AM384">
        <f>IF(AND(OR($H384="BUY",$H384="SELL"),ISNUMBER($T384)),$T384,"")</f>
        <v/>
      </c>
      <c r="AN384">
        <f>IF(AND(OR($H384="BUY",$H384="SELL"),ISNUMBER($AF384)),$AF384,"")</f>
        <v/>
      </c>
      <c r="AO384">
        <f>IF(ISNUMBER($AM384),ABS(IF(ISNUMBER($G384),$G384,0)-Settings!$B$25),"")</f>
        <v/>
      </c>
      <c r="AP384">
        <f>IF(ISNUMBER($AO384),$AO384*$AM384,"")</f>
        <v/>
      </c>
      <c r="AQ384">
        <f>IF(ISNUMBER($AN384),ABS(IF(ISNUMBER($G384),$G384,0)-Settings!$B$25),"")</f>
        <v/>
      </c>
      <c r="AR384">
        <f>IF(ISNUMBER($AQ384),$AQ384*$AN384,"")</f>
        <v/>
      </c>
      <c r="AS384">
        <f>IF($A384="","",IFERROR(INDEX(Company_List!$H$3:$H$207,MATCH($A384,Company_List!$A$3:$A$207,0)),"unassigned"))</f>
        <v/>
      </c>
    </row>
    <row r="385">
      <c r="A385" s="1" t="n"/>
      <c r="B385" s="120" t="n"/>
      <c r="AG385">
        <f>IF($A385="","",IFERROR(INDEX(Company_List!$G$3:$G$207,MATCH($A385,Company_List!$A$3:$A$207,0)),"unassigned"))</f>
        <v/>
      </c>
      <c r="AK385">
        <f>IF($A385="","",IF(COUNTIFS(Human_Data_Entry!$A$3:$A$525,$A385)&gt;0,"YES","NO"))</f>
        <v/>
      </c>
      <c r="AL385">
        <f>IF($A385="","",IF(AND($C385&amp;"-"&amp;$D385&gt;=Settings!$B$19,$C385&amp;"-"&amp;$D385&lt;=Settings!$B$20),"IN","OUT"))</f>
        <v/>
      </c>
      <c r="AM385">
        <f>IF(AND(OR($H385="BUY",$H385="SELL"),ISNUMBER($T385)),$T385,"")</f>
        <v/>
      </c>
      <c r="AN385">
        <f>IF(AND(OR($H385="BUY",$H385="SELL"),ISNUMBER($AF385)),$AF385,"")</f>
        <v/>
      </c>
      <c r="AO385">
        <f>IF(ISNUMBER($AM385),ABS(IF(ISNUMBER($G385),$G385,0)-Settings!$B$25),"")</f>
        <v/>
      </c>
      <c r="AP385">
        <f>IF(ISNUMBER($AO385),$AO385*$AM385,"")</f>
        <v/>
      </c>
      <c r="AQ385">
        <f>IF(ISNUMBER($AN385),ABS(IF(ISNUMBER($G385),$G385,0)-Settings!$B$25),"")</f>
        <v/>
      </c>
      <c r="AR385">
        <f>IF(ISNUMBER($AQ385),$AQ385*$AN385,"")</f>
        <v/>
      </c>
      <c r="AS385">
        <f>IF($A385="","",IFERROR(INDEX(Company_List!$H$3:$H$207,MATCH($A385,Company_List!$A$3:$A$207,0)),"unassigned"))</f>
        <v/>
      </c>
    </row>
    <row r="386">
      <c r="A386" s="1" t="n"/>
      <c r="B386" s="120" t="n"/>
      <c r="AG386">
        <f>IF($A386="","",IFERROR(INDEX(Company_List!$G$3:$G$207,MATCH($A386,Company_List!$A$3:$A$207,0)),"unassigned"))</f>
        <v/>
      </c>
      <c r="AK386">
        <f>IF($A386="","",IF(COUNTIFS(Human_Data_Entry!$A$3:$A$525,$A386)&gt;0,"YES","NO"))</f>
        <v/>
      </c>
      <c r="AL386">
        <f>IF($A386="","",IF(AND($C386&amp;"-"&amp;$D386&gt;=Settings!$B$19,$C386&amp;"-"&amp;$D386&lt;=Settings!$B$20),"IN","OUT"))</f>
        <v/>
      </c>
      <c r="AM386">
        <f>IF(AND(OR($H386="BUY",$H386="SELL"),ISNUMBER($T386)),$T386,"")</f>
        <v/>
      </c>
      <c r="AN386">
        <f>IF(AND(OR($H386="BUY",$H386="SELL"),ISNUMBER($AF386)),$AF386,"")</f>
        <v/>
      </c>
      <c r="AO386">
        <f>IF(ISNUMBER($AM386),ABS(IF(ISNUMBER($G386),$G386,0)-Settings!$B$25),"")</f>
        <v/>
      </c>
      <c r="AP386">
        <f>IF(ISNUMBER($AO386),$AO386*$AM386,"")</f>
        <v/>
      </c>
      <c r="AQ386">
        <f>IF(ISNUMBER($AN386),ABS(IF(ISNUMBER($G386),$G386,0)-Settings!$B$25),"")</f>
        <v/>
      </c>
      <c r="AR386">
        <f>IF(ISNUMBER($AQ386),$AQ386*$AN386,"")</f>
        <v/>
      </c>
      <c r="AS386">
        <f>IF($A386="","",IFERROR(INDEX(Company_List!$H$3:$H$207,MATCH($A386,Company_List!$A$3:$A$207,0)),"unassigned"))</f>
        <v/>
      </c>
    </row>
    <row r="387">
      <c r="A387" s="1" t="n"/>
      <c r="B387" s="120" t="n"/>
      <c r="AG387">
        <f>IF($A387="","",IFERROR(INDEX(Company_List!$G$3:$G$207,MATCH($A387,Company_List!$A$3:$A$207,0)),"unassigned"))</f>
        <v/>
      </c>
      <c r="AK387">
        <f>IF($A387="","",IF(COUNTIFS(Human_Data_Entry!$A$3:$A$525,$A387)&gt;0,"YES","NO"))</f>
        <v/>
      </c>
      <c r="AL387">
        <f>IF($A387="","",IF(AND($C387&amp;"-"&amp;$D387&gt;=Settings!$B$19,$C387&amp;"-"&amp;$D387&lt;=Settings!$B$20),"IN","OUT"))</f>
        <v/>
      </c>
      <c r="AM387">
        <f>IF(AND(OR($H387="BUY",$H387="SELL"),ISNUMBER($T387)),$T387,"")</f>
        <v/>
      </c>
      <c r="AN387">
        <f>IF(AND(OR($H387="BUY",$H387="SELL"),ISNUMBER($AF387)),$AF387,"")</f>
        <v/>
      </c>
      <c r="AO387">
        <f>IF(ISNUMBER($AM387),ABS(IF(ISNUMBER($G387),$G387,0)-Settings!$B$25),"")</f>
        <v/>
      </c>
      <c r="AP387">
        <f>IF(ISNUMBER($AO387),$AO387*$AM387,"")</f>
        <v/>
      </c>
      <c r="AQ387">
        <f>IF(ISNUMBER($AN387),ABS(IF(ISNUMBER($G387),$G387,0)-Settings!$B$25),"")</f>
        <v/>
      </c>
      <c r="AR387">
        <f>IF(ISNUMBER($AQ387),$AQ387*$AN387,"")</f>
        <v/>
      </c>
      <c r="AS387">
        <f>IF($A387="","",IFERROR(INDEX(Company_List!$H$3:$H$207,MATCH($A387,Company_List!$A$3:$A$207,0)),"unassigned"))</f>
        <v/>
      </c>
    </row>
    <row r="388">
      <c r="A388" s="1" t="n"/>
      <c r="B388" s="120" t="n"/>
      <c r="AG388">
        <f>IF($A388="","",IFERROR(INDEX(Company_List!$G$3:$G$207,MATCH($A388,Company_List!$A$3:$A$207,0)),"unassigned"))</f>
        <v/>
      </c>
      <c r="AK388">
        <f>IF($A388="","",IF(COUNTIFS(Human_Data_Entry!$A$3:$A$525,$A388)&gt;0,"YES","NO"))</f>
        <v/>
      </c>
      <c r="AL388">
        <f>IF($A388="","",IF(AND($C388&amp;"-"&amp;$D388&gt;=Settings!$B$19,$C388&amp;"-"&amp;$D388&lt;=Settings!$B$20),"IN","OUT"))</f>
        <v/>
      </c>
      <c r="AM388">
        <f>IF(AND(OR($H388="BUY",$H388="SELL"),ISNUMBER($T388)),$T388,"")</f>
        <v/>
      </c>
      <c r="AN388">
        <f>IF(AND(OR($H388="BUY",$H388="SELL"),ISNUMBER($AF388)),$AF388,"")</f>
        <v/>
      </c>
      <c r="AO388">
        <f>IF(ISNUMBER($AM388),ABS(IF(ISNUMBER($G388),$G388,0)-Settings!$B$25),"")</f>
        <v/>
      </c>
      <c r="AP388">
        <f>IF(ISNUMBER($AO388),$AO388*$AM388,"")</f>
        <v/>
      </c>
      <c r="AQ388">
        <f>IF(ISNUMBER($AN388),ABS(IF(ISNUMBER($G388),$G388,0)-Settings!$B$25),"")</f>
        <v/>
      </c>
      <c r="AR388">
        <f>IF(ISNUMBER($AQ388),$AQ388*$AN388,"")</f>
        <v/>
      </c>
      <c r="AS388">
        <f>IF($A388="","",IFERROR(INDEX(Company_List!$H$3:$H$207,MATCH($A388,Company_List!$A$3:$A$207,0)),"unassigned"))</f>
        <v/>
      </c>
    </row>
    <row r="389">
      <c r="A389" s="1" t="n"/>
      <c r="B389" s="120" t="n"/>
      <c r="AG389">
        <f>IF($A389="","",IFERROR(INDEX(Company_List!$G$3:$G$207,MATCH($A389,Company_List!$A$3:$A$207,0)),"unassigned"))</f>
        <v/>
      </c>
      <c r="AK389">
        <f>IF($A389="","",IF(COUNTIFS(Human_Data_Entry!$A$3:$A$525,$A389)&gt;0,"YES","NO"))</f>
        <v/>
      </c>
      <c r="AL389">
        <f>IF($A389="","",IF(AND($C389&amp;"-"&amp;$D389&gt;=Settings!$B$19,$C389&amp;"-"&amp;$D389&lt;=Settings!$B$20),"IN","OUT"))</f>
        <v/>
      </c>
      <c r="AM389">
        <f>IF(AND(OR($H389="BUY",$H389="SELL"),ISNUMBER($T389)),$T389,"")</f>
        <v/>
      </c>
      <c r="AN389">
        <f>IF(AND(OR($H389="BUY",$H389="SELL"),ISNUMBER($AF389)),$AF389,"")</f>
        <v/>
      </c>
      <c r="AO389">
        <f>IF(ISNUMBER($AM389),ABS(IF(ISNUMBER($G389),$G389,0)-Settings!$B$25),"")</f>
        <v/>
      </c>
      <c r="AP389">
        <f>IF(ISNUMBER($AO389),$AO389*$AM389,"")</f>
        <v/>
      </c>
      <c r="AQ389">
        <f>IF(ISNUMBER($AN389),ABS(IF(ISNUMBER($G389),$G389,0)-Settings!$B$25),"")</f>
        <v/>
      </c>
      <c r="AR389">
        <f>IF(ISNUMBER($AQ389),$AQ389*$AN389,"")</f>
        <v/>
      </c>
      <c r="AS389">
        <f>IF($A389="","",IFERROR(INDEX(Company_List!$H$3:$H$207,MATCH($A389,Company_List!$A$3:$A$207,0)),"unassigned"))</f>
        <v/>
      </c>
    </row>
    <row r="390">
      <c r="A390" s="1" t="n"/>
      <c r="B390" s="120" t="n"/>
      <c r="AG390">
        <f>IF($A390="","",IFERROR(INDEX(Company_List!$G$3:$G$207,MATCH($A390,Company_List!$A$3:$A$207,0)),"unassigned"))</f>
        <v/>
      </c>
      <c r="AK390">
        <f>IF($A390="","",IF(COUNTIFS(Human_Data_Entry!$A$3:$A$525,$A390)&gt;0,"YES","NO"))</f>
        <v/>
      </c>
      <c r="AL390">
        <f>IF($A390="","",IF(AND($C390&amp;"-"&amp;$D390&gt;=Settings!$B$19,$C390&amp;"-"&amp;$D390&lt;=Settings!$B$20),"IN","OUT"))</f>
        <v/>
      </c>
      <c r="AM390">
        <f>IF(AND(OR($H390="BUY",$H390="SELL"),ISNUMBER($T390)),$T390,"")</f>
        <v/>
      </c>
      <c r="AN390">
        <f>IF(AND(OR($H390="BUY",$H390="SELL"),ISNUMBER($AF390)),$AF390,"")</f>
        <v/>
      </c>
      <c r="AO390">
        <f>IF(ISNUMBER($AM390),ABS(IF(ISNUMBER($G390),$G390,0)-Settings!$B$25),"")</f>
        <v/>
      </c>
      <c r="AP390">
        <f>IF(ISNUMBER($AO390),$AO390*$AM390,"")</f>
        <v/>
      </c>
      <c r="AQ390">
        <f>IF(ISNUMBER($AN390),ABS(IF(ISNUMBER($G390),$G390,0)-Settings!$B$25),"")</f>
        <v/>
      </c>
      <c r="AR390">
        <f>IF(ISNUMBER($AQ390),$AQ390*$AN390,"")</f>
        <v/>
      </c>
      <c r="AS390">
        <f>IF($A390="","",IFERROR(INDEX(Company_List!$H$3:$H$207,MATCH($A390,Company_List!$A$3:$A$207,0)),"unassigned"))</f>
        <v/>
      </c>
    </row>
    <row r="391">
      <c r="A391" s="1" t="n"/>
      <c r="B391" s="120" t="n"/>
      <c r="AG391">
        <f>IF($A391="","",IFERROR(INDEX(Company_List!$G$3:$G$207,MATCH($A391,Company_List!$A$3:$A$207,0)),"unassigned"))</f>
        <v/>
      </c>
      <c r="AK391">
        <f>IF($A391="","",IF(COUNTIFS(Human_Data_Entry!$A$3:$A$525,$A391)&gt;0,"YES","NO"))</f>
        <v/>
      </c>
      <c r="AL391">
        <f>IF($A391="","",IF(AND($C391&amp;"-"&amp;$D391&gt;=Settings!$B$19,$C391&amp;"-"&amp;$D391&lt;=Settings!$B$20),"IN","OUT"))</f>
        <v/>
      </c>
      <c r="AM391">
        <f>IF(AND(OR($H391="BUY",$H391="SELL"),ISNUMBER($T391)),$T391,"")</f>
        <v/>
      </c>
      <c r="AN391">
        <f>IF(AND(OR($H391="BUY",$H391="SELL"),ISNUMBER($AF391)),$AF391,"")</f>
        <v/>
      </c>
      <c r="AO391">
        <f>IF(ISNUMBER($AM391),ABS(IF(ISNUMBER($G391),$G391,0)-Settings!$B$25),"")</f>
        <v/>
      </c>
      <c r="AP391">
        <f>IF(ISNUMBER($AO391),$AO391*$AM391,"")</f>
        <v/>
      </c>
      <c r="AQ391">
        <f>IF(ISNUMBER($AN391),ABS(IF(ISNUMBER($G391),$G391,0)-Settings!$B$25),"")</f>
        <v/>
      </c>
      <c r="AR391">
        <f>IF(ISNUMBER($AQ391),$AQ391*$AN391,"")</f>
        <v/>
      </c>
      <c r="AS391">
        <f>IF($A391="","",IFERROR(INDEX(Company_List!$H$3:$H$207,MATCH($A391,Company_List!$A$3:$A$207,0)),"unassigned"))</f>
        <v/>
      </c>
    </row>
    <row r="392">
      <c r="A392" s="1" t="n"/>
      <c r="B392" s="120" t="n"/>
      <c r="AG392">
        <f>IF($A392="","",IFERROR(INDEX(Company_List!$G$3:$G$207,MATCH($A392,Company_List!$A$3:$A$207,0)),"unassigned"))</f>
        <v/>
      </c>
      <c r="AK392">
        <f>IF($A392="","",IF(COUNTIFS(Human_Data_Entry!$A$3:$A$525,$A392)&gt;0,"YES","NO"))</f>
        <v/>
      </c>
      <c r="AL392">
        <f>IF($A392="","",IF(AND($C392&amp;"-"&amp;$D392&gt;=Settings!$B$19,$C392&amp;"-"&amp;$D392&lt;=Settings!$B$20),"IN","OUT"))</f>
        <v/>
      </c>
      <c r="AM392">
        <f>IF(AND(OR($H392="BUY",$H392="SELL"),ISNUMBER($T392)),$T392,"")</f>
        <v/>
      </c>
      <c r="AN392">
        <f>IF(AND(OR($H392="BUY",$H392="SELL"),ISNUMBER($AF392)),$AF392,"")</f>
        <v/>
      </c>
      <c r="AO392">
        <f>IF(ISNUMBER($AM392),ABS(IF(ISNUMBER($G392),$G392,0)-Settings!$B$25),"")</f>
        <v/>
      </c>
      <c r="AP392">
        <f>IF(ISNUMBER($AO392),$AO392*$AM392,"")</f>
        <v/>
      </c>
      <c r="AQ392">
        <f>IF(ISNUMBER($AN392),ABS(IF(ISNUMBER($G392),$G392,0)-Settings!$B$25),"")</f>
        <v/>
      </c>
      <c r="AR392">
        <f>IF(ISNUMBER($AQ392),$AQ392*$AN392,"")</f>
        <v/>
      </c>
      <c r="AS392">
        <f>IF($A392="","",IFERROR(INDEX(Company_List!$H$3:$H$207,MATCH($A392,Company_List!$A$3:$A$207,0)),"unassigned"))</f>
        <v/>
      </c>
    </row>
    <row r="393">
      <c r="A393" s="1" t="n"/>
      <c r="B393" s="120" t="n"/>
      <c r="AG393">
        <f>IF($A393="","",IFERROR(INDEX(Company_List!$G$3:$G$207,MATCH($A393,Company_List!$A$3:$A$207,0)),"unassigned"))</f>
        <v/>
      </c>
      <c r="AK393">
        <f>IF($A393="","",IF(COUNTIFS(Human_Data_Entry!$A$3:$A$525,$A393)&gt;0,"YES","NO"))</f>
        <v/>
      </c>
      <c r="AL393">
        <f>IF($A393="","",IF(AND($C393&amp;"-"&amp;$D393&gt;=Settings!$B$19,$C393&amp;"-"&amp;$D393&lt;=Settings!$B$20),"IN","OUT"))</f>
        <v/>
      </c>
      <c r="AM393">
        <f>IF(AND(OR($H393="BUY",$H393="SELL"),ISNUMBER($T393)),$T393,"")</f>
        <v/>
      </c>
      <c r="AN393">
        <f>IF(AND(OR($H393="BUY",$H393="SELL"),ISNUMBER($AF393)),$AF393,"")</f>
        <v/>
      </c>
      <c r="AO393">
        <f>IF(ISNUMBER($AM393),ABS(IF(ISNUMBER($G393),$G393,0)-Settings!$B$25),"")</f>
        <v/>
      </c>
      <c r="AP393">
        <f>IF(ISNUMBER($AO393),$AO393*$AM393,"")</f>
        <v/>
      </c>
      <c r="AQ393">
        <f>IF(ISNUMBER($AN393),ABS(IF(ISNUMBER($G393),$G393,0)-Settings!$B$25),"")</f>
        <v/>
      </c>
      <c r="AR393">
        <f>IF(ISNUMBER($AQ393),$AQ393*$AN393,"")</f>
        <v/>
      </c>
      <c r="AS393">
        <f>IF($A393="","",IFERROR(INDEX(Company_List!$H$3:$H$207,MATCH($A393,Company_List!$A$3:$A$207,0)),"unassigned"))</f>
        <v/>
      </c>
    </row>
    <row r="394">
      <c r="A394" s="1" t="n"/>
      <c r="B394" s="120" t="n"/>
      <c r="AG394">
        <f>IF($A394="","",IFERROR(INDEX(Company_List!$G$3:$G$207,MATCH($A394,Company_List!$A$3:$A$207,0)),"unassigned"))</f>
        <v/>
      </c>
      <c r="AK394">
        <f>IF($A394="","",IF(COUNTIFS(Human_Data_Entry!$A$3:$A$525,$A394)&gt;0,"YES","NO"))</f>
        <v/>
      </c>
      <c r="AL394">
        <f>IF($A394="","",IF(AND($C394&amp;"-"&amp;$D394&gt;=Settings!$B$19,$C394&amp;"-"&amp;$D394&lt;=Settings!$B$20),"IN","OUT"))</f>
        <v/>
      </c>
      <c r="AM394">
        <f>IF(AND(OR($H394="BUY",$H394="SELL"),ISNUMBER($T394)),$T394,"")</f>
        <v/>
      </c>
      <c r="AN394">
        <f>IF(AND(OR($H394="BUY",$H394="SELL"),ISNUMBER($AF394)),$AF394,"")</f>
        <v/>
      </c>
      <c r="AO394">
        <f>IF(ISNUMBER($AM394),ABS(IF(ISNUMBER($G394),$G394,0)-Settings!$B$25),"")</f>
        <v/>
      </c>
      <c r="AP394">
        <f>IF(ISNUMBER($AO394),$AO394*$AM394,"")</f>
        <v/>
      </c>
      <c r="AQ394">
        <f>IF(ISNUMBER($AN394),ABS(IF(ISNUMBER($G394),$G394,0)-Settings!$B$25),"")</f>
        <v/>
      </c>
      <c r="AR394">
        <f>IF(ISNUMBER($AQ394),$AQ394*$AN394,"")</f>
        <v/>
      </c>
      <c r="AS394">
        <f>IF($A394="","",IFERROR(INDEX(Company_List!$H$3:$H$207,MATCH($A394,Company_List!$A$3:$A$207,0)),"unassigned"))</f>
        <v/>
      </c>
    </row>
    <row r="395">
      <c r="A395" s="1" t="n"/>
      <c r="B395" s="120" t="n"/>
      <c r="AG395">
        <f>IF($A395="","",IFERROR(INDEX(Company_List!$G$3:$G$207,MATCH($A395,Company_List!$A$3:$A$207,0)),"unassigned"))</f>
        <v/>
      </c>
      <c r="AK395">
        <f>IF($A395="","",IF(COUNTIFS(Human_Data_Entry!$A$3:$A$525,$A395)&gt;0,"YES","NO"))</f>
        <v/>
      </c>
      <c r="AL395">
        <f>IF($A395="","",IF(AND($C395&amp;"-"&amp;$D395&gt;=Settings!$B$19,$C395&amp;"-"&amp;$D395&lt;=Settings!$B$20),"IN","OUT"))</f>
        <v/>
      </c>
      <c r="AM395">
        <f>IF(AND(OR($H395="BUY",$H395="SELL"),ISNUMBER($T395)),$T395,"")</f>
        <v/>
      </c>
      <c r="AN395">
        <f>IF(AND(OR($H395="BUY",$H395="SELL"),ISNUMBER($AF395)),$AF395,"")</f>
        <v/>
      </c>
      <c r="AO395">
        <f>IF(ISNUMBER($AM395),ABS(IF(ISNUMBER($G395),$G395,0)-Settings!$B$25),"")</f>
        <v/>
      </c>
      <c r="AP395">
        <f>IF(ISNUMBER($AO395),$AO395*$AM395,"")</f>
        <v/>
      </c>
      <c r="AQ395">
        <f>IF(ISNUMBER($AN395),ABS(IF(ISNUMBER($G395),$G395,0)-Settings!$B$25),"")</f>
        <v/>
      </c>
      <c r="AR395">
        <f>IF(ISNUMBER($AQ395),$AQ395*$AN395,"")</f>
        <v/>
      </c>
      <c r="AS395">
        <f>IF($A395="","",IFERROR(INDEX(Company_List!$H$3:$H$207,MATCH($A395,Company_List!$A$3:$A$207,0)),"unassigned"))</f>
        <v/>
      </c>
    </row>
    <row r="396">
      <c r="A396" s="1" t="n"/>
      <c r="B396" s="120" t="n"/>
      <c r="AG396">
        <f>IF($A396="","",IFERROR(INDEX(Company_List!$G$3:$G$207,MATCH($A396,Company_List!$A$3:$A$207,0)),"unassigned"))</f>
        <v/>
      </c>
      <c r="AK396">
        <f>IF($A396="","",IF(COUNTIFS(Human_Data_Entry!$A$3:$A$525,$A396)&gt;0,"YES","NO"))</f>
        <v/>
      </c>
      <c r="AL396">
        <f>IF($A396="","",IF(AND($C396&amp;"-"&amp;$D396&gt;=Settings!$B$19,$C396&amp;"-"&amp;$D396&lt;=Settings!$B$20),"IN","OUT"))</f>
        <v/>
      </c>
      <c r="AM396">
        <f>IF(AND(OR($H396="BUY",$H396="SELL"),ISNUMBER($T396)),$T396,"")</f>
        <v/>
      </c>
      <c r="AN396">
        <f>IF(AND(OR($H396="BUY",$H396="SELL"),ISNUMBER($AF396)),$AF396,"")</f>
        <v/>
      </c>
      <c r="AO396">
        <f>IF(ISNUMBER($AM396),ABS(IF(ISNUMBER($G396),$G396,0)-Settings!$B$25),"")</f>
        <v/>
      </c>
      <c r="AP396">
        <f>IF(ISNUMBER($AO396),$AO396*$AM396,"")</f>
        <v/>
      </c>
      <c r="AQ396">
        <f>IF(ISNUMBER($AN396),ABS(IF(ISNUMBER($G396),$G396,0)-Settings!$B$25),"")</f>
        <v/>
      </c>
      <c r="AR396">
        <f>IF(ISNUMBER($AQ396),$AQ396*$AN396,"")</f>
        <v/>
      </c>
      <c r="AS396">
        <f>IF($A396="","",IFERROR(INDEX(Company_List!$H$3:$H$207,MATCH($A396,Company_List!$A$3:$A$207,0)),"unassigned"))</f>
        <v/>
      </c>
    </row>
    <row r="397">
      <c r="A397" s="1" t="n"/>
      <c r="B397" s="120" t="n"/>
      <c r="AG397">
        <f>IF($A397="","",IFERROR(INDEX(Company_List!$G$3:$G$207,MATCH($A397,Company_List!$A$3:$A$207,0)),"unassigned"))</f>
        <v/>
      </c>
      <c r="AK397">
        <f>IF($A397="","",IF(COUNTIFS(Human_Data_Entry!$A$3:$A$525,$A397)&gt;0,"YES","NO"))</f>
        <v/>
      </c>
      <c r="AL397">
        <f>IF($A397="","",IF(AND($C397&amp;"-"&amp;$D397&gt;=Settings!$B$19,$C397&amp;"-"&amp;$D397&lt;=Settings!$B$20),"IN","OUT"))</f>
        <v/>
      </c>
      <c r="AM397">
        <f>IF(AND(OR($H397="BUY",$H397="SELL"),ISNUMBER($T397)),$T397,"")</f>
        <v/>
      </c>
      <c r="AN397">
        <f>IF(AND(OR($H397="BUY",$H397="SELL"),ISNUMBER($AF397)),$AF397,"")</f>
        <v/>
      </c>
      <c r="AO397">
        <f>IF(ISNUMBER($AM397),ABS(IF(ISNUMBER($G397),$G397,0)-Settings!$B$25),"")</f>
        <v/>
      </c>
      <c r="AP397">
        <f>IF(ISNUMBER($AO397),$AO397*$AM397,"")</f>
        <v/>
      </c>
      <c r="AQ397">
        <f>IF(ISNUMBER($AN397),ABS(IF(ISNUMBER($G397),$G397,0)-Settings!$B$25),"")</f>
        <v/>
      </c>
      <c r="AR397">
        <f>IF(ISNUMBER($AQ397),$AQ397*$AN397,"")</f>
        <v/>
      </c>
      <c r="AS397">
        <f>IF($A397="","",IFERROR(INDEX(Company_List!$H$3:$H$207,MATCH($A397,Company_List!$A$3:$A$207,0)),"unassigned"))</f>
        <v/>
      </c>
    </row>
    <row r="398">
      <c r="A398" s="1" t="n"/>
      <c r="B398" s="120" t="n"/>
      <c r="AG398">
        <f>IF($A398="","",IFERROR(INDEX(Company_List!$G$3:$G$207,MATCH($A398,Company_List!$A$3:$A$207,0)),"unassigned"))</f>
        <v/>
      </c>
      <c r="AK398">
        <f>IF($A398="","",IF(COUNTIFS(Human_Data_Entry!$A$3:$A$525,$A398)&gt;0,"YES","NO"))</f>
        <v/>
      </c>
      <c r="AL398">
        <f>IF($A398="","",IF(AND($C398&amp;"-"&amp;$D398&gt;=Settings!$B$19,$C398&amp;"-"&amp;$D398&lt;=Settings!$B$20),"IN","OUT"))</f>
        <v/>
      </c>
      <c r="AM398">
        <f>IF(AND(OR($H398="BUY",$H398="SELL"),ISNUMBER($T398)),$T398,"")</f>
        <v/>
      </c>
      <c r="AN398">
        <f>IF(AND(OR($H398="BUY",$H398="SELL"),ISNUMBER($AF398)),$AF398,"")</f>
        <v/>
      </c>
      <c r="AO398">
        <f>IF(ISNUMBER($AM398),ABS(IF(ISNUMBER($G398),$G398,0)-Settings!$B$25),"")</f>
        <v/>
      </c>
      <c r="AP398">
        <f>IF(ISNUMBER($AO398),$AO398*$AM398,"")</f>
        <v/>
      </c>
      <c r="AQ398">
        <f>IF(ISNUMBER($AN398),ABS(IF(ISNUMBER($G398),$G398,0)-Settings!$B$25),"")</f>
        <v/>
      </c>
      <c r="AR398">
        <f>IF(ISNUMBER($AQ398),$AQ398*$AN398,"")</f>
        <v/>
      </c>
      <c r="AS398">
        <f>IF($A398="","",IFERROR(INDEX(Company_List!$H$3:$H$207,MATCH($A398,Company_List!$A$3:$A$207,0)),"unassigned"))</f>
        <v/>
      </c>
    </row>
    <row r="399">
      <c r="A399" s="1" t="n"/>
      <c r="B399" s="120" t="n"/>
      <c r="AG399">
        <f>IF($A399="","",IFERROR(INDEX(Company_List!$G$3:$G$207,MATCH($A399,Company_List!$A$3:$A$207,0)),"unassigned"))</f>
        <v/>
      </c>
      <c r="AK399">
        <f>IF($A399="","",IF(COUNTIFS(Human_Data_Entry!$A$3:$A$525,$A399)&gt;0,"YES","NO"))</f>
        <v/>
      </c>
      <c r="AL399">
        <f>IF($A399="","",IF(AND($C399&amp;"-"&amp;$D399&gt;=Settings!$B$19,$C399&amp;"-"&amp;$D399&lt;=Settings!$B$20),"IN","OUT"))</f>
        <v/>
      </c>
      <c r="AM399">
        <f>IF(AND(OR($H399="BUY",$H399="SELL"),ISNUMBER($T399)),$T399,"")</f>
        <v/>
      </c>
      <c r="AN399">
        <f>IF(AND(OR($H399="BUY",$H399="SELL"),ISNUMBER($AF399)),$AF399,"")</f>
        <v/>
      </c>
      <c r="AO399">
        <f>IF(ISNUMBER($AM399),ABS(IF(ISNUMBER($G399),$G399,0)-Settings!$B$25),"")</f>
        <v/>
      </c>
      <c r="AP399">
        <f>IF(ISNUMBER($AO399),$AO399*$AM399,"")</f>
        <v/>
      </c>
      <c r="AQ399">
        <f>IF(ISNUMBER($AN399),ABS(IF(ISNUMBER($G399),$G399,0)-Settings!$B$25),"")</f>
        <v/>
      </c>
      <c r="AR399">
        <f>IF(ISNUMBER($AQ399),$AQ399*$AN399,"")</f>
        <v/>
      </c>
      <c r="AS399">
        <f>IF($A399="","",IFERROR(INDEX(Company_List!$H$3:$H$207,MATCH($A399,Company_List!$A$3:$A$207,0)),"unassigned"))</f>
        <v/>
      </c>
    </row>
    <row r="400">
      <c r="A400" s="1" t="n"/>
      <c r="B400" s="120" t="n"/>
      <c r="AG400">
        <f>IF($A400="","",IFERROR(INDEX(Company_List!$G$3:$G$207,MATCH($A400,Company_List!$A$3:$A$207,0)),"unassigned"))</f>
        <v/>
      </c>
      <c r="AK400">
        <f>IF($A400="","",IF(COUNTIFS(Human_Data_Entry!$A$3:$A$525,$A400)&gt;0,"YES","NO"))</f>
        <v/>
      </c>
      <c r="AL400">
        <f>IF($A400="","",IF(AND($C400&amp;"-"&amp;$D400&gt;=Settings!$B$19,$C400&amp;"-"&amp;$D400&lt;=Settings!$B$20),"IN","OUT"))</f>
        <v/>
      </c>
      <c r="AM400">
        <f>IF(AND(OR($H400="BUY",$H400="SELL"),ISNUMBER($T400)),$T400,"")</f>
        <v/>
      </c>
      <c r="AN400">
        <f>IF(AND(OR($H400="BUY",$H400="SELL"),ISNUMBER($AF400)),$AF400,"")</f>
        <v/>
      </c>
      <c r="AO400">
        <f>IF(ISNUMBER($AM400),ABS(IF(ISNUMBER($G400),$G400,0)-Settings!$B$25),"")</f>
        <v/>
      </c>
      <c r="AP400">
        <f>IF(ISNUMBER($AO400),$AO400*$AM400,"")</f>
        <v/>
      </c>
      <c r="AQ400">
        <f>IF(ISNUMBER($AN400),ABS(IF(ISNUMBER($G400),$G400,0)-Settings!$B$25),"")</f>
        <v/>
      </c>
      <c r="AR400">
        <f>IF(ISNUMBER($AQ400),$AQ400*$AN400,"")</f>
        <v/>
      </c>
      <c r="AS400">
        <f>IF($A400="","",IFERROR(INDEX(Company_List!$H$3:$H$207,MATCH($A400,Company_List!$A$3:$A$207,0)),"unassigned"))</f>
        <v/>
      </c>
    </row>
    <row r="401">
      <c r="A401" s="1" t="n"/>
      <c r="B401" s="120" t="n"/>
      <c r="AG401">
        <f>IF($A401="","",IFERROR(INDEX(Company_List!$G$3:$G$207,MATCH($A401,Company_List!$A$3:$A$207,0)),"unassigned"))</f>
        <v/>
      </c>
      <c r="AK401">
        <f>IF($A401="","",IF(COUNTIFS(Human_Data_Entry!$A$3:$A$525,$A401)&gt;0,"YES","NO"))</f>
        <v/>
      </c>
      <c r="AL401">
        <f>IF($A401="","",IF(AND($C401&amp;"-"&amp;$D401&gt;=Settings!$B$19,$C401&amp;"-"&amp;$D401&lt;=Settings!$B$20),"IN","OUT"))</f>
        <v/>
      </c>
      <c r="AM401">
        <f>IF(AND(OR($H401="BUY",$H401="SELL"),ISNUMBER($T401)),$T401,"")</f>
        <v/>
      </c>
      <c r="AN401">
        <f>IF(AND(OR($H401="BUY",$H401="SELL"),ISNUMBER($AF401)),$AF401,"")</f>
        <v/>
      </c>
      <c r="AO401">
        <f>IF(ISNUMBER($AM401),ABS(IF(ISNUMBER($G401),$G401,0)-Settings!$B$25),"")</f>
        <v/>
      </c>
      <c r="AP401">
        <f>IF(ISNUMBER($AO401),$AO401*$AM401,"")</f>
        <v/>
      </c>
      <c r="AQ401">
        <f>IF(ISNUMBER($AN401),ABS(IF(ISNUMBER($G401),$G401,0)-Settings!$B$25),"")</f>
        <v/>
      </c>
      <c r="AR401">
        <f>IF(ISNUMBER($AQ401),$AQ401*$AN401,"")</f>
        <v/>
      </c>
      <c r="AS401">
        <f>IF($A401="","",IFERROR(INDEX(Company_List!$H$3:$H$207,MATCH($A401,Company_List!$A$3:$A$207,0)),"unassigned"))</f>
        <v/>
      </c>
    </row>
    <row r="402">
      <c r="A402" s="1" t="n"/>
      <c r="B402" s="120" t="n"/>
      <c r="AG402">
        <f>IF($A402="","",IFERROR(INDEX(Company_List!$G$3:$G$207,MATCH($A402,Company_List!$A$3:$A$207,0)),"unassigned"))</f>
        <v/>
      </c>
      <c r="AK402">
        <f>IF($A402="","",IF(COUNTIFS(Human_Data_Entry!$A$3:$A$525,$A402)&gt;0,"YES","NO"))</f>
        <v/>
      </c>
      <c r="AL402">
        <f>IF($A402="","",IF(AND($C402&amp;"-"&amp;$D402&gt;=Settings!$B$19,$C402&amp;"-"&amp;$D402&lt;=Settings!$B$20),"IN","OUT"))</f>
        <v/>
      </c>
      <c r="AM402">
        <f>IF(AND(OR($H402="BUY",$H402="SELL"),ISNUMBER($T402)),$T402,"")</f>
        <v/>
      </c>
      <c r="AN402">
        <f>IF(AND(OR($H402="BUY",$H402="SELL"),ISNUMBER($AF402)),$AF402,"")</f>
        <v/>
      </c>
      <c r="AO402">
        <f>IF(ISNUMBER($AM402),ABS(IF(ISNUMBER($G402),$G402,0)-Settings!$B$25),"")</f>
        <v/>
      </c>
      <c r="AP402">
        <f>IF(ISNUMBER($AO402),$AO402*$AM402,"")</f>
        <v/>
      </c>
      <c r="AQ402">
        <f>IF(ISNUMBER($AN402),ABS(IF(ISNUMBER($G402),$G402,0)-Settings!$B$25),"")</f>
        <v/>
      </c>
      <c r="AR402">
        <f>IF(ISNUMBER($AQ402),$AQ402*$AN402,"")</f>
        <v/>
      </c>
      <c r="AS402">
        <f>IF($A402="","",IFERROR(INDEX(Company_List!$H$3:$H$207,MATCH($A402,Company_List!$A$3:$A$207,0)),"unassigned"))</f>
        <v/>
      </c>
    </row>
    <row r="403">
      <c r="A403" s="1" t="n"/>
      <c r="B403" s="120" t="n"/>
      <c r="AG403">
        <f>IF($A403="","",IFERROR(INDEX(Company_List!$G$3:$G$207,MATCH($A403,Company_List!$A$3:$A$207,0)),"unassigned"))</f>
        <v/>
      </c>
      <c r="AK403">
        <f>IF($A403="","",IF(COUNTIFS(Human_Data_Entry!$A$3:$A$525,$A403)&gt;0,"YES","NO"))</f>
        <v/>
      </c>
      <c r="AL403">
        <f>IF($A403="","",IF(AND($C403&amp;"-"&amp;$D403&gt;=Settings!$B$19,$C403&amp;"-"&amp;$D403&lt;=Settings!$B$20),"IN","OUT"))</f>
        <v/>
      </c>
      <c r="AM403">
        <f>IF(AND(OR($H403="BUY",$H403="SELL"),ISNUMBER($T403)),$T403,"")</f>
        <v/>
      </c>
      <c r="AN403">
        <f>IF(AND(OR($H403="BUY",$H403="SELL"),ISNUMBER($AF403)),$AF403,"")</f>
        <v/>
      </c>
      <c r="AO403">
        <f>IF(ISNUMBER($AM403),ABS(IF(ISNUMBER($G403),$G403,0)-Settings!$B$25),"")</f>
        <v/>
      </c>
      <c r="AP403">
        <f>IF(ISNUMBER($AO403),$AO403*$AM403,"")</f>
        <v/>
      </c>
      <c r="AQ403">
        <f>IF(ISNUMBER($AN403),ABS(IF(ISNUMBER($G403),$G403,0)-Settings!$B$25),"")</f>
        <v/>
      </c>
      <c r="AR403">
        <f>IF(ISNUMBER($AQ403),$AQ403*$AN403,"")</f>
        <v/>
      </c>
      <c r="AS403">
        <f>IF($A403="","",IFERROR(INDEX(Company_List!$H$3:$H$207,MATCH($A403,Company_List!$A$3:$A$207,0)),"unassigned"))</f>
        <v/>
      </c>
    </row>
    <row r="404">
      <c r="A404" s="1" t="n"/>
      <c r="B404" s="120" t="n"/>
      <c r="AG404">
        <f>IF($A404="","",IFERROR(INDEX(Company_List!$G$3:$G$207,MATCH($A404,Company_List!$A$3:$A$207,0)),"unassigned"))</f>
        <v/>
      </c>
      <c r="AK404">
        <f>IF($A404="","",IF(COUNTIFS(Human_Data_Entry!$A$3:$A$525,$A404)&gt;0,"YES","NO"))</f>
        <v/>
      </c>
      <c r="AL404">
        <f>IF($A404="","",IF(AND($C404&amp;"-"&amp;$D404&gt;=Settings!$B$19,$C404&amp;"-"&amp;$D404&lt;=Settings!$B$20),"IN","OUT"))</f>
        <v/>
      </c>
      <c r="AM404">
        <f>IF(AND(OR($H404="BUY",$H404="SELL"),ISNUMBER($T404)),$T404,"")</f>
        <v/>
      </c>
      <c r="AN404">
        <f>IF(AND(OR($H404="BUY",$H404="SELL"),ISNUMBER($AF404)),$AF404,"")</f>
        <v/>
      </c>
      <c r="AO404">
        <f>IF(ISNUMBER($AM404),ABS(IF(ISNUMBER($G404),$G404,0)-Settings!$B$25),"")</f>
        <v/>
      </c>
      <c r="AP404">
        <f>IF(ISNUMBER($AO404),$AO404*$AM404,"")</f>
        <v/>
      </c>
      <c r="AQ404">
        <f>IF(ISNUMBER($AN404),ABS(IF(ISNUMBER($G404),$G404,0)-Settings!$B$25),"")</f>
        <v/>
      </c>
      <c r="AR404">
        <f>IF(ISNUMBER($AQ404),$AQ404*$AN404,"")</f>
        <v/>
      </c>
      <c r="AS404">
        <f>IF($A404="","",IFERROR(INDEX(Company_List!$H$3:$H$207,MATCH($A404,Company_List!$A$3:$A$207,0)),"unassigned"))</f>
        <v/>
      </c>
    </row>
    <row r="405">
      <c r="A405" s="1" t="n"/>
      <c r="B405" s="120" t="n"/>
      <c r="AG405">
        <f>IF($A405="","",IFERROR(INDEX(Company_List!$G$3:$G$207,MATCH($A405,Company_List!$A$3:$A$207,0)),"unassigned"))</f>
        <v/>
      </c>
      <c r="AK405">
        <f>IF($A405="","",IF(COUNTIFS(Human_Data_Entry!$A$3:$A$525,$A405)&gt;0,"YES","NO"))</f>
        <v/>
      </c>
      <c r="AL405">
        <f>IF($A405="","",IF(AND($C405&amp;"-"&amp;$D405&gt;=Settings!$B$19,$C405&amp;"-"&amp;$D405&lt;=Settings!$B$20),"IN","OUT"))</f>
        <v/>
      </c>
      <c r="AM405">
        <f>IF(AND(OR($H405="BUY",$H405="SELL"),ISNUMBER($T405)),$T405,"")</f>
        <v/>
      </c>
      <c r="AN405">
        <f>IF(AND(OR($H405="BUY",$H405="SELL"),ISNUMBER($AF405)),$AF405,"")</f>
        <v/>
      </c>
      <c r="AO405">
        <f>IF(ISNUMBER($AM405),ABS(IF(ISNUMBER($G405),$G405,0)-Settings!$B$25),"")</f>
        <v/>
      </c>
      <c r="AP405">
        <f>IF(ISNUMBER($AO405),$AO405*$AM405,"")</f>
        <v/>
      </c>
      <c r="AQ405">
        <f>IF(ISNUMBER($AN405),ABS(IF(ISNUMBER($G405),$G405,0)-Settings!$B$25),"")</f>
        <v/>
      </c>
      <c r="AR405">
        <f>IF(ISNUMBER($AQ405),$AQ405*$AN405,"")</f>
        <v/>
      </c>
      <c r="AS405">
        <f>IF($A405="","",IFERROR(INDEX(Company_List!$H$3:$H$207,MATCH($A405,Company_List!$A$3:$A$207,0)),"unassigned"))</f>
        <v/>
      </c>
    </row>
    <row r="406">
      <c r="A406" s="1" t="n"/>
      <c r="B406" s="120" t="n"/>
      <c r="AG406">
        <f>IF($A406="","",IFERROR(INDEX(Company_List!$G$3:$G$207,MATCH($A406,Company_List!$A$3:$A$207,0)),"unassigned"))</f>
        <v/>
      </c>
      <c r="AK406">
        <f>IF($A406="","",IF(COUNTIFS(Human_Data_Entry!$A$3:$A$525,$A406)&gt;0,"YES","NO"))</f>
        <v/>
      </c>
      <c r="AL406">
        <f>IF($A406="","",IF(AND($C406&amp;"-"&amp;$D406&gt;=Settings!$B$19,$C406&amp;"-"&amp;$D406&lt;=Settings!$B$20),"IN","OUT"))</f>
        <v/>
      </c>
      <c r="AM406">
        <f>IF(AND(OR($H406="BUY",$H406="SELL"),ISNUMBER($T406)),$T406,"")</f>
        <v/>
      </c>
      <c r="AN406">
        <f>IF(AND(OR($H406="BUY",$H406="SELL"),ISNUMBER($AF406)),$AF406,"")</f>
        <v/>
      </c>
      <c r="AO406">
        <f>IF(ISNUMBER($AM406),ABS(IF(ISNUMBER($G406),$G406,0)-Settings!$B$25),"")</f>
        <v/>
      </c>
      <c r="AP406">
        <f>IF(ISNUMBER($AO406),$AO406*$AM406,"")</f>
        <v/>
      </c>
      <c r="AQ406">
        <f>IF(ISNUMBER($AN406),ABS(IF(ISNUMBER($G406),$G406,0)-Settings!$B$25),"")</f>
        <v/>
      </c>
      <c r="AR406">
        <f>IF(ISNUMBER($AQ406),$AQ406*$AN406,"")</f>
        <v/>
      </c>
      <c r="AS406">
        <f>IF($A406="","",IFERROR(INDEX(Company_List!$H$3:$H$207,MATCH($A406,Company_List!$A$3:$A$207,0)),"unassigned"))</f>
        <v/>
      </c>
    </row>
    <row r="407">
      <c r="A407" s="1" t="n"/>
      <c r="B407" s="120" t="n"/>
      <c r="AG407">
        <f>IF($A407="","",IFERROR(INDEX(Company_List!$G$3:$G$207,MATCH($A407,Company_List!$A$3:$A$207,0)),"unassigned"))</f>
        <v/>
      </c>
      <c r="AK407">
        <f>IF($A407="","",IF(COUNTIFS(Human_Data_Entry!$A$3:$A$525,$A407)&gt;0,"YES","NO"))</f>
        <v/>
      </c>
      <c r="AL407">
        <f>IF($A407="","",IF(AND($C407&amp;"-"&amp;$D407&gt;=Settings!$B$19,$C407&amp;"-"&amp;$D407&lt;=Settings!$B$20),"IN","OUT"))</f>
        <v/>
      </c>
      <c r="AM407">
        <f>IF(AND(OR($H407="BUY",$H407="SELL"),ISNUMBER($T407)),$T407,"")</f>
        <v/>
      </c>
      <c r="AN407">
        <f>IF(AND(OR($H407="BUY",$H407="SELL"),ISNUMBER($AF407)),$AF407,"")</f>
        <v/>
      </c>
      <c r="AO407">
        <f>IF(ISNUMBER($AM407),ABS(IF(ISNUMBER($G407),$G407,0)-Settings!$B$25),"")</f>
        <v/>
      </c>
      <c r="AP407">
        <f>IF(ISNUMBER($AO407),$AO407*$AM407,"")</f>
        <v/>
      </c>
      <c r="AQ407">
        <f>IF(ISNUMBER($AN407),ABS(IF(ISNUMBER($G407),$G407,0)-Settings!$B$25),"")</f>
        <v/>
      </c>
      <c r="AR407">
        <f>IF(ISNUMBER($AQ407),$AQ407*$AN407,"")</f>
        <v/>
      </c>
      <c r="AS407">
        <f>IF($A407="","",IFERROR(INDEX(Company_List!$H$3:$H$207,MATCH($A407,Company_List!$A$3:$A$207,0)),"unassigned"))</f>
        <v/>
      </c>
    </row>
    <row r="408">
      <c r="A408" s="1" t="n"/>
      <c r="B408" s="120" t="n"/>
      <c r="AG408">
        <f>IF($A408="","",IFERROR(INDEX(Company_List!$G$3:$G$207,MATCH($A408,Company_List!$A$3:$A$207,0)),"unassigned"))</f>
        <v/>
      </c>
      <c r="AK408">
        <f>IF($A408="","",IF(COUNTIFS(Human_Data_Entry!$A$3:$A$525,$A408)&gt;0,"YES","NO"))</f>
        <v/>
      </c>
      <c r="AL408">
        <f>IF($A408="","",IF(AND($C408&amp;"-"&amp;$D408&gt;=Settings!$B$19,$C408&amp;"-"&amp;$D408&lt;=Settings!$B$20),"IN","OUT"))</f>
        <v/>
      </c>
      <c r="AM408">
        <f>IF(AND(OR($H408="BUY",$H408="SELL"),ISNUMBER($T408)),$T408,"")</f>
        <v/>
      </c>
      <c r="AN408">
        <f>IF(AND(OR($H408="BUY",$H408="SELL"),ISNUMBER($AF408)),$AF408,"")</f>
        <v/>
      </c>
      <c r="AO408">
        <f>IF(ISNUMBER($AM408),ABS(IF(ISNUMBER($G408),$G408,0)-Settings!$B$25),"")</f>
        <v/>
      </c>
      <c r="AP408">
        <f>IF(ISNUMBER($AO408),$AO408*$AM408,"")</f>
        <v/>
      </c>
      <c r="AQ408">
        <f>IF(ISNUMBER($AN408),ABS(IF(ISNUMBER($G408),$G408,0)-Settings!$B$25),"")</f>
        <v/>
      </c>
      <c r="AR408">
        <f>IF(ISNUMBER($AQ408),$AQ408*$AN408,"")</f>
        <v/>
      </c>
      <c r="AS408">
        <f>IF($A408="","",IFERROR(INDEX(Company_List!$H$3:$H$207,MATCH($A408,Company_List!$A$3:$A$207,0)),"unassigned"))</f>
        <v/>
      </c>
    </row>
    <row r="409">
      <c r="A409" s="1" t="n"/>
      <c r="B409" s="120" t="n"/>
      <c r="AG409">
        <f>IF($A409="","",IFERROR(INDEX(Company_List!$G$3:$G$207,MATCH($A409,Company_List!$A$3:$A$207,0)),"unassigned"))</f>
        <v/>
      </c>
      <c r="AK409">
        <f>IF($A409="","",IF(COUNTIFS(Human_Data_Entry!$A$3:$A$525,$A409)&gt;0,"YES","NO"))</f>
        <v/>
      </c>
      <c r="AL409">
        <f>IF($A409="","",IF(AND($C409&amp;"-"&amp;$D409&gt;=Settings!$B$19,$C409&amp;"-"&amp;$D409&lt;=Settings!$B$20),"IN","OUT"))</f>
        <v/>
      </c>
      <c r="AM409">
        <f>IF(AND(OR($H409="BUY",$H409="SELL"),ISNUMBER($T409)),$T409,"")</f>
        <v/>
      </c>
      <c r="AN409">
        <f>IF(AND(OR($H409="BUY",$H409="SELL"),ISNUMBER($AF409)),$AF409,"")</f>
        <v/>
      </c>
      <c r="AO409">
        <f>IF(ISNUMBER($AM409),ABS(IF(ISNUMBER($G409),$G409,0)-Settings!$B$25),"")</f>
        <v/>
      </c>
      <c r="AP409">
        <f>IF(ISNUMBER($AO409),$AO409*$AM409,"")</f>
        <v/>
      </c>
      <c r="AQ409">
        <f>IF(ISNUMBER($AN409),ABS(IF(ISNUMBER($G409),$G409,0)-Settings!$B$25),"")</f>
        <v/>
      </c>
      <c r="AR409">
        <f>IF(ISNUMBER($AQ409),$AQ409*$AN409,"")</f>
        <v/>
      </c>
      <c r="AS409">
        <f>IF($A409="","",IFERROR(INDEX(Company_List!$H$3:$H$207,MATCH($A409,Company_List!$A$3:$A$207,0)),"unassigned"))</f>
        <v/>
      </c>
    </row>
    <row r="410">
      <c r="A410" s="1" t="n"/>
      <c r="B410" s="120" t="n"/>
      <c r="AG410">
        <f>IF($A410="","",IFERROR(INDEX(Company_List!$G$3:$G$207,MATCH($A410,Company_List!$A$3:$A$207,0)),"unassigned"))</f>
        <v/>
      </c>
      <c r="AK410">
        <f>IF($A410="","",IF(COUNTIFS(Human_Data_Entry!$A$3:$A$525,$A410)&gt;0,"YES","NO"))</f>
        <v/>
      </c>
      <c r="AL410">
        <f>IF($A410="","",IF(AND($C410&amp;"-"&amp;$D410&gt;=Settings!$B$19,$C410&amp;"-"&amp;$D410&lt;=Settings!$B$20),"IN","OUT"))</f>
        <v/>
      </c>
      <c r="AM410">
        <f>IF(AND(OR($H410="BUY",$H410="SELL"),ISNUMBER($T410)),$T410,"")</f>
        <v/>
      </c>
      <c r="AN410">
        <f>IF(AND(OR($H410="BUY",$H410="SELL"),ISNUMBER($AF410)),$AF410,"")</f>
        <v/>
      </c>
      <c r="AO410">
        <f>IF(ISNUMBER($AM410),ABS(IF(ISNUMBER($G410),$G410,0)-Settings!$B$25),"")</f>
        <v/>
      </c>
      <c r="AP410">
        <f>IF(ISNUMBER($AO410),$AO410*$AM410,"")</f>
        <v/>
      </c>
      <c r="AQ410">
        <f>IF(ISNUMBER($AN410),ABS(IF(ISNUMBER($G410),$G410,0)-Settings!$B$25),"")</f>
        <v/>
      </c>
      <c r="AR410">
        <f>IF(ISNUMBER($AQ410),$AQ410*$AN410,"")</f>
        <v/>
      </c>
      <c r="AS410">
        <f>IF($A410="","",IFERROR(INDEX(Company_List!$H$3:$H$207,MATCH($A410,Company_List!$A$3:$A$207,0)),"unassigned"))</f>
        <v/>
      </c>
    </row>
    <row r="411">
      <c r="A411" s="1" t="n"/>
      <c r="B411" s="120" t="n"/>
      <c r="AG411">
        <f>IF($A411="","",IFERROR(INDEX(Company_List!$G$3:$G$207,MATCH($A411,Company_List!$A$3:$A$207,0)),"unassigned"))</f>
        <v/>
      </c>
      <c r="AK411">
        <f>IF($A411="","",IF(COUNTIFS(Human_Data_Entry!$A$3:$A$525,$A411)&gt;0,"YES","NO"))</f>
        <v/>
      </c>
      <c r="AL411">
        <f>IF($A411="","",IF(AND($C411&amp;"-"&amp;$D411&gt;=Settings!$B$19,$C411&amp;"-"&amp;$D411&lt;=Settings!$B$20),"IN","OUT"))</f>
        <v/>
      </c>
      <c r="AM411">
        <f>IF(AND(OR($H411="BUY",$H411="SELL"),ISNUMBER($T411)),$T411,"")</f>
        <v/>
      </c>
      <c r="AN411">
        <f>IF(AND(OR($H411="BUY",$H411="SELL"),ISNUMBER($AF411)),$AF411,"")</f>
        <v/>
      </c>
      <c r="AO411">
        <f>IF(ISNUMBER($AM411),ABS(IF(ISNUMBER($G411),$G411,0)-Settings!$B$25),"")</f>
        <v/>
      </c>
      <c r="AP411">
        <f>IF(ISNUMBER($AO411),$AO411*$AM411,"")</f>
        <v/>
      </c>
      <c r="AQ411">
        <f>IF(ISNUMBER($AN411),ABS(IF(ISNUMBER($G411),$G411,0)-Settings!$B$25),"")</f>
        <v/>
      </c>
      <c r="AR411">
        <f>IF(ISNUMBER($AQ411),$AQ411*$AN411,"")</f>
        <v/>
      </c>
      <c r="AS411">
        <f>IF($A411="","",IFERROR(INDEX(Company_List!$H$3:$H$207,MATCH($A411,Company_List!$A$3:$A$207,0)),"unassigned"))</f>
        <v/>
      </c>
    </row>
    <row r="412">
      <c r="A412" s="1" t="n"/>
      <c r="B412" s="120" t="n"/>
      <c r="AG412">
        <f>IF($A412="","",IFERROR(INDEX(Company_List!$G$3:$G$207,MATCH($A412,Company_List!$A$3:$A$207,0)),"unassigned"))</f>
        <v/>
      </c>
      <c r="AK412">
        <f>IF($A412="","",IF(COUNTIFS(Human_Data_Entry!$A$3:$A$525,$A412)&gt;0,"YES","NO"))</f>
        <v/>
      </c>
      <c r="AL412">
        <f>IF($A412="","",IF(AND($C412&amp;"-"&amp;$D412&gt;=Settings!$B$19,$C412&amp;"-"&amp;$D412&lt;=Settings!$B$20),"IN","OUT"))</f>
        <v/>
      </c>
      <c r="AM412">
        <f>IF(AND(OR($H412="BUY",$H412="SELL"),ISNUMBER($T412)),$T412,"")</f>
        <v/>
      </c>
      <c r="AN412">
        <f>IF(AND(OR($H412="BUY",$H412="SELL"),ISNUMBER($AF412)),$AF412,"")</f>
        <v/>
      </c>
      <c r="AO412">
        <f>IF(ISNUMBER($AM412),ABS(IF(ISNUMBER($G412),$G412,0)-Settings!$B$25),"")</f>
        <v/>
      </c>
      <c r="AP412">
        <f>IF(ISNUMBER($AO412),$AO412*$AM412,"")</f>
        <v/>
      </c>
      <c r="AQ412">
        <f>IF(ISNUMBER($AN412),ABS(IF(ISNUMBER($G412),$G412,0)-Settings!$B$25),"")</f>
        <v/>
      </c>
      <c r="AR412">
        <f>IF(ISNUMBER($AQ412),$AQ412*$AN412,"")</f>
        <v/>
      </c>
      <c r="AS412">
        <f>IF($A412="","",IFERROR(INDEX(Company_List!$H$3:$H$207,MATCH($A412,Company_List!$A$3:$A$207,0)),"unassigned"))</f>
        <v/>
      </c>
    </row>
    <row r="413">
      <c r="A413" s="1" t="n"/>
      <c r="B413" s="120" t="n"/>
      <c r="AG413">
        <f>IF($A413="","",IFERROR(INDEX(Company_List!$G$3:$G$207,MATCH($A413,Company_List!$A$3:$A$207,0)),"unassigned"))</f>
        <v/>
      </c>
      <c r="AK413">
        <f>IF($A413="","",IF(COUNTIFS(Human_Data_Entry!$A$3:$A$525,$A413)&gt;0,"YES","NO"))</f>
        <v/>
      </c>
      <c r="AL413">
        <f>IF($A413="","",IF(AND($C413&amp;"-"&amp;$D413&gt;=Settings!$B$19,$C413&amp;"-"&amp;$D413&lt;=Settings!$B$20),"IN","OUT"))</f>
        <v/>
      </c>
      <c r="AM413">
        <f>IF(AND(OR($H413="BUY",$H413="SELL"),ISNUMBER($T413)),$T413,"")</f>
        <v/>
      </c>
      <c r="AN413">
        <f>IF(AND(OR($H413="BUY",$H413="SELL"),ISNUMBER($AF413)),$AF413,"")</f>
        <v/>
      </c>
      <c r="AO413">
        <f>IF(ISNUMBER($AM413),ABS(IF(ISNUMBER($G413),$G413,0)-Settings!$B$25),"")</f>
        <v/>
      </c>
      <c r="AP413">
        <f>IF(ISNUMBER($AO413),$AO413*$AM413,"")</f>
        <v/>
      </c>
      <c r="AQ413">
        <f>IF(ISNUMBER($AN413),ABS(IF(ISNUMBER($G413),$G413,0)-Settings!$B$25),"")</f>
        <v/>
      </c>
      <c r="AR413">
        <f>IF(ISNUMBER($AQ413),$AQ413*$AN413,"")</f>
        <v/>
      </c>
      <c r="AS413">
        <f>IF($A413="","",IFERROR(INDEX(Company_List!$H$3:$H$207,MATCH($A413,Company_List!$A$3:$A$207,0)),"unassigned"))</f>
        <v/>
      </c>
    </row>
    <row r="414">
      <c r="A414" s="1" t="n"/>
      <c r="B414" s="120" t="n"/>
      <c r="AG414">
        <f>IF($A414="","",IFERROR(INDEX(Company_List!$G$3:$G$207,MATCH($A414,Company_List!$A$3:$A$207,0)),"unassigned"))</f>
        <v/>
      </c>
      <c r="AK414">
        <f>IF($A414="","",IF(COUNTIFS(Human_Data_Entry!$A$3:$A$525,$A414)&gt;0,"YES","NO"))</f>
        <v/>
      </c>
      <c r="AL414">
        <f>IF($A414="","",IF(AND($C414&amp;"-"&amp;$D414&gt;=Settings!$B$19,$C414&amp;"-"&amp;$D414&lt;=Settings!$B$20),"IN","OUT"))</f>
        <v/>
      </c>
      <c r="AM414">
        <f>IF(AND(OR($H414="BUY",$H414="SELL"),ISNUMBER($T414)),$T414,"")</f>
        <v/>
      </c>
      <c r="AN414">
        <f>IF(AND(OR($H414="BUY",$H414="SELL"),ISNUMBER($AF414)),$AF414,"")</f>
        <v/>
      </c>
      <c r="AO414">
        <f>IF(ISNUMBER($AM414),ABS(IF(ISNUMBER($G414),$G414,0)-Settings!$B$25),"")</f>
        <v/>
      </c>
      <c r="AP414">
        <f>IF(ISNUMBER($AO414),$AO414*$AM414,"")</f>
        <v/>
      </c>
      <c r="AQ414">
        <f>IF(ISNUMBER($AN414),ABS(IF(ISNUMBER($G414),$G414,0)-Settings!$B$25),"")</f>
        <v/>
      </c>
      <c r="AR414">
        <f>IF(ISNUMBER($AQ414),$AQ414*$AN414,"")</f>
        <v/>
      </c>
      <c r="AS414">
        <f>IF($A414="","",IFERROR(INDEX(Company_List!$H$3:$H$207,MATCH($A414,Company_List!$A$3:$A$207,0)),"unassigned"))</f>
        <v/>
      </c>
    </row>
    <row r="415">
      <c r="A415" s="1" t="n"/>
      <c r="B415" s="120" t="n"/>
      <c r="AG415">
        <f>IF($A415="","",IFERROR(INDEX(Company_List!$G$3:$G$207,MATCH($A415,Company_List!$A$3:$A$207,0)),"unassigned"))</f>
        <v/>
      </c>
      <c r="AK415">
        <f>IF($A415="","",IF(COUNTIFS(Human_Data_Entry!$A$3:$A$525,$A415)&gt;0,"YES","NO"))</f>
        <v/>
      </c>
      <c r="AL415">
        <f>IF($A415="","",IF(AND($C415&amp;"-"&amp;$D415&gt;=Settings!$B$19,$C415&amp;"-"&amp;$D415&lt;=Settings!$B$20),"IN","OUT"))</f>
        <v/>
      </c>
      <c r="AM415">
        <f>IF(AND(OR($H415="BUY",$H415="SELL"),ISNUMBER($T415)),$T415,"")</f>
        <v/>
      </c>
      <c r="AN415">
        <f>IF(AND(OR($H415="BUY",$H415="SELL"),ISNUMBER($AF415)),$AF415,"")</f>
        <v/>
      </c>
      <c r="AO415">
        <f>IF(ISNUMBER($AM415),ABS(IF(ISNUMBER($G415),$G415,0)-Settings!$B$25),"")</f>
        <v/>
      </c>
      <c r="AP415">
        <f>IF(ISNUMBER($AO415),$AO415*$AM415,"")</f>
        <v/>
      </c>
      <c r="AQ415">
        <f>IF(ISNUMBER($AN415),ABS(IF(ISNUMBER($G415),$G415,0)-Settings!$B$25),"")</f>
        <v/>
      </c>
      <c r="AR415">
        <f>IF(ISNUMBER($AQ415),$AQ415*$AN415,"")</f>
        <v/>
      </c>
      <c r="AS415">
        <f>IF($A415="","",IFERROR(INDEX(Company_List!$H$3:$H$207,MATCH($A415,Company_List!$A$3:$A$207,0)),"unassigned"))</f>
        <v/>
      </c>
    </row>
    <row r="416">
      <c r="A416" s="1" t="n"/>
      <c r="B416" s="120" t="n"/>
      <c r="AG416">
        <f>IF($A416="","",IFERROR(INDEX(Company_List!$G$3:$G$207,MATCH($A416,Company_List!$A$3:$A$207,0)),"unassigned"))</f>
        <v/>
      </c>
      <c r="AK416">
        <f>IF($A416="","",IF(COUNTIFS(Human_Data_Entry!$A$3:$A$525,$A416)&gt;0,"YES","NO"))</f>
        <v/>
      </c>
      <c r="AL416">
        <f>IF($A416="","",IF(AND($C416&amp;"-"&amp;$D416&gt;=Settings!$B$19,$C416&amp;"-"&amp;$D416&lt;=Settings!$B$20),"IN","OUT"))</f>
        <v/>
      </c>
      <c r="AM416">
        <f>IF(AND(OR($H416="BUY",$H416="SELL"),ISNUMBER($T416)),$T416,"")</f>
        <v/>
      </c>
      <c r="AN416">
        <f>IF(AND(OR($H416="BUY",$H416="SELL"),ISNUMBER($AF416)),$AF416,"")</f>
        <v/>
      </c>
      <c r="AO416">
        <f>IF(ISNUMBER($AM416),ABS(IF(ISNUMBER($G416),$G416,0)-Settings!$B$25),"")</f>
        <v/>
      </c>
      <c r="AP416">
        <f>IF(ISNUMBER($AO416),$AO416*$AM416,"")</f>
        <v/>
      </c>
      <c r="AQ416">
        <f>IF(ISNUMBER($AN416),ABS(IF(ISNUMBER($G416),$G416,0)-Settings!$B$25),"")</f>
        <v/>
      </c>
      <c r="AR416">
        <f>IF(ISNUMBER($AQ416),$AQ416*$AN416,"")</f>
        <v/>
      </c>
      <c r="AS416">
        <f>IF($A416="","",IFERROR(INDEX(Company_List!$H$3:$H$207,MATCH($A416,Company_List!$A$3:$A$207,0)),"unassigned"))</f>
        <v/>
      </c>
    </row>
    <row r="417">
      <c r="A417" s="1" t="n"/>
      <c r="B417" s="120" t="n"/>
      <c r="AG417">
        <f>IF($A417="","",IFERROR(INDEX(Company_List!$G$3:$G$207,MATCH($A417,Company_List!$A$3:$A$207,0)),"unassigned"))</f>
        <v/>
      </c>
      <c r="AK417">
        <f>IF($A417="","",IF(COUNTIFS(Human_Data_Entry!$A$3:$A$525,$A417)&gt;0,"YES","NO"))</f>
        <v/>
      </c>
      <c r="AL417">
        <f>IF($A417="","",IF(AND($C417&amp;"-"&amp;$D417&gt;=Settings!$B$19,$C417&amp;"-"&amp;$D417&lt;=Settings!$B$20),"IN","OUT"))</f>
        <v/>
      </c>
      <c r="AM417">
        <f>IF(AND(OR($H417="BUY",$H417="SELL"),ISNUMBER($T417)),$T417,"")</f>
        <v/>
      </c>
      <c r="AN417">
        <f>IF(AND(OR($H417="BUY",$H417="SELL"),ISNUMBER($AF417)),$AF417,"")</f>
        <v/>
      </c>
      <c r="AO417">
        <f>IF(ISNUMBER($AM417),ABS(IF(ISNUMBER($G417),$G417,0)-Settings!$B$25),"")</f>
        <v/>
      </c>
      <c r="AP417">
        <f>IF(ISNUMBER($AO417),$AO417*$AM417,"")</f>
        <v/>
      </c>
      <c r="AQ417">
        <f>IF(ISNUMBER($AN417),ABS(IF(ISNUMBER($G417),$G417,0)-Settings!$B$25),"")</f>
        <v/>
      </c>
      <c r="AR417">
        <f>IF(ISNUMBER($AQ417),$AQ417*$AN417,"")</f>
        <v/>
      </c>
      <c r="AS417">
        <f>IF($A417="","",IFERROR(INDEX(Company_List!$H$3:$H$207,MATCH($A417,Company_List!$A$3:$A$207,0)),"unassigned"))</f>
        <v/>
      </c>
    </row>
    <row r="418">
      <c r="A418" s="1" t="n"/>
      <c r="B418" s="120" t="n"/>
      <c r="AG418">
        <f>IF($A418="","",IFERROR(INDEX(Company_List!$G$3:$G$207,MATCH($A418,Company_List!$A$3:$A$207,0)),"unassigned"))</f>
        <v/>
      </c>
      <c r="AK418">
        <f>IF($A418="","",IF(COUNTIFS(Human_Data_Entry!$A$3:$A$525,$A418)&gt;0,"YES","NO"))</f>
        <v/>
      </c>
      <c r="AL418">
        <f>IF($A418="","",IF(AND($C418&amp;"-"&amp;$D418&gt;=Settings!$B$19,$C418&amp;"-"&amp;$D418&lt;=Settings!$B$20),"IN","OUT"))</f>
        <v/>
      </c>
      <c r="AM418">
        <f>IF(AND(OR($H418="BUY",$H418="SELL"),ISNUMBER($T418)),$T418,"")</f>
        <v/>
      </c>
      <c r="AN418">
        <f>IF(AND(OR($H418="BUY",$H418="SELL"),ISNUMBER($AF418)),$AF418,"")</f>
        <v/>
      </c>
      <c r="AO418">
        <f>IF(ISNUMBER($AM418),ABS(IF(ISNUMBER($G418),$G418,0)-Settings!$B$25),"")</f>
        <v/>
      </c>
      <c r="AP418">
        <f>IF(ISNUMBER($AO418),$AO418*$AM418,"")</f>
        <v/>
      </c>
      <c r="AQ418">
        <f>IF(ISNUMBER($AN418),ABS(IF(ISNUMBER($G418),$G418,0)-Settings!$B$25),"")</f>
        <v/>
      </c>
      <c r="AR418">
        <f>IF(ISNUMBER($AQ418),$AQ418*$AN418,"")</f>
        <v/>
      </c>
      <c r="AS418">
        <f>IF($A418="","",IFERROR(INDEX(Company_List!$H$3:$H$207,MATCH($A418,Company_List!$A$3:$A$207,0)),"unassigned"))</f>
        <v/>
      </c>
    </row>
    <row r="419">
      <c r="A419" s="1" t="n"/>
      <c r="B419" s="120" t="n"/>
      <c r="AG419">
        <f>IF($A419="","",IFERROR(INDEX(Company_List!$G$3:$G$207,MATCH($A419,Company_List!$A$3:$A$207,0)),"unassigned"))</f>
        <v/>
      </c>
      <c r="AK419">
        <f>IF($A419="","",IF(COUNTIFS(Human_Data_Entry!$A$3:$A$525,$A419)&gt;0,"YES","NO"))</f>
        <v/>
      </c>
      <c r="AL419">
        <f>IF($A419="","",IF(AND($C419&amp;"-"&amp;$D419&gt;=Settings!$B$19,$C419&amp;"-"&amp;$D419&lt;=Settings!$B$20),"IN","OUT"))</f>
        <v/>
      </c>
      <c r="AM419">
        <f>IF(AND(OR($H419="BUY",$H419="SELL"),ISNUMBER($T419)),$T419,"")</f>
        <v/>
      </c>
      <c r="AN419">
        <f>IF(AND(OR($H419="BUY",$H419="SELL"),ISNUMBER($AF419)),$AF419,"")</f>
        <v/>
      </c>
      <c r="AO419">
        <f>IF(ISNUMBER($AM419),ABS(IF(ISNUMBER($G419),$G419,0)-Settings!$B$25),"")</f>
        <v/>
      </c>
      <c r="AP419">
        <f>IF(ISNUMBER($AO419),$AO419*$AM419,"")</f>
        <v/>
      </c>
      <c r="AQ419">
        <f>IF(ISNUMBER($AN419),ABS(IF(ISNUMBER($G419),$G419,0)-Settings!$B$25),"")</f>
        <v/>
      </c>
      <c r="AR419">
        <f>IF(ISNUMBER($AQ419),$AQ419*$AN419,"")</f>
        <v/>
      </c>
      <c r="AS419">
        <f>IF($A419="","",IFERROR(INDEX(Company_List!$H$3:$H$207,MATCH($A419,Company_List!$A$3:$A$207,0)),"unassigned"))</f>
        <v/>
      </c>
    </row>
    <row r="420">
      <c r="A420" s="1" t="n"/>
      <c r="B420" s="120" t="n"/>
      <c r="AG420">
        <f>IF($A420="","",IFERROR(INDEX(Company_List!$G$3:$G$207,MATCH($A420,Company_List!$A$3:$A$207,0)),"unassigned"))</f>
        <v/>
      </c>
      <c r="AK420">
        <f>IF($A420="","",IF(COUNTIFS(Human_Data_Entry!$A$3:$A$525,$A420)&gt;0,"YES","NO"))</f>
        <v/>
      </c>
      <c r="AL420">
        <f>IF($A420="","",IF(AND($C420&amp;"-"&amp;$D420&gt;=Settings!$B$19,$C420&amp;"-"&amp;$D420&lt;=Settings!$B$20),"IN","OUT"))</f>
        <v/>
      </c>
      <c r="AM420">
        <f>IF(AND(OR($H420="BUY",$H420="SELL"),ISNUMBER($T420)),$T420,"")</f>
        <v/>
      </c>
      <c r="AN420">
        <f>IF(AND(OR($H420="BUY",$H420="SELL"),ISNUMBER($AF420)),$AF420,"")</f>
        <v/>
      </c>
      <c r="AO420">
        <f>IF(ISNUMBER($AM420),ABS(IF(ISNUMBER($G420),$G420,0)-Settings!$B$25),"")</f>
        <v/>
      </c>
      <c r="AP420">
        <f>IF(ISNUMBER($AO420),$AO420*$AM420,"")</f>
        <v/>
      </c>
      <c r="AQ420">
        <f>IF(ISNUMBER($AN420),ABS(IF(ISNUMBER($G420),$G420,0)-Settings!$B$25),"")</f>
        <v/>
      </c>
      <c r="AR420">
        <f>IF(ISNUMBER($AQ420),$AQ420*$AN420,"")</f>
        <v/>
      </c>
      <c r="AS420">
        <f>IF($A420="","",IFERROR(INDEX(Company_List!$H$3:$H$207,MATCH($A420,Company_List!$A$3:$A$207,0)),"unassigned"))</f>
        <v/>
      </c>
    </row>
    <row r="421">
      <c r="A421" s="1" t="n"/>
      <c r="B421" s="120" t="n"/>
      <c r="AG421">
        <f>IF($A421="","",IFERROR(INDEX(Company_List!$G$3:$G$207,MATCH($A421,Company_List!$A$3:$A$207,0)),"unassigned"))</f>
        <v/>
      </c>
      <c r="AK421">
        <f>IF($A421="","",IF(COUNTIFS(Human_Data_Entry!$A$3:$A$525,$A421)&gt;0,"YES","NO"))</f>
        <v/>
      </c>
      <c r="AL421">
        <f>IF($A421="","",IF(AND($C421&amp;"-"&amp;$D421&gt;=Settings!$B$19,$C421&amp;"-"&amp;$D421&lt;=Settings!$B$20),"IN","OUT"))</f>
        <v/>
      </c>
      <c r="AM421">
        <f>IF(AND(OR($H421="BUY",$H421="SELL"),ISNUMBER($T421)),$T421,"")</f>
        <v/>
      </c>
      <c r="AN421">
        <f>IF(AND(OR($H421="BUY",$H421="SELL"),ISNUMBER($AF421)),$AF421,"")</f>
        <v/>
      </c>
      <c r="AO421">
        <f>IF(ISNUMBER($AM421),ABS(IF(ISNUMBER($G421),$G421,0)-Settings!$B$25),"")</f>
        <v/>
      </c>
      <c r="AP421">
        <f>IF(ISNUMBER($AO421),$AO421*$AM421,"")</f>
        <v/>
      </c>
      <c r="AQ421">
        <f>IF(ISNUMBER($AN421),ABS(IF(ISNUMBER($G421),$G421,0)-Settings!$B$25),"")</f>
        <v/>
      </c>
      <c r="AR421">
        <f>IF(ISNUMBER($AQ421),$AQ421*$AN421,"")</f>
        <v/>
      </c>
      <c r="AS421">
        <f>IF($A421="","",IFERROR(INDEX(Company_List!$H$3:$H$207,MATCH($A421,Company_List!$A$3:$A$207,0)),"unassigned"))</f>
        <v/>
      </c>
    </row>
    <row r="422">
      <c r="A422" s="1" t="n"/>
      <c r="B422" s="120" t="n"/>
      <c r="AG422">
        <f>IF($A422="","",IFERROR(INDEX(Company_List!$G$3:$G$207,MATCH($A422,Company_List!$A$3:$A$207,0)),"unassigned"))</f>
        <v/>
      </c>
      <c r="AK422">
        <f>IF($A422="","",IF(COUNTIFS(Human_Data_Entry!$A$3:$A$525,$A422)&gt;0,"YES","NO"))</f>
        <v/>
      </c>
      <c r="AL422">
        <f>IF($A422="","",IF(AND($C422&amp;"-"&amp;$D422&gt;=Settings!$B$19,$C422&amp;"-"&amp;$D422&lt;=Settings!$B$20),"IN","OUT"))</f>
        <v/>
      </c>
      <c r="AM422">
        <f>IF(AND(OR($H422="BUY",$H422="SELL"),ISNUMBER($T422)),$T422,"")</f>
        <v/>
      </c>
      <c r="AN422">
        <f>IF(AND(OR($H422="BUY",$H422="SELL"),ISNUMBER($AF422)),$AF422,"")</f>
        <v/>
      </c>
      <c r="AO422">
        <f>IF(ISNUMBER($AM422),ABS(IF(ISNUMBER($G422),$G422,0)-Settings!$B$25),"")</f>
        <v/>
      </c>
      <c r="AP422">
        <f>IF(ISNUMBER($AO422),$AO422*$AM422,"")</f>
        <v/>
      </c>
      <c r="AQ422">
        <f>IF(ISNUMBER($AN422),ABS(IF(ISNUMBER($G422),$G422,0)-Settings!$B$25),"")</f>
        <v/>
      </c>
      <c r="AR422">
        <f>IF(ISNUMBER($AQ422),$AQ422*$AN422,"")</f>
        <v/>
      </c>
      <c r="AS422">
        <f>IF($A422="","",IFERROR(INDEX(Company_List!$H$3:$H$207,MATCH($A422,Company_List!$A$3:$A$207,0)),"unassigned"))</f>
        <v/>
      </c>
    </row>
    <row r="423">
      <c r="A423" s="1" t="n"/>
      <c r="B423" s="120" t="n"/>
      <c r="AG423">
        <f>IF($A423="","",IFERROR(INDEX(Company_List!$G$3:$G$207,MATCH($A423,Company_List!$A$3:$A$207,0)),"unassigned"))</f>
        <v/>
      </c>
      <c r="AK423">
        <f>IF($A423="","",IF(COUNTIFS(Human_Data_Entry!$A$3:$A$525,$A423)&gt;0,"YES","NO"))</f>
        <v/>
      </c>
      <c r="AL423">
        <f>IF($A423="","",IF(AND($C423&amp;"-"&amp;$D423&gt;=Settings!$B$19,$C423&amp;"-"&amp;$D423&lt;=Settings!$B$20),"IN","OUT"))</f>
        <v/>
      </c>
      <c r="AM423">
        <f>IF(AND(OR($H423="BUY",$H423="SELL"),ISNUMBER($T423)),$T423,"")</f>
        <v/>
      </c>
      <c r="AN423">
        <f>IF(AND(OR($H423="BUY",$H423="SELL"),ISNUMBER($AF423)),$AF423,"")</f>
        <v/>
      </c>
      <c r="AO423">
        <f>IF(ISNUMBER($AM423),ABS(IF(ISNUMBER($G423),$G423,0)-Settings!$B$25),"")</f>
        <v/>
      </c>
      <c r="AP423">
        <f>IF(ISNUMBER($AO423),$AO423*$AM423,"")</f>
        <v/>
      </c>
      <c r="AQ423">
        <f>IF(ISNUMBER($AN423),ABS(IF(ISNUMBER($G423),$G423,0)-Settings!$B$25),"")</f>
        <v/>
      </c>
      <c r="AR423">
        <f>IF(ISNUMBER($AQ423),$AQ423*$AN423,"")</f>
        <v/>
      </c>
      <c r="AS423">
        <f>IF($A423="","",IFERROR(INDEX(Company_List!$H$3:$H$207,MATCH($A423,Company_List!$A$3:$A$207,0)),"unassigned"))</f>
        <v/>
      </c>
    </row>
    <row r="424">
      <c r="A424" s="1" t="n"/>
      <c r="B424" s="120" t="n"/>
      <c r="AG424">
        <f>IF($A424="","",IFERROR(INDEX(Company_List!$G$3:$G$207,MATCH($A424,Company_List!$A$3:$A$207,0)),"unassigned"))</f>
        <v/>
      </c>
      <c r="AK424">
        <f>IF($A424="","",IF(COUNTIFS(Human_Data_Entry!$A$3:$A$525,$A424)&gt;0,"YES","NO"))</f>
        <v/>
      </c>
      <c r="AL424">
        <f>IF($A424="","",IF(AND($C424&amp;"-"&amp;$D424&gt;=Settings!$B$19,$C424&amp;"-"&amp;$D424&lt;=Settings!$B$20),"IN","OUT"))</f>
        <v/>
      </c>
      <c r="AM424">
        <f>IF(AND(OR($H424="BUY",$H424="SELL"),ISNUMBER($T424)),$T424,"")</f>
        <v/>
      </c>
      <c r="AN424">
        <f>IF(AND(OR($H424="BUY",$H424="SELL"),ISNUMBER($AF424)),$AF424,"")</f>
        <v/>
      </c>
      <c r="AO424">
        <f>IF(ISNUMBER($AM424),ABS(IF(ISNUMBER($G424),$G424,0)-Settings!$B$25),"")</f>
        <v/>
      </c>
      <c r="AP424">
        <f>IF(ISNUMBER($AO424),$AO424*$AM424,"")</f>
        <v/>
      </c>
      <c r="AQ424">
        <f>IF(ISNUMBER($AN424),ABS(IF(ISNUMBER($G424),$G424,0)-Settings!$B$25),"")</f>
        <v/>
      </c>
      <c r="AR424">
        <f>IF(ISNUMBER($AQ424),$AQ424*$AN424,"")</f>
        <v/>
      </c>
      <c r="AS424">
        <f>IF($A424="","",IFERROR(INDEX(Company_List!$H$3:$H$207,MATCH($A424,Company_List!$A$3:$A$207,0)),"unassigned"))</f>
        <v/>
      </c>
    </row>
    <row r="425">
      <c r="A425" s="1" t="n"/>
      <c r="B425" s="120" t="n"/>
      <c r="AG425">
        <f>IF($A425="","",IFERROR(INDEX(Company_List!$G$3:$G$207,MATCH($A425,Company_List!$A$3:$A$207,0)),"unassigned"))</f>
        <v/>
      </c>
      <c r="AK425">
        <f>IF($A425="","",IF(COUNTIFS(Human_Data_Entry!$A$3:$A$525,$A425)&gt;0,"YES","NO"))</f>
        <v/>
      </c>
      <c r="AL425">
        <f>IF($A425="","",IF(AND($C425&amp;"-"&amp;$D425&gt;=Settings!$B$19,$C425&amp;"-"&amp;$D425&lt;=Settings!$B$20),"IN","OUT"))</f>
        <v/>
      </c>
      <c r="AM425">
        <f>IF(AND(OR($H425="BUY",$H425="SELL"),ISNUMBER($T425)),$T425,"")</f>
        <v/>
      </c>
      <c r="AN425">
        <f>IF(AND(OR($H425="BUY",$H425="SELL"),ISNUMBER($AF425)),$AF425,"")</f>
        <v/>
      </c>
      <c r="AO425">
        <f>IF(ISNUMBER($AM425),ABS(IF(ISNUMBER($G425),$G425,0)-Settings!$B$25),"")</f>
        <v/>
      </c>
      <c r="AP425">
        <f>IF(ISNUMBER($AO425),$AO425*$AM425,"")</f>
        <v/>
      </c>
      <c r="AQ425">
        <f>IF(ISNUMBER($AN425),ABS(IF(ISNUMBER($G425),$G425,0)-Settings!$B$25),"")</f>
        <v/>
      </c>
      <c r="AR425">
        <f>IF(ISNUMBER($AQ425),$AQ425*$AN425,"")</f>
        <v/>
      </c>
      <c r="AS425">
        <f>IF($A425="","",IFERROR(INDEX(Company_List!$H$3:$H$207,MATCH($A425,Company_List!$A$3:$A$207,0)),"unassigned"))</f>
        <v/>
      </c>
    </row>
    <row r="426">
      <c r="A426" s="1" t="n"/>
      <c r="B426" s="120" t="n"/>
      <c r="AG426">
        <f>IF($A426="","",IFERROR(INDEX(Company_List!$G$3:$G$207,MATCH($A426,Company_List!$A$3:$A$207,0)),"unassigned"))</f>
        <v/>
      </c>
      <c r="AK426">
        <f>IF($A426="","",IF(COUNTIFS(Human_Data_Entry!$A$3:$A$525,$A426)&gt;0,"YES","NO"))</f>
        <v/>
      </c>
      <c r="AL426">
        <f>IF($A426="","",IF(AND($C426&amp;"-"&amp;$D426&gt;=Settings!$B$19,$C426&amp;"-"&amp;$D426&lt;=Settings!$B$20),"IN","OUT"))</f>
        <v/>
      </c>
      <c r="AM426">
        <f>IF(AND(OR($H426="BUY",$H426="SELL"),ISNUMBER($T426)),$T426,"")</f>
        <v/>
      </c>
      <c r="AN426">
        <f>IF(AND(OR($H426="BUY",$H426="SELL"),ISNUMBER($AF426)),$AF426,"")</f>
        <v/>
      </c>
      <c r="AO426">
        <f>IF(ISNUMBER($AM426),ABS(IF(ISNUMBER($G426),$G426,0)-Settings!$B$25),"")</f>
        <v/>
      </c>
      <c r="AP426">
        <f>IF(ISNUMBER($AO426),$AO426*$AM426,"")</f>
        <v/>
      </c>
      <c r="AQ426">
        <f>IF(ISNUMBER($AN426),ABS(IF(ISNUMBER($G426),$G426,0)-Settings!$B$25),"")</f>
        <v/>
      </c>
      <c r="AR426">
        <f>IF(ISNUMBER($AQ426),$AQ426*$AN426,"")</f>
        <v/>
      </c>
      <c r="AS426">
        <f>IF($A426="","",IFERROR(INDEX(Company_List!$H$3:$H$207,MATCH($A426,Company_List!$A$3:$A$207,0)),"unassigned"))</f>
        <v/>
      </c>
    </row>
    <row r="427">
      <c r="A427" s="1" t="n"/>
      <c r="B427" s="120" t="n"/>
      <c r="AG427">
        <f>IF($A427="","",IFERROR(INDEX(Company_List!$G$3:$G$207,MATCH($A427,Company_List!$A$3:$A$207,0)),"unassigned"))</f>
        <v/>
      </c>
      <c r="AK427">
        <f>IF($A427="","",IF(COUNTIFS(Human_Data_Entry!$A$3:$A$525,$A427)&gt;0,"YES","NO"))</f>
        <v/>
      </c>
      <c r="AL427">
        <f>IF($A427="","",IF(AND($C427&amp;"-"&amp;$D427&gt;=Settings!$B$19,$C427&amp;"-"&amp;$D427&lt;=Settings!$B$20),"IN","OUT"))</f>
        <v/>
      </c>
      <c r="AM427">
        <f>IF(AND(OR($H427="BUY",$H427="SELL"),ISNUMBER($T427)),$T427,"")</f>
        <v/>
      </c>
      <c r="AN427">
        <f>IF(AND(OR($H427="BUY",$H427="SELL"),ISNUMBER($AF427)),$AF427,"")</f>
        <v/>
      </c>
      <c r="AO427">
        <f>IF(ISNUMBER($AM427),ABS(IF(ISNUMBER($G427),$G427,0)-Settings!$B$25),"")</f>
        <v/>
      </c>
      <c r="AP427">
        <f>IF(ISNUMBER($AO427),$AO427*$AM427,"")</f>
        <v/>
      </c>
      <c r="AQ427">
        <f>IF(ISNUMBER($AN427),ABS(IF(ISNUMBER($G427),$G427,0)-Settings!$B$25),"")</f>
        <v/>
      </c>
      <c r="AR427">
        <f>IF(ISNUMBER($AQ427),$AQ427*$AN427,"")</f>
        <v/>
      </c>
      <c r="AS427">
        <f>IF($A427="","",IFERROR(INDEX(Company_List!$H$3:$H$207,MATCH($A427,Company_List!$A$3:$A$207,0)),"unassigned"))</f>
        <v/>
      </c>
    </row>
    <row r="428">
      <c r="A428" s="1" t="n"/>
      <c r="B428" s="120" t="n"/>
      <c r="AG428">
        <f>IF($A428="","",IFERROR(INDEX(Company_List!$G$3:$G$207,MATCH($A428,Company_List!$A$3:$A$207,0)),"unassigned"))</f>
        <v/>
      </c>
      <c r="AK428">
        <f>IF($A428="","",IF(COUNTIFS(Human_Data_Entry!$A$3:$A$525,$A428)&gt;0,"YES","NO"))</f>
        <v/>
      </c>
      <c r="AL428">
        <f>IF($A428="","",IF(AND($C428&amp;"-"&amp;$D428&gt;=Settings!$B$19,$C428&amp;"-"&amp;$D428&lt;=Settings!$B$20),"IN","OUT"))</f>
        <v/>
      </c>
      <c r="AM428">
        <f>IF(AND(OR($H428="BUY",$H428="SELL"),ISNUMBER($T428)),$T428,"")</f>
        <v/>
      </c>
      <c r="AN428">
        <f>IF(AND(OR($H428="BUY",$H428="SELL"),ISNUMBER($AF428)),$AF428,"")</f>
        <v/>
      </c>
      <c r="AO428">
        <f>IF(ISNUMBER($AM428),ABS(IF(ISNUMBER($G428),$G428,0)-Settings!$B$25),"")</f>
        <v/>
      </c>
      <c r="AP428">
        <f>IF(ISNUMBER($AO428),$AO428*$AM428,"")</f>
        <v/>
      </c>
      <c r="AQ428">
        <f>IF(ISNUMBER($AN428),ABS(IF(ISNUMBER($G428),$G428,0)-Settings!$B$25),"")</f>
        <v/>
      </c>
      <c r="AR428">
        <f>IF(ISNUMBER($AQ428),$AQ428*$AN428,"")</f>
        <v/>
      </c>
      <c r="AS428">
        <f>IF($A428="","",IFERROR(INDEX(Company_List!$H$3:$H$207,MATCH($A428,Company_List!$A$3:$A$207,0)),"unassigned"))</f>
        <v/>
      </c>
    </row>
    <row r="429">
      <c r="A429" s="1" t="n"/>
      <c r="B429" s="120" t="n"/>
      <c r="AG429">
        <f>IF($A429="","",IFERROR(INDEX(Company_List!$G$3:$G$207,MATCH($A429,Company_List!$A$3:$A$207,0)),"unassigned"))</f>
        <v/>
      </c>
      <c r="AK429">
        <f>IF($A429="","",IF(COUNTIFS(Human_Data_Entry!$A$3:$A$525,$A429)&gt;0,"YES","NO"))</f>
        <v/>
      </c>
      <c r="AL429">
        <f>IF($A429="","",IF(AND($C429&amp;"-"&amp;$D429&gt;=Settings!$B$19,$C429&amp;"-"&amp;$D429&lt;=Settings!$B$20),"IN","OUT"))</f>
        <v/>
      </c>
      <c r="AM429">
        <f>IF(AND(OR($H429="BUY",$H429="SELL"),ISNUMBER($T429)),$T429,"")</f>
        <v/>
      </c>
      <c r="AN429">
        <f>IF(AND(OR($H429="BUY",$H429="SELL"),ISNUMBER($AF429)),$AF429,"")</f>
        <v/>
      </c>
      <c r="AO429">
        <f>IF(ISNUMBER($AM429),ABS(IF(ISNUMBER($G429),$G429,0)-Settings!$B$25),"")</f>
        <v/>
      </c>
      <c r="AP429">
        <f>IF(ISNUMBER($AO429),$AO429*$AM429,"")</f>
        <v/>
      </c>
      <c r="AQ429">
        <f>IF(ISNUMBER($AN429),ABS(IF(ISNUMBER($G429),$G429,0)-Settings!$B$25),"")</f>
        <v/>
      </c>
      <c r="AR429">
        <f>IF(ISNUMBER($AQ429),$AQ429*$AN429,"")</f>
        <v/>
      </c>
      <c r="AS429">
        <f>IF($A429="","",IFERROR(INDEX(Company_List!$H$3:$H$207,MATCH($A429,Company_List!$A$3:$A$207,0)),"unassigned"))</f>
        <v/>
      </c>
    </row>
    <row r="430">
      <c r="A430" s="1" t="n"/>
      <c r="B430" s="120" t="n"/>
      <c r="AG430">
        <f>IF($A430="","",IFERROR(INDEX(Company_List!$G$3:$G$207,MATCH($A430,Company_List!$A$3:$A$207,0)),"unassigned"))</f>
        <v/>
      </c>
      <c r="AK430">
        <f>IF($A430="","",IF(COUNTIFS(Human_Data_Entry!$A$3:$A$525,$A430)&gt;0,"YES","NO"))</f>
        <v/>
      </c>
      <c r="AL430">
        <f>IF($A430="","",IF(AND($C430&amp;"-"&amp;$D430&gt;=Settings!$B$19,$C430&amp;"-"&amp;$D430&lt;=Settings!$B$20),"IN","OUT"))</f>
        <v/>
      </c>
      <c r="AM430">
        <f>IF(AND(OR($H430="BUY",$H430="SELL"),ISNUMBER($T430)),$T430,"")</f>
        <v/>
      </c>
      <c r="AN430">
        <f>IF(AND(OR($H430="BUY",$H430="SELL"),ISNUMBER($AF430)),$AF430,"")</f>
        <v/>
      </c>
      <c r="AO430">
        <f>IF(ISNUMBER($AM430),ABS(IF(ISNUMBER($G430),$G430,0)-Settings!$B$25),"")</f>
        <v/>
      </c>
      <c r="AP430">
        <f>IF(ISNUMBER($AO430),$AO430*$AM430,"")</f>
        <v/>
      </c>
      <c r="AQ430">
        <f>IF(ISNUMBER($AN430),ABS(IF(ISNUMBER($G430),$G430,0)-Settings!$B$25),"")</f>
        <v/>
      </c>
      <c r="AR430">
        <f>IF(ISNUMBER($AQ430),$AQ430*$AN430,"")</f>
        <v/>
      </c>
      <c r="AS430">
        <f>IF($A430="","",IFERROR(INDEX(Company_List!$H$3:$H$207,MATCH($A430,Company_List!$A$3:$A$207,0)),"unassigned"))</f>
        <v/>
      </c>
    </row>
  </sheetData>
  <conditionalFormatting sqref="P3:P270 T3:T270">
    <cfRule type="cellIs" priority="5" operator="greaterThan" dxfId="19">
      <formula>0</formula>
    </cfRule>
    <cfRule type="cellIs" priority="6" operator="lessThan" dxfId="18">
      <formula>0</formula>
    </cfRule>
  </conditionalFormatting>
  <conditionalFormatting sqref="Q3:Q270">
    <cfRule type="cellIs" priority="7" operator="equal" dxfId="19">
      <formula>"UP"</formula>
    </cfRule>
    <cfRule type="cellIs" priority="8" operator="equal" dxfId="18">
      <formula>"DOWN"</formula>
    </cfRule>
  </conditionalFormatting>
  <conditionalFormatting sqref="R3:R270">
    <cfRule type="cellIs" priority="1" operator="equal" dxfId="17">
      <formula>"YES"</formula>
    </cfRule>
    <cfRule type="cellIs" priority="2" operator="equal" dxfId="16">
      <formula>"NO"</formula>
    </cfRule>
  </conditionalFormatting>
  <dataValidations count="6">
    <dataValidation sqref="A3:A548" showDropDown="0" showInputMessage="1" showErrorMessage="1" allowBlank="1" errorTitle="Not on the list" error="Use the dropdown. Free text here will break the Summary counts." promptTitle="Company" prompt="Pick from the company list." type="list">
      <formula1>CompanyList</formula1>
    </dataValidation>
    <dataValidation sqref="C3:C548" showDropDown="0" showInputMessage="1" showErrorMessage="1" allowBlank="1" errorTitle="Not on the list" error="Use the dropdown. Free text here will break the Summary counts." promptTitle="Year" prompt="Pick a year." type="list">
      <formula1>YearList</formula1>
    </dataValidation>
    <dataValidation sqref="D3:D548" showDropDown="0" showInputMessage="1" showErrorMessage="1" allowBlank="1" errorTitle="Not on the list" error="Use the dropdown. Free text here will break the Summary counts." promptTitle="Quarter" prompt="Pick Q1 to Q4." type="list">
      <formula1>QuarterList</formula1>
    </dataValidation>
    <dataValidation sqref="E3:E548" showDropDown="0" showInputMessage="1" showErrorMessage="1" allowBlank="1" errorTitle="Not on the list" error="Use the dropdown. Free text here will break the Summary counts." promptTitle="Rater" prompt="Pick a rater from Settings." type="list">
      <formula1>RaterList</formula1>
    </dataValidation>
    <dataValidation sqref="H3:H548" showDropDown="0" showInputMessage="1" showErrorMessage="1" allowBlank="1" errorTitle="Not on the list" error="Use the dropdown. Free text here will break the Summary counts." promptTitle="Decision" prompt="Pick BUY, HOLD or SELL." type="list">
      <formula1>DecisionList</formula1>
    </dataValidation>
    <dataValidation sqref="G3:G548" showDropDown="0" showInputMessage="0" showErrorMessage="1" allowBlank="1" errorTitle="Out of range" error="Sentiment must be between -1.00 and +1.00." type="decimal">
      <formula1>-1</formula1>
      <formula2>1</formula2>
    </dataValidation>
  </dataValidations>
  <pageMargins left="0.75" right="0.75" top="1" bottom="1"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461"/>
  <sheetViews>
    <sheetView showGridLines="0" zoomScaleNormal="100" workbookViewId="0">
      <pane ySplit="4" topLeftCell="A5" activePane="bottomLeft" state="frozen"/>
      <selection pane="bottomLeft" activeCell="U21" sqref="U21"/>
    </sheetView>
  </sheetViews>
  <sheetFormatPr baseColWidth="8" defaultColWidth="8.7109375" defaultRowHeight="15"/>
  <cols>
    <col width="24" customWidth="1" min="1" max="1"/>
    <col width="11" bestFit="1" customWidth="1" min="2" max="2"/>
    <col width="14.7109375" bestFit="1" customWidth="1" min="3" max="3"/>
    <col width="12.7109375" bestFit="1" customWidth="1" min="4" max="4"/>
    <col width="10" customWidth="1" min="5" max="7"/>
    <col width="3" customWidth="1" min="8" max="8"/>
    <col width="22" bestFit="1" customWidth="1" min="9" max="9"/>
    <col width="10" customWidth="1" style="2" min="10" max="10"/>
    <col width="11" customWidth="1" style="2" min="11" max="12"/>
    <col width="11" customWidth="1" style="4" min="13" max="14"/>
    <col width="11" customWidth="1" style="5" min="15" max="15"/>
    <col width="9" bestFit="1" customWidth="1" style="2" min="16" max="16"/>
    <col width="8" customWidth="1" style="2" min="17" max="17"/>
    <col width="9" customWidth="1" min="18" max="18"/>
  </cols>
  <sheetData>
    <row r="1" ht="24" customHeight="1">
      <c r="A1" s="9" t="inlineStr">
        <is>
          <t>Results Summary</t>
        </is>
      </c>
    </row>
    <row r="2" ht="8.1" customHeight="1"/>
    <row r="3" ht="20.1" customHeight="1">
      <c r="A3" s="10" t="inlineStr">
        <is>
          <t>Accuracy by Rater</t>
        </is>
      </c>
      <c r="I3" s="10" t="inlineStr">
        <is>
          <t>P&amp;L by Rater</t>
        </is>
      </c>
      <c r="M3" s="2" t="n"/>
      <c r="O3" s="6" t="n"/>
    </row>
    <row r="4" ht="30" customHeight="1">
      <c r="A4" s="17" t="inlineStr">
        <is>
          <t>Rater</t>
        </is>
      </c>
      <c r="B4" s="17" t="inlineStr">
        <is>
          <t>Type</t>
        </is>
      </c>
      <c r="C4" s="17" t="inlineStr">
        <is>
          <t># Predictions</t>
        </is>
      </c>
      <c r="D4" s="17" t="inlineStr">
        <is>
          <t># Correct</t>
        </is>
      </c>
      <c r="E4" s="17" t="inlineStr">
        <is>
          <t># Incorrect</t>
        </is>
      </c>
      <c r="F4" s="17" t="inlineStr">
        <is>
          <t>% Correct</t>
        </is>
      </c>
      <c r="G4" s="17" t="inlineStr">
        <is>
          <t>% Incorrect</t>
        </is>
      </c>
      <c r="I4" s="17" t="inlineStr">
        <is>
          <t>Rater</t>
        </is>
      </c>
      <c r="J4" s="17" t="inlineStr">
        <is>
          <t>Type</t>
        </is>
      </c>
      <c r="K4" s="17" t="inlineStr">
        <is>
          <t># Trades</t>
        </is>
      </c>
      <c r="L4" s="17" t="inlineStr">
        <is>
          <t>Trade Rate %</t>
        </is>
      </c>
      <c r="M4" s="26" t="inlineStr">
        <is>
          <t>Avg %/Trade</t>
        </is>
      </c>
      <c r="N4" s="26" t="inlineStr">
        <is>
          <t>Std Dev %/Trade</t>
        </is>
      </c>
      <c r="O4" s="17" t="inlineStr">
        <is>
          <t>Dir. Hit Rate %</t>
        </is>
      </c>
      <c r="P4" s="17" t="inlineStr">
        <is>
          <t>Correct</t>
        </is>
      </c>
      <c r="Q4" s="17" t="inlineStr">
        <is>
          <t>Flat</t>
        </is>
      </c>
      <c r="R4" s="17" t="inlineStr">
        <is>
          <t>Wrong</t>
        </is>
      </c>
    </row>
    <row r="5" ht="16.35" customHeight="1">
      <c r="A5" s="27" t="inlineStr">
        <is>
          <t>Anna</t>
        </is>
      </c>
      <c r="B5" s="28" t="inlineStr">
        <is>
          <t>Human</t>
        </is>
      </c>
      <c r="C5" s="29">
        <f>COUNTIFS(Human_Data_Entry!$G$3:$G$524,A5,Human_Data_Entry!$S$3:$S$524,"YES")+COUNTIFS(Human_Data_Entry!$G$3:$G$524,A5,Human_Data_Entry!$S$3:$S$524,"NO")</f>
        <v/>
      </c>
      <c r="D5" s="29">
        <f>COUNTIFS(Human_Data_Entry!$G$3:$G$524,A5,Human_Data_Entry!$S$3:$S$524,"YES")</f>
        <v/>
      </c>
      <c r="E5" s="30">
        <f>C5-D5</f>
        <v/>
      </c>
      <c r="F5" s="31">
        <f>IF(C5=0,"-",D5/C5)</f>
        <v/>
      </c>
      <c r="G5" s="31">
        <f>IF(C5=0,"-",E5/C5)</f>
        <v/>
      </c>
      <c r="H5" s="20" t="n"/>
      <c r="I5" s="27">
        <f>A5</f>
        <v/>
      </c>
      <c r="J5" s="27">
        <f>B5</f>
        <v/>
      </c>
      <c r="K5" s="29">
        <f>SUMPRODUCT((Human_Data_Entry!$G$3:$G$524=$I5)*((Human_Data_Entry!$J$3:$J$524="BUY")+(Human_Data_Entry!$J$3:$J$524="SELL"))*ISNUMBER(Human_Data_Entry!$U$3:$U$524))</f>
        <v/>
      </c>
      <c r="L5" s="32">
        <f>IF(C5=0,"-",K5/C5)</f>
        <v/>
      </c>
      <c r="M5" s="32">
        <f>IFERROR(AVERAGEIFS(Human_Data_Entry!$U$3:$U$524,Human_Data_Entry!$G$3:$G$524,$I5,Human_Data_Entry!$J$3:$J$524,"&lt;&gt;HOLD",Human_Data_Entry!$U$3:$U$524,"&lt;&gt;"),"")</f>
        <v/>
      </c>
      <c r="N5" s="32">
        <f t="array" ref="N5">IFERROR(STDEV(IF((Human_Data_Entry!$G$3:$G$524=I5)*(Human_Data_Entry!$J$3:$J$524&lt;&gt;"HOLD")*(Human_Data_Entry!$U$3:$U$524&lt;&gt;""),Human_Data_Entry!$U$3:$U$524)),"")</f>
        <v/>
      </c>
      <c r="O5" s="32">
        <f>IFERROR(COUNTIFS(Human_Data_Entry!$G$3:$G$524,$I5,Human_Data_Entry!$J$3:$J$524,"&lt;&gt;HOLD",Human_Data_Entry!$S$3:$S$524,"YES")/COUNTIFS(Human_Data_Entry!$G$3:$G$524,$I5,Human_Data_Entry!$J$3:$J$524,"&lt;&gt;HOLD",Human_Data_Entry!$S$3:$S$524,"?*"),"")</f>
        <v/>
      </c>
      <c r="P5" s="29">
        <f t="array" ref="P5">SUMPRODUCT((Human_Data_Entry!$G$3:$G$524=$I5)*(((Human_Data_Entry!$J$3:$J$524="BUY")*(Human_Data_Entry!$R$3:$R$524="UP"))+((Human_Data_Entry!$J$3:$J$524="SELL")*(Human_Data_Entry!$R$3:$R$524="DOWN"))))</f>
        <v/>
      </c>
      <c r="Q5" s="29">
        <f t="array" ref="Q5">SUMPRODUCT((Human_Data_Entry!$G$3:$G$524=$I5)*((Human_Data_Entry!$J$3:$J$524="BUY")+(Human_Data_Entry!$J$3:$J$524="SELL"))*(Human_Data_Entry!$R$3:$R$524="FLAT"))</f>
        <v/>
      </c>
      <c r="R5" s="29">
        <f t="array" ref="R5">SUMPRODUCT((Human_Data_Entry!$G$3:$G$524=$I5)*(((Human_Data_Entry!$J$3:$J$524="BUY")*(Human_Data_Entry!$R$3:$R$524="DOWN"))+((Human_Data_Entry!$J$3:$J$524="SELL")*(Human_Data_Entry!$R$3:$R$524="UP"))))</f>
        <v/>
      </c>
    </row>
    <row r="6" ht="16.35" customHeight="1">
      <c r="A6" s="28" t="inlineStr">
        <is>
          <t>Abdul</t>
        </is>
      </c>
      <c r="B6" s="28" t="inlineStr">
        <is>
          <t>Human</t>
        </is>
      </c>
      <c r="C6" s="29">
        <f>COUNTIFS(Human_Data_Entry!$G$3:$G$524,A6,Human_Data_Entry!$S$3:$S$524,"YES")+COUNTIFS(Human_Data_Entry!$G$3:$G$524,A6,Human_Data_Entry!$S$3:$S$524,"NO")</f>
        <v/>
      </c>
      <c r="D6" s="29">
        <f>COUNTIFS(Human_Data_Entry!$G$3:$G$524,A6,Human_Data_Entry!$S$3:$S$524,"YES")</f>
        <v/>
      </c>
      <c r="E6" s="30">
        <f>C6-D6</f>
        <v/>
      </c>
      <c r="F6" s="31">
        <f>IF(C6=0,"-",D6/C6)</f>
        <v/>
      </c>
      <c r="G6" s="31">
        <f>IF(C6=0,"-",E6/C6)</f>
        <v/>
      </c>
      <c r="H6" s="20" t="n"/>
      <c r="I6" s="27">
        <f>A6</f>
        <v/>
      </c>
      <c r="J6" s="27">
        <f>B6</f>
        <v/>
      </c>
      <c r="K6" s="29">
        <f>SUMPRODUCT((Human_Data_Entry!$G$3:$G$524=$I6)*((Human_Data_Entry!$J$3:$J$524="BUY")+(Human_Data_Entry!$J$3:$J$524="SELL"))*ISNUMBER(Human_Data_Entry!$U$3:$U$524))</f>
        <v/>
      </c>
      <c r="L6" s="32">
        <f>IF(C6=0,"-",K6/C6)</f>
        <v/>
      </c>
      <c r="M6" s="32">
        <f>IFERROR(AVERAGEIFS(Human_Data_Entry!$U$3:$U$524,Human_Data_Entry!$G$3:$G$524,$I6,Human_Data_Entry!$J$3:$J$524,"&lt;&gt;HOLD",Human_Data_Entry!$U$3:$U$524,"&lt;&gt;"),"")</f>
        <v/>
      </c>
      <c r="N6" s="32">
        <f t="array" ref="N6">IFERROR(STDEV(IF((Human_Data_Entry!$G$3:$G$524=I6)*(Human_Data_Entry!$J$3:$J$524&lt;&gt;"HOLD")*(Human_Data_Entry!$U$3:$U$524&lt;&gt;""),Human_Data_Entry!$U$3:$U$524)),"")</f>
        <v/>
      </c>
      <c r="O6" s="32">
        <f>IFERROR(COUNTIFS(Human_Data_Entry!$G$3:$G$524,$I6,Human_Data_Entry!$J$3:$J$524,"&lt;&gt;HOLD",Human_Data_Entry!$S$3:$S$524,"YES")/COUNTIFS(Human_Data_Entry!$G$3:$G$524,$I6,Human_Data_Entry!$J$3:$J$524,"&lt;&gt;HOLD",Human_Data_Entry!$S$3:$S$524,"?*"),"")</f>
        <v/>
      </c>
      <c r="P6" s="29">
        <f t="array" ref="P6">SUMPRODUCT((Human_Data_Entry!$G$3:$G$524=$I6)*(((Human_Data_Entry!$J$3:$J$524="BUY")*(Human_Data_Entry!$R$3:$R$524="UP"))+((Human_Data_Entry!$J$3:$J$524="SELL")*(Human_Data_Entry!$R$3:$R$524="DOWN"))))</f>
        <v/>
      </c>
      <c r="Q6" s="29">
        <f t="array" ref="Q6">SUMPRODUCT((Human_Data_Entry!$G$3:$G$524=$I6)*((Human_Data_Entry!$J$3:$J$524="BUY")+(Human_Data_Entry!$J$3:$J$524="SELL"))*(Human_Data_Entry!$R$3:$R$524="FLAT"))</f>
        <v/>
      </c>
      <c r="R6" s="29">
        <f t="array" ref="R6">SUMPRODUCT((Human_Data_Entry!$G$3:$G$524=$I6)*(((Human_Data_Entry!$J$3:$J$524="BUY")*(Human_Data_Entry!$R$3:$R$524="DOWN"))+((Human_Data_Entry!$J$3:$J$524="SELL")*(Human_Data_Entry!$R$3:$R$524="UP"))))</f>
        <v/>
      </c>
    </row>
    <row r="7" ht="16.35" customHeight="1">
      <c r="A7" s="28" t="inlineStr">
        <is>
          <t>Nigel</t>
        </is>
      </c>
      <c r="B7" s="28" t="inlineStr">
        <is>
          <t>Human</t>
        </is>
      </c>
      <c r="C7" s="29">
        <f>COUNTIFS(Human_Data_Entry!$G$3:$G$524,A7,Human_Data_Entry!$S$3:$S$524,"YES")+COUNTIFS(Human_Data_Entry!$G$3:$G$524,A7,Human_Data_Entry!$S$3:$S$524,"NO")</f>
        <v/>
      </c>
      <c r="D7" s="29">
        <f>COUNTIFS(Human_Data_Entry!$G$3:$G$524,A7,Human_Data_Entry!$S$3:$S$524,"YES")</f>
        <v/>
      </c>
      <c r="E7" s="30">
        <f>C7-D7</f>
        <v/>
      </c>
      <c r="F7" s="31">
        <f>IF(C7=0,"-",D7/C7)</f>
        <v/>
      </c>
      <c r="G7" s="31">
        <f>IF(C7=0,"-",E7/C7)</f>
        <v/>
      </c>
      <c r="H7" s="20" t="n"/>
      <c r="I7" s="27">
        <f>A7</f>
        <v/>
      </c>
      <c r="J7" s="27">
        <f>B7</f>
        <v/>
      </c>
      <c r="K7" s="29">
        <f>SUMPRODUCT((Human_Data_Entry!$G$3:$G$524=$I7)*((Human_Data_Entry!$J$3:$J$524="BUY")+(Human_Data_Entry!$J$3:$J$524="SELL"))*ISNUMBER(Human_Data_Entry!$U$3:$U$524))</f>
        <v/>
      </c>
      <c r="L7" s="32">
        <f>IF(C7=0,"-",K7/C7)</f>
        <v/>
      </c>
      <c r="M7" s="32">
        <f>IFERROR(AVERAGEIFS(Human_Data_Entry!$U$3:$U$524,Human_Data_Entry!$G$3:$G$524,$I7,Human_Data_Entry!$J$3:$J$524,"&lt;&gt;HOLD",Human_Data_Entry!$U$3:$U$524,"&lt;&gt;"),"")</f>
        <v/>
      </c>
      <c r="N7" s="32">
        <f t="array" ref="N7">IFERROR(STDEV(IF((Human_Data_Entry!$G$3:$G$524=I7)*(Human_Data_Entry!$J$3:$J$524&lt;&gt;"HOLD")*(Human_Data_Entry!$U$3:$U$524&lt;&gt;""),Human_Data_Entry!$U$3:$U$524)),"")</f>
        <v/>
      </c>
      <c r="O7" s="32">
        <f>IFERROR(COUNTIFS(Human_Data_Entry!$G$3:$G$524,$I7,Human_Data_Entry!$J$3:$J$524,"&lt;&gt;HOLD",Human_Data_Entry!$S$3:$S$524,"YES")/COUNTIFS(Human_Data_Entry!$G$3:$G$524,$I7,Human_Data_Entry!$J$3:$J$524,"&lt;&gt;HOLD",Human_Data_Entry!$S$3:$S$524,"?*"),"")</f>
        <v/>
      </c>
      <c r="P7" s="29">
        <f t="array" ref="P7">SUMPRODUCT((Human_Data_Entry!$G$3:$G$524=$I7)*(((Human_Data_Entry!$J$3:$J$524="BUY")*(Human_Data_Entry!$R$3:$R$524="UP"))+((Human_Data_Entry!$J$3:$J$524="SELL")*(Human_Data_Entry!$R$3:$R$524="DOWN"))))</f>
        <v/>
      </c>
      <c r="Q7" s="29">
        <f t="array" ref="Q7">SUMPRODUCT((Human_Data_Entry!$G$3:$G$524=$I7)*((Human_Data_Entry!$J$3:$J$524="BUY")+(Human_Data_Entry!$J$3:$J$524="SELL"))*(Human_Data_Entry!$R$3:$R$524="FLAT"))</f>
        <v/>
      </c>
      <c r="R7" s="29">
        <f t="array" ref="R7">SUMPRODUCT((Human_Data_Entry!$G$3:$G$524=$I7)*(((Human_Data_Entry!$J$3:$J$524="BUY")*(Human_Data_Entry!$R$3:$R$524="DOWN"))+((Human_Data_Entry!$J$3:$J$524="SELL")*(Human_Data_Entry!$R$3:$R$524="UP"))))</f>
        <v/>
      </c>
    </row>
    <row r="8" ht="16.35" customHeight="1">
      <c r="A8" s="28" t="inlineStr">
        <is>
          <t>Meriem</t>
        </is>
      </c>
      <c r="B8" s="28" t="inlineStr">
        <is>
          <t>Human</t>
        </is>
      </c>
      <c r="C8" s="29">
        <f>COUNTIFS(Human_Data_Entry!$G$3:$G$524,A8,Human_Data_Entry!$S$3:$S$524,"YES")+COUNTIFS(Human_Data_Entry!$G$3:$G$524,A8,Human_Data_Entry!$S$3:$S$524,"NO")</f>
        <v/>
      </c>
      <c r="D8" s="29">
        <f>COUNTIFS(Human_Data_Entry!$G$3:$G$524,A8,Human_Data_Entry!$S$3:$S$524,"YES")</f>
        <v/>
      </c>
      <c r="E8" s="30">
        <f>C8-D8</f>
        <v/>
      </c>
      <c r="F8" s="31">
        <f>IF(C8=0,"-",D8/C8)</f>
        <v/>
      </c>
      <c r="G8" s="31">
        <f>IF(C8=0,"-",E8/C8)</f>
        <v/>
      </c>
      <c r="H8" s="20" t="n"/>
      <c r="I8" s="27">
        <f>A8</f>
        <v/>
      </c>
      <c r="J8" s="27">
        <f>B8</f>
        <v/>
      </c>
      <c r="K8" s="29">
        <f>SUMPRODUCT((Human_Data_Entry!$G$3:$G$524=$I8)*((Human_Data_Entry!$J$3:$J$524="BUY")+(Human_Data_Entry!$J$3:$J$524="SELL"))*ISNUMBER(Human_Data_Entry!$U$3:$U$524))</f>
        <v/>
      </c>
      <c r="L8" s="32">
        <f>IF(C8=0,"-",K8/C8)</f>
        <v/>
      </c>
      <c r="M8" s="32">
        <f>IFERROR(AVERAGEIFS(Human_Data_Entry!$U$3:$U$524,Human_Data_Entry!$G$3:$G$524,$I8,Human_Data_Entry!$J$3:$J$524,"&lt;&gt;HOLD",Human_Data_Entry!$U$3:$U$524,"&lt;&gt;"),"")</f>
        <v/>
      </c>
      <c r="N8" s="32">
        <f t="array" ref="N8">IFERROR(STDEV(IF((Human_Data_Entry!$G$3:$G$524=I8)*(Human_Data_Entry!$J$3:$J$524&lt;&gt;"HOLD")*(Human_Data_Entry!$U$3:$U$524&lt;&gt;""),Human_Data_Entry!$U$3:$U$524)),"")</f>
        <v/>
      </c>
      <c r="O8" s="32">
        <f>IFERROR(COUNTIFS(Human_Data_Entry!$G$3:$G$524,$I8,Human_Data_Entry!$J$3:$J$524,"&lt;&gt;HOLD",Human_Data_Entry!$S$3:$S$524,"YES")/COUNTIFS(Human_Data_Entry!$G$3:$G$524,$I8,Human_Data_Entry!$J$3:$J$524,"&lt;&gt;HOLD",Human_Data_Entry!$S$3:$S$524,"?*"),"")</f>
        <v/>
      </c>
      <c r="P8" s="29">
        <f t="array" ref="P8">SUMPRODUCT((Human_Data_Entry!$G$3:$G$524=$I8)*(((Human_Data_Entry!$J$3:$J$524="BUY")*(Human_Data_Entry!$R$3:$R$524="UP"))+((Human_Data_Entry!$J$3:$J$524="SELL")*(Human_Data_Entry!$R$3:$R$524="DOWN"))))</f>
        <v/>
      </c>
      <c r="Q8" s="29">
        <f t="array" ref="Q8">SUMPRODUCT((Human_Data_Entry!$G$3:$G$524=$I8)*((Human_Data_Entry!$J$3:$J$524="BUY")+(Human_Data_Entry!$J$3:$J$524="SELL"))*(Human_Data_Entry!$R$3:$R$524="FLAT"))</f>
        <v/>
      </c>
      <c r="R8" s="29">
        <f t="array" ref="R8">SUMPRODUCT((Human_Data_Entry!$G$3:$G$524=$I8)*(((Human_Data_Entry!$J$3:$J$524="BUY")*(Human_Data_Entry!$R$3:$R$524="DOWN"))+((Human_Data_Entry!$J$3:$J$524="SELL")*(Human_Data_Entry!$R$3:$R$524="UP"))))</f>
        <v/>
      </c>
    </row>
    <row r="9" ht="16.35" customHeight="1">
      <c r="A9" s="28" t="inlineStr">
        <is>
          <t>Dragos</t>
        </is>
      </c>
      <c r="B9" s="28" t="inlineStr">
        <is>
          <t>Human</t>
        </is>
      </c>
      <c r="C9" s="29">
        <f>COUNTIFS(Human_Data_Entry!$G$3:$G$524,A9,Human_Data_Entry!$S$3:$S$524,"YES")+COUNTIFS(Human_Data_Entry!$G$3:$G$524,A9,Human_Data_Entry!$S$3:$S$524,"NO")</f>
        <v/>
      </c>
      <c r="D9" s="29">
        <f>COUNTIFS(Human_Data_Entry!$G$3:$G$524,A9,Human_Data_Entry!$S$3:$S$524,"YES")</f>
        <v/>
      </c>
      <c r="E9" s="30">
        <f>C9-D9</f>
        <v/>
      </c>
      <c r="F9" s="31">
        <f>IF(C9=0,"-",D9/C9)</f>
        <v/>
      </c>
      <c r="G9" s="31">
        <f>IF(C9=0,"-",E9/C9)</f>
        <v/>
      </c>
      <c r="H9" s="20" t="n"/>
      <c r="I9" s="27">
        <f>A9</f>
        <v/>
      </c>
      <c r="J9" s="27">
        <f>B9</f>
        <v/>
      </c>
      <c r="K9" s="29">
        <f>SUMPRODUCT((Human_Data_Entry!$G$3:$G$524=$I9)*((Human_Data_Entry!$J$3:$J$524="BUY")+(Human_Data_Entry!$J$3:$J$524="SELL"))*ISNUMBER(Human_Data_Entry!$U$3:$U$524))</f>
        <v/>
      </c>
      <c r="L9" s="32">
        <f>IF(C9=0,"-",K9/C9)</f>
        <v/>
      </c>
      <c r="M9" s="32">
        <f>IFERROR(AVERAGEIFS(Human_Data_Entry!$U$3:$U$524,Human_Data_Entry!$G$3:$G$524,$I9,Human_Data_Entry!$J$3:$J$524,"&lt;&gt;HOLD",Human_Data_Entry!$U$3:$U$524,"&lt;&gt;"),"")</f>
        <v/>
      </c>
      <c r="N9" s="32">
        <f t="array" ref="N9">IFERROR(STDEV(IF((Human_Data_Entry!$G$3:$G$524=I9)*(Human_Data_Entry!$J$3:$J$524&lt;&gt;"HOLD")*(Human_Data_Entry!$U$3:$U$524&lt;&gt;""),Human_Data_Entry!$U$3:$U$524)),"")</f>
        <v/>
      </c>
      <c r="O9" s="32">
        <f>IFERROR(COUNTIFS(Human_Data_Entry!$G$3:$G$524,$I9,Human_Data_Entry!$J$3:$J$524,"&lt;&gt;HOLD",Human_Data_Entry!$S$3:$S$524,"YES")/COUNTIFS(Human_Data_Entry!$G$3:$G$524,$I9,Human_Data_Entry!$J$3:$J$524,"&lt;&gt;HOLD",Human_Data_Entry!$S$3:$S$524,"?*"),"")</f>
        <v/>
      </c>
      <c r="P9" s="29">
        <f t="array" ref="P9">SUMPRODUCT((Human_Data_Entry!$G$3:$G$524=$I9)*(((Human_Data_Entry!$J$3:$J$524="BUY")*(Human_Data_Entry!$R$3:$R$524="UP"))+((Human_Data_Entry!$J$3:$J$524="SELL")*(Human_Data_Entry!$R$3:$R$524="DOWN"))))</f>
        <v/>
      </c>
      <c r="Q9" s="29">
        <f t="array" ref="Q9">SUMPRODUCT((Human_Data_Entry!$G$3:$G$524=$I9)*((Human_Data_Entry!$J$3:$J$524="BUY")+(Human_Data_Entry!$J$3:$J$524="SELL"))*(Human_Data_Entry!$R$3:$R$524="FLAT"))</f>
        <v/>
      </c>
      <c r="R9" s="29">
        <f t="array" ref="R9">SUMPRODUCT((Human_Data_Entry!$G$3:$G$524=$I9)*(((Human_Data_Entry!$J$3:$J$524="BUY")*(Human_Data_Entry!$R$3:$R$524="DOWN"))+((Human_Data_Entry!$J$3:$J$524="SELL")*(Human_Data_Entry!$R$3:$R$524="UP"))))</f>
        <v/>
      </c>
    </row>
    <row r="10" ht="16.35" customHeight="1">
      <c r="A10" s="28" t="inlineStr">
        <is>
          <t>David</t>
        </is>
      </c>
      <c r="B10" s="28" t="inlineStr">
        <is>
          <t>Human</t>
        </is>
      </c>
      <c r="C10" s="29">
        <f>COUNTIFS(Human_Data_Entry!$G$3:$G$524,A10,Human_Data_Entry!$S$3:$S$524,"YES")+COUNTIFS(Human_Data_Entry!$G$3:$G$524,A10,Human_Data_Entry!$S$3:$S$524,"NO")</f>
        <v/>
      </c>
      <c r="D10" s="29">
        <f>COUNTIFS(Human_Data_Entry!$G$3:$G$524,A10,Human_Data_Entry!$S$3:$S$524,"YES")</f>
        <v/>
      </c>
      <c r="E10" s="30">
        <f>C10-D10</f>
        <v/>
      </c>
      <c r="F10" s="31">
        <f>IF(C10=0,"-",D10/C10)</f>
        <v/>
      </c>
      <c r="G10" s="31">
        <f>IF(C10=0,"-",E10/C10)</f>
        <v/>
      </c>
      <c r="H10" s="20" t="n"/>
      <c r="I10" s="27">
        <f>A10</f>
        <v/>
      </c>
      <c r="J10" s="27">
        <f>B10</f>
        <v/>
      </c>
      <c r="K10" s="29">
        <f>SUMPRODUCT((Human_Data_Entry!$G$3:$G$524=$I10)*((Human_Data_Entry!$J$3:$J$524="BUY")+(Human_Data_Entry!$J$3:$J$524="SELL"))*ISNUMBER(Human_Data_Entry!$U$3:$U$524))</f>
        <v/>
      </c>
      <c r="L10" s="32">
        <f>IF(C10=0,"-",K10/C10)</f>
        <v/>
      </c>
      <c r="M10" s="32">
        <f>IFERROR(AVERAGEIFS(Human_Data_Entry!$U$3:$U$524,Human_Data_Entry!$G$3:$G$524,$I10,Human_Data_Entry!$J$3:$J$524,"&lt;&gt;HOLD",Human_Data_Entry!$U$3:$U$524,"&lt;&gt;"),"")</f>
        <v/>
      </c>
      <c r="N10" s="32">
        <f t="array" ref="N10">IFERROR(STDEV(IF((Human_Data_Entry!$G$3:$G$524=I10)*(Human_Data_Entry!$J$3:$J$524&lt;&gt;"HOLD")*(Human_Data_Entry!$U$3:$U$524&lt;&gt;""),Human_Data_Entry!$U$3:$U$524)),"")</f>
        <v/>
      </c>
      <c r="O10" s="32">
        <f>IFERROR(COUNTIFS(Human_Data_Entry!$G$3:$G$524,$I10,Human_Data_Entry!$J$3:$J$524,"&lt;&gt;HOLD",Human_Data_Entry!$S$3:$S$524,"YES")/COUNTIFS(Human_Data_Entry!$G$3:$G$524,$I10,Human_Data_Entry!$J$3:$J$524,"&lt;&gt;HOLD",Human_Data_Entry!$S$3:$S$524,"?*"),"")</f>
        <v/>
      </c>
      <c r="P10" s="29">
        <f t="array" ref="P10">SUMPRODUCT((Human_Data_Entry!$G$3:$G$524=$I10)*(((Human_Data_Entry!$J$3:$J$524="BUY")*(Human_Data_Entry!$R$3:$R$524="UP"))+((Human_Data_Entry!$J$3:$J$524="SELL")*(Human_Data_Entry!$R$3:$R$524="DOWN"))))</f>
        <v/>
      </c>
      <c r="Q10" s="29">
        <f t="array" ref="Q10">SUMPRODUCT((Human_Data_Entry!$G$3:$G$524=$I10)*((Human_Data_Entry!$J$3:$J$524="BUY")+(Human_Data_Entry!$J$3:$J$524="SELL"))*(Human_Data_Entry!$R$3:$R$524="FLAT"))</f>
        <v/>
      </c>
      <c r="R10" s="29">
        <f t="array" ref="R10">SUMPRODUCT((Human_Data_Entry!$G$3:$G$524=$I10)*(((Human_Data_Entry!$J$3:$J$524="BUY")*(Human_Data_Entry!$R$3:$R$524="DOWN"))+((Human_Data_Entry!$J$3:$J$524="SELL")*(Human_Data_Entry!$R$3:$R$524="UP"))))</f>
        <v/>
      </c>
    </row>
    <row r="11" ht="16.35" customHeight="1">
      <c r="A11" s="33" t="inlineStr">
        <is>
          <t>Ben/DeepSeek</t>
        </is>
      </c>
      <c r="B11" s="34" t="inlineStr">
        <is>
          <t>LLM</t>
        </is>
      </c>
      <c r="C11" s="35">
        <f>COUNTIFS(LLM_Data_Entry!$E$3:$E$548,A11,LLM_Data_Entry!$R$3:$R$548,"YES")+COUNTIFS(LLM_Data_Entry!$E$3:$E$548,A11,LLM_Data_Entry!$R$3:$R$548,"NO")</f>
        <v/>
      </c>
      <c r="D11" s="35">
        <f>COUNTIFS(LLM_Data_Entry!$E$3:$E$548,A11,LLM_Data_Entry!$R$3:$R$548,"YES")</f>
        <v/>
      </c>
      <c r="E11" s="35">
        <f>C11-D11</f>
        <v/>
      </c>
      <c r="F11" s="36">
        <f>IF(C11=0,"-",D11/C11)</f>
        <v/>
      </c>
      <c r="G11" s="36">
        <f>IF(C11=0,"-",E11/C11)</f>
        <v/>
      </c>
      <c r="H11" s="37" t="n"/>
      <c r="I11" s="33">
        <f>A11</f>
        <v/>
      </c>
      <c r="J11" s="33">
        <f>B11</f>
        <v/>
      </c>
      <c r="K11" s="38">
        <f>COUNTIFS(LLM_Data_Entry!$E$3:$E$548,$I11,LLM_Data_Entry!$H$3:$H$548,"BUY",LLM_Data_Entry!$T$3:$T$548,"&lt;&gt;")+COUNTIFS(LLM_Data_Entry!$E$3:$E$548,$I11,LLM_Data_Entry!$H$3:$H$548,"SELL",LLM_Data_Entry!$T$3:$T$548,"&lt;&gt;")</f>
        <v/>
      </c>
      <c r="L11" s="39">
        <f>IF(C11=0,"-",K11/C11)</f>
        <v/>
      </c>
      <c r="M11" s="40">
        <f>IFERROR(AVERAGEIFS(LLM_Data_Entry!$T$3:$T$548,LLM_Data_Entry!$E$3:$E$548,$I11,LLM_Data_Entry!$H$3:$H$548,"&lt;&gt;HOLD",LLM_Data_Entry!$T$3:$T$548,"&lt;&gt;"),"")</f>
        <v/>
      </c>
      <c r="N11" s="40">
        <f t="array" ref="N11">IFERROR(STDEV(IF((LLM_Data_Entry!$E$3:$E$548=I11)*(LLM_Data_Entry!$H$3:$H$548&lt;&gt;"HOLD")*(LLM_Data_Entry!$T$3:$T$548&lt;&gt;""),LLM_Data_Entry!$T$3:$T$548)),"")</f>
        <v/>
      </c>
      <c r="O11" s="39">
        <f>IFERROR(COUNTIFS(LLM_Data_Entry!$E$3:$E$548,$I11,LLM_Data_Entry!$H$3:$H$548,"&lt;&gt;HOLD",LLM_Data_Entry!$R$3:$R$548,"YES")/COUNTIFS(LLM_Data_Entry!$E$3:$E$548,$I11,LLM_Data_Entry!$H$3:$H$548,"&lt;&gt;HOLD",LLM_Data_Entry!$R$3:$R$548,"&lt;&gt;"),"")</f>
        <v/>
      </c>
      <c r="P11" s="41">
        <f t="array" ref="P11">SUMPRODUCT((LLM_Data_Entry!$E$3:$E$548=$I11)*(((LLM_Data_Entry!$H$3:$H$548="BUY")*(LLM_Data_Entry!$Q$3:$Q$548="UP"))+((LLM_Data_Entry!$H$3:$H$548="SELL")*(LLM_Data_Entry!$Q$3:$Q$548="DOWN"))))</f>
        <v/>
      </c>
      <c r="Q11" s="41">
        <f t="array" ref="Q11">SUMPRODUCT((LLM_Data_Entry!$E$3:$E$548=$I11)*((LLM_Data_Entry!$H$3:$H$548="BUY")+(LLM_Data_Entry!$H$3:$H$548="SELL"))*(LLM_Data_Entry!$Q$3:$Q$548="FLAT"))</f>
        <v/>
      </c>
      <c r="R11" s="41">
        <f t="array" ref="R11">SUMPRODUCT((LLM_Data_Entry!$E$3:$E$548=$I11)*(((LLM_Data_Entry!$H$3:$H$548="BUY")*(LLM_Data_Entry!$Q$3:$Q$548="DOWN"))+((LLM_Data_Entry!$H$3:$H$548="SELL")*(LLM_Data_Entry!$Q$3:$Q$548="UP"))))</f>
        <v/>
      </c>
    </row>
    <row r="12" ht="16.35" customHeight="1">
      <c r="A12" s="42" t="inlineStr">
        <is>
          <t>All Humans Total</t>
        </is>
      </c>
      <c r="B12" s="42" t="n"/>
      <c r="C12" s="43">
        <f>SUM(C5:C10)</f>
        <v/>
      </c>
      <c r="D12" s="43">
        <f>SUM(D5:D10)</f>
        <v/>
      </c>
      <c r="E12" s="43">
        <f>SUM(E5:E10)</f>
        <v/>
      </c>
      <c r="F12" s="44">
        <f>IF(C12=0,"-",D12/C12)</f>
        <v/>
      </c>
      <c r="G12" s="44">
        <f>IF(C12=0,"-",E12/C12)</f>
        <v/>
      </c>
      <c r="H12" s="45" t="n"/>
      <c r="I12" s="42" t="inlineStr">
        <is>
          <t>All Humans Total</t>
        </is>
      </c>
      <c r="J12" s="42" t="n"/>
      <c r="K12" s="43">
        <f>SUMPRODUCT((Human_Data_Entry!$H$3:$H$524="Human")*((Human_Data_Entry!$J$3:$J$524="BUY")+(Human_Data_Entry!$J$3:$J$524="SELL"))*ISNUMBER(Human_Data_Entry!$U$3:$U$524))</f>
        <v/>
      </c>
      <c r="L12" s="44">
        <f>IF(C12=0,"-",K12/C12)</f>
        <v/>
      </c>
      <c r="M12" s="44">
        <f>IFERROR(AVERAGEIFS(Human_Data_Entry!$U$3:$U$524,Human_Data_Entry!$H$3:$H$524,"Human",Human_Data_Entry!$J$3:$J$524,"&lt;&gt;HOLD",Human_Data_Entry!$U$3:$U$524,"&lt;&gt;"),"")</f>
        <v/>
      </c>
      <c r="N12" s="44">
        <f t="array" ref="N12">IFERROR(STDEV(IF((Human_Data_Entry!$H$3:$H$524="Human")*(Human_Data_Entry!$J$3:$J$524&lt;&gt;"HOLD")*(Human_Data_Entry!$U$3:$U$524&lt;&gt;""),Human_Data_Entry!$U$3:$U$524)),"")</f>
        <v/>
      </c>
      <c r="O12" s="44">
        <f>IFERROR(COUNTIFS(Human_Data_Entry!$H$3:$H$524,"Human",Human_Data_Entry!$J$3:$J$524,"&lt;&gt;HOLD",Human_Data_Entry!$S$3:$S$524,"YES")/COUNTIFS(Human_Data_Entry!$H$3:$H$524,"Human",Human_Data_Entry!$J$3:$J$524,"&lt;&gt;HOLD",Human_Data_Entry!$S$3:$S$524,"?*"),"")</f>
        <v/>
      </c>
      <c r="P12" s="43">
        <f>SUM(P5:P10)</f>
        <v/>
      </c>
      <c r="Q12" s="43">
        <f>SUM(Q5:Q10)</f>
        <v/>
      </c>
      <c r="R12" s="43">
        <f>SUM(R5:R10)</f>
        <v/>
      </c>
    </row>
    <row r="13" ht="16.35" customHeight="1">
      <c r="A13" s="46" t="inlineStr">
        <is>
          <t>LLM Total</t>
        </is>
      </c>
      <c r="B13" s="46" t="n"/>
      <c r="C13" s="47">
        <f>C11</f>
        <v/>
      </c>
      <c r="D13" s="47">
        <f>D11</f>
        <v/>
      </c>
      <c r="E13" s="47">
        <f>E11</f>
        <v/>
      </c>
      <c r="F13" s="48">
        <f>F11</f>
        <v/>
      </c>
      <c r="G13" s="48">
        <f>G11</f>
        <v/>
      </c>
      <c r="H13" s="49" t="n"/>
      <c r="I13" s="46" t="inlineStr">
        <is>
          <t>LLM Total</t>
        </is>
      </c>
      <c r="J13" s="46" t="n"/>
      <c r="K13" s="47">
        <f>K11</f>
        <v/>
      </c>
      <c r="L13" s="48">
        <f>L11</f>
        <v/>
      </c>
      <c r="M13" s="48">
        <f>M11</f>
        <v/>
      </c>
      <c r="N13" s="48">
        <f>N11</f>
        <v/>
      </c>
      <c r="O13" s="48">
        <f>O11</f>
        <v/>
      </c>
      <c r="P13" s="47">
        <f>P11</f>
        <v/>
      </c>
      <c r="Q13" s="47">
        <f>Q11</f>
        <v/>
      </c>
      <c r="R13" s="47">
        <f>R11</f>
        <v/>
      </c>
    </row>
    <row r="14">
      <c r="A14" t="inlineStr">
        <is>
          <t>HEADLINE, from 10 August 2026: one reading per rater-event.</t>
        </is>
      </c>
      <c r="C14" t="inlineStr">
        <is>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is>
      </c>
    </row>
    <row r="16" ht="20.1" customHeight="1">
      <c r="A16" s="10" t="inlineStr">
        <is>
          <t>Accuracy by Company</t>
        </is>
      </c>
      <c r="I16" s="10" t="inlineStr">
        <is>
          <t>P&amp;L by Company</t>
        </is>
      </c>
    </row>
    <row r="17" ht="30" customHeight="1">
      <c r="A17" s="17" t="inlineStr">
        <is>
          <t>Company</t>
        </is>
      </c>
      <c r="B17" s="17" t="inlineStr">
        <is>
          <t>Human
# Pred</t>
        </is>
      </c>
      <c r="C17" s="17" t="inlineStr">
        <is>
          <t>Human
# Correct</t>
        </is>
      </c>
      <c r="D17" s="17" t="inlineStr">
        <is>
          <t>Human
% Correct</t>
        </is>
      </c>
      <c r="E17" s="17" t="inlineStr">
        <is>
          <t>LLM
# Pred</t>
        </is>
      </c>
      <c r="F17" s="17" t="inlineStr">
        <is>
          <t>LLM
# Correct</t>
        </is>
      </c>
      <c r="G17" s="17" t="inlineStr">
        <is>
          <t>LLM
% Correct</t>
        </is>
      </c>
      <c r="I17" s="17" t="inlineStr">
        <is>
          <t>Company</t>
        </is>
      </c>
      <c r="J17" s="17" t="inlineStr">
        <is>
          <t>Human #Trades</t>
        </is>
      </c>
      <c r="K17" s="17" t="inlineStr">
        <is>
          <t>Human Avg%/Trade</t>
        </is>
      </c>
      <c r="L17" s="17" t="inlineStr">
        <is>
          <t>Human Total Return% (sum)</t>
        </is>
      </c>
      <c r="M17" s="17" t="inlineStr">
        <is>
          <t>LLM #Trades</t>
        </is>
      </c>
      <c r="N17" s="17" t="inlineStr">
        <is>
          <t>LLM Avg%/Trade</t>
        </is>
      </c>
      <c r="O17" s="17" t="inlineStr">
        <is>
          <t>LLM Total Return% (sum)</t>
        </is>
      </c>
      <c r="Q17" s="2" t="inlineStr">
        <is>
          <t xml:space="preserve"> </t>
        </is>
      </c>
    </row>
    <row r="18" ht="16.35" customHeight="1">
      <c r="A18" s="50" t="inlineStr">
        <is>
          <t>Netflix</t>
        </is>
      </c>
      <c r="B18" s="51">
        <f>COUNTIFS(Human_Data_Entry!$A$3:$A$524,$A18,Human_Data_Entry!$H$3:$H$524,"Human",Human_Data_Entry!$S$3:$S$524,"?*")</f>
        <v/>
      </c>
      <c r="C18" s="51">
        <f>COUNTIFS(Human_Data_Entry!$A$3:$A$524,$A18,Human_Data_Entry!$H$3:$H$524,"Human",Human_Data_Entry!$S$3:$S$524,"YES")</f>
        <v/>
      </c>
      <c r="D18" s="52">
        <f>IF(B18=0,"-",C18/B18)</f>
        <v/>
      </c>
      <c r="E18" s="51">
        <f>COUNTIFS(LLM_Data_Entry!$A$3:$A$548,$A18,LLM_Data_Entry!$F$3:$F$548,"LLM",LLM_Data_Entry!$R$3:$R$548,"&lt;&gt;")</f>
        <v/>
      </c>
      <c r="F18" s="53">
        <f>COUNTIFS(LLM_Data_Entry!$A$3:$A$548,$A18,LLM_Data_Entry!$F$3:$F$548,"LLM",LLM_Data_Entry!$R$3:$R$548,"YES")</f>
        <v/>
      </c>
      <c r="G18" s="52">
        <f>IF(E18=0,"-",F18/E18)</f>
        <v/>
      </c>
      <c r="H18" s="20" t="n"/>
      <c r="I18" s="50">
        <f>A18</f>
        <v/>
      </c>
      <c r="J18" s="21">
        <f>SUMPRODUCT((Human_Data_Entry!$A$3:$A$524=$I18)*(Human_Data_Entry!$H$3:$H$524="Human")*((Human_Data_Entry!$J$3:$J$524="BUY")+(Human_Data_Entry!$J$3:$J$524="SELL"))*ISNUMBER(Human_Data_Entry!$U$3:$U$524))</f>
        <v/>
      </c>
      <c r="K18" s="54">
        <f>IFERROR(AVERAGEIFS(Human_Data_Entry!$U$3:$U$524,Human_Data_Entry!$A$3:$A$524,$I18,Human_Data_Entry!$H$3:$H$524,"Human",Human_Data_Entry!$J$3:$J$524,"&lt;&gt;HOLD",Human_Data_Entry!$U$3:$U$524,"&lt;&gt;"),"")</f>
        <v/>
      </c>
      <c r="L18" s="54">
        <f>IFERROR(SUMIFS(Human_Data_Entry!$U$3:$U$524,Human_Data_Entry!$A$3:$A$524,$I18,Human_Data_Entry!$H$3:$H$524,"Human",Human_Data_Entry!$J$3:$J$524,"&lt;&gt;HOLD"),"")</f>
        <v/>
      </c>
      <c r="M18" s="21">
        <f>COUNTIFS(LLM_Data_Entry!$A$3:$A$548,$I18,LLM_Data_Entry!$F$3:$F$548,"LLM",LLM_Data_Entry!$H$3:$H$548,"&lt;&gt;HOLD",LLM_Data_Entry!$T$3:$T$548,"&lt;&gt;")</f>
        <v/>
      </c>
      <c r="N18" s="54">
        <f>IFERROR(AVERAGEIFS(LLM_Data_Entry!$T$3:$T$548,LLM_Data_Entry!$A$3:$A$548,$I18,LLM_Data_Entry!$F$3:$F$548,"LLM",LLM_Data_Entry!$H$3:$H$548,"&lt;&gt;HOLD",LLM_Data_Entry!$T$3:$T$548,"&lt;&gt;"),"")</f>
        <v/>
      </c>
      <c r="O18" s="54">
        <f>IFERROR(SUMIFS(LLM_Data_Entry!$T$3:$T$548,LLM_Data_Entry!$A$3:$A$548,$I18,LLM_Data_Entry!$F$3:$F$548,"LLM",LLM_Data_Entry!$H$3:$H$548,"&lt;&gt;HOLD"),"")</f>
        <v/>
      </c>
    </row>
    <row r="19" ht="16.35" customHeight="1">
      <c r="A19" s="55" t="inlineStr">
        <is>
          <t>JPMorgan</t>
        </is>
      </c>
      <c r="B19" s="51">
        <f>COUNTIFS(Human_Data_Entry!$A$3:$A$524,$A19,Human_Data_Entry!$H$3:$H$524,"Human",Human_Data_Entry!$S$3:$S$524,"?*")</f>
        <v/>
      </c>
      <c r="C19" s="51">
        <f>COUNTIFS(Human_Data_Entry!$A$3:$A$524,$A19,Human_Data_Entry!$H$3:$H$524,"Human",Human_Data_Entry!$S$3:$S$524,"YES")</f>
        <v/>
      </c>
      <c r="D19" s="56">
        <f>IF(B19=0,"-",C19/B19)</f>
        <v/>
      </c>
      <c r="E19" s="51">
        <f>COUNTIFS(LLM_Data_Entry!$A$3:$A$548,$A19,LLM_Data_Entry!$F$3:$F$548,"LLM",LLM_Data_Entry!$R$3:$R$548,"&lt;&gt;")</f>
        <v/>
      </c>
      <c r="F19" s="53">
        <f>COUNTIFS(LLM_Data_Entry!$A$3:$A$548,$A19,LLM_Data_Entry!$F$3:$F$548,"LLM",LLM_Data_Entry!$R$3:$R$548,"YES")</f>
        <v/>
      </c>
      <c r="G19" s="56">
        <f>IF(E19=0,"-",F19/E19)</f>
        <v/>
      </c>
      <c r="H19" s="20" t="n"/>
      <c r="I19" s="50">
        <f>A19</f>
        <v/>
      </c>
      <c r="J19" s="21">
        <f>SUMPRODUCT((Human_Data_Entry!$A$3:$A$524=$I19)*(Human_Data_Entry!$H$3:$H$524="Human")*((Human_Data_Entry!$J$3:$J$524="BUY")+(Human_Data_Entry!$J$3:$J$524="SELL"))*ISNUMBER(Human_Data_Entry!$U$3:$U$524))</f>
        <v/>
      </c>
      <c r="K19" s="54">
        <f>IFERROR(AVERAGEIFS(Human_Data_Entry!$U$3:$U$524,Human_Data_Entry!$A$3:$A$524,$I19,Human_Data_Entry!$H$3:$H$524,"Human",Human_Data_Entry!$J$3:$J$524,"&lt;&gt;HOLD",Human_Data_Entry!$U$3:$U$524,"&lt;&gt;"),"")</f>
        <v/>
      </c>
      <c r="L19" s="54">
        <f>IFERROR(SUMIFS(Human_Data_Entry!$U$3:$U$524,Human_Data_Entry!$A$3:$A$524,$I19,Human_Data_Entry!$H$3:$H$524,"Human",Human_Data_Entry!$J$3:$J$524,"&lt;&gt;HOLD"),"")</f>
        <v/>
      </c>
      <c r="M19" s="21">
        <f>COUNTIFS(LLM_Data_Entry!$A$3:$A$548,$I19,LLM_Data_Entry!$F$3:$F$548,"LLM",LLM_Data_Entry!$H$3:$H$548,"&lt;&gt;HOLD",LLM_Data_Entry!$T$3:$T$548,"&lt;&gt;")</f>
        <v/>
      </c>
      <c r="N19" s="54">
        <f>IFERROR(AVERAGEIFS(LLM_Data_Entry!$T$3:$T$548,LLM_Data_Entry!$A$3:$A$548,$I19,LLM_Data_Entry!$F$3:$F$548,"LLM",LLM_Data_Entry!$H$3:$H$548,"&lt;&gt;HOLD",LLM_Data_Entry!$T$3:$T$548,"&lt;&gt;"),"")</f>
        <v/>
      </c>
      <c r="O19" s="54">
        <f>IFERROR(SUMIFS(LLM_Data_Entry!$T$3:$T$548,LLM_Data_Entry!$A$3:$A$548,$I19,LLM_Data_Entry!$F$3:$F$548,"LLM",LLM_Data_Entry!$H$3:$H$548,"&lt;&gt;HOLD"),"")</f>
        <v/>
      </c>
    </row>
    <row r="20" ht="16.35" customHeight="1">
      <c r="A20" s="55" t="inlineStr">
        <is>
          <t>Adobe</t>
        </is>
      </c>
      <c r="B20" s="51">
        <f>COUNTIFS(Human_Data_Entry!$A$3:$A$524,$A20,Human_Data_Entry!$H$3:$H$524,"Human",Human_Data_Entry!$S$3:$S$524,"?*")</f>
        <v/>
      </c>
      <c r="C20" s="51">
        <f>COUNTIFS(Human_Data_Entry!$A$3:$A$524,$A20,Human_Data_Entry!$H$3:$H$524,"Human",Human_Data_Entry!$S$3:$S$524,"YES")</f>
        <v/>
      </c>
      <c r="D20" s="56">
        <f>IF(B20=0,"-",C20/B20)</f>
        <v/>
      </c>
      <c r="E20" s="51">
        <f>COUNTIFS(LLM_Data_Entry!$A$3:$A$548,$A20,LLM_Data_Entry!$F$3:$F$548,"LLM",LLM_Data_Entry!$R$3:$R$548,"&lt;&gt;")</f>
        <v/>
      </c>
      <c r="F20" s="53">
        <f>COUNTIFS(LLM_Data_Entry!$A$3:$A$548,$A20,LLM_Data_Entry!$F$3:$F$548,"LLM",LLM_Data_Entry!$R$3:$R$548,"YES")</f>
        <v/>
      </c>
      <c r="G20" s="56">
        <f>IF(E20=0,"-",F20/E20)</f>
        <v/>
      </c>
      <c r="H20" s="20" t="n"/>
      <c r="I20" s="50">
        <f>A20</f>
        <v/>
      </c>
      <c r="J20" s="21">
        <f>SUMPRODUCT((Human_Data_Entry!$A$3:$A$524=$I20)*(Human_Data_Entry!$H$3:$H$524="Human")*((Human_Data_Entry!$J$3:$J$524="BUY")+(Human_Data_Entry!$J$3:$J$524="SELL"))*ISNUMBER(Human_Data_Entry!$U$3:$U$524))</f>
        <v/>
      </c>
      <c r="K20" s="54">
        <f>IFERROR(AVERAGEIFS(Human_Data_Entry!$U$3:$U$524,Human_Data_Entry!$A$3:$A$524,$I20,Human_Data_Entry!$H$3:$H$524,"Human",Human_Data_Entry!$J$3:$J$524,"&lt;&gt;HOLD",Human_Data_Entry!$U$3:$U$524,"&lt;&gt;"),"")</f>
        <v/>
      </c>
      <c r="L20" s="54">
        <f>IFERROR(SUMIFS(Human_Data_Entry!$U$3:$U$524,Human_Data_Entry!$A$3:$A$524,$I20,Human_Data_Entry!$H$3:$H$524,"Human",Human_Data_Entry!$J$3:$J$524,"&lt;&gt;HOLD"),"")</f>
        <v/>
      </c>
      <c r="M20" s="21">
        <f>COUNTIFS(LLM_Data_Entry!$A$3:$A$548,$I20,LLM_Data_Entry!$F$3:$F$548,"LLM",LLM_Data_Entry!$H$3:$H$548,"&lt;&gt;HOLD",LLM_Data_Entry!$T$3:$T$548,"&lt;&gt;")</f>
        <v/>
      </c>
      <c r="N20" s="54">
        <f>IFERROR(AVERAGEIFS(LLM_Data_Entry!$T$3:$T$548,LLM_Data_Entry!$A$3:$A$548,$I20,LLM_Data_Entry!$F$3:$F$548,"LLM",LLM_Data_Entry!$H$3:$H$548,"&lt;&gt;HOLD",LLM_Data_Entry!$T$3:$T$548,"&lt;&gt;"),"")</f>
        <v/>
      </c>
      <c r="O20" s="54">
        <f>IFERROR(SUMIFS(LLM_Data_Entry!$T$3:$T$548,LLM_Data_Entry!$A$3:$A$548,$I20,LLM_Data_Entry!$F$3:$F$548,"LLM",LLM_Data_Entry!$H$3:$H$548,"&lt;&gt;HOLD"),"")</f>
        <v/>
      </c>
    </row>
    <row r="21" ht="16.35" customHeight="1">
      <c r="A21" s="55" t="inlineStr">
        <is>
          <t>Allianz</t>
        </is>
      </c>
      <c r="B21" s="51">
        <f>COUNTIFS(Human_Data_Entry!$A$3:$A$524,$A21,Human_Data_Entry!$H$3:$H$524,"Human",Human_Data_Entry!$S$3:$S$524,"?*")</f>
        <v/>
      </c>
      <c r="C21" s="51">
        <f>COUNTIFS(Human_Data_Entry!$A$3:$A$524,$A21,Human_Data_Entry!$H$3:$H$524,"Human",Human_Data_Entry!$S$3:$S$524,"YES")</f>
        <v/>
      </c>
      <c r="D21" s="56">
        <f>IF(B21=0,"-",C21/B21)</f>
        <v/>
      </c>
      <c r="E21" s="51">
        <f>COUNTIFS(LLM_Data_Entry!$A$3:$A$548,$A21,LLM_Data_Entry!$F$3:$F$548,"LLM",LLM_Data_Entry!$R$3:$R$548,"&lt;&gt;")</f>
        <v/>
      </c>
      <c r="F21" s="53">
        <f>COUNTIFS(LLM_Data_Entry!$A$3:$A$548,$A21,LLM_Data_Entry!$F$3:$F$548,"LLM",LLM_Data_Entry!$R$3:$R$548,"YES")</f>
        <v/>
      </c>
      <c r="G21" s="56">
        <f>IF(E21=0,"-",F21/E21)</f>
        <v/>
      </c>
      <c r="H21" s="20" t="n"/>
      <c r="I21" s="50">
        <f>A21</f>
        <v/>
      </c>
      <c r="J21" s="21">
        <f>SUMPRODUCT((Human_Data_Entry!$A$3:$A$524=$I21)*(Human_Data_Entry!$H$3:$H$524="Human")*((Human_Data_Entry!$J$3:$J$524="BUY")+(Human_Data_Entry!$J$3:$J$524="SELL"))*ISNUMBER(Human_Data_Entry!$U$3:$U$524))</f>
        <v/>
      </c>
      <c r="K21" s="54">
        <f>IFERROR(AVERAGEIFS(Human_Data_Entry!$U$3:$U$524,Human_Data_Entry!$A$3:$A$524,$I21,Human_Data_Entry!$H$3:$H$524,"Human",Human_Data_Entry!$J$3:$J$524,"&lt;&gt;HOLD",Human_Data_Entry!$U$3:$U$524,"&lt;&gt;"),"")</f>
        <v/>
      </c>
      <c r="L21" s="54">
        <f>IFERROR(SUMIFS(Human_Data_Entry!$U$3:$U$524,Human_Data_Entry!$A$3:$A$524,$I21,Human_Data_Entry!$H$3:$H$524,"Human",Human_Data_Entry!$J$3:$J$524,"&lt;&gt;HOLD"),"")</f>
        <v/>
      </c>
      <c r="M21" s="21">
        <f>COUNTIFS(LLM_Data_Entry!$A$3:$A$548,$I21,LLM_Data_Entry!$F$3:$F$548,"LLM",LLM_Data_Entry!$H$3:$H$548,"&lt;&gt;HOLD",LLM_Data_Entry!$T$3:$T$548,"&lt;&gt;")</f>
        <v/>
      </c>
      <c r="N21" s="54">
        <f>IFERROR(AVERAGEIFS(LLM_Data_Entry!$T$3:$T$548,LLM_Data_Entry!$A$3:$A$548,$I21,LLM_Data_Entry!$F$3:$F$548,"LLM",LLM_Data_Entry!$H$3:$H$548,"&lt;&gt;HOLD",LLM_Data_Entry!$T$3:$T$548,"&lt;&gt;"),"")</f>
        <v/>
      </c>
      <c r="O21" s="54">
        <f>IFERROR(SUMIFS(LLM_Data_Entry!$T$3:$T$548,LLM_Data_Entry!$A$3:$A$548,$I21,LLM_Data_Entry!$F$3:$F$548,"LLM",LLM_Data_Entry!$H$3:$H$548,"&lt;&gt;HOLD"),"")</f>
        <v/>
      </c>
    </row>
    <row r="22" ht="16.35" customHeight="1">
      <c r="A22" s="50" t="inlineStr">
        <is>
          <t>Bank of America</t>
        </is>
      </c>
      <c r="B22" s="51">
        <f>COUNTIFS(Human_Data_Entry!$A$3:$A$524,$A22,Human_Data_Entry!$H$3:$H$524,"Human",Human_Data_Entry!$S$3:$S$524,"?*")</f>
        <v/>
      </c>
      <c r="C22" s="51">
        <f>COUNTIFS(Human_Data_Entry!$A$3:$A$524,$A22,Human_Data_Entry!$H$3:$H$524,"Human",Human_Data_Entry!$S$3:$S$524,"YES")</f>
        <v/>
      </c>
      <c r="D22" s="52">
        <f>IF(B22=0,"-",C22/B22)</f>
        <v/>
      </c>
      <c r="E22" s="51">
        <f>COUNTIFS(LLM_Data_Entry!$A$3:$A$548,$A22,LLM_Data_Entry!$F$3:$F$548,"LLM",LLM_Data_Entry!$R$3:$R$548,"&lt;&gt;")</f>
        <v/>
      </c>
      <c r="F22" s="53">
        <f>COUNTIFS(LLM_Data_Entry!$A$3:$A$548,$A22,LLM_Data_Entry!$F$3:$F$548,"LLM",LLM_Data_Entry!$R$3:$R$548,"YES")</f>
        <v/>
      </c>
      <c r="G22" s="52">
        <f>IF(E22=0,"-",F22/E22)</f>
        <v/>
      </c>
      <c r="H22" s="20" t="n"/>
      <c r="I22" s="50">
        <f>A22</f>
        <v/>
      </c>
      <c r="J22" s="21">
        <f>SUMPRODUCT((Human_Data_Entry!$A$3:$A$524=$I22)*(Human_Data_Entry!$H$3:$H$524="Human")*((Human_Data_Entry!$J$3:$J$524="BUY")+(Human_Data_Entry!$J$3:$J$524="SELL"))*ISNUMBER(Human_Data_Entry!$U$3:$U$524))</f>
        <v/>
      </c>
      <c r="K22" s="54">
        <f>IFERROR(AVERAGEIFS(Human_Data_Entry!$U$3:$U$524,Human_Data_Entry!$A$3:$A$524,$I22,Human_Data_Entry!$H$3:$H$524,"Human",Human_Data_Entry!$J$3:$J$524,"&lt;&gt;HOLD",Human_Data_Entry!$U$3:$U$524,"&lt;&gt;"),"")</f>
        <v/>
      </c>
      <c r="L22" s="54">
        <f>IFERROR(SUMIFS(Human_Data_Entry!$U$3:$U$524,Human_Data_Entry!$A$3:$A$524,$I22,Human_Data_Entry!$H$3:$H$524,"Human",Human_Data_Entry!$J$3:$J$524,"&lt;&gt;HOLD"),"")</f>
        <v/>
      </c>
      <c r="M22" s="21">
        <f>COUNTIFS(LLM_Data_Entry!$A$3:$A$548,$I22,LLM_Data_Entry!$F$3:$F$548,"LLM",LLM_Data_Entry!$H$3:$H$548,"&lt;&gt;HOLD",LLM_Data_Entry!$T$3:$T$548,"&lt;&gt;")</f>
        <v/>
      </c>
      <c r="N22" s="54">
        <f>IFERROR(AVERAGEIFS(LLM_Data_Entry!$T$3:$T$548,LLM_Data_Entry!$A$3:$A$548,$I22,LLM_Data_Entry!$F$3:$F$548,"LLM",LLM_Data_Entry!$H$3:$H$548,"&lt;&gt;HOLD",LLM_Data_Entry!$T$3:$T$548,"&lt;&gt;"),"")</f>
        <v/>
      </c>
      <c r="O22" s="54">
        <f>IFERROR(SUMIFS(LLM_Data_Entry!$T$3:$T$548,LLM_Data_Entry!$A$3:$A$548,$I22,LLM_Data_Entry!$F$3:$F$548,"LLM",LLM_Data_Entry!$H$3:$H$548,"&lt;&gt;HOLD"),"")</f>
        <v/>
      </c>
    </row>
    <row r="23" ht="16.35" customHeight="1">
      <c r="A23" s="55" t="inlineStr">
        <is>
          <t>Target</t>
        </is>
      </c>
      <c r="B23" s="51">
        <f>COUNTIFS(Human_Data_Entry!$A$3:$A$524,$A23,Human_Data_Entry!$H$3:$H$524,"Human",Human_Data_Entry!$S$3:$S$524,"?*")</f>
        <v/>
      </c>
      <c r="C23" s="51">
        <f>COUNTIFS(Human_Data_Entry!$A$3:$A$524,$A23,Human_Data_Entry!$H$3:$H$524,"Human",Human_Data_Entry!$S$3:$S$524,"YES")</f>
        <v/>
      </c>
      <c r="D23" s="56">
        <f>IF(B23=0,"-",C23/B23)</f>
        <v/>
      </c>
      <c r="E23" s="51">
        <f>COUNTIFS(LLM_Data_Entry!$A$3:$A$548,$A23,LLM_Data_Entry!$F$3:$F$548,"LLM",LLM_Data_Entry!$R$3:$R$548,"&lt;&gt;")</f>
        <v/>
      </c>
      <c r="F23" s="53">
        <f>COUNTIFS(LLM_Data_Entry!$A$3:$A$548,$A23,LLM_Data_Entry!$F$3:$F$548,"LLM",LLM_Data_Entry!$R$3:$R$548,"YES")</f>
        <v/>
      </c>
      <c r="G23" s="56">
        <f>IF(E23=0,"-",F23/E23)</f>
        <v/>
      </c>
      <c r="H23" s="20" t="n"/>
      <c r="I23" s="50">
        <f>A23</f>
        <v/>
      </c>
      <c r="J23" s="21">
        <f>SUMPRODUCT((Human_Data_Entry!$A$3:$A$524=$I23)*(Human_Data_Entry!$H$3:$H$524="Human")*((Human_Data_Entry!$J$3:$J$524="BUY")+(Human_Data_Entry!$J$3:$J$524="SELL"))*ISNUMBER(Human_Data_Entry!$U$3:$U$524))</f>
        <v/>
      </c>
      <c r="K23" s="54">
        <f>IFERROR(AVERAGEIFS(Human_Data_Entry!$U$3:$U$524,Human_Data_Entry!$A$3:$A$524,$I23,Human_Data_Entry!$H$3:$H$524,"Human",Human_Data_Entry!$J$3:$J$524,"&lt;&gt;HOLD",Human_Data_Entry!$U$3:$U$524,"&lt;&gt;"),"")</f>
        <v/>
      </c>
      <c r="L23" s="54">
        <f>IFERROR(SUMIFS(Human_Data_Entry!$U$3:$U$524,Human_Data_Entry!$A$3:$A$524,$I23,Human_Data_Entry!$H$3:$H$524,"Human",Human_Data_Entry!$J$3:$J$524,"&lt;&gt;HOLD"),"")</f>
        <v/>
      </c>
      <c r="M23" s="21">
        <f>COUNTIFS(LLM_Data_Entry!$A$3:$A$548,$I23,LLM_Data_Entry!$F$3:$F$548,"LLM",LLM_Data_Entry!$H$3:$H$548,"&lt;&gt;HOLD",LLM_Data_Entry!$T$3:$T$548,"&lt;&gt;")</f>
        <v/>
      </c>
      <c r="N23" s="54">
        <f>IFERROR(AVERAGEIFS(LLM_Data_Entry!$T$3:$T$548,LLM_Data_Entry!$A$3:$A$548,$I23,LLM_Data_Entry!$F$3:$F$548,"LLM",LLM_Data_Entry!$H$3:$H$548,"&lt;&gt;HOLD",LLM_Data_Entry!$T$3:$T$548,"&lt;&gt;"),"")</f>
        <v/>
      </c>
      <c r="O23" s="54">
        <f>IFERROR(SUMIFS(LLM_Data_Entry!$T$3:$T$548,LLM_Data_Entry!$A$3:$A$548,$I23,LLM_Data_Entry!$F$3:$F$548,"LLM",LLM_Data_Entry!$H$3:$H$548,"&lt;&gt;HOLD"),"")</f>
        <v/>
      </c>
    </row>
    <row r="24" ht="16.35" customHeight="1">
      <c r="A24" s="50" t="inlineStr">
        <is>
          <t>Boeing</t>
        </is>
      </c>
      <c r="B24" s="51">
        <f>COUNTIFS(Human_Data_Entry!$A$3:$A$524,$A24,Human_Data_Entry!$H$3:$H$524,"Human",Human_Data_Entry!$S$3:$S$524,"?*")</f>
        <v/>
      </c>
      <c r="C24" s="51">
        <f>COUNTIFS(Human_Data_Entry!$A$3:$A$524,$A24,Human_Data_Entry!$H$3:$H$524,"Human",Human_Data_Entry!$S$3:$S$524,"YES")</f>
        <v/>
      </c>
      <c r="D24" s="52">
        <f>IF(B24=0,"-",C24/B24)</f>
        <v/>
      </c>
      <c r="E24" s="51">
        <f>COUNTIFS(LLM_Data_Entry!$A$3:$A$548,$A24,LLM_Data_Entry!$F$3:$F$548,"LLM",LLM_Data_Entry!$R$3:$R$548,"&lt;&gt;")</f>
        <v/>
      </c>
      <c r="F24" s="53">
        <f>COUNTIFS(LLM_Data_Entry!$A$3:$A$548,$A24,LLM_Data_Entry!$F$3:$F$548,"LLM",LLM_Data_Entry!$R$3:$R$548,"YES")</f>
        <v/>
      </c>
      <c r="G24" s="52">
        <f>IF(E24=0,"-",F24/E24)</f>
        <v/>
      </c>
      <c r="H24" s="20" t="n"/>
      <c r="I24" s="50">
        <f>A24</f>
        <v/>
      </c>
      <c r="J24" s="21">
        <f>SUMPRODUCT((Human_Data_Entry!$A$3:$A$524=$I24)*(Human_Data_Entry!$H$3:$H$524="Human")*((Human_Data_Entry!$J$3:$J$524="BUY")+(Human_Data_Entry!$J$3:$J$524="SELL"))*ISNUMBER(Human_Data_Entry!$U$3:$U$524))</f>
        <v/>
      </c>
      <c r="K24" s="54">
        <f>IFERROR(AVERAGEIFS(Human_Data_Entry!$U$3:$U$524,Human_Data_Entry!$A$3:$A$524,$I24,Human_Data_Entry!$H$3:$H$524,"Human",Human_Data_Entry!$J$3:$J$524,"&lt;&gt;HOLD",Human_Data_Entry!$U$3:$U$524,"&lt;&gt;"),"")</f>
        <v/>
      </c>
      <c r="L24" s="54">
        <f>IFERROR(SUMIFS(Human_Data_Entry!$U$3:$U$524,Human_Data_Entry!$A$3:$A$524,$I24,Human_Data_Entry!$H$3:$H$524,"Human",Human_Data_Entry!$J$3:$J$524,"&lt;&gt;HOLD"),"")</f>
        <v/>
      </c>
      <c r="M24" s="21">
        <f>COUNTIFS(LLM_Data_Entry!$A$3:$A$548,$I24,LLM_Data_Entry!$F$3:$F$548,"LLM",LLM_Data_Entry!$H$3:$H$548,"&lt;&gt;HOLD",LLM_Data_Entry!$T$3:$T$548,"&lt;&gt;")</f>
        <v/>
      </c>
      <c r="N24" s="54">
        <f>IFERROR(AVERAGEIFS(LLM_Data_Entry!$T$3:$T$548,LLM_Data_Entry!$A$3:$A$548,$I24,LLM_Data_Entry!$F$3:$F$548,"LLM",LLM_Data_Entry!$H$3:$H$548,"&lt;&gt;HOLD",LLM_Data_Entry!$T$3:$T$548,"&lt;&gt;"),"")</f>
        <v/>
      </c>
      <c r="O24" s="54">
        <f>IFERROR(SUMIFS(LLM_Data_Entry!$T$3:$T$548,LLM_Data_Entry!$A$3:$A$548,$I24,LLM_Data_Entry!$F$3:$F$548,"LLM",LLM_Data_Entry!$H$3:$H$548,"&lt;&gt;HOLD"),"")</f>
        <v/>
      </c>
    </row>
    <row r="25" ht="16.35" customHeight="1">
      <c r="A25" s="55" t="inlineStr">
        <is>
          <t>Disney</t>
        </is>
      </c>
      <c r="B25" s="51">
        <f>COUNTIFS(Human_Data_Entry!$A$3:$A$524,$A25,Human_Data_Entry!$H$3:$H$524,"Human",Human_Data_Entry!$S$3:$S$524,"?*")</f>
        <v/>
      </c>
      <c r="C25" s="51">
        <f>COUNTIFS(Human_Data_Entry!$A$3:$A$524,$A25,Human_Data_Entry!$H$3:$H$524,"Human",Human_Data_Entry!$S$3:$S$524,"YES")</f>
        <v/>
      </c>
      <c r="D25" s="56">
        <f>IF(B25=0,"-",C25/B25)</f>
        <v/>
      </c>
      <c r="E25" s="51">
        <f>COUNTIFS(LLM_Data_Entry!$A$3:$A$548,$A25,LLM_Data_Entry!$F$3:$F$548,"LLM",LLM_Data_Entry!$R$3:$R$548,"&lt;&gt;")</f>
        <v/>
      </c>
      <c r="F25" s="53">
        <f>COUNTIFS(LLM_Data_Entry!$A$3:$A$548,$A25,LLM_Data_Entry!$F$3:$F$548,"LLM",LLM_Data_Entry!$R$3:$R$548,"YES")</f>
        <v/>
      </c>
      <c r="G25" s="56">
        <f>IF(E25=0,"-",F25/E25)</f>
        <v/>
      </c>
      <c r="H25" s="20" t="n"/>
      <c r="I25" s="50">
        <f>A25</f>
        <v/>
      </c>
      <c r="J25" s="21">
        <f>SUMPRODUCT((Human_Data_Entry!$A$3:$A$524=$I25)*(Human_Data_Entry!$H$3:$H$524="Human")*((Human_Data_Entry!$J$3:$J$524="BUY")+(Human_Data_Entry!$J$3:$J$524="SELL"))*ISNUMBER(Human_Data_Entry!$U$3:$U$524))</f>
        <v/>
      </c>
      <c r="K25" s="54">
        <f>IFERROR(AVERAGEIFS(Human_Data_Entry!$U$3:$U$524,Human_Data_Entry!$A$3:$A$524,$I25,Human_Data_Entry!$H$3:$H$524,"Human",Human_Data_Entry!$J$3:$J$524,"&lt;&gt;HOLD",Human_Data_Entry!$U$3:$U$524,"&lt;&gt;"),"")</f>
        <v/>
      </c>
      <c r="L25" s="54">
        <f>IFERROR(SUMIFS(Human_Data_Entry!$U$3:$U$524,Human_Data_Entry!$A$3:$A$524,$I25,Human_Data_Entry!$H$3:$H$524,"Human",Human_Data_Entry!$J$3:$J$524,"&lt;&gt;HOLD"),"")</f>
        <v/>
      </c>
      <c r="M25" s="21">
        <f>COUNTIFS(LLM_Data_Entry!$A$3:$A$548,$I25,LLM_Data_Entry!$F$3:$F$548,"LLM",LLM_Data_Entry!$H$3:$H$548,"&lt;&gt;HOLD",LLM_Data_Entry!$T$3:$T$548,"&lt;&gt;")</f>
        <v/>
      </c>
      <c r="N25" s="54">
        <f>IFERROR(AVERAGEIFS(LLM_Data_Entry!$T$3:$T$548,LLM_Data_Entry!$A$3:$A$548,$I25,LLM_Data_Entry!$F$3:$F$548,"LLM",LLM_Data_Entry!$H$3:$H$548,"&lt;&gt;HOLD",LLM_Data_Entry!$T$3:$T$548,"&lt;&gt;"),"")</f>
        <v/>
      </c>
      <c r="O25" s="54">
        <f>IFERROR(SUMIFS(LLM_Data_Entry!$T$3:$T$548,LLM_Data_Entry!$A$3:$A$548,$I25,LLM_Data_Entry!$F$3:$F$548,"LLM",LLM_Data_Entry!$H$3:$H$548,"&lt;&gt;HOLD"),"")</f>
        <v/>
      </c>
    </row>
    <row r="26" ht="16.35" customHeight="1">
      <c r="A26" s="19" t="inlineStr">
        <is>
          <t>Amazon</t>
        </is>
      </c>
      <c r="B26" s="51">
        <f>COUNTIFS(Human_Data_Entry!$A$3:$A$524,$A26,Human_Data_Entry!$H$3:$H$524,"Human",Human_Data_Entry!$S$3:$S$524,"?*")</f>
        <v/>
      </c>
      <c r="C26" s="51">
        <f>COUNTIFS(Human_Data_Entry!$A$3:$A$524,$A26,Human_Data_Entry!$H$3:$H$524,"Human",Human_Data_Entry!$S$3:$S$524,"YES")</f>
        <v/>
      </c>
      <c r="D26" s="56">
        <f>IF(B26=0,"-",C26/B26)</f>
        <v/>
      </c>
      <c r="E26" s="51">
        <f>COUNTIFS(LLM_Data_Entry!$A$3:$A$548,$A26,LLM_Data_Entry!$F$3:$F$548,"LLM",LLM_Data_Entry!$R$3:$R$548,"&lt;&gt;")</f>
        <v/>
      </c>
      <c r="F26" s="53">
        <f>COUNTIFS(LLM_Data_Entry!$A$3:$A$548,$A26,LLM_Data_Entry!$F$3:$F$548,"LLM",LLM_Data_Entry!$R$3:$R$548,"YES")</f>
        <v/>
      </c>
      <c r="G26" s="56">
        <f>IF(E26=0,"-",F26/E26)</f>
        <v/>
      </c>
      <c r="H26" s="20" t="n"/>
      <c r="I26" s="50">
        <f>A26</f>
        <v/>
      </c>
      <c r="J26" s="21">
        <f>SUMPRODUCT((Human_Data_Entry!$A$3:$A$524=$I26)*(Human_Data_Entry!$H$3:$H$524="Human")*((Human_Data_Entry!$J$3:$J$524="BUY")+(Human_Data_Entry!$J$3:$J$524="SELL"))*ISNUMBER(Human_Data_Entry!$U$3:$U$524))</f>
        <v/>
      </c>
      <c r="K26" s="54">
        <f>IFERROR(AVERAGEIFS(Human_Data_Entry!$U$3:$U$524,Human_Data_Entry!$A$3:$A$524,$I26,Human_Data_Entry!$H$3:$H$524,"Human",Human_Data_Entry!$J$3:$J$524,"&lt;&gt;HOLD",Human_Data_Entry!$U$3:$U$524,"&lt;&gt;"),"")</f>
        <v/>
      </c>
      <c r="L26" s="54">
        <f>IFERROR(SUMIFS(Human_Data_Entry!$U$3:$U$524,Human_Data_Entry!$A$3:$A$524,$I26,Human_Data_Entry!$H$3:$H$524,"Human",Human_Data_Entry!$J$3:$J$524,"&lt;&gt;HOLD"),"")</f>
        <v/>
      </c>
      <c r="M26" s="21">
        <f>COUNTIFS(LLM_Data_Entry!$A$3:$A$548,$I26,LLM_Data_Entry!$F$3:$F$548,"LLM",LLM_Data_Entry!$H$3:$H$548,"&lt;&gt;HOLD",LLM_Data_Entry!$T$3:$T$548,"&lt;&gt;")</f>
        <v/>
      </c>
      <c r="N26" s="54">
        <f>IFERROR(AVERAGEIFS(LLM_Data_Entry!$T$3:$T$548,LLM_Data_Entry!$A$3:$A$548,$I26,LLM_Data_Entry!$F$3:$F$548,"LLM",LLM_Data_Entry!$H$3:$H$548,"&lt;&gt;HOLD",LLM_Data_Entry!$T$3:$T$548,"&lt;&gt;"),"")</f>
        <v/>
      </c>
      <c r="O26" s="54">
        <f>IFERROR(SUMIFS(LLM_Data_Entry!$T$3:$T$548,LLM_Data_Entry!$A$3:$A$548,$I26,LLM_Data_Entry!$F$3:$F$548,"LLM",LLM_Data_Entry!$H$3:$H$548,"&lt;&gt;HOLD"),"")</f>
        <v/>
      </c>
    </row>
    <row r="27" ht="16.35" customHeight="1">
      <c r="A27" s="19" t="inlineStr">
        <is>
          <t>McDonald's</t>
        </is>
      </c>
      <c r="B27" s="51">
        <f>COUNTIFS(Human_Data_Entry!$A$3:$A$524,$A27,Human_Data_Entry!$H$3:$H$524,"Human",Human_Data_Entry!$S$3:$S$524,"?*")</f>
        <v/>
      </c>
      <c r="C27" s="51">
        <f>COUNTIFS(Human_Data_Entry!$A$3:$A$524,$A27,Human_Data_Entry!$H$3:$H$524,"Human",Human_Data_Entry!$S$3:$S$524,"YES")</f>
        <v/>
      </c>
      <c r="D27" s="56">
        <f>IF(B27=0,"-",C27/B27)</f>
        <v/>
      </c>
      <c r="E27" s="51">
        <f>COUNTIFS(LLM_Data_Entry!$A$3:$A$548,$A27,LLM_Data_Entry!$F$3:$F$548,"LLM",LLM_Data_Entry!$R$3:$R$548,"&lt;&gt;")</f>
        <v/>
      </c>
      <c r="F27" s="53">
        <f>COUNTIFS(LLM_Data_Entry!$A$3:$A$548,$A27,LLM_Data_Entry!$F$3:$F$548,"LLM",LLM_Data_Entry!$R$3:$R$548,"YES")</f>
        <v/>
      </c>
      <c r="G27" s="56">
        <f>IF(E27=0,"-",F27/E27)</f>
        <v/>
      </c>
      <c r="H27" s="20" t="n"/>
      <c r="I27" s="50">
        <f>A27</f>
        <v/>
      </c>
      <c r="J27" s="21">
        <f>SUMPRODUCT((Human_Data_Entry!$A$3:$A$524=$I27)*(Human_Data_Entry!$H$3:$H$524="Human")*((Human_Data_Entry!$J$3:$J$524="BUY")+(Human_Data_Entry!$J$3:$J$524="SELL"))*ISNUMBER(Human_Data_Entry!$U$3:$U$524))</f>
        <v/>
      </c>
      <c r="K27" s="54">
        <f>IFERROR(AVERAGEIFS(Human_Data_Entry!$U$3:$U$524,Human_Data_Entry!$A$3:$A$524,$I27,Human_Data_Entry!$H$3:$H$524,"Human",Human_Data_Entry!$J$3:$J$524,"&lt;&gt;HOLD",Human_Data_Entry!$U$3:$U$524,"&lt;&gt;"),"")</f>
        <v/>
      </c>
      <c r="L27" s="54">
        <f>IFERROR(SUMIFS(Human_Data_Entry!$U$3:$U$524,Human_Data_Entry!$A$3:$A$524,$I27,Human_Data_Entry!$H$3:$H$524,"Human",Human_Data_Entry!$J$3:$J$524,"&lt;&gt;HOLD"),"")</f>
        <v/>
      </c>
      <c r="M27" s="21">
        <f>COUNTIFS(LLM_Data_Entry!$A$3:$A$548,$I27,LLM_Data_Entry!$F$3:$F$548,"LLM",LLM_Data_Entry!$H$3:$H$548,"&lt;&gt;HOLD",LLM_Data_Entry!$T$3:$T$548,"&lt;&gt;")</f>
        <v/>
      </c>
      <c r="N27" s="54">
        <f>IFERROR(AVERAGEIFS(LLM_Data_Entry!$T$3:$T$548,LLM_Data_Entry!$A$3:$A$548,$I27,LLM_Data_Entry!$F$3:$F$548,"LLM",LLM_Data_Entry!$H$3:$H$548,"&lt;&gt;HOLD",LLM_Data_Entry!$T$3:$T$548,"&lt;&gt;"),"")</f>
        <v/>
      </c>
      <c r="O27" s="54">
        <f>IFERROR(SUMIFS(LLM_Data_Entry!$T$3:$T$548,LLM_Data_Entry!$A$3:$A$548,$I27,LLM_Data_Entry!$F$3:$F$548,"LLM",LLM_Data_Entry!$H$3:$H$548,"&lt;&gt;HOLD"),"")</f>
        <v/>
      </c>
    </row>
    <row r="28" ht="16.35" customHeight="1">
      <c r="A28" s="19" t="inlineStr">
        <is>
          <t>AMD</t>
        </is>
      </c>
      <c r="B28" s="51">
        <f>COUNTIFS(Human_Data_Entry!$A$3:$A$524,$A28,Human_Data_Entry!$H$3:$H$524,"Human",Human_Data_Entry!$S$3:$S$524,"?*")</f>
        <v/>
      </c>
      <c r="C28" s="51">
        <f>COUNTIFS(Human_Data_Entry!$A$3:$A$524,$A28,Human_Data_Entry!$H$3:$H$524,"Human",Human_Data_Entry!$S$3:$S$524,"YES")</f>
        <v/>
      </c>
      <c r="D28" s="56">
        <f>IF(B28=0,"-",C28/B28)</f>
        <v/>
      </c>
      <c r="E28" s="51">
        <f>COUNTIFS(LLM_Data_Entry!$A$3:$A$548,$A28,LLM_Data_Entry!$F$3:$F$548,"LLM",LLM_Data_Entry!$R$3:$R$548,"&lt;&gt;")</f>
        <v/>
      </c>
      <c r="F28" s="53">
        <f>COUNTIFS(LLM_Data_Entry!$A$3:$A$548,$A28,LLM_Data_Entry!$F$3:$F$548,"LLM",LLM_Data_Entry!$R$3:$R$548,"YES")</f>
        <v/>
      </c>
      <c r="G28" s="56">
        <f>IF(E28=0,"-",F28/E28)</f>
        <v/>
      </c>
      <c r="H28" s="20" t="n"/>
      <c r="I28" s="50">
        <f>A28</f>
        <v/>
      </c>
      <c r="J28" s="21">
        <f>SUMPRODUCT((Human_Data_Entry!$A$3:$A$524=$I28)*(Human_Data_Entry!$H$3:$H$524="Human")*((Human_Data_Entry!$J$3:$J$524="BUY")+(Human_Data_Entry!$J$3:$J$524="SELL"))*ISNUMBER(Human_Data_Entry!$U$3:$U$524))</f>
        <v/>
      </c>
      <c r="K28" s="54">
        <f>IFERROR(AVERAGEIFS(Human_Data_Entry!$U$3:$U$524,Human_Data_Entry!$A$3:$A$524,$I28,Human_Data_Entry!$H$3:$H$524,"Human",Human_Data_Entry!$J$3:$J$524,"&lt;&gt;HOLD",Human_Data_Entry!$U$3:$U$524,"&lt;&gt;"),"")</f>
        <v/>
      </c>
      <c r="L28" s="54">
        <f>IFERROR(SUMIFS(Human_Data_Entry!$U$3:$U$524,Human_Data_Entry!$A$3:$A$524,$I28,Human_Data_Entry!$H$3:$H$524,"Human",Human_Data_Entry!$J$3:$J$524,"&lt;&gt;HOLD"),"")</f>
        <v/>
      </c>
      <c r="M28" s="21">
        <f>COUNTIFS(LLM_Data_Entry!$A$3:$A$548,$I28,LLM_Data_Entry!$F$3:$F$548,"LLM",LLM_Data_Entry!$H$3:$H$548,"&lt;&gt;HOLD",LLM_Data_Entry!$T$3:$T$548,"&lt;&gt;")</f>
        <v/>
      </c>
      <c r="N28" s="54">
        <f>IFERROR(AVERAGEIFS(LLM_Data_Entry!$T$3:$T$548,LLM_Data_Entry!$A$3:$A$548,$I28,LLM_Data_Entry!$F$3:$F$548,"LLM",LLM_Data_Entry!$H$3:$H$548,"&lt;&gt;HOLD",LLM_Data_Entry!$T$3:$T$548,"&lt;&gt;"),"")</f>
        <v/>
      </c>
      <c r="O28" s="54">
        <f>IFERROR(SUMIFS(LLM_Data_Entry!$T$3:$T$548,LLM_Data_Entry!$A$3:$A$548,$I28,LLM_Data_Entry!$F$3:$F$548,"LLM",LLM_Data_Entry!$H$3:$H$548,"&lt;&gt;HOLD"),"")</f>
        <v/>
      </c>
    </row>
    <row r="29" ht="16.35" customHeight="1">
      <c r="A29" s="19" t="inlineStr">
        <is>
          <t>Coca-Cola</t>
        </is>
      </c>
      <c r="B29" s="51">
        <f>COUNTIFS(Human_Data_Entry!$A$3:$A$524,$A29,Human_Data_Entry!$H$3:$H$524,"Human",Human_Data_Entry!$S$3:$S$524,"?*")</f>
        <v/>
      </c>
      <c r="C29" s="51">
        <f>COUNTIFS(Human_Data_Entry!$A$3:$A$524,$A29,Human_Data_Entry!$H$3:$H$524,"Human",Human_Data_Entry!$S$3:$S$524,"YES")</f>
        <v/>
      </c>
      <c r="D29" s="56">
        <f>IF(B29=0,"-",C29/B29)</f>
        <v/>
      </c>
      <c r="E29" s="51">
        <f>COUNTIFS(LLM_Data_Entry!$A$3:$A$548,$A29,LLM_Data_Entry!$F$3:$F$548,"LLM",LLM_Data_Entry!$R$3:$R$548,"&lt;&gt;")</f>
        <v/>
      </c>
      <c r="F29" s="53">
        <f>COUNTIFS(LLM_Data_Entry!$A$3:$A$548,$A29,LLM_Data_Entry!$F$3:$F$548,"LLM",LLM_Data_Entry!$R$3:$R$548,"YES")</f>
        <v/>
      </c>
      <c r="G29" s="56">
        <f>IF(E29=0,"-",F29/E29)</f>
        <v/>
      </c>
      <c r="H29" s="20" t="n"/>
      <c r="I29" s="50">
        <f>A29</f>
        <v/>
      </c>
      <c r="J29" s="21">
        <f>SUMPRODUCT((Human_Data_Entry!$A$3:$A$524=$I29)*(Human_Data_Entry!$H$3:$H$524="Human")*((Human_Data_Entry!$J$3:$J$524="BUY")+(Human_Data_Entry!$J$3:$J$524="SELL"))*ISNUMBER(Human_Data_Entry!$U$3:$U$524))</f>
        <v/>
      </c>
      <c r="K29" s="54">
        <f>IFERROR(AVERAGEIFS(Human_Data_Entry!$U$3:$U$524,Human_Data_Entry!$A$3:$A$524,$I29,Human_Data_Entry!$H$3:$H$524,"Human",Human_Data_Entry!$J$3:$J$524,"&lt;&gt;HOLD",Human_Data_Entry!$U$3:$U$524,"&lt;&gt;"),"")</f>
        <v/>
      </c>
      <c r="L29" s="54">
        <f>IFERROR(SUMIFS(Human_Data_Entry!$U$3:$U$524,Human_Data_Entry!$A$3:$A$524,$I29,Human_Data_Entry!$H$3:$H$524,"Human",Human_Data_Entry!$J$3:$J$524,"&lt;&gt;HOLD"),"")</f>
        <v/>
      </c>
      <c r="M29" s="21">
        <f>COUNTIFS(LLM_Data_Entry!$A$3:$A$548,$I29,LLM_Data_Entry!$F$3:$F$548,"LLM",LLM_Data_Entry!$H$3:$H$548,"&lt;&gt;HOLD",LLM_Data_Entry!$T$3:$T$548,"&lt;&gt;")</f>
        <v/>
      </c>
      <c r="N29" s="54">
        <f>IFERROR(AVERAGEIFS(LLM_Data_Entry!$T$3:$T$548,LLM_Data_Entry!$A$3:$A$548,$I29,LLM_Data_Entry!$F$3:$F$548,"LLM",LLM_Data_Entry!$H$3:$H$548,"&lt;&gt;HOLD",LLM_Data_Entry!$T$3:$T$548,"&lt;&gt;"),"")</f>
        <v/>
      </c>
      <c r="O29" s="54">
        <f>IFERROR(SUMIFS(LLM_Data_Entry!$T$3:$T$548,LLM_Data_Entry!$A$3:$A$548,$I29,LLM_Data_Entry!$F$3:$F$548,"LLM",LLM_Data_Entry!$H$3:$H$548,"&lt;&gt;HOLD"),"")</f>
        <v/>
      </c>
    </row>
    <row r="30" ht="16.35" customHeight="1">
      <c r="A30" s="19" t="inlineStr">
        <is>
          <t>Airbnb</t>
        </is>
      </c>
      <c r="B30" s="51">
        <f>COUNTIFS(Human_Data_Entry!$A$3:$A$524,$A30,Human_Data_Entry!$H$3:$H$524,"Human",Human_Data_Entry!$S$3:$S$524,"?*")</f>
        <v/>
      </c>
      <c r="C30" s="51">
        <f>COUNTIFS(Human_Data_Entry!$A$3:$A$524,$A30,Human_Data_Entry!$H$3:$H$524,"Human",Human_Data_Entry!$S$3:$S$524,"YES")</f>
        <v/>
      </c>
      <c r="D30" s="56">
        <f>IF(B30=0,"-",C30/B30)</f>
        <v/>
      </c>
      <c r="E30" s="51">
        <f>COUNTIFS(LLM_Data_Entry!$A$3:$A$548,$A30,LLM_Data_Entry!$F$3:$F$548,"LLM",LLM_Data_Entry!$R$3:$R$548,"&lt;&gt;")</f>
        <v/>
      </c>
      <c r="F30" s="53">
        <f>COUNTIFS(LLM_Data_Entry!$A$3:$A$548,$A30,LLM_Data_Entry!$F$3:$F$548,"LLM",LLM_Data_Entry!$R$3:$R$548,"YES")</f>
        <v/>
      </c>
      <c r="G30" s="56">
        <f>IF(E30=0,"-",F30/E30)</f>
        <v/>
      </c>
      <c r="H30" s="20" t="n"/>
      <c r="I30" s="50">
        <f>A30</f>
        <v/>
      </c>
      <c r="J30" s="21">
        <f>SUMPRODUCT((Human_Data_Entry!$A$3:$A$524=$I30)*(Human_Data_Entry!$H$3:$H$524="Human")*((Human_Data_Entry!$J$3:$J$524="BUY")+(Human_Data_Entry!$J$3:$J$524="SELL"))*ISNUMBER(Human_Data_Entry!$U$3:$U$524))</f>
        <v/>
      </c>
      <c r="K30" s="54">
        <f>IFERROR(AVERAGEIFS(Human_Data_Entry!$U$3:$U$524,Human_Data_Entry!$A$3:$A$524,$I30,Human_Data_Entry!$H$3:$H$524,"Human",Human_Data_Entry!$J$3:$J$524,"&lt;&gt;HOLD",Human_Data_Entry!$U$3:$U$524,"&lt;&gt;"),"")</f>
        <v/>
      </c>
      <c r="L30" s="54">
        <f>IFERROR(SUMIFS(Human_Data_Entry!$U$3:$U$524,Human_Data_Entry!$A$3:$A$524,$I30,Human_Data_Entry!$H$3:$H$524,"Human",Human_Data_Entry!$J$3:$J$524,"&lt;&gt;HOLD"),"")</f>
        <v/>
      </c>
      <c r="M30" s="21">
        <f>COUNTIFS(LLM_Data_Entry!$A$3:$A$548,$I30,LLM_Data_Entry!$F$3:$F$548,"LLM",LLM_Data_Entry!$H$3:$H$548,"&lt;&gt;HOLD",LLM_Data_Entry!$T$3:$T$548,"&lt;&gt;")</f>
        <v/>
      </c>
      <c r="N30" s="54">
        <f>IFERROR(AVERAGEIFS(LLM_Data_Entry!$T$3:$T$548,LLM_Data_Entry!$A$3:$A$548,$I30,LLM_Data_Entry!$F$3:$F$548,"LLM",LLM_Data_Entry!$H$3:$H$548,"&lt;&gt;HOLD",LLM_Data_Entry!$T$3:$T$548,"&lt;&gt;"),"")</f>
        <v/>
      </c>
      <c r="O30" s="54">
        <f>IFERROR(SUMIFS(LLM_Data_Entry!$T$3:$T$548,LLM_Data_Entry!$A$3:$A$548,$I30,LLM_Data_Entry!$F$3:$F$548,"LLM",LLM_Data_Entry!$H$3:$H$548,"&lt;&gt;HOLD"),"")</f>
        <v/>
      </c>
    </row>
    <row r="31" ht="16.35" customHeight="1">
      <c r="A31" s="19" t="inlineStr">
        <is>
          <t>Apple</t>
        </is>
      </c>
      <c r="B31" s="51">
        <f>COUNTIFS(Human_Data_Entry!$A$3:$A$524,$A31,Human_Data_Entry!$H$3:$H$524,"Human",Human_Data_Entry!$S$3:$S$524,"?*")</f>
        <v/>
      </c>
      <c r="C31" s="51">
        <f>COUNTIFS(Human_Data_Entry!$A$3:$A$524,$A31,Human_Data_Entry!$H$3:$H$524,"Human",Human_Data_Entry!$S$3:$S$524,"YES")</f>
        <v/>
      </c>
      <c r="D31" s="56">
        <f>IF(B31=0,"-",C31/B31)</f>
        <v/>
      </c>
      <c r="E31" s="51">
        <f>COUNTIFS(LLM_Data_Entry!$A$3:$A$548,$A31,LLM_Data_Entry!$F$3:$F$548,"LLM",LLM_Data_Entry!$R$3:$R$548,"&lt;&gt;")</f>
        <v/>
      </c>
      <c r="F31" s="53">
        <f>COUNTIFS(LLM_Data_Entry!$A$3:$A$548,$A31,LLM_Data_Entry!$F$3:$F$548,"LLM",LLM_Data_Entry!$R$3:$R$548,"YES")</f>
        <v/>
      </c>
      <c r="G31" s="56">
        <f>IF(E31=0,"-",F31/E31)</f>
        <v/>
      </c>
      <c r="H31" s="20" t="n"/>
      <c r="I31" s="50">
        <f>A31</f>
        <v/>
      </c>
      <c r="J31" s="21">
        <f>SUMPRODUCT((Human_Data_Entry!$A$3:$A$524=$I31)*(Human_Data_Entry!$H$3:$H$524="Human")*((Human_Data_Entry!$J$3:$J$524="BUY")+(Human_Data_Entry!$J$3:$J$524="SELL"))*ISNUMBER(Human_Data_Entry!$U$3:$U$524))</f>
        <v/>
      </c>
      <c r="K31" s="54">
        <f>IFERROR(AVERAGEIFS(Human_Data_Entry!$U$3:$U$524,Human_Data_Entry!$A$3:$A$524,$I31,Human_Data_Entry!$H$3:$H$524,"Human",Human_Data_Entry!$J$3:$J$524,"&lt;&gt;HOLD",Human_Data_Entry!$U$3:$U$524,"&lt;&gt;"),"")</f>
        <v/>
      </c>
      <c r="L31" s="54">
        <f>IFERROR(SUMIFS(Human_Data_Entry!$U$3:$U$524,Human_Data_Entry!$A$3:$A$524,$I31,Human_Data_Entry!$H$3:$H$524,"Human",Human_Data_Entry!$J$3:$J$524,"&lt;&gt;HOLD"),"")</f>
        <v/>
      </c>
      <c r="M31" s="21">
        <f>COUNTIFS(LLM_Data_Entry!$A$3:$A$548,$I31,LLM_Data_Entry!$F$3:$F$548,"LLM",LLM_Data_Entry!$H$3:$H$548,"&lt;&gt;HOLD",LLM_Data_Entry!$T$3:$T$548,"&lt;&gt;")</f>
        <v/>
      </c>
      <c r="N31" s="54">
        <f>IFERROR(AVERAGEIFS(LLM_Data_Entry!$T$3:$T$548,LLM_Data_Entry!$A$3:$A$548,$I31,LLM_Data_Entry!$F$3:$F$548,"LLM",LLM_Data_Entry!$H$3:$H$548,"&lt;&gt;HOLD",LLM_Data_Entry!$T$3:$T$548,"&lt;&gt;"),"")</f>
        <v/>
      </c>
      <c r="O31" s="54">
        <f>IFERROR(SUMIFS(LLM_Data_Entry!$T$3:$T$548,LLM_Data_Entry!$A$3:$A$548,$I31,LLM_Data_Entry!$F$3:$F$548,"LLM",LLM_Data_Entry!$H$3:$H$548,"&lt;&gt;HOLD"),"")</f>
        <v/>
      </c>
    </row>
    <row r="32" ht="16.35" customHeight="1">
      <c r="A32" s="19" t="inlineStr">
        <is>
          <t>Lowe's</t>
        </is>
      </c>
      <c r="B32" s="51">
        <f>COUNTIFS(Human_Data_Entry!$A$3:$A$524,$A32,Human_Data_Entry!$H$3:$H$524,"Human",Human_Data_Entry!$S$3:$S$524,"?*")</f>
        <v/>
      </c>
      <c r="C32" s="51">
        <f>COUNTIFS(Human_Data_Entry!$A$3:$A$524,$A32,Human_Data_Entry!$H$3:$H$524,"Human",Human_Data_Entry!$S$3:$S$524,"YES")</f>
        <v/>
      </c>
      <c r="D32" s="56">
        <f>IF(B32=0,"-",C32/B32)</f>
        <v/>
      </c>
      <c r="E32" s="51">
        <f>COUNTIFS(LLM_Data_Entry!$A$3:$A$548,$A32,LLM_Data_Entry!$F$3:$F$548,"LLM",LLM_Data_Entry!$R$3:$R$548,"&lt;&gt;")</f>
        <v/>
      </c>
      <c r="F32" s="53">
        <f>COUNTIFS(LLM_Data_Entry!$A$3:$A$548,$A32,LLM_Data_Entry!$F$3:$F$548,"LLM",LLM_Data_Entry!$R$3:$R$548,"YES")</f>
        <v/>
      </c>
      <c r="G32" s="56">
        <f>IF(E32=0,"-",F32/E32)</f>
        <v/>
      </c>
      <c r="H32" s="20" t="n"/>
      <c r="I32" s="50">
        <f>A32</f>
        <v/>
      </c>
      <c r="J32" s="21">
        <f>SUMPRODUCT((Human_Data_Entry!$A$3:$A$524=$I32)*(Human_Data_Entry!$H$3:$H$524="Human")*((Human_Data_Entry!$J$3:$J$524="BUY")+(Human_Data_Entry!$J$3:$J$524="SELL"))*ISNUMBER(Human_Data_Entry!$U$3:$U$524))</f>
        <v/>
      </c>
      <c r="K32" s="54">
        <f>IFERROR(AVERAGEIFS(Human_Data_Entry!$U$3:$U$524,Human_Data_Entry!$A$3:$A$524,$I32,Human_Data_Entry!$H$3:$H$524,"Human",Human_Data_Entry!$J$3:$J$524,"&lt;&gt;HOLD",Human_Data_Entry!$U$3:$U$524,"&lt;&gt;"),"")</f>
        <v/>
      </c>
      <c r="L32" s="54">
        <f>IFERROR(SUMIFS(Human_Data_Entry!$U$3:$U$524,Human_Data_Entry!$A$3:$A$524,$I32,Human_Data_Entry!$H$3:$H$524,"Human",Human_Data_Entry!$J$3:$J$524,"&lt;&gt;HOLD"),"")</f>
        <v/>
      </c>
      <c r="M32" s="21">
        <f>COUNTIFS(LLM_Data_Entry!$A$3:$A$548,$I32,LLM_Data_Entry!$F$3:$F$548,"LLM",LLM_Data_Entry!$H$3:$H$548,"&lt;&gt;HOLD",LLM_Data_Entry!$T$3:$T$548,"&lt;&gt;")</f>
        <v/>
      </c>
      <c r="N32" s="54">
        <f>IFERROR(AVERAGEIFS(LLM_Data_Entry!$T$3:$T$548,LLM_Data_Entry!$A$3:$A$548,$I32,LLM_Data_Entry!$F$3:$F$548,"LLM",LLM_Data_Entry!$H$3:$H$548,"&lt;&gt;HOLD",LLM_Data_Entry!$T$3:$T$548,"&lt;&gt;"),"")</f>
        <v/>
      </c>
      <c r="O32" s="54">
        <f>IFERROR(SUMIFS(LLM_Data_Entry!$T$3:$T$548,LLM_Data_Entry!$A$3:$A$548,$I32,LLM_Data_Entry!$F$3:$F$548,"LLM",LLM_Data_Entry!$H$3:$H$548,"&lt;&gt;HOLD"),"")</f>
        <v/>
      </c>
    </row>
    <row r="33" ht="16.35" customHeight="1">
      <c r="A33" s="19" t="inlineStr">
        <is>
          <t>CVS Health</t>
        </is>
      </c>
      <c r="B33" s="51">
        <f>COUNTIFS(Human_Data_Entry!$A$3:$A$524,$A33,Human_Data_Entry!$H$3:$H$524,"Human",Human_Data_Entry!$S$3:$S$524,"?*")</f>
        <v/>
      </c>
      <c r="C33" s="51">
        <f>COUNTIFS(Human_Data_Entry!$A$3:$A$524,$A33,Human_Data_Entry!$H$3:$H$524,"Human",Human_Data_Entry!$S$3:$S$524,"YES")</f>
        <v/>
      </c>
      <c r="D33" s="56">
        <f>IF(B33=0,"-",C33/B33)</f>
        <v/>
      </c>
      <c r="E33" s="51">
        <f>COUNTIFS(LLM_Data_Entry!$A$3:$A$548,$A33,LLM_Data_Entry!$F$3:$F$548,"LLM",LLM_Data_Entry!$R$3:$R$548,"&lt;&gt;")</f>
        <v/>
      </c>
      <c r="F33" s="53">
        <f>COUNTIFS(LLM_Data_Entry!$A$3:$A$548,$A33,LLM_Data_Entry!$F$3:$F$548,"LLM",LLM_Data_Entry!$R$3:$R$548,"YES")</f>
        <v/>
      </c>
      <c r="G33" s="56">
        <f>IF(E33=0,"-",F33/E33)</f>
        <v/>
      </c>
      <c r="H33" s="20" t="n"/>
      <c r="I33" s="50">
        <f>A33</f>
        <v/>
      </c>
      <c r="J33" s="21">
        <f>SUMPRODUCT((Human_Data_Entry!$A$3:$A$524=$I33)*(Human_Data_Entry!$H$3:$H$524="Human")*((Human_Data_Entry!$J$3:$J$524="BUY")+(Human_Data_Entry!$J$3:$J$524="SELL"))*ISNUMBER(Human_Data_Entry!$U$3:$U$524))</f>
        <v/>
      </c>
      <c r="K33" s="54">
        <f>IFERROR(AVERAGEIFS(Human_Data_Entry!$U$3:$U$524,Human_Data_Entry!$A$3:$A$524,$I33,Human_Data_Entry!$H$3:$H$524,"Human",Human_Data_Entry!$J$3:$J$524,"&lt;&gt;HOLD",Human_Data_Entry!$U$3:$U$524,"&lt;&gt;"),"")</f>
        <v/>
      </c>
      <c r="L33" s="54">
        <f>IFERROR(SUMIFS(Human_Data_Entry!$U$3:$U$524,Human_Data_Entry!$A$3:$A$524,$I33,Human_Data_Entry!$H$3:$H$524,"Human",Human_Data_Entry!$J$3:$J$524,"&lt;&gt;HOLD"),"")</f>
        <v/>
      </c>
      <c r="M33" s="21">
        <f>COUNTIFS(LLM_Data_Entry!$A$3:$A$548,$I33,LLM_Data_Entry!$F$3:$F$548,"LLM",LLM_Data_Entry!$H$3:$H$548,"&lt;&gt;HOLD",LLM_Data_Entry!$T$3:$T$548,"&lt;&gt;")</f>
        <v/>
      </c>
      <c r="N33" s="54">
        <f>IFERROR(AVERAGEIFS(LLM_Data_Entry!$T$3:$T$548,LLM_Data_Entry!$A$3:$A$548,$I33,LLM_Data_Entry!$F$3:$F$548,"LLM",LLM_Data_Entry!$H$3:$H$548,"&lt;&gt;HOLD",LLM_Data_Entry!$T$3:$T$548,"&lt;&gt;"),"")</f>
        <v/>
      </c>
      <c r="O33" s="54">
        <f>IFERROR(SUMIFS(LLM_Data_Entry!$T$3:$T$548,LLM_Data_Entry!$A$3:$A$548,$I33,LLM_Data_Entry!$F$3:$F$548,"LLM",LLM_Data_Entry!$H$3:$H$548,"&lt;&gt;HOLD"),"")</f>
        <v/>
      </c>
    </row>
    <row r="34" ht="16.35" customHeight="1">
      <c r="A34" s="19" t="inlineStr">
        <is>
          <t>FedEx</t>
        </is>
      </c>
      <c r="B34" s="51">
        <f>COUNTIFS(Human_Data_Entry!$A$3:$A$524,$A34,Human_Data_Entry!$H$3:$H$524,"Human",Human_Data_Entry!$S$3:$S$524,"?*")</f>
        <v/>
      </c>
      <c r="C34" s="51">
        <f>COUNTIFS(Human_Data_Entry!$A$3:$A$524,$A34,Human_Data_Entry!$H$3:$H$524,"Human",Human_Data_Entry!$S$3:$S$524,"YES")</f>
        <v/>
      </c>
      <c r="D34" s="56">
        <f>IF(B34=0,"-",C34/B34)</f>
        <v/>
      </c>
      <c r="E34" s="51">
        <f>COUNTIFS(LLM_Data_Entry!$A$3:$A$548,$A34,LLM_Data_Entry!$F$3:$F$548,"LLM",LLM_Data_Entry!$R$3:$R$548,"&lt;&gt;")</f>
        <v/>
      </c>
      <c r="F34" s="53">
        <f>COUNTIFS(LLM_Data_Entry!$A$3:$A$548,$A34,LLM_Data_Entry!$F$3:$F$548,"LLM",LLM_Data_Entry!$R$3:$R$548,"YES")</f>
        <v/>
      </c>
      <c r="G34" s="56">
        <f>IF(E34=0,"-",F34/E34)</f>
        <v/>
      </c>
      <c r="H34" s="20" t="n"/>
      <c r="I34" s="50">
        <f>A34</f>
        <v/>
      </c>
      <c r="J34" s="21">
        <f>SUMPRODUCT((Human_Data_Entry!$A$3:$A$524=$I34)*(Human_Data_Entry!$H$3:$H$524="Human")*((Human_Data_Entry!$J$3:$J$524="BUY")+(Human_Data_Entry!$J$3:$J$524="SELL"))*ISNUMBER(Human_Data_Entry!$U$3:$U$524))</f>
        <v/>
      </c>
      <c r="K34" s="54">
        <f>IFERROR(AVERAGEIFS(Human_Data_Entry!$U$3:$U$524,Human_Data_Entry!$A$3:$A$524,$I34,Human_Data_Entry!$H$3:$H$524,"Human",Human_Data_Entry!$J$3:$J$524,"&lt;&gt;HOLD",Human_Data_Entry!$U$3:$U$524,"&lt;&gt;"),"")</f>
        <v/>
      </c>
      <c r="L34" s="54">
        <f>IFERROR(SUMIFS(Human_Data_Entry!$U$3:$U$524,Human_Data_Entry!$A$3:$A$524,$I34,Human_Data_Entry!$H$3:$H$524,"Human",Human_Data_Entry!$J$3:$J$524,"&lt;&gt;HOLD"),"")</f>
        <v/>
      </c>
      <c r="M34" s="21">
        <f>COUNTIFS(LLM_Data_Entry!$A$3:$A$548,$I34,LLM_Data_Entry!$F$3:$F$548,"LLM",LLM_Data_Entry!$H$3:$H$548,"&lt;&gt;HOLD",LLM_Data_Entry!$T$3:$T$548,"&lt;&gt;")</f>
        <v/>
      </c>
      <c r="N34" s="54">
        <f>IFERROR(AVERAGEIFS(LLM_Data_Entry!$T$3:$T$548,LLM_Data_Entry!$A$3:$A$548,$I34,LLM_Data_Entry!$F$3:$F$548,"LLM",LLM_Data_Entry!$H$3:$H$548,"&lt;&gt;HOLD",LLM_Data_Entry!$T$3:$T$548,"&lt;&gt;"),"")</f>
        <v/>
      </c>
      <c r="O34" s="54">
        <f>IFERROR(SUMIFS(LLM_Data_Entry!$T$3:$T$548,LLM_Data_Entry!$A$3:$A$548,$I34,LLM_Data_Entry!$F$3:$F$548,"LLM",LLM_Data_Entry!$H$3:$H$548,"&lt;&gt;HOLD"),"")</f>
        <v/>
      </c>
    </row>
    <row r="35" ht="16.35" customHeight="1">
      <c r="A35" s="19" t="inlineStr">
        <is>
          <t>Hilton</t>
        </is>
      </c>
      <c r="B35" s="51">
        <f>COUNTIFS(Human_Data_Entry!$A$3:$A$524,$A35,Human_Data_Entry!$H$3:$H$524,"Human",Human_Data_Entry!$S$3:$S$524,"?*")</f>
        <v/>
      </c>
      <c r="C35" s="51">
        <f>COUNTIFS(Human_Data_Entry!$A$3:$A$524,$A35,Human_Data_Entry!$H$3:$H$524,"Human",Human_Data_Entry!$S$3:$S$524,"YES")</f>
        <v/>
      </c>
      <c r="D35" s="56">
        <f>IF(B35=0,"-",C35/B35)</f>
        <v/>
      </c>
      <c r="E35" s="51">
        <f>COUNTIFS(LLM_Data_Entry!$A$3:$A$548,$A35,LLM_Data_Entry!$F$3:$F$548,"LLM",LLM_Data_Entry!$R$3:$R$548,"&lt;&gt;")</f>
        <v/>
      </c>
      <c r="F35" s="53">
        <f>COUNTIFS(LLM_Data_Entry!$A$3:$A$548,$A35,LLM_Data_Entry!$F$3:$F$548,"LLM",LLM_Data_Entry!$R$3:$R$548,"YES")</f>
        <v/>
      </c>
      <c r="G35" s="56">
        <f>IF(E35=0,"-",F35/E35)</f>
        <v/>
      </c>
      <c r="H35" s="20" t="n"/>
      <c r="I35" s="50">
        <f>A35</f>
        <v/>
      </c>
      <c r="J35" s="21">
        <f>SUMPRODUCT((Human_Data_Entry!$A$3:$A$524=$I35)*(Human_Data_Entry!$H$3:$H$524="Human")*((Human_Data_Entry!$J$3:$J$524="BUY")+(Human_Data_Entry!$J$3:$J$524="SELL"))*ISNUMBER(Human_Data_Entry!$U$3:$U$524))</f>
        <v/>
      </c>
      <c r="K35" s="54">
        <f>IFERROR(AVERAGEIFS(Human_Data_Entry!$U$3:$U$524,Human_Data_Entry!$A$3:$A$524,$I35,Human_Data_Entry!$H$3:$H$524,"Human",Human_Data_Entry!$J$3:$J$524,"&lt;&gt;HOLD",Human_Data_Entry!$U$3:$U$524,"&lt;&gt;"),"")</f>
        <v/>
      </c>
      <c r="L35" s="54">
        <f>IFERROR(SUMIFS(Human_Data_Entry!$U$3:$U$524,Human_Data_Entry!$A$3:$A$524,$I35,Human_Data_Entry!$H$3:$H$524,"Human",Human_Data_Entry!$J$3:$J$524,"&lt;&gt;HOLD"),"")</f>
        <v/>
      </c>
      <c r="M35" s="21">
        <f>COUNTIFS(LLM_Data_Entry!$A$3:$A$548,$I35,LLM_Data_Entry!$F$3:$F$548,"LLM",LLM_Data_Entry!$H$3:$H$548,"&lt;&gt;HOLD",LLM_Data_Entry!$T$3:$T$548,"&lt;&gt;")</f>
        <v/>
      </c>
      <c r="N35" s="54">
        <f>IFERROR(AVERAGEIFS(LLM_Data_Entry!$T$3:$T$548,LLM_Data_Entry!$A$3:$A$548,$I35,LLM_Data_Entry!$F$3:$F$548,"LLM",LLM_Data_Entry!$H$3:$H$548,"&lt;&gt;HOLD",LLM_Data_Entry!$T$3:$T$548,"&lt;&gt;"),"")</f>
        <v/>
      </c>
      <c r="O35" s="54">
        <f>IFERROR(SUMIFS(LLM_Data_Entry!$T$3:$T$548,LLM_Data_Entry!$A$3:$A$548,$I35,LLM_Data_Entry!$F$3:$F$548,"LLM",LLM_Data_Entry!$H$3:$H$548,"&lt;&gt;HOLD"),"")</f>
        <v/>
      </c>
    </row>
    <row r="36" ht="16.35" customHeight="1">
      <c r="A36" s="19" t="inlineStr">
        <is>
          <t>Marriott</t>
        </is>
      </c>
      <c r="B36" s="51">
        <f>COUNTIFS(Human_Data_Entry!$A$3:$A$524,$A36,Human_Data_Entry!$H$3:$H$524,"Human",Human_Data_Entry!$S$3:$S$524,"?*")</f>
        <v/>
      </c>
      <c r="C36" s="51">
        <f>COUNTIFS(Human_Data_Entry!$A$3:$A$524,$A36,Human_Data_Entry!$H$3:$H$524,"Human",Human_Data_Entry!$S$3:$S$524,"YES")</f>
        <v/>
      </c>
      <c r="D36" s="56">
        <f>IF(B36=0,"-",C36/B36)</f>
        <v/>
      </c>
      <c r="E36" s="51">
        <f>COUNTIFS(LLM_Data_Entry!$A$3:$A$548,$A36,LLM_Data_Entry!$F$3:$F$548,"LLM",LLM_Data_Entry!$R$3:$R$548,"&lt;&gt;")</f>
        <v/>
      </c>
      <c r="F36" s="53">
        <f>COUNTIFS(LLM_Data_Entry!$A$3:$A$548,$A36,LLM_Data_Entry!$F$3:$F$548,"LLM",LLM_Data_Entry!$R$3:$R$548,"YES")</f>
        <v/>
      </c>
      <c r="G36" s="56">
        <f>IF(E36=0,"-",F36/E36)</f>
        <v/>
      </c>
      <c r="H36" s="20" t="n"/>
      <c r="I36" s="50">
        <f>A36</f>
        <v/>
      </c>
      <c r="J36" s="21">
        <f>SUMPRODUCT((Human_Data_Entry!$A$3:$A$524=$I36)*(Human_Data_Entry!$H$3:$H$524="Human")*((Human_Data_Entry!$J$3:$J$524="BUY")+(Human_Data_Entry!$J$3:$J$524="SELL"))*ISNUMBER(Human_Data_Entry!$U$3:$U$524))</f>
        <v/>
      </c>
      <c r="K36" s="54">
        <f>IFERROR(AVERAGEIFS(Human_Data_Entry!$U$3:$U$524,Human_Data_Entry!$A$3:$A$524,$I36,Human_Data_Entry!$H$3:$H$524,"Human",Human_Data_Entry!$J$3:$J$524,"&lt;&gt;HOLD",Human_Data_Entry!$U$3:$U$524,"&lt;&gt;"),"")</f>
        <v/>
      </c>
      <c r="L36" s="54">
        <f>IFERROR(SUMIFS(Human_Data_Entry!$U$3:$U$524,Human_Data_Entry!$A$3:$A$524,$I36,Human_Data_Entry!$H$3:$H$524,"Human",Human_Data_Entry!$J$3:$J$524,"&lt;&gt;HOLD"),"")</f>
        <v/>
      </c>
      <c r="M36" s="21">
        <f>COUNTIFS(LLM_Data_Entry!$A$3:$A$548,$I36,LLM_Data_Entry!$F$3:$F$548,"LLM",LLM_Data_Entry!$H$3:$H$548,"&lt;&gt;HOLD",LLM_Data_Entry!$T$3:$T$548,"&lt;&gt;")</f>
        <v/>
      </c>
      <c r="N36" s="54">
        <f>IFERROR(AVERAGEIFS(LLM_Data_Entry!$T$3:$T$548,LLM_Data_Entry!$A$3:$A$548,$I36,LLM_Data_Entry!$F$3:$F$548,"LLM",LLM_Data_Entry!$H$3:$H$548,"&lt;&gt;HOLD",LLM_Data_Entry!$T$3:$T$548,"&lt;&gt;"),"")</f>
        <v/>
      </c>
      <c r="O36" s="54">
        <f>IFERROR(SUMIFS(LLM_Data_Entry!$T$3:$T$548,LLM_Data_Entry!$A$3:$A$548,$I36,LLM_Data_Entry!$F$3:$F$548,"LLM",LLM_Data_Entry!$H$3:$H$548,"&lt;&gt;HOLD"),"")</f>
        <v/>
      </c>
    </row>
    <row r="37" ht="16.35" customHeight="1">
      <c r="A37" s="19" t="inlineStr">
        <is>
          <t>IBM</t>
        </is>
      </c>
      <c r="B37" s="51">
        <f>COUNTIFS(Human_Data_Entry!$A$3:$A$524,$A37,Human_Data_Entry!$H$3:$H$524,"Human",Human_Data_Entry!$S$3:$S$524,"?*")</f>
        <v/>
      </c>
      <c r="C37" s="51">
        <f>COUNTIFS(Human_Data_Entry!$A$3:$A$524,$A37,Human_Data_Entry!$H$3:$H$524,"Human",Human_Data_Entry!$S$3:$S$524,"YES")</f>
        <v/>
      </c>
      <c r="D37" s="56">
        <f>IF(B37=0,"-",C37/B37)</f>
        <v/>
      </c>
      <c r="E37" s="51">
        <f>COUNTIFS(LLM_Data_Entry!$A$3:$A$548,$A37,LLM_Data_Entry!$F$3:$F$548,"LLM",LLM_Data_Entry!$R$3:$R$548,"&lt;&gt;")</f>
        <v/>
      </c>
      <c r="F37" s="53">
        <f>COUNTIFS(LLM_Data_Entry!$A$3:$A$548,$A37,LLM_Data_Entry!$F$3:$F$548,"LLM",LLM_Data_Entry!$R$3:$R$548,"YES")</f>
        <v/>
      </c>
      <c r="G37" s="56">
        <f>IF(E37=0,"-",F37/E37)</f>
        <v/>
      </c>
      <c r="H37" s="20" t="n"/>
      <c r="I37" s="50">
        <f>A37</f>
        <v/>
      </c>
      <c r="J37" s="21">
        <f>SUMPRODUCT((Human_Data_Entry!$A$3:$A$524=$I37)*(Human_Data_Entry!$H$3:$H$524="Human")*((Human_Data_Entry!$J$3:$J$524="BUY")+(Human_Data_Entry!$J$3:$J$524="SELL"))*ISNUMBER(Human_Data_Entry!$U$3:$U$524))</f>
        <v/>
      </c>
      <c r="K37" s="54">
        <f>IFERROR(AVERAGEIFS(Human_Data_Entry!$U$3:$U$524,Human_Data_Entry!$A$3:$A$524,$I37,Human_Data_Entry!$H$3:$H$524,"Human",Human_Data_Entry!$J$3:$J$524,"&lt;&gt;HOLD",Human_Data_Entry!$U$3:$U$524,"&lt;&gt;"),"")</f>
        <v/>
      </c>
      <c r="L37" s="54">
        <f>IFERROR(SUMIFS(Human_Data_Entry!$U$3:$U$524,Human_Data_Entry!$A$3:$A$524,$I37,Human_Data_Entry!$H$3:$H$524,"Human",Human_Data_Entry!$J$3:$J$524,"&lt;&gt;HOLD"),"")</f>
        <v/>
      </c>
      <c r="M37" s="21">
        <f>COUNTIFS(LLM_Data_Entry!$A$3:$A$548,$I37,LLM_Data_Entry!$F$3:$F$548,"LLM",LLM_Data_Entry!$H$3:$H$548,"&lt;&gt;HOLD",LLM_Data_Entry!$T$3:$T$548,"&lt;&gt;")</f>
        <v/>
      </c>
      <c r="N37" s="54">
        <f>IFERROR(AVERAGEIFS(LLM_Data_Entry!$T$3:$T$548,LLM_Data_Entry!$A$3:$A$548,$I37,LLM_Data_Entry!$F$3:$F$548,"LLM",LLM_Data_Entry!$H$3:$H$548,"&lt;&gt;HOLD",LLM_Data_Entry!$T$3:$T$548,"&lt;&gt;"),"")</f>
        <v/>
      </c>
      <c r="O37" s="54">
        <f>IFERROR(SUMIFS(LLM_Data_Entry!$T$3:$T$548,LLM_Data_Entry!$A$3:$A$548,$I37,LLM_Data_Entry!$F$3:$F$548,"LLM",LLM_Data_Entry!$H$3:$H$548,"&lt;&gt;HOLD"),"")</f>
        <v/>
      </c>
    </row>
    <row r="38" ht="16.35" customHeight="1">
      <c r="A38" s="19" t="inlineStr">
        <is>
          <t>Nike</t>
        </is>
      </c>
      <c r="B38" s="51">
        <f>COUNTIFS(Human_Data_Entry!$A$3:$A$524,$A38,Human_Data_Entry!$H$3:$H$524,"Human",Human_Data_Entry!$S$3:$S$524,"?*")</f>
        <v/>
      </c>
      <c r="C38" s="51">
        <f>COUNTIFS(Human_Data_Entry!$A$3:$A$524,$A38,Human_Data_Entry!$H$3:$H$524,"Human",Human_Data_Entry!$S$3:$S$524,"YES")</f>
        <v/>
      </c>
      <c r="D38" s="56">
        <f>IF(B38=0,"-",C38/B38)</f>
        <v/>
      </c>
      <c r="E38" s="51">
        <f>COUNTIFS(LLM_Data_Entry!$A$3:$A$548,$A38,LLM_Data_Entry!$F$3:$F$548,"LLM",LLM_Data_Entry!$R$3:$R$548,"&lt;&gt;")</f>
        <v/>
      </c>
      <c r="F38" s="53">
        <f>COUNTIFS(LLM_Data_Entry!$A$3:$A$548,$A38,LLM_Data_Entry!$F$3:$F$548,"LLM",LLM_Data_Entry!$R$3:$R$548,"YES")</f>
        <v/>
      </c>
      <c r="G38" s="56">
        <f>IF(E38=0,"-",F38/E38)</f>
        <v/>
      </c>
      <c r="H38" s="20" t="n"/>
      <c r="I38" s="50">
        <f>A38</f>
        <v/>
      </c>
      <c r="J38" s="21">
        <f>SUMPRODUCT((Human_Data_Entry!$A$3:$A$524=$I38)*(Human_Data_Entry!$H$3:$H$524="Human")*((Human_Data_Entry!$J$3:$J$524="BUY")+(Human_Data_Entry!$J$3:$J$524="SELL"))*ISNUMBER(Human_Data_Entry!$U$3:$U$524))</f>
        <v/>
      </c>
      <c r="K38" s="54">
        <f>IFERROR(AVERAGEIFS(Human_Data_Entry!$U$3:$U$524,Human_Data_Entry!$A$3:$A$524,$I38,Human_Data_Entry!$H$3:$H$524,"Human",Human_Data_Entry!$J$3:$J$524,"&lt;&gt;HOLD",Human_Data_Entry!$U$3:$U$524,"&lt;&gt;"),"")</f>
        <v/>
      </c>
      <c r="L38" s="54">
        <f>IFERROR(SUMIFS(Human_Data_Entry!$U$3:$U$524,Human_Data_Entry!$A$3:$A$524,$I38,Human_Data_Entry!$H$3:$H$524,"Human",Human_Data_Entry!$J$3:$J$524,"&lt;&gt;HOLD"),"")</f>
        <v/>
      </c>
      <c r="M38" s="21">
        <f>COUNTIFS(LLM_Data_Entry!$A$3:$A$548,$I38,LLM_Data_Entry!$F$3:$F$548,"LLM",LLM_Data_Entry!$H$3:$H$548,"&lt;&gt;HOLD",LLM_Data_Entry!$T$3:$T$548,"&lt;&gt;")</f>
        <v/>
      </c>
      <c r="N38" s="54">
        <f>IFERROR(AVERAGEIFS(LLM_Data_Entry!$T$3:$T$548,LLM_Data_Entry!$A$3:$A$548,$I38,LLM_Data_Entry!$F$3:$F$548,"LLM",LLM_Data_Entry!$H$3:$H$548,"&lt;&gt;HOLD",LLM_Data_Entry!$T$3:$T$548,"&lt;&gt;"),"")</f>
        <v/>
      </c>
      <c r="O38" s="54">
        <f>IFERROR(SUMIFS(LLM_Data_Entry!$T$3:$T$548,LLM_Data_Entry!$A$3:$A$548,$I38,LLM_Data_Entry!$F$3:$F$548,"LLM",LLM_Data_Entry!$H$3:$H$548,"&lt;&gt;HOLD"),"")</f>
        <v/>
      </c>
    </row>
    <row r="39" ht="16.35" customHeight="1">
      <c r="A39" s="19" t="inlineStr">
        <is>
          <t>Citigroup</t>
        </is>
      </c>
      <c r="B39" s="51">
        <f>COUNTIFS(Human_Data_Entry!$A$3:$A$524,$A39,Human_Data_Entry!$H$3:$H$524,"Human",Human_Data_Entry!$S$3:$S$524,"?*")</f>
        <v/>
      </c>
      <c r="C39" s="51">
        <f>COUNTIFS(Human_Data_Entry!$A$3:$A$524,$A39,Human_Data_Entry!$H$3:$H$524,"Human",Human_Data_Entry!$S$3:$S$524,"YES")</f>
        <v/>
      </c>
      <c r="D39" s="56">
        <f>IF(B39=0,"-",C39/B39)</f>
        <v/>
      </c>
      <c r="E39" s="51">
        <f>COUNTIFS(LLM_Data_Entry!$A$3:$A$548,$A39,LLM_Data_Entry!$F$3:$F$548,"LLM",LLM_Data_Entry!$R$3:$R$548,"&lt;&gt;")</f>
        <v/>
      </c>
      <c r="F39" s="53">
        <f>COUNTIFS(LLM_Data_Entry!$A$3:$A$548,$A39,LLM_Data_Entry!$F$3:$F$548,"LLM",LLM_Data_Entry!$R$3:$R$548,"YES")</f>
        <v/>
      </c>
      <c r="G39" s="56">
        <f>IF(E39=0,"-",F39/E39)</f>
        <v/>
      </c>
      <c r="H39" s="20" t="n"/>
      <c r="I39" s="50">
        <f>A39</f>
        <v/>
      </c>
      <c r="J39" s="21">
        <f>SUMPRODUCT((Human_Data_Entry!$A$3:$A$524=$I39)*(Human_Data_Entry!$H$3:$H$524="Human")*((Human_Data_Entry!$J$3:$J$524="BUY")+(Human_Data_Entry!$J$3:$J$524="SELL"))*ISNUMBER(Human_Data_Entry!$U$3:$U$524))</f>
        <v/>
      </c>
      <c r="K39" s="54">
        <f>IFERROR(AVERAGEIFS(Human_Data_Entry!$U$3:$U$524,Human_Data_Entry!$A$3:$A$524,$I39,Human_Data_Entry!$H$3:$H$524,"Human",Human_Data_Entry!$J$3:$J$524,"&lt;&gt;HOLD",Human_Data_Entry!$U$3:$U$524,"&lt;&gt;"),"")</f>
        <v/>
      </c>
      <c r="L39" s="54">
        <f>IFERROR(SUMIFS(Human_Data_Entry!$U$3:$U$524,Human_Data_Entry!$A$3:$A$524,$I39,Human_Data_Entry!$H$3:$H$524,"Human",Human_Data_Entry!$J$3:$J$524,"&lt;&gt;HOLD"),"")</f>
        <v/>
      </c>
      <c r="M39" s="21">
        <f>COUNTIFS(LLM_Data_Entry!$A$3:$A$548,$I39,LLM_Data_Entry!$F$3:$F$548,"LLM",LLM_Data_Entry!$H$3:$H$548,"&lt;&gt;HOLD",LLM_Data_Entry!$T$3:$T$548,"&lt;&gt;")</f>
        <v/>
      </c>
      <c r="N39" s="54">
        <f>IFERROR(AVERAGEIFS(LLM_Data_Entry!$T$3:$T$548,LLM_Data_Entry!$A$3:$A$548,$I39,LLM_Data_Entry!$F$3:$F$548,"LLM",LLM_Data_Entry!$H$3:$H$548,"&lt;&gt;HOLD",LLM_Data_Entry!$T$3:$T$548,"&lt;&gt;"),"")</f>
        <v/>
      </c>
      <c r="O39" s="54">
        <f>IFERROR(SUMIFS(LLM_Data_Entry!$T$3:$T$548,LLM_Data_Entry!$A$3:$A$548,$I39,LLM_Data_Entry!$F$3:$F$548,"LLM",LLM_Data_Entry!$H$3:$H$548,"&lt;&gt;HOLD"),"")</f>
        <v/>
      </c>
    </row>
    <row r="40" ht="16.35" customHeight="1">
      <c r="A40" s="19" t="inlineStr">
        <is>
          <t>Goldman Sachs</t>
        </is>
      </c>
      <c r="B40" s="51">
        <f>COUNTIFS(Human_Data_Entry!$A$3:$A$524,$A40,Human_Data_Entry!$H$3:$H$524,"Human",Human_Data_Entry!$S$3:$S$524,"?*")</f>
        <v/>
      </c>
      <c r="C40" s="51">
        <f>COUNTIFS(Human_Data_Entry!$A$3:$A$524,$A40,Human_Data_Entry!$H$3:$H$524,"Human",Human_Data_Entry!$S$3:$S$524,"YES")</f>
        <v/>
      </c>
      <c r="D40" s="56">
        <f>IF(B40=0,"-",C40/B40)</f>
        <v/>
      </c>
      <c r="E40" s="51">
        <f>COUNTIFS(LLM_Data_Entry!$A$3:$A$548,$A40,LLM_Data_Entry!$F$3:$F$548,"LLM",LLM_Data_Entry!$R$3:$R$548,"&lt;&gt;")</f>
        <v/>
      </c>
      <c r="F40" s="53">
        <f>COUNTIFS(LLM_Data_Entry!$A$3:$A$548,$A40,LLM_Data_Entry!$F$3:$F$548,"LLM",LLM_Data_Entry!$R$3:$R$548,"YES")</f>
        <v/>
      </c>
      <c r="G40" s="56">
        <f>IF(E40=0,"-",F40/E40)</f>
        <v/>
      </c>
      <c r="H40" s="20" t="n"/>
      <c r="I40" s="50">
        <f>A40</f>
        <v/>
      </c>
      <c r="J40" s="21">
        <f>SUMPRODUCT((Human_Data_Entry!$A$3:$A$524=$I40)*(Human_Data_Entry!$H$3:$H$524="Human")*((Human_Data_Entry!$J$3:$J$524="BUY")+(Human_Data_Entry!$J$3:$J$524="SELL"))*ISNUMBER(Human_Data_Entry!$U$3:$U$524))</f>
        <v/>
      </c>
      <c r="K40" s="54">
        <f>IFERROR(AVERAGEIFS(Human_Data_Entry!$U$3:$U$524,Human_Data_Entry!$A$3:$A$524,$I40,Human_Data_Entry!$H$3:$H$524,"Human",Human_Data_Entry!$J$3:$J$524,"&lt;&gt;HOLD",Human_Data_Entry!$U$3:$U$524,"&lt;&gt;"),"")</f>
        <v/>
      </c>
      <c r="L40" s="54">
        <f>IFERROR(SUMIFS(Human_Data_Entry!$U$3:$U$524,Human_Data_Entry!$A$3:$A$524,$I40,Human_Data_Entry!$H$3:$H$524,"Human",Human_Data_Entry!$J$3:$J$524,"&lt;&gt;HOLD"),"")</f>
        <v/>
      </c>
      <c r="M40" s="21">
        <f>COUNTIFS(LLM_Data_Entry!$A$3:$A$548,$I40,LLM_Data_Entry!$F$3:$F$548,"LLM",LLM_Data_Entry!$H$3:$H$548,"&lt;&gt;HOLD",LLM_Data_Entry!$T$3:$T$548,"&lt;&gt;")</f>
        <v/>
      </c>
      <c r="N40" s="54">
        <f>IFERROR(AVERAGEIFS(LLM_Data_Entry!$T$3:$T$548,LLM_Data_Entry!$A$3:$A$548,$I40,LLM_Data_Entry!$F$3:$F$548,"LLM",LLM_Data_Entry!$H$3:$H$548,"&lt;&gt;HOLD",LLM_Data_Entry!$T$3:$T$548,"&lt;&gt;"),"")</f>
        <v/>
      </c>
      <c r="O40" s="54">
        <f>IFERROR(SUMIFS(LLM_Data_Entry!$T$3:$T$548,LLM_Data_Entry!$A$3:$A$548,$I40,LLM_Data_Entry!$F$3:$F$548,"LLM",LLM_Data_Entry!$H$3:$H$548,"&lt;&gt;HOLD"),"")</f>
        <v/>
      </c>
    </row>
    <row r="41" ht="16.35" customHeight="1">
      <c r="A41" s="19" t="inlineStr">
        <is>
          <t>Charles Schwab</t>
        </is>
      </c>
      <c r="B41" s="51">
        <f>COUNTIFS(Human_Data_Entry!$A$3:$A$524,$A41,Human_Data_Entry!$H$3:$H$524,"Human",Human_Data_Entry!$S$3:$S$524,"?*")</f>
        <v/>
      </c>
      <c r="C41" s="51">
        <f>COUNTIFS(Human_Data_Entry!$A$3:$A$524,$A41,Human_Data_Entry!$H$3:$H$524,"Human",Human_Data_Entry!$S$3:$S$524,"YES")</f>
        <v/>
      </c>
      <c r="D41" s="56">
        <f>IF(B41=0,"-",C41/B41)</f>
        <v/>
      </c>
      <c r="E41" s="51">
        <f>COUNTIFS(LLM_Data_Entry!$A$3:$A$548,$A41,LLM_Data_Entry!$F$3:$F$548,"LLM",LLM_Data_Entry!$R$3:$R$548,"&lt;&gt;")</f>
        <v/>
      </c>
      <c r="F41" s="53">
        <f>COUNTIFS(LLM_Data_Entry!$A$3:$A$548,$A41,LLM_Data_Entry!$F$3:$F$548,"LLM",LLM_Data_Entry!$R$3:$R$548,"YES")</f>
        <v/>
      </c>
      <c r="G41" s="56">
        <f>IF(E41=0,"-",F41/E41)</f>
        <v/>
      </c>
      <c r="H41" s="20" t="n"/>
      <c r="I41" s="50">
        <f>A41</f>
        <v/>
      </c>
      <c r="J41" s="21">
        <f>SUMPRODUCT((Human_Data_Entry!$A$3:$A$524=$I41)*(Human_Data_Entry!$H$3:$H$524="Human")*((Human_Data_Entry!$J$3:$J$524="BUY")+(Human_Data_Entry!$J$3:$J$524="SELL"))*ISNUMBER(Human_Data_Entry!$U$3:$U$524))</f>
        <v/>
      </c>
      <c r="K41" s="54">
        <f>IFERROR(AVERAGEIFS(Human_Data_Entry!$U$3:$U$524,Human_Data_Entry!$A$3:$A$524,$I41,Human_Data_Entry!$H$3:$H$524,"Human",Human_Data_Entry!$J$3:$J$524,"&lt;&gt;HOLD",Human_Data_Entry!$U$3:$U$524,"&lt;&gt;"),"")</f>
        <v/>
      </c>
      <c r="L41" s="54">
        <f>IFERROR(SUMIFS(Human_Data_Entry!$U$3:$U$524,Human_Data_Entry!$A$3:$A$524,$I41,Human_Data_Entry!$H$3:$H$524,"Human",Human_Data_Entry!$J$3:$J$524,"&lt;&gt;HOLD"),"")</f>
        <v/>
      </c>
      <c r="M41" s="21">
        <f>COUNTIFS(LLM_Data_Entry!$A$3:$A$548,$I41,LLM_Data_Entry!$F$3:$F$548,"LLM",LLM_Data_Entry!$H$3:$H$548,"&lt;&gt;HOLD",LLM_Data_Entry!$T$3:$T$548,"&lt;&gt;")</f>
        <v/>
      </c>
      <c r="N41" s="54">
        <f>IFERROR(AVERAGEIFS(LLM_Data_Entry!$T$3:$T$548,LLM_Data_Entry!$A$3:$A$548,$I41,LLM_Data_Entry!$F$3:$F$548,"LLM",LLM_Data_Entry!$H$3:$H$548,"&lt;&gt;HOLD",LLM_Data_Entry!$T$3:$T$548,"&lt;&gt;"),"")</f>
        <v/>
      </c>
      <c r="O41" s="54">
        <f>IFERROR(SUMIFS(LLM_Data_Entry!$T$3:$T$548,LLM_Data_Entry!$A$3:$A$548,$I41,LLM_Data_Entry!$F$3:$F$548,"LLM",LLM_Data_Entry!$H$3:$H$548,"&lt;&gt;HOLD"),"")</f>
        <v/>
      </c>
    </row>
    <row r="42" ht="16.35" customHeight="1">
      <c r="A42" s="19" t="inlineStr">
        <is>
          <t>MetLife</t>
        </is>
      </c>
      <c r="B42" s="51">
        <f>COUNTIFS(Human_Data_Entry!$A$3:$A$524,$A42,Human_Data_Entry!$H$3:$H$524,"Human",Human_Data_Entry!$S$3:$S$524,"?*")</f>
        <v/>
      </c>
      <c r="C42" s="51">
        <f>COUNTIFS(Human_Data_Entry!$A$3:$A$524,$A42,Human_Data_Entry!$H$3:$H$524,"Human",Human_Data_Entry!$S$3:$S$524,"YES")</f>
        <v/>
      </c>
      <c r="D42" s="56">
        <f>IF(B42=0,"-",C42/B42)</f>
        <v/>
      </c>
      <c r="E42" s="51">
        <f>COUNTIFS(LLM_Data_Entry!$A$3:$A$548,$A42,LLM_Data_Entry!$F$3:$F$548,"LLM",LLM_Data_Entry!$R$3:$R$548,"&lt;&gt;")</f>
        <v/>
      </c>
      <c r="F42" s="53">
        <f>COUNTIFS(LLM_Data_Entry!$A$3:$A$548,$A42,LLM_Data_Entry!$F$3:$F$548,"LLM",LLM_Data_Entry!$R$3:$R$548,"YES")</f>
        <v/>
      </c>
      <c r="G42" s="56">
        <f>IF(E42=0,"-",F42/E42)</f>
        <v/>
      </c>
      <c r="H42" s="20" t="n"/>
      <c r="I42" s="50">
        <f>A42</f>
        <v/>
      </c>
      <c r="J42" s="21">
        <f>SUMPRODUCT((Human_Data_Entry!$A$3:$A$524=$I42)*(Human_Data_Entry!$H$3:$H$524="Human")*((Human_Data_Entry!$J$3:$J$524="BUY")+(Human_Data_Entry!$J$3:$J$524="SELL"))*ISNUMBER(Human_Data_Entry!$U$3:$U$524))</f>
        <v/>
      </c>
      <c r="K42" s="54">
        <f>IFERROR(AVERAGEIFS(Human_Data_Entry!$U$3:$U$524,Human_Data_Entry!$A$3:$A$524,$I42,Human_Data_Entry!$H$3:$H$524,"Human",Human_Data_Entry!$J$3:$J$524,"&lt;&gt;HOLD",Human_Data_Entry!$U$3:$U$524,"&lt;&gt;"),"")</f>
        <v/>
      </c>
      <c r="L42" s="54">
        <f>IFERROR(SUMIFS(Human_Data_Entry!$U$3:$U$524,Human_Data_Entry!$A$3:$A$524,$I42,Human_Data_Entry!$H$3:$H$524,"Human",Human_Data_Entry!$J$3:$J$524,"&lt;&gt;HOLD"),"")</f>
        <v/>
      </c>
      <c r="M42" s="21">
        <f>COUNTIFS(LLM_Data_Entry!$A$3:$A$548,$I42,LLM_Data_Entry!$F$3:$F$548,"LLM",LLM_Data_Entry!$H$3:$H$548,"&lt;&gt;HOLD",LLM_Data_Entry!$T$3:$T$548,"&lt;&gt;")</f>
        <v/>
      </c>
      <c r="N42" s="54">
        <f>IFERROR(AVERAGEIFS(LLM_Data_Entry!$T$3:$T$548,LLM_Data_Entry!$A$3:$A$548,$I42,LLM_Data_Entry!$F$3:$F$548,"LLM",LLM_Data_Entry!$H$3:$H$548,"&lt;&gt;HOLD",LLM_Data_Entry!$T$3:$T$548,"&lt;&gt;"),"")</f>
        <v/>
      </c>
      <c r="O42" s="54">
        <f>IFERROR(SUMIFS(LLM_Data_Entry!$T$3:$T$548,LLM_Data_Entry!$A$3:$A$548,$I42,LLM_Data_Entry!$F$3:$F$548,"LLM",LLM_Data_Entry!$H$3:$H$548,"&lt;&gt;HOLD"),"")</f>
        <v/>
      </c>
    </row>
    <row r="43" ht="16.35" customHeight="1">
      <c r="A43" s="19" t="inlineStr">
        <is>
          <t>Pepsico</t>
        </is>
      </c>
      <c r="B43" s="51">
        <f>COUNTIFS(Human_Data_Entry!$A$3:$A$524,$A43,Human_Data_Entry!$H$3:$H$524,"Human",Human_Data_Entry!$S$3:$S$524,"?*")</f>
        <v/>
      </c>
      <c r="C43" s="51">
        <f>COUNTIFS(Human_Data_Entry!$A$3:$A$524,$A43,Human_Data_Entry!$H$3:$H$524,"Human",Human_Data_Entry!$S$3:$S$524,"YES")</f>
        <v/>
      </c>
      <c r="D43" s="56">
        <f>IF(B43=0,"-",C43/B43)</f>
        <v/>
      </c>
      <c r="E43" s="51">
        <f>COUNTIFS(LLM_Data_Entry!$A$3:$A$548,$A43,LLM_Data_Entry!$F$3:$F$548,"LLM",LLM_Data_Entry!$R$3:$R$548,"&lt;&gt;")</f>
        <v/>
      </c>
      <c r="F43" s="53">
        <f>COUNTIFS(LLM_Data_Entry!$A$3:$A$548,$A43,LLM_Data_Entry!$F$3:$F$548,"LLM",LLM_Data_Entry!$R$3:$R$548,"YES")</f>
        <v/>
      </c>
      <c r="G43" s="56">
        <f>IF(E43=0,"-",F43/E43)</f>
        <v/>
      </c>
      <c r="H43" s="20" t="n"/>
      <c r="I43" s="50">
        <f>A43</f>
        <v/>
      </c>
      <c r="J43" s="21">
        <f>SUMPRODUCT((Human_Data_Entry!$A$3:$A$524=$I43)*(Human_Data_Entry!$H$3:$H$524="Human")*((Human_Data_Entry!$J$3:$J$524="BUY")+(Human_Data_Entry!$J$3:$J$524="SELL"))*ISNUMBER(Human_Data_Entry!$U$3:$U$524))</f>
        <v/>
      </c>
      <c r="K43" s="54">
        <f>IFERROR(AVERAGEIFS(Human_Data_Entry!$U$3:$U$524,Human_Data_Entry!$A$3:$A$524,$I43,Human_Data_Entry!$H$3:$H$524,"Human",Human_Data_Entry!$J$3:$J$524,"&lt;&gt;HOLD",Human_Data_Entry!$U$3:$U$524,"&lt;&gt;"),"")</f>
        <v/>
      </c>
      <c r="L43" s="54">
        <f>IFERROR(SUMIFS(Human_Data_Entry!$U$3:$U$524,Human_Data_Entry!$A$3:$A$524,$I43,Human_Data_Entry!$H$3:$H$524,"Human",Human_Data_Entry!$J$3:$J$524,"&lt;&gt;HOLD"),"")</f>
        <v/>
      </c>
      <c r="M43" s="21">
        <f>COUNTIFS(LLM_Data_Entry!$A$3:$A$548,$I43,LLM_Data_Entry!$F$3:$F$548,"LLM",LLM_Data_Entry!$H$3:$H$548,"&lt;&gt;HOLD",LLM_Data_Entry!$T$3:$T$548,"&lt;&gt;")</f>
        <v/>
      </c>
      <c r="N43" s="54">
        <f>IFERROR(AVERAGEIFS(LLM_Data_Entry!$T$3:$T$548,LLM_Data_Entry!$A$3:$A$548,$I43,LLM_Data_Entry!$F$3:$F$548,"LLM",LLM_Data_Entry!$H$3:$H$548,"&lt;&gt;HOLD",LLM_Data_Entry!$T$3:$T$548,"&lt;&gt;"),"")</f>
        <v/>
      </c>
      <c r="O43" s="54">
        <f>IFERROR(SUMIFS(LLM_Data_Entry!$T$3:$T$548,LLM_Data_Entry!$A$3:$A$548,$I43,LLM_Data_Entry!$F$3:$F$548,"LLM",LLM_Data_Entry!$H$3:$H$548,"&lt;&gt;HOLD"),"")</f>
        <v/>
      </c>
    </row>
    <row r="44" ht="16.35" customHeight="1">
      <c r="A44" s="19" t="inlineStr">
        <is>
          <t>Duke Energy</t>
        </is>
      </c>
      <c r="B44" s="51">
        <f>COUNTIFS(Human_Data_Entry!$A$3:$A$524,$A44,Human_Data_Entry!$H$3:$H$524,"Human",Human_Data_Entry!$S$3:$S$524,"?*")</f>
        <v/>
      </c>
      <c r="C44" s="51">
        <f>COUNTIFS(Human_Data_Entry!$A$3:$A$524,$A44,Human_Data_Entry!$H$3:$H$524,"Human",Human_Data_Entry!$S$3:$S$524,"YES")</f>
        <v/>
      </c>
      <c r="D44" s="56">
        <f>IF(B44=0,"-",C44/B44)</f>
        <v/>
      </c>
      <c r="E44" s="51">
        <f>COUNTIFS(LLM_Data_Entry!$A$3:$A$548,$A44,LLM_Data_Entry!$F$3:$F$548,"LLM",LLM_Data_Entry!$R$3:$R$548,"&lt;&gt;")</f>
        <v/>
      </c>
      <c r="F44" s="53">
        <f>COUNTIFS(LLM_Data_Entry!$A$3:$A$548,$A44,LLM_Data_Entry!$F$3:$F$548,"LLM",LLM_Data_Entry!$R$3:$R$548,"YES")</f>
        <v/>
      </c>
      <c r="G44" s="56">
        <f>IF(E44=0,"-",F44/E44)</f>
        <v/>
      </c>
      <c r="H44" s="20" t="n"/>
      <c r="I44" s="50">
        <f>A44</f>
        <v/>
      </c>
      <c r="J44" s="21">
        <f>SUMPRODUCT((Human_Data_Entry!$A$3:$A$524=$I44)*(Human_Data_Entry!$H$3:$H$524="Human")*((Human_Data_Entry!$J$3:$J$524="BUY")+(Human_Data_Entry!$J$3:$J$524="SELL"))*ISNUMBER(Human_Data_Entry!$U$3:$U$524))</f>
        <v/>
      </c>
      <c r="K44" s="54">
        <f>IFERROR(AVERAGEIFS(Human_Data_Entry!$U$3:$U$524,Human_Data_Entry!$A$3:$A$524,$I44,Human_Data_Entry!$H$3:$H$524,"Human",Human_Data_Entry!$J$3:$J$524,"&lt;&gt;HOLD",Human_Data_Entry!$U$3:$U$524,"&lt;&gt;"),"")</f>
        <v/>
      </c>
      <c r="L44" s="54">
        <f>IFERROR(SUMIFS(Human_Data_Entry!$U$3:$U$524,Human_Data_Entry!$A$3:$A$524,$I44,Human_Data_Entry!$H$3:$H$524,"Human",Human_Data_Entry!$J$3:$J$524,"&lt;&gt;HOLD"),"")</f>
        <v/>
      </c>
      <c r="M44" s="21">
        <f>COUNTIFS(LLM_Data_Entry!$A$3:$A$548,$I44,LLM_Data_Entry!$F$3:$F$548,"LLM",LLM_Data_Entry!$H$3:$H$548,"&lt;&gt;HOLD",LLM_Data_Entry!$T$3:$T$548,"&lt;&gt;")</f>
        <v/>
      </c>
      <c r="N44" s="54">
        <f>IFERROR(AVERAGEIFS(LLM_Data_Entry!$T$3:$T$548,LLM_Data_Entry!$A$3:$A$548,$I44,LLM_Data_Entry!$F$3:$F$548,"LLM",LLM_Data_Entry!$H$3:$H$548,"&lt;&gt;HOLD",LLM_Data_Entry!$T$3:$T$548,"&lt;&gt;"),"")</f>
        <v/>
      </c>
      <c r="O44" s="54">
        <f>IFERROR(SUMIFS(LLM_Data_Entry!$T$3:$T$548,LLM_Data_Entry!$A$3:$A$548,$I44,LLM_Data_Entry!$F$3:$F$548,"LLM",LLM_Data_Entry!$H$3:$H$548,"&lt;&gt;HOLD"),"")</f>
        <v/>
      </c>
    </row>
    <row r="45" ht="16.35" customHeight="1">
      <c r="A45" s="19" t="inlineStr">
        <is>
          <t>ExxonMobil</t>
        </is>
      </c>
      <c r="B45" s="51">
        <f>COUNTIFS(Human_Data_Entry!$A$3:$A$524,$A45,Human_Data_Entry!$H$3:$H$524,"Human",Human_Data_Entry!$S$3:$S$524,"?*")</f>
        <v/>
      </c>
      <c r="C45" s="51">
        <f>COUNTIFS(Human_Data_Entry!$A$3:$A$524,$A45,Human_Data_Entry!$H$3:$H$524,"Human",Human_Data_Entry!$S$3:$S$524,"YES")</f>
        <v/>
      </c>
      <c r="D45" s="56">
        <f>IF(B45=0,"-",C45/B45)</f>
        <v/>
      </c>
      <c r="E45" s="51">
        <f>COUNTIFS(LLM_Data_Entry!$A$3:$A$548,$A45,LLM_Data_Entry!$F$3:$F$548,"LLM",LLM_Data_Entry!$R$3:$R$548,"&lt;&gt;")</f>
        <v/>
      </c>
      <c r="F45" s="53">
        <f>COUNTIFS(LLM_Data_Entry!$A$3:$A$548,$A45,LLM_Data_Entry!$F$3:$F$548,"LLM",LLM_Data_Entry!$R$3:$R$548,"YES")</f>
        <v/>
      </c>
      <c r="G45" s="56">
        <f>IF(E45=0,"-",F45/E45)</f>
        <v/>
      </c>
      <c r="H45" s="20" t="n"/>
      <c r="I45" s="50">
        <f>A45</f>
        <v/>
      </c>
      <c r="J45" s="21">
        <f>SUMPRODUCT((Human_Data_Entry!$A$3:$A$524=$I45)*(Human_Data_Entry!$H$3:$H$524="Human")*((Human_Data_Entry!$J$3:$J$524="BUY")+(Human_Data_Entry!$J$3:$J$524="SELL"))*ISNUMBER(Human_Data_Entry!$U$3:$U$524))</f>
        <v/>
      </c>
      <c r="K45" s="54">
        <f>IFERROR(AVERAGEIFS(Human_Data_Entry!$U$3:$U$524,Human_Data_Entry!$A$3:$A$524,$I45,Human_Data_Entry!$H$3:$H$524,"Human",Human_Data_Entry!$J$3:$J$524,"&lt;&gt;HOLD",Human_Data_Entry!$U$3:$U$524,"&lt;&gt;"),"")</f>
        <v/>
      </c>
      <c r="L45" s="54">
        <f>IFERROR(SUMIFS(Human_Data_Entry!$U$3:$U$524,Human_Data_Entry!$A$3:$A$524,$I45,Human_Data_Entry!$H$3:$H$524,"Human",Human_Data_Entry!$J$3:$J$524,"&lt;&gt;HOLD"),"")</f>
        <v/>
      </c>
      <c r="M45" s="21">
        <f>COUNTIFS(LLM_Data_Entry!$A$3:$A$548,$I45,LLM_Data_Entry!$F$3:$F$548,"LLM",LLM_Data_Entry!$H$3:$H$548,"&lt;&gt;HOLD",LLM_Data_Entry!$T$3:$T$548,"&lt;&gt;")</f>
        <v/>
      </c>
      <c r="N45" s="54">
        <f>IFERROR(AVERAGEIFS(LLM_Data_Entry!$T$3:$T$548,LLM_Data_Entry!$A$3:$A$548,$I45,LLM_Data_Entry!$F$3:$F$548,"LLM",LLM_Data_Entry!$H$3:$H$548,"&lt;&gt;HOLD",LLM_Data_Entry!$T$3:$T$548,"&lt;&gt;"),"")</f>
        <v/>
      </c>
      <c r="O45" s="54">
        <f>IFERROR(SUMIFS(LLM_Data_Entry!$T$3:$T$548,LLM_Data_Entry!$A$3:$A$548,$I45,LLM_Data_Entry!$F$3:$F$548,"LLM",LLM_Data_Entry!$H$3:$H$548,"&lt;&gt;HOLD"),"")</f>
        <v/>
      </c>
    </row>
    <row r="46" ht="16.35" customHeight="1">
      <c r="A46" s="19" t="inlineStr">
        <is>
          <t>Uber</t>
        </is>
      </c>
      <c r="B46" s="51">
        <f>COUNTIFS(Human_Data_Entry!$A$3:$A$524,$A46,Human_Data_Entry!$H$3:$H$524,"Human",Human_Data_Entry!$S$3:$S$524,"?*")</f>
        <v/>
      </c>
      <c r="C46" s="51">
        <f>COUNTIFS(Human_Data_Entry!$A$3:$A$524,$A46,Human_Data_Entry!$H$3:$H$524,"Human",Human_Data_Entry!$S$3:$S$524,"YES")</f>
        <v/>
      </c>
      <c r="D46" s="56">
        <f>IF(B46=0,"-",C46/B46)</f>
        <v/>
      </c>
      <c r="E46" s="51">
        <f>COUNTIFS(LLM_Data_Entry!$A$3:$A$548,$A46,LLM_Data_Entry!$F$3:$F$548,"LLM",LLM_Data_Entry!$R$3:$R$548,"&lt;&gt;")</f>
        <v/>
      </c>
      <c r="F46" s="53">
        <f>COUNTIFS(LLM_Data_Entry!$A$3:$A$548,$A46,LLM_Data_Entry!$F$3:$F$548,"LLM",LLM_Data_Entry!$R$3:$R$548,"YES")</f>
        <v/>
      </c>
      <c r="G46" s="56">
        <f>IF(E46=0,"-",F46/E46)</f>
        <v/>
      </c>
      <c r="H46" s="20" t="n"/>
      <c r="I46" s="50">
        <f>A46</f>
        <v/>
      </c>
      <c r="J46" s="21">
        <f>SUMPRODUCT((Human_Data_Entry!$A$3:$A$524=$I46)*(Human_Data_Entry!$H$3:$H$524="Human")*((Human_Data_Entry!$J$3:$J$524="BUY")+(Human_Data_Entry!$J$3:$J$524="SELL"))*ISNUMBER(Human_Data_Entry!$U$3:$U$524))</f>
        <v/>
      </c>
      <c r="K46" s="54">
        <f>IFERROR(AVERAGEIFS(Human_Data_Entry!$U$3:$U$524,Human_Data_Entry!$A$3:$A$524,$I46,Human_Data_Entry!$H$3:$H$524,"Human",Human_Data_Entry!$J$3:$J$524,"&lt;&gt;HOLD",Human_Data_Entry!$U$3:$U$524,"&lt;&gt;"),"")</f>
        <v/>
      </c>
      <c r="L46" s="54">
        <f>IFERROR(SUMIFS(Human_Data_Entry!$U$3:$U$524,Human_Data_Entry!$A$3:$A$524,$I46,Human_Data_Entry!$H$3:$H$524,"Human",Human_Data_Entry!$J$3:$J$524,"&lt;&gt;HOLD"),"")</f>
        <v/>
      </c>
      <c r="M46" s="21">
        <f>COUNTIFS(LLM_Data_Entry!$A$3:$A$548,$I46,LLM_Data_Entry!$F$3:$F$548,"LLM",LLM_Data_Entry!$H$3:$H$548,"&lt;&gt;HOLD",LLM_Data_Entry!$T$3:$T$548,"&lt;&gt;")</f>
        <v/>
      </c>
      <c r="N46" s="54">
        <f>IFERROR(AVERAGEIFS(LLM_Data_Entry!$T$3:$T$548,LLM_Data_Entry!$A$3:$A$548,$I46,LLM_Data_Entry!$F$3:$F$548,"LLM",LLM_Data_Entry!$H$3:$H$548,"&lt;&gt;HOLD",LLM_Data_Entry!$T$3:$T$548,"&lt;&gt;"),"")</f>
        <v/>
      </c>
      <c r="O46" s="54">
        <f>IFERROR(SUMIFS(LLM_Data_Entry!$T$3:$T$548,LLM_Data_Entry!$A$3:$A$548,$I46,LLM_Data_Entry!$F$3:$F$548,"LLM",LLM_Data_Entry!$H$3:$H$548,"&lt;&gt;HOLD"),"")</f>
        <v/>
      </c>
    </row>
    <row r="47" ht="16.35" customHeight="1">
      <c r="A47" s="19" t="inlineStr">
        <is>
          <t>Walmart</t>
        </is>
      </c>
      <c r="B47" s="51">
        <f>COUNTIFS(Human_Data_Entry!$A$3:$A$524,$A47,Human_Data_Entry!$H$3:$H$524,"Human",Human_Data_Entry!$S$3:$S$524,"?*")</f>
        <v/>
      </c>
      <c r="C47" s="51">
        <f>COUNTIFS(Human_Data_Entry!$A$3:$A$524,$A47,Human_Data_Entry!$H$3:$H$524,"Human",Human_Data_Entry!$S$3:$S$524,"YES")</f>
        <v/>
      </c>
      <c r="D47" s="56">
        <f>IF(B47=0,"-",C47/B47)</f>
        <v/>
      </c>
      <c r="E47" s="51">
        <f>COUNTIFS(LLM_Data_Entry!$A$3:$A$548,$A47,LLM_Data_Entry!$F$3:$F$548,"LLM",LLM_Data_Entry!$R$3:$R$548,"&lt;&gt;")</f>
        <v/>
      </c>
      <c r="F47" s="53">
        <f>COUNTIFS(LLM_Data_Entry!$A$3:$A$548,$A47,LLM_Data_Entry!$F$3:$F$548,"LLM",LLM_Data_Entry!$R$3:$R$548,"YES")</f>
        <v/>
      </c>
      <c r="G47" s="56">
        <f>IF(E47=0,"-",F47/E47)</f>
        <v/>
      </c>
      <c r="H47" s="20" t="n"/>
      <c r="I47" s="50">
        <f>A47</f>
        <v/>
      </c>
      <c r="J47" s="21">
        <f>SUMPRODUCT((Human_Data_Entry!$A$3:$A$524=$I47)*(Human_Data_Entry!$H$3:$H$524="Human")*((Human_Data_Entry!$J$3:$J$524="BUY")+(Human_Data_Entry!$J$3:$J$524="SELL"))*ISNUMBER(Human_Data_Entry!$U$3:$U$524))</f>
        <v/>
      </c>
      <c r="K47" s="54">
        <f>IFERROR(AVERAGEIFS(Human_Data_Entry!$U$3:$U$524,Human_Data_Entry!$A$3:$A$524,$I47,Human_Data_Entry!$H$3:$H$524,"Human",Human_Data_Entry!$J$3:$J$524,"&lt;&gt;HOLD",Human_Data_Entry!$U$3:$U$524,"&lt;&gt;"),"")</f>
        <v/>
      </c>
      <c r="L47" s="54">
        <f>IFERROR(SUMIFS(Human_Data_Entry!$U$3:$U$524,Human_Data_Entry!$A$3:$A$524,$I47,Human_Data_Entry!$H$3:$H$524,"Human",Human_Data_Entry!$J$3:$J$524,"&lt;&gt;HOLD"),"")</f>
        <v/>
      </c>
      <c r="M47" s="21">
        <f>COUNTIFS(LLM_Data_Entry!$A$3:$A$548,$I47,LLM_Data_Entry!$F$3:$F$548,"LLM",LLM_Data_Entry!$H$3:$H$548,"&lt;&gt;HOLD",LLM_Data_Entry!$T$3:$T$548,"&lt;&gt;")</f>
        <v/>
      </c>
      <c r="N47" s="54">
        <f>IFERROR(AVERAGEIFS(LLM_Data_Entry!$T$3:$T$548,LLM_Data_Entry!$A$3:$A$548,$I47,LLM_Data_Entry!$F$3:$F$548,"LLM",LLM_Data_Entry!$H$3:$H$548,"&lt;&gt;HOLD",LLM_Data_Entry!$T$3:$T$548,"&lt;&gt;"),"")</f>
        <v/>
      </c>
      <c r="O47" s="54">
        <f>IFERROR(SUMIFS(LLM_Data_Entry!$T$3:$T$548,LLM_Data_Entry!$A$3:$A$548,$I47,LLM_Data_Entry!$F$3:$F$548,"LLM",LLM_Data_Entry!$H$3:$H$548,"&lt;&gt;HOLD"),"")</f>
        <v/>
      </c>
    </row>
    <row r="48" ht="16.35" customHeight="1">
      <c r="A48" s="19" t="inlineStr">
        <is>
          <t>Pfizer</t>
        </is>
      </c>
      <c r="B48" s="51">
        <f>COUNTIFS(Human_Data_Entry!$A$3:$A$524,$A48,Human_Data_Entry!$H$3:$H$524,"Human",Human_Data_Entry!$S$3:$S$524,"?*")</f>
        <v/>
      </c>
      <c r="C48" s="51">
        <f>COUNTIFS(Human_Data_Entry!$A$3:$A$524,$A48,Human_Data_Entry!$H$3:$H$524,"Human",Human_Data_Entry!$S$3:$S$524,"YES")</f>
        <v/>
      </c>
      <c r="D48" s="56">
        <f>IF(B48=0,"-",C48/B48)</f>
        <v/>
      </c>
      <c r="E48" s="51">
        <f>COUNTIFS(LLM_Data_Entry!$A$3:$A$548,$A48,LLM_Data_Entry!$F$3:$F$548,"LLM",LLM_Data_Entry!$R$3:$R$548,"&lt;&gt;")</f>
        <v/>
      </c>
      <c r="F48" s="53">
        <f>COUNTIFS(LLM_Data_Entry!$A$3:$A$548,$A48,LLM_Data_Entry!$F$3:$F$548,"LLM",LLM_Data_Entry!$R$3:$R$548,"YES")</f>
        <v/>
      </c>
      <c r="G48" s="56">
        <f>IF(E48=0,"-",F48/E48)</f>
        <v/>
      </c>
      <c r="H48" s="20" t="n"/>
      <c r="I48" s="50">
        <f>A48</f>
        <v/>
      </c>
      <c r="J48" s="21">
        <f>SUMPRODUCT((Human_Data_Entry!$A$3:$A$524=$I48)*(Human_Data_Entry!$H$3:$H$524="Human")*((Human_Data_Entry!$J$3:$J$524="BUY")+(Human_Data_Entry!$J$3:$J$524="SELL"))*ISNUMBER(Human_Data_Entry!$U$3:$U$524))</f>
        <v/>
      </c>
      <c r="K48" s="54">
        <f>IFERROR(AVERAGEIFS(Human_Data_Entry!$U$3:$U$524,Human_Data_Entry!$A$3:$A$524,$I48,Human_Data_Entry!$H$3:$H$524,"Human",Human_Data_Entry!$J$3:$J$524,"&lt;&gt;HOLD",Human_Data_Entry!$U$3:$U$524,"&lt;&gt;"),"")</f>
        <v/>
      </c>
      <c r="L48" s="54">
        <f>IFERROR(SUMIFS(Human_Data_Entry!$U$3:$U$524,Human_Data_Entry!$A$3:$A$524,$I48,Human_Data_Entry!$H$3:$H$524,"Human",Human_Data_Entry!$J$3:$J$524,"&lt;&gt;HOLD"),"")</f>
        <v/>
      </c>
      <c r="M48" s="21">
        <f>COUNTIFS(LLM_Data_Entry!$A$3:$A$548,$I48,LLM_Data_Entry!$F$3:$F$548,"LLM",LLM_Data_Entry!$H$3:$H$548,"&lt;&gt;HOLD",LLM_Data_Entry!$T$3:$T$548,"&lt;&gt;")</f>
        <v/>
      </c>
      <c r="N48" s="54">
        <f>IFERROR(AVERAGEIFS(LLM_Data_Entry!$T$3:$T$548,LLM_Data_Entry!$A$3:$A$548,$I48,LLM_Data_Entry!$F$3:$F$548,"LLM",LLM_Data_Entry!$H$3:$H$548,"&lt;&gt;HOLD",LLM_Data_Entry!$T$3:$T$548,"&lt;&gt;"),"")</f>
        <v/>
      </c>
      <c r="O48" s="54">
        <f>IFERROR(SUMIFS(LLM_Data_Entry!$T$3:$T$548,LLM_Data_Entry!$A$3:$A$548,$I48,LLM_Data_Entry!$F$3:$F$548,"LLM",LLM_Data_Entry!$H$3:$H$548,"&lt;&gt;HOLD"),"")</f>
        <v/>
      </c>
    </row>
    <row r="49" ht="16.35" customHeight="1">
      <c r="A49" s="19" t="inlineStr">
        <is>
          <t>Microsoft</t>
        </is>
      </c>
      <c r="B49" s="51">
        <f>COUNTIFS(Human_Data_Entry!$A$3:$A$524,$A49,Human_Data_Entry!$H$3:$H$524,"Human",Human_Data_Entry!$S$3:$S$524,"?*")</f>
        <v/>
      </c>
      <c r="C49" s="51">
        <f>COUNTIFS(Human_Data_Entry!$A$3:$A$524,$A49,Human_Data_Entry!$H$3:$H$524,"Human",Human_Data_Entry!$S$3:$S$524,"YES")</f>
        <v/>
      </c>
      <c r="D49" s="56">
        <f>IF(B49=0,"-",C49/B49)</f>
        <v/>
      </c>
      <c r="E49" s="51">
        <f>COUNTIFS(LLM_Data_Entry!$A$3:$A$548,$A49,LLM_Data_Entry!$F$3:$F$548,"LLM",LLM_Data_Entry!$R$3:$R$548,"&lt;&gt;")</f>
        <v/>
      </c>
      <c r="F49" s="53">
        <f>COUNTIFS(LLM_Data_Entry!$A$3:$A$548,$A49,LLM_Data_Entry!$F$3:$F$548,"LLM",LLM_Data_Entry!$R$3:$R$548,"YES")</f>
        <v/>
      </c>
      <c r="G49" s="56">
        <f>IF(E49=0,"-",F49/E49)</f>
        <v/>
      </c>
      <c r="H49" s="20" t="n"/>
      <c r="I49" s="50">
        <f>A49</f>
        <v/>
      </c>
      <c r="J49" s="21">
        <f>SUMPRODUCT((Human_Data_Entry!$A$3:$A$524=$I49)*(Human_Data_Entry!$H$3:$H$524="Human")*((Human_Data_Entry!$J$3:$J$524="BUY")+(Human_Data_Entry!$J$3:$J$524="SELL"))*ISNUMBER(Human_Data_Entry!$U$3:$U$524))</f>
        <v/>
      </c>
      <c r="K49" s="54">
        <f>IFERROR(AVERAGEIFS(Human_Data_Entry!$U$3:$U$524,Human_Data_Entry!$A$3:$A$524,$I49,Human_Data_Entry!$H$3:$H$524,"Human",Human_Data_Entry!$J$3:$J$524,"&lt;&gt;HOLD",Human_Data_Entry!$U$3:$U$524,"&lt;&gt;"),"")</f>
        <v/>
      </c>
      <c r="L49" s="54">
        <f>IFERROR(SUMIFS(Human_Data_Entry!$U$3:$U$524,Human_Data_Entry!$A$3:$A$524,$I49,Human_Data_Entry!$H$3:$H$524,"Human",Human_Data_Entry!$J$3:$J$524,"&lt;&gt;HOLD"),"")</f>
        <v/>
      </c>
      <c r="M49" s="21">
        <f>COUNTIFS(LLM_Data_Entry!$A$3:$A$548,$I49,LLM_Data_Entry!$F$3:$F$548,"LLM",LLM_Data_Entry!$H$3:$H$548,"&lt;&gt;HOLD",LLM_Data_Entry!$T$3:$T$548,"&lt;&gt;")</f>
        <v/>
      </c>
      <c r="N49" s="54">
        <f>IFERROR(AVERAGEIFS(LLM_Data_Entry!$T$3:$T$548,LLM_Data_Entry!$A$3:$A$548,$I49,LLM_Data_Entry!$F$3:$F$548,"LLM",LLM_Data_Entry!$H$3:$H$548,"&lt;&gt;HOLD",LLM_Data_Entry!$T$3:$T$548,"&lt;&gt;"),"")</f>
        <v/>
      </c>
      <c r="O49" s="54">
        <f>IFERROR(SUMIFS(LLM_Data_Entry!$T$3:$T$548,LLM_Data_Entry!$A$3:$A$548,$I49,LLM_Data_Entry!$F$3:$F$548,"LLM",LLM_Data_Entry!$H$3:$H$548,"&lt;&gt;HOLD"),"")</f>
        <v/>
      </c>
    </row>
    <row r="50" ht="16.35" customHeight="1">
      <c r="A50" s="19" t="inlineStr">
        <is>
          <t>Ford</t>
        </is>
      </c>
      <c r="B50" s="51">
        <f>COUNTIFS(Human_Data_Entry!$A$3:$A$524,$A50,Human_Data_Entry!$H$3:$H$524,"Human",Human_Data_Entry!$S$3:$S$524,"?*")</f>
        <v/>
      </c>
      <c r="C50" s="51">
        <f>COUNTIFS(Human_Data_Entry!$A$3:$A$524,$A50,Human_Data_Entry!$H$3:$H$524,"Human",Human_Data_Entry!$S$3:$S$524,"YES")</f>
        <v/>
      </c>
      <c r="D50" s="56">
        <f>IF(B50=0,"-",C50/B50)</f>
        <v/>
      </c>
      <c r="E50" s="51">
        <f>COUNTIFS(LLM_Data_Entry!$A$3:$A$548,$A50,LLM_Data_Entry!$F$3:$F$548,"LLM",LLM_Data_Entry!$R$3:$R$548,"&lt;&gt;")</f>
        <v/>
      </c>
      <c r="F50" s="53">
        <f>COUNTIFS(LLM_Data_Entry!$A$3:$A$548,$A50,LLM_Data_Entry!$F$3:$F$548,"LLM",LLM_Data_Entry!$R$3:$R$548,"YES")</f>
        <v/>
      </c>
      <c r="G50" s="56">
        <f>IF(E50=0,"-",F50/E50)</f>
        <v/>
      </c>
      <c r="H50" s="20" t="n"/>
      <c r="I50" s="50">
        <f>A50</f>
        <v/>
      </c>
      <c r="J50" s="21">
        <f>SUMPRODUCT((Human_Data_Entry!$A$3:$A$524=$I50)*(Human_Data_Entry!$H$3:$H$524="Human")*((Human_Data_Entry!$J$3:$J$524="BUY")+(Human_Data_Entry!$J$3:$J$524="SELL"))*ISNUMBER(Human_Data_Entry!$U$3:$U$524))</f>
        <v/>
      </c>
      <c r="K50" s="54">
        <f>IFERROR(AVERAGEIFS(Human_Data_Entry!$U$3:$U$524,Human_Data_Entry!$A$3:$A$524,$I50,Human_Data_Entry!$H$3:$H$524,"Human",Human_Data_Entry!$J$3:$J$524,"&lt;&gt;HOLD",Human_Data_Entry!$U$3:$U$524,"&lt;&gt;"),"")</f>
        <v/>
      </c>
      <c r="L50" s="54">
        <f>IFERROR(SUMIFS(Human_Data_Entry!$U$3:$U$524,Human_Data_Entry!$A$3:$A$524,$I50,Human_Data_Entry!$H$3:$H$524,"Human",Human_Data_Entry!$J$3:$J$524,"&lt;&gt;HOLD"),"")</f>
        <v/>
      </c>
      <c r="M50" s="21">
        <f>COUNTIFS(LLM_Data_Entry!$A$3:$A$548,$I50,LLM_Data_Entry!$F$3:$F$548,"LLM",LLM_Data_Entry!$H$3:$H$548,"&lt;&gt;HOLD",LLM_Data_Entry!$T$3:$T$548,"&lt;&gt;")</f>
        <v/>
      </c>
      <c r="N50" s="54">
        <f>IFERROR(AVERAGEIFS(LLM_Data_Entry!$T$3:$T$548,LLM_Data_Entry!$A$3:$A$548,$I50,LLM_Data_Entry!$F$3:$F$548,"LLM",LLM_Data_Entry!$H$3:$H$548,"&lt;&gt;HOLD",LLM_Data_Entry!$T$3:$T$548,"&lt;&gt;"),"")</f>
        <v/>
      </c>
      <c r="O50" s="54">
        <f>IFERROR(SUMIFS(LLM_Data_Entry!$T$3:$T$548,LLM_Data_Entry!$A$3:$A$548,$I50,LLM_Data_Entry!$F$3:$F$548,"LLM",LLM_Data_Entry!$H$3:$H$548,"&lt;&gt;HOLD"),"")</f>
        <v/>
      </c>
    </row>
    <row r="51" ht="16.35" customHeight="1">
      <c r="A51" s="19" t="inlineStr">
        <is>
          <t>Barclays</t>
        </is>
      </c>
      <c r="B51" s="51">
        <f>COUNTIFS(Human_Data_Entry!$A$3:$A$524,$A51,Human_Data_Entry!$H$3:$H$524,"Human",Human_Data_Entry!$S$3:$S$524,"?*")</f>
        <v/>
      </c>
      <c r="C51" s="51">
        <f>COUNTIFS(Human_Data_Entry!$A$3:$A$524,$A51,Human_Data_Entry!$H$3:$H$524,"Human",Human_Data_Entry!$S$3:$S$524,"YES")</f>
        <v/>
      </c>
      <c r="D51" s="56">
        <f>IF(B51=0,"-",C51/B51)</f>
        <v/>
      </c>
      <c r="E51" s="51">
        <f>COUNTIFS(LLM_Data_Entry!$A$3:$A$548,$A51,LLM_Data_Entry!$F$3:$F$548,"LLM",LLM_Data_Entry!$R$3:$R$548,"&lt;&gt;")</f>
        <v/>
      </c>
      <c r="F51" s="53">
        <f>COUNTIFS(LLM_Data_Entry!$A$3:$A$548,$A51,LLM_Data_Entry!$F$3:$F$548,"LLM",LLM_Data_Entry!$R$3:$R$548,"YES")</f>
        <v/>
      </c>
      <c r="G51" s="56">
        <f>IF(E51=0,"-",F51/E51)</f>
        <v/>
      </c>
      <c r="H51" s="20" t="n"/>
      <c r="I51" s="50">
        <f>A51</f>
        <v/>
      </c>
      <c r="J51" s="21">
        <f>SUMPRODUCT((Human_Data_Entry!$A$3:$A$524=$I51)*(Human_Data_Entry!$H$3:$H$524="Human")*((Human_Data_Entry!$J$3:$J$524="BUY")+(Human_Data_Entry!$J$3:$J$524="SELL"))*ISNUMBER(Human_Data_Entry!$U$3:$U$524))</f>
        <v/>
      </c>
      <c r="K51" s="54">
        <f>IFERROR(AVERAGEIFS(Human_Data_Entry!$U$3:$U$524,Human_Data_Entry!$A$3:$A$524,$I51,Human_Data_Entry!$H$3:$H$524,"Human",Human_Data_Entry!$J$3:$J$524,"&lt;&gt;HOLD",Human_Data_Entry!$U$3:$U$524,"&lt;&gt;"),"")</f>
        <v/>
      </c>
      <c r="L51" s="54">
        <f>IFERROR(SUMIFS(Human_Data_Entry!$U$3:$U$524,Human_Data_Entry!$A$3:$A$524,$I51,Human_Data_Entry!$H$3:$H$524,"Human",Human_Data_Entry!$J$3:$J$524,"&lt;&gt;HOLD"),"")</f>
        <v/>
      </c>
      <c r="M51" s="21">
        <f>COUNTIFS(LLM_Data_Entry!$A$3:$A$548,$I51,LLM_Data_Entry!$F$3:$F$548,"LLM",LLM_Data_Entry!$H$3:$H$548,"&lt;&gt;HOLD",LLM_Data_Entry!$T$3:$T$548,"&lt;&gt;")</f>
        <v/>
      </c>
      <c r="N51" s="54">
        <f>IFERROR(AVERAGEIFS(LLM_Data_Entry!$T$3:$T$548,LLM_Data_Entry!$A$3:$A$548,$I51,LLM_Data_Entry!$F$3:$F$548,"LLM",LLM_Data_Entry!$H$3:$H$548,"&lt;&gt;HOLD",LLM_Data_Entry!$T$3:$T$548,"&lt;&gt;"),"")</f>
        <v/>
      </c>
      <c r="O51" s="54">
        <f>IFERROR(SUMIFS(LLM_Data_Entry!$T$3:$T$548,LLM_Data_Entry!$A$3:$A$548,$I51,LLM_Data_Entry!$F$3:$F$548,"LLM",LLM_Data_Entry!$H$3:$H$548,"&lt;&gt;HOLD"),"")</f>
        <v/>
      </c>
    </row>
    <row r="52" ht="16.35" customHeight="1">
      <c r="A52" s="19" t="inlineStr">
        <is>
          <t>Maersk</t>
        </is>
      </c>
      <c r="B52" s="51">
        <f>COUNTIFS(Human_Data_Entry!$A$3:$A$524,$A52,Human_Data_Entry!$H$3:$H$524,"Human",Human_Data_Entry!$S$3:$S$524,"?*")</f>
        <v/>
      </c>
      <c r="C52" s="51">
        <f>COUNTIFS(Human_Data_Entry!$A$3:$A$524,$A52,Human_Data_Entry!$H$3:$H$524,"Human",Human_Data_Entry!$S$3:$S$524,"YES")</f>
        <v/>
      </c>
      <c r="D52" s="56">
        <f>IF(B52=0,"-",C52/B52)</f>
        <v/>
      </c>
      <c r="E52" s="51">
        <f>COUNTIFS(LLM_Data_Entry!$A$3:$A$548,$A52,LLM_Data_Entry!$F$3:$F$548,"LLM",LLM_Data_Entry!$R$3:$R$548,"&lt;&gt;")</f>
        <v/>
      </c>
      <c r="F52" s="53">
        <f>COUNTIFS(LLM_Data_Entry!$A$3:$A$548,$A52,LLM_Data_Entry!$F$3:$F$548,"LLM",LLM_Data_Entry!$R$3:$R$548,"YES")</f>
        <v/>
      </c>
      <c r="G52" s="56">
        <f>IF(E52=0,"-",F52/E52)</f>
        <v/>
      </c>
      <c r="H52" s="20" t="n"/>
      <c r="I52" s="50">
        <f>A52</f>
        <v/>
      </c>
      <c r="J52" s="21">
        <f>SUMPRODUCT((Human_Data_Entry!$A$3:$A$524=$I52)*(Human_Data_Entry!$H$3:$H$524="Human")*((Human_Data_Entry!$J$3:$J$524="BUY")+(Human_Data_Entry!$J$3:$J$524="SELL"))*ISNUMBER(Human_Data_Entry!$U$3:$U$524))</f>
        <v/>
      </c>
      <c r="K52" s="54">
        <f>IFERROR(AVERAGEIFS(Human_Data_Entry!$U$3:$U$524,Human_Data_Entry!$A$3:$A$524,$I52,Human_Data_Entry!$H$3:$H$524,"Human",Human_Data_Entry!$J$3:$J$524,"&lt;&gt;HOLD",Human_Data_Entry!$U$3:$U$524,"&lt;&gt;"),"")</f>
        <v/>
      </c>
      <c r="L52" s="54">
        <f>IFERROR(SUMIFS(Human_Data_Entry!$U$3:$U$524,Human_Data_Entry!$A$3:$A$524,$I52,Human_Data_Entry!$H$3:$H$524,"Human",Human_Data_Entry!$J$3:$J$524,"&lt;&gt;HOLD"),"")</f>
        <v/>
      </c>
      <c r="M52" s="21">
        <f>COUNTIFS(LLM_Data_Entry!$A$3:$A$548,$I52,LLM_Data_Entry!$F$3:$F$548,"LLM",LLM_Data_Entry!$H$3:$H$548,"&lt;&gt;HOLD",LLM_Data_Entry!$T$3:$T$548,"&lt;&gt;")</f>
        <v/>
      </c>
      <c r="N52" s="54">
        <f>IFERROR(AVERAGEIFS(LLM_Data_Entry!$T$3:$T$548,LLM_Data_Entry!$A$3:$A$548,$I52,LLM_Data_Entry!$F$3:$F$548,"LLM",LLM_Data_Entry!$H$3:$H$548,"&lt;&gt;HOLD",LLM_Data_Entry!$T$3:$T$548,"&lt;&gt;"),"")</f>
        <v/>
      </c>
      <c r="O52" s="54">
        <f>IFERROR(SUMIFS(LLM_Data_Entry!$T$3:$T$548,LLM_Data_Entry!$A$3:$A$548,$I52,LLM_Data_Entry!$F$3:$F$548,"LLM",LLM_Data_Entry!$H$3:$H$548,"&lt;&gt;HOLD"),"")</f>
        <v/>
      </c>
    </row>
    <row r="53" ht="16.35" customHeight="1">
      <c r="A53" s="19" t="inlineStr">
        <is>
          <t>United Airlines</t>
        </is>
      </c>
      <c r="B53" s="51">
        <f>COUNTIFS(Human_Data_Entry!$A$3:$A$524,$A53,Human_Data_Entry!$H$3:$H$524,"Human",Human_Data_Entry!$S$3:$S$524,"?*")</f>
        <v/>
      </c>
      <c r="C53" s="51">
        <f>COUNTIFS(Human_Data_Entry!$A$3:$A$524,$A53,Human_Data_Entry!$H$3:$H$524,"Human",Human_Data_Entry!$S$3:$S$524,"YES")</f>
        <v/>
      </c>
      <c r="D53" s="56">
        <f>IF(B53=0,"-",C53/B53)</f>
        <v/>
      </c>
      <c r="E53" s="51">
        <f>COUNTIFS(LLM_Data_Entry!$A$3:$A$548,$A53,LLM_Data_Entry!$F$3:$F$548,"LLM",LLM_Data_Entry!$R$3:$R$548,"&lt;&gt;")</f>
        <v/>
      </c>
      <c r="F53" s="53">
        <f>COUNTIFS(LLM_Data_Entry!$A$3:$A$548,$A53,LLM_Data_Entry!$F$3:$F$548,"LLM",LLM_Data_Entry!$R$3:$R$548,"YES")</f>
        <v/>
      </c>
      <c r="G53" s="56">
        <f>IF(E53=0,"-",F53/E53)</f>
        <v/>
      </c>
      <c r="H53" s="20" t="n"/>
      <c r="I53" s="50">
        <f>A53</f>
        <v/>
      </c>
      <c r="J53" s="21">
        <f>SUMPRODUCT((Human_Data_Entry!$A$3:$A$524=$I53)*(Human_Data_Entry!$H$3:$H$524="Human")*((Human_Data_Entry!$J$3:$J$524="BUY")+(Human_Data_Entry!$J$3:$J$524="SELL"))*ISNUMBER(Human_Data_Entry!$U$3:$U$524))</f>
        <v/>
      </c>
      <c r="K53" s="54">
        <f>IFERROR(AVERAGEIFS(Human_Data_Entry!$U$3:$U$524,Human_Data_Entry!$A$3:$A$524,$I53,Human_Data_Entry!$H$3:$H$524,"Human",Human_Data_Entry!$J$3:$J$524,"&lt;&gt;HOLD",Human_Data_Entry!$U$3:$U$524,"&lt;&gt;"),"")</f>
        <v/>
      </c>
      <c r="L53" s="54">
        <f>IFERROR(SUMIFS(Human_Data_Entry!$U$3:$U$524,Human_Data_Entry!$A$3:$A$524,$I53,Human_Data_Entry!$H$3:$H$524,"Human",Human_Data_Entry!$J$3:$J$524,"&lt;&gt;HOLD"),"")</f>
        <v/>
      </c>
      <c r="M53" s="21">
        <f>COUNTIFS(LLM_Data_Entry!$A$3:$A$548,$I53,LLM_Data_Entry!$F$3:$F$548,"LLM",LLM_Data_Entry!$H$3:$H$548,"&lt;&gt;HOLD",LLM_Data_Entry!$T$3:$T$548,"&lt;&gt;")</f>
        <v/>
      </c>
      <c r="N53" s="54">
        <f>IFERROR(AVERAGEIFS(LLM_Data_Entry!$T$3:$T$548,LLM_Data_Entry!$A$3:$A$548,$I53,LLM_Data_Entry!$F$3:$F$548,"LLM",LLM_Data_Entry!$H$3:$H$548,"&lt;&gt;HOLD",LLM_Data_Entry!$T$3:$T$548,"&lt;&gt;"),"")</f>
        <v/>
      </c>
      <c r="O53" s="54">
        <f>IFERROR(SUMIFS(LLM_Data_Entry!$T$3:$T$548,LLM_Data_Entry!$A$3:$A$548,$I53,LLM_Data_Entry!$F$3:$F$548,"LLM",LLM_Data_Entry!$H$3:$H$548,"&lt;&gt;HOLD"),"")</f>
        <v/>
      </c>
    </row>
    <row r="54" ht="16.35" customHeight="1">
      <c r="A54" s="19" t="inlineStr">
        <is>
          <t>Novo Nordisk</t>
        </is>
      </c>
      <c r="B54" s="51">
        <f>COUNTIFS(Human_Data_Entry!$A$3:$A$524,$A54,Human_Data_Entry!$H$3:$H$524,"Human",Human_Data_Entry!$S$3:$S$524,"?*")</f>
        <v/>
      </c>
      <c r="C54" s="51">
        <f>COUNTIFS(Human_Data_Entry!$A$3:$A$524,$A54,Human_Data_Entry!$H$3:$H$524,"Human",Human_Data_Entry!$S$3:$S$524,"YES")</f>
        <v/>
      </c>
      <c r="D54" s="56">
        <f>IF(B54=0,"-",C54/B54)</f>
        <v/>
      </c>
      <c r="E54" s="51">
        <f>COUNTIFS(LLM_Data_Entry!$A$3:$A$548,$A54,LLM_Data_Entry!$F$3:$F$548,"LLM",LLM_Data_Entry!$R$3:$R$548,"&lt;&gt;")</f>
        <v/>
      </c>
      <c r="F54" s="53">
        <f>COUNTIFS(LLM_Data_Entry!$A$3:$A$548,$A54,LLM_Data_Entry!$F$3:$F$548,"LLM",LLM_Data_Entry!$R$3:$R$548,"YES")</f>
        <v/>
      </c>
      <c r="G54" s="56">
        <f>IF(E54=0,"-",F54/E54)</f>
        <v/>
      </c>
      <c r="H54" s="20" t="n"/>
      <c r="I54" s="50">
        <f>A54</f>
        <v/>
      </c>
      <c r="J54" s="21">
        <f>SUMPRODUCT((Human_Data_Entry!$A$3:$A$524=$I54)*(Human_Data_Entry!$H$3:$H$524="Human")*((Human_Data_Entry!$J$3:$J$524="BUY")+(Human_Data_Entry!$J$3:$J$524="SELL"))*ISNUMBER(Human_Data_Entry!$U$3:$U$524))</f>
        <v/>
      </c>
      <c r="K54" s="54">
        <f>IFERROR(AVERAGEIFS(Human_Data_Entry!$U$3:$U$524,Human_Data_Entry!$A$3:$A$524,$I54,Human_Data_Entry!$H$3:$H$524,"Human",Human_Data_Entry!$J$3:$J$524,"&lt;&gt;HOLD",Human_Data_Entry!$U$3:$U$524,"&lt;&gt;"),"")</f>
        <v/>
      </c>
      <c r="L54" s="54">
        <f>IFERROR(SUMIFS(Human_Data_Entry!$U$3:$U$524,Human_Data_Entry!$A$3:$A$524,$I54,Human_Data_Entry!$H$3:$H$524,"Human",Human_Data_Entry!$J$3:$J$524,"&lt;&gt;HOLD"),"")</f>
        <v/>
      </c>
      <c r="M54" s="21">
        <f>COUNTIFS(LLM_Data_Entry!$A$3:$A$548,$I54,LLM_Data_Entry!$F$3:$F$548,"LLM",LLM_Data_Entry!$H$3:$H$548,"&lt;&gt;HOLD",LLM_Data_Entry!$T$3:$T$548,"&lt;&gt;")</f>
        <v/>
      </c>
      <c r="N54" s="54">
        <f>IFERROR(AVERAGEIFS(LLM_Data_Entry!$T$3:$T$548,LLM_Data_Entry!$A$3:$A$548,$I54,LLM_Data_Entry!$F$3:$F$548,"LLM",LLM_Data_Entry!$H$3:$H$548,"&lt;&gt;HOLD",LLM_Data_Entry!$T$3:$T$548,"&lt;&gt;"),"")</f>
        <v/>
      </c>
      <c r="O54" s="54">
        <f>IFERROR(SUMIFS(LLM_Data_Entry!$T$3:$T$548,LLM_Data_Entry!$A$3:$A$548,$I54,LLM_Data_Entry!$F$3:$F$548,"LLM",LLM_Data_Entry!$H$3:$H$548,"&lt;&gt;HOLD"),"")</f>
        <v/>
      </c>
    </row>
    <row r="55" ht="16.35" customHeight="1">
      <c r="A55" s="19" t="inlineStr">
        <is>
          <t>Lockheed Martin</t>
        </is>
      </c>
      <c r="B55" s="51">
        <f>COUNTIFS(Human_Data_Entry!$A$3:$A$524,$A55,Human_Data_Entry!$H$3:$H$524,"Human",Human_Data_Entry!$S$3:$S$524,"?*")</f>
        <v/>
      </c>
      <c r="C55" s="51">
        <f>COUNTIFS(Human_Data_Entry!$A$3:$A$524,$A55,Human_Data_Entry!$H$3:$H$524,"Human",Human_Data_Entry!$S$3:$S$524,"YES")</f>
        <v/>
      </c>
      <c r="D55" s="56">
        <f>IF(B55=0,"-",C55/B55)</f>
        <v/>
      </c>
      <c r="E55" s="51">
        <f>COUNTIFS(LLM_Data_Entry!$A$3:$A$548,$A55,LLM_Data_Entry!$F$3:$F$548,"LLM",LLM_Data_Entry!$R$3:$R$548,"&lt;&gt;")</f>
        <v/>
      </c>
      <c r="F55" s="53">
        <f>COUNTIFS(LLM_Data_Entry!$A$3:$A$548,$A55,LLM_Data_Entry!$F$3:$F$548,"LLM",LLM_Data_Entry!$R$3:$R$548,"YES")</f>
        <v/>
      </c>
      <c r="G55" s="56">
        <f>IF(E55=0,"-",F55/E55)</f>
        <v/>
      </c>
      <c r="H55" s="103" t="n"/>
      <c r="I55" s="50">
        <f>A55</f>
        <v/>
      </c>
      <c r="J55" s="21">
        <f>SUMPRODUCT((Human_Data_Entry!$A$3:$A$524=$I55)*(Human_Data_Entry!$H$3:$H$524="Human")*((Human_Data_Entry!$J$3:$J$524="BUY")+(Human_Data_Entry!$J$3:$J$524="SELL"))*ISNUMBER(Human_Data_Entry!$U$3:$U$524))</f>
        <v/>
      </c>
      <c r="K55" s="54">
        <f>IFERROR(AVERAGEIFS(Human_Data_Entry!$U$3:$U$524,Human_Data_Entry!$A$3:$A$524,$I55,Human_Data_Entry!$H$3:$H$524,"Human",Human_Data_Entry!$J$3:$J$524,"&lt;&gt;HOLD",Human_Data_Entry!$U$3:$U$524,"&lt;&gt;"),"")</f>
        <v/>
      </c>
      <c r="L55" s="54">
        <f>IFERROR(SUMIFS(Human_Data_Entry!$U$3:$U$524,Human_Data_Entry!$A$3:$A$524,$I55,Human_Data_Entry!$H$3:$H$524,"Human",Human_Data_Entry!$J$3:$J$524,"&lt;&gt;HOLD"),"")</f>
        <v/>
      </c>
      <c r="M55" s="21">
        <f>COUNTIFS(LLM_Data_Entry!$A$3:$A$548,$I55,LLM_Data_Entry!$F$3:$F$548,"LLM",LLM_Data_Entry!$H$3:$H$548,"&lt;&gt;HOLD",LLM_Data_Entry!$T$3:$T$548,"&lt;&gt;")</f>
        <v/>
      </c>
      <c r="N55" s="54">
        <f>IFERROR(AVERAGEIFS(LLM_Data_Entry!$T$3:$T$548,LLM_Data_Entry!$A$3:$A$548,$I55,LLM_Data_Entry!$F$3:$F$548,"LLM",LLM_Data_Entry!$H$3:$H$548,"&lt;&gt;HOLD",LLM_Data_Entry!$T$3:$T$548,"&lt;&gt;"),"")</f>
        <v/>
      </c>
      <c r="O55" s="54">
        <f>IFERROR(SUMIFS(LLM_Data_Entry!$T$3:$T$548,LLM_Data_Entry!$A$3:$A$548,$I55,LLM_Data_Entry!$F$3:$F$548,"LLM",LLM_Data_Entry!$H$3:$H$548,"&lt;&gt;HOLD"),"")</f>
        <v/>
      </c>
    </row>
    <row r="56">
      <c r="A56" s="19" t="inlineStr">
        <is>
          <t>LVMH</t>
        </is>
      </c>
      <c r="B56" s="51">
        <f>COUNTIFS(Human_Data_Entry!$A$3:$A$524,$A56,Human_Data_Entry!$H$3:$H$524,"Human",Human_Data_Entry!$S$3:$S$524,"?*")</f>
        <v/>
      </c>
      <c r="C56" s="51">
        <f>COUNTIFS(Human_Data_Entry!$A$3:$A$524,$A56,Human_Data_Entry!$H$3:$H$524,"Human",Human_Data_Entry!$S$3:$S$524,"YES")</f>
        <v/>
      </c>
      <c r="D56" s="56">
        <f>IF(B56=0,"-",C56/B56)</f>
        <v/>
      </c>
      <c r="E56" s="51">
        <f>COUNTIFS(LLM_Data_Entry!$A$3:$A$548,$A56,LLM_Data_Entry!$F$3:$F$548,"LLM",LLM_Data_Entry!$R$3:$R$548,"&lt;&gt;")</f>
        <v/>
      </c>
      <c r="F56" s="53">
        <f>COUNTIFS(LLM_Data_Entry!$A$3:$A$548,$A56,LLM_Data_Entry!$F$3:$F$548,"LLM",LLM_Data_Entry!$R$3:$R$548,"YES")</f>
        <v/>
      </c>
      <c r="G56" s="56">
        <f>IF(E56=0,"-",F56/E56)</f>
        <v/>
      </c>
      <c r="I56" s="50">
        <f>A56</f>
        <v/>
      </c>
      <c r="J56" s="21">
        <f>SUMPRODUCT((Human_Data_Entry!$A$3:$A$524=$I56)*(Human_Data_Entry!$H$3:$H$524="Human")*((Human_Data_Entry!$J$3:$J$524="BUY")+(Human_Data_Entry!$J$3:$J$524="SELL"))*ISNUMBER(Human_Data_Entry!$U$3:$U$524))</f>
        <v/>
      </c>
      <c r="K56" s="54">
        <f>IFERROR(AVERAGEIFS(Human_Data_Entry!$U$3:$U$524,Human_Data_Entry!$A$3:$A$524,$I56,Human_Data_Entry!$H$3:$H$524,"Human",Human_Data_Entry!$J$3:$J$524,"&lt;&gt;HOLD",Human_Data_Entry!$U$3:$U$524,"&lt;&gt;"),"")</f>
        <v/>
      </c>
      <c r="L56" s="54">
        <f>IFERROR(SUMIFS(Human_Data_Entry!$U$3:$U$524,Human_Data_Entry!$A$3:$A$524,$I56,Human_Data_Entry!$H$3:$H$524,"Human",Human_Data_Entry!$J$3:$J$524,"&lt;&gt;HOLD"),"")</f>
        <v/>
      </c>
      <c r="M56" s="21">
        <f>COUNTIFS(LLM_Data_Entry!$A$3:$A$548,$I56,LLM_Data_Entry!$F$3:$F$548,"LLM",LLM_Data_Entry!$H$3:$H$548,"&lt;&gt;HOLD",LLM_Data_Entry!$T$3:$T$548,"&lt;&gt;")</f>
        <v/>
      </c>
      <c r="N56" s="54">
        <f>IFERROR(AVERAGEIFS(LLM_Data_Entry!$T$3:$T$548,LLM_Data_Entry!$A$3:$A$548,$I56,LLM_Data_Entry!$F$3:$F$548,"LLM",LLM_Data_Entry!$H$3:$H$548,"&lt;&gt;HOLD",LLM_Data_Entry!$T$3:$T$548,"&lt;&gt;"),"")</f>
        <v/>
      </c>
      <c r="O56" s="54">
        <f>IFERROR(SUMIFS(LLM_Data_Entry!$T$3:$T$548,LLM_Data_Entry!$A$3:$A$548,$I56,LLM_Data_Entry!$F$3:$F$548,"LLM",LLM_Data_Entry!$H$3:$H$548,"&lt;&gt;HOLD"),"")</f>
        <v/>
      </c>
    </row>
    <row r="57">
      <c r="A57" s="109" t="inlineStr">
        <is>
          <t>Puma</t>
        </is>
      </c>
      <c r="B57" s="111">
        <f>COUNTIFS(Human_Data_Entry!$A$3:$A$524,$A57,Human_Data_Entry!$H$3:$H$524,"Human",Human_Data_Entry!$S$3:$S$524,"?*")</f>
        <v/>
      </c>
      <c r="C57" s="111">
        <f>COUNTIFS(Human_Data_Entry!$A$3:$A$524,$A57,Human_Data_Entry!$H$3:$H$524,"Human",Human_Data_Entry!$S$3:$S$524,"YES")</f>
        <v/>
      </c>
      <c r="D57" s="112">
        <f>IF(B57=0,"-",C57/B57)</f>
        <v/>
      </c>
      <c r="E57" s="111">
        <f>COUNTIFS(LLM_Data_Entry!$A$3:$A$548,$A57,LLM_Data_Entry!$F$3:$F$548,"LLM",LLM_Data_Entry!$R$3:$R$548,"&lt;&gt;")</f>
        <v/>
      </c>
      <c r="F57" s="113">
        <f>COUNTIFS(LLM_Data_Entry!$A$3:$A$548,$A57,LLM_Data_Entry!$F$3:$F$548,"LLM",LLM_Data_Entry!$R$3:$R$548,"YES")</f>
        <v/>
      </c>
      <c r="G57" s="112">
        <f>IF(E57=0,"-",F57/E57)</f>
        <v/>
      </c>
      <c r="I57" s="110">
        <f>A57</f>
        <v/>
      </c>
      <c r="J57" s="108">
        <f>SUMPRODUCT((Human_Data_Entry!$A$3:$A$524=$I57)*(Human_Data_Entry!$H$3:$H$524="Human")*((Human_Data_Entry!$J$3:$J$524="BUY")+(Human_Data_Entry!$J$3:$J$524="SELL"))*ISNUMBER(Human_Data_Entry!$U$3:$U$524))</f>
        <v/>
      </c>
      <c r="K57" s="114">
        <f>IFERROR(AVERAGEIFS(Human_Data_Entry!$U$3:$U$524,Human_Data_Entry!$A$3:$A$524,$I57,Human_Data_Entry!$H$3:$H$524,"Human",Human_Data_Entry!$J$3:$J$524,"&lt;&gt;HOLD",Human_Data_Entry!$U$3:$U$524,"&lt;&gt;"),"")</f>
        <v/>
      </c>
      <c r="L57" s="114">
        <f>IFERROR(SUMIFS(Human_Data_Entry!$U$3:$U$524,Human_Data_Entry!$A$3:$A$524,$I57,Human_Data_Entry!$H$3:$H$524,"Human",Human_Data_Entry!$J$3:$J$524,"&lt;&gt;HOLD"),"")</f>
        <v/>
      </c>
      <c r="M57" s="108">
        <f>COUNTIFS(LLM_Data_Entry!$A$3:$A$548,$I57,LLM_Data_Entry!$F$3:$F$548,"LLM",LLM_Data_Entry!$H$3:$H$548,"&lt;&gt;HOLD",LLM_Data_Entry!$T$3:$T$548,"&lt;&gt;")</f>
        <v/>
      </c>
      <c r="N57" s="114">
        <f>IFERROR(AVERAGEIFS(LLM_Data_Entry!$T$3:$T$548,LLM_Data_Entry!$A$3:$A$548,$I57,LLM_Data_Entry!$F$3:$F$548,"LLM",LLM_Data_Entry!$H$3:$H$548,"&lt;&gt;HOLD",LLM_Data_Entry!$T$3:$T$548,"&lt;&gt;"),"")</f>
        <v/>
      </c>
      <c r="O57" s="114">
        <f>IFERROR(SUMIFS(LLM_Data_Entry!$T$3:$T$548,LLM_Data_Entry!$A$3:$A$548,$I57,LLM_Data_Entry!$F$3:$F$548,"LLM",LLM_Data_Entry!$H$3:$H$548,"&lt;&gt;HOLD"),"")</f>
        <v/>
      </c>
    </row>
    <row r="58">
      <c r="A58" s="109" t="inlineStr">
        <is>
          <t>Booking Holdings</t>
        </is>
      </c>
      <c r="B58" s="111">
        <f>COUNTIFS(Human_Data_Entry!$A$3:$A$524,$A58,Human_Data_Entry!$H$3:$H$524,"Human",Human_Data_Entry!$S$3:$S$524,"?*")</f>
        <v/>
      </c>
      <c r="C58" s="111">
        <f>COUNTIFS(Human_Data_Entry!$A$3:$A$524,$A58,Human_Data_Entry!$H$3:$H$524,"Human",Human_Data_Entry!$S$3:$S$524,"YES")</f>
        <v/>
      </c>
      <c r="D58" s="112">
        <f>IF(B58=0,"-",C58/B58)</f>
        <v/>
      </c>
      <c r="E58" s="111">
        <f>COUNTIFS(LLM_Data_Entry!$A$3:$A$548,$A58,LLM_Data_Entry!$F$3:$F$548,"LLM",LLM_Data_Entry!$R$3:$R$548,"&lt;&gt;")</f>
        <v/>
      </c>
      <c r="F58" s="113">
        <f>COUNTIFS(LLM_Data_Entry!$A$3:$A$548,$A58,LLM_Data_Entry!$F$3:$F$548,"LLM",LLM_Data_Entry!$R$3:$R$548,"YES")</f>
        <v/>
      </c>
      <c r="G58" s="112">
        <f>IF(E58=0,"-",F58/E58)</f>
        <v/>
      </c>
      <c r="I58" s="110">
        <f>A58</f>
        <v/>
      </c>
      <c r="J58" s="108">
        <f>SUMPRODUCT((Human_Data_Entry!$A$3:$A$524=$I58)*(Human_Data_Entry!$H$3:$H$524="Human")*((Human_Data_Entry!$J$3:$J$524="BUY")+(Human_Data_Entry!$J$3:$J$524="SELL"))*ISNUMBER(Human_Data_Entry!$U$3:$U$524))</f>
        <v/>
      </c>
      <c r="K58" s="114">
        <f>IFERROR(AVERAGEIFS(Human_Data_Entry!$U$3:$U$524,Human_Data_Entry!$A$3:$A$524,$I58,Human_Data_Entry!$H$3:$H$524,"Human",Human_Data_Entry!$J$3:$J$524,"&lt;&gt;HOLD",Human_Data_Entry!$U$3:$U$524,"&lt;&gt;"),"")</f>
        <v/>
      </c>
      <c r="L58" s="114">
        <f>IFERROR(SUMIFS(Human_Data_Entry!$U$3:$U$524,Human_Data_Entry!$A$3:$A$524,$I58,Human_Data_Entry!$H$3:$H$524,"Human",Human_Data_Entry!$J$3:$J$524,"&lt;&gt;HOLD"),"")</f>
        <v/>
      </c>
      <c r="M58" s="108">
        <f>COUNTIFS(LLM_Data_Entry!$A$3:$A$548,$I58,LLM_Data_Entry!$F$3:$F$548,"LLM",LLM_Data_Entry!$H$3:$H$548,"&lt;&gt;HOLD",LLM_Data_Entry!$T$3:$T$548,"&lt;&gt;")</f>
        <v/>
      </c>
      <c r="N58" s="114">
        <f>IFERROR(AVERAGEIFS(LLM_Data_Entry!$T$3:$T$548,LLM_Data_Entry!$A$3:$A$548,$I58,LLM_Data_Entry!$F$3:$F$548,"LLM",LLM_Data_Entry!$H$3:$H$548,"&lt;&gt;HOLD",LLM_Data_Entry!$T$3:$T$548,"&lt;&gt;"),"")</f>
        <v/>
      </c>
      <c r="O58" s="114">
        <f>IFERROR(SUMIFS(LLM_Data_Entry!$T$3:$T$548,LLM_Data_Entry!$A$3:$A$548,$I58,LLM_Data_Entry!$F$3:$F$548,"LLM",LLM_Data_Entry!$H$3:$H$548,"&lt;&gt;HOLD"),"")</f>
        <v/>
      </c>
    </row>
    <row r="59" ht="12.75" customHeight="1">
      <c r="A59" s="109" t="inlineStr">
        <is>
          <t>Broadcom</t>
        </is>
      </c>
      <c r="B59" s="111">
        <f>COUNTIFS(Human_Data_Entry!$A$3:$A$524,$A59,Human_Data_Entry!$H$3:$H$524,"Human",Human_Data_Entry!$S$3:$S$524,"?*")</f>
        <v/>
      </c>
      <c r="C59" s="111">
        <f>COUNTIFS(Human_Data_Entry!$A$3:$A$524,$A59,Human_Data_Entry!$H$3:$H$524,"Human",Human_Data_Entry!$S$3:$S$524,"YES")</f>
        <v/>
      </c>
      <c r="D59" s="112">
        <f>IF(B59=0,"-",C59/B59)</f>
        <v/>
      </c>
      <c r="E59" s="111">
        <f>COUNTIFS(LLM_Data_Entry!$A$3:$A$548,$A59,LLM_Data_Entry!$F$3:$F$548,"LLM",LLM_Data_Entry!$R$3:$R$548,"&lt;&gt;")</f>
        <v/>
      </c>
      <c r="F59" s="113">
        <f>COUNTIFS(LLM_Data_Entry!$A$3:$A$548,$A59,LLM_Data_Entry!$F$3:$F$548,"LLM",LLM_Data_Entry!$R$3:$R$548,"YES")</f>
        <v/>
      </c>
      <c r="G59" s="112">
        <f>IF(E59=0,"-",F59/E59)</f>
        <v/>
      </c>
      <c r="I59" s="110">
        <f>A59</f>
        <v/>
      </c>
      <c r="J59" s="108">
        <f>SUMPRODUCT((Human_Data_Entry!$A$3:$A$524=$I59)*(Human_Data_Entry!$H$3:$H$524="Human")*((Human_Data_Entry!$J$3:$J$524="BUY")+(Human_Data_Entry!$J$3:$J$524="SELL"))*ISNUMBER(Human_Data_Entry!$U$3:$U$524))</f>
        <v/>
      </c>
      <c r="K59" s="114">
        <f>IFERROR(AVERAGEIFS(Human_Data_Entry!$U$3:$U$524,Human_Data_Entry!$A$3:$A$524,$I59,Human_Data_Entry!$H$3:$H$524,"Human",Human_Data_Entry!$J$3:$J$524,"&lt;&gt;HOLD",Human_Data_Entry!$U$3:$U$524,"&lt;&gt;"),"")</f>
        <v/>
      </c>
      <c r="L59" s="114">
        <f>IFERROR(SUMIFS(Human_Data_Entry!$U$3:$U$524,Human_Data_Entry!$A$3:$A$524,$I59,Human_Data_Entry!$H$3:$H$524,"Human",Human_Data_Entry!$J$3:$J$524,"&lt;&gt;HOLD"),"")</f>
        <v/>
      </c>
      <c r="M59" s="108">
        <f>COUNTIFS(LLM_Data_Entry!$A$3:$A$548,$I59,LLM_Data_Entry!$F$3:$F$548,"LLM",LLM_Data_Entry!$H$3:$H$548,"&lt;&gt;HOLD",LLM_Data_Entry!$T$3:$T$548,"&lt;&gt;")</f>
        <v/>
      </c>
      <c r="N59" s="114">
        <f>IFERROR(AVERAGEIFS(LLM_Data_Entry!$T$3:$T$548,LLM_Data_Entry!$A$3:$A$548,$I59,LLM_Data_Entry!$F$3:$F$548,"LLM",LLM_Data_Entry!$H$3:$H$548,"&lt;&gt;HOLD",LLM_Data_Entry!$T$3:$T$548,"&lt;&gt;"),"")</f>
        <v/>
      </c>
      <c r="O59" s="114">
        <f>IFERROR(SUMIFS(LLM_Data_Entry!$T$3:$T$548,LLM_Data_Entry!$A$3:$A$548,$I59,LLM_Data_Entry!$F$3:$F$548,"LLM",LLM_Data_Entry!$H$3:$H$548,"&lt;&gt;HOLD"),"")</f>
        <v/>
      </c>
    </row>
    <row r="60" ht="15" customHeight="1">
      <c r="A60" s="109" t="inlineStr">
        <is>
          <t>Caterpillar</t>
        </is>
      </c>
      <c r="B60" s="111">
        <f>COUNTIFS(Human_Data_Entry!$A$3:$A$524,$A60,Human_Data_Entry!$H$3:$H$524,"Human",Human_Data_Entry!$S$3:$S$524,"?*")</f>
        <v/>
      </c>
      <c r="C60" s="111">
        <f>COUNTIFS(Human_Data_Entry!$A$3:$A$524,$A60,Human_Data_Entry!$H$3:$H$524,"Human",Human_Data_Entry!$S$3:$S$524,"YES")</f>
        <v/>
      </c>
      <c r="D60" s="112">
        <f>IF(B60=0,"-",C60/B60)</f>
        <v/>
      </c>
      <c r="E60" s="111">
        <f>COUNTIFS(LLM_Data_Entry!$A$3:$A$548,$A60,LLM_Data_Entry!$F$3:$F$548,"LLM",LLM_Data_Entry!$R$3:$R$548,"&lt;&gt;")</f>
        <v/>
      </c>
      <c r="F60" s="113">
        <f>COUNTIFS(LLM_Data_Entry!$A$3:$A$548,$A60,LLM_Data_Entry!$F$3:$F$548,"LLM",LLM_Data_Entry!$R$3:$R$548,"YES")</f>
        <v/>
      </c>
      <c r="G60" s="112">
        <f>IF(E60=0,"-",F60/E60)</f>
        <v/>
      </c>
      <c r="I60" s="110">
        <f>A60</f>
        <v/>
      </c>
      <c r="J60" s="108">
        <f>SUMPRODUCT((Human_Data_Entry!$A$3:$A$524=$I60)*(Human_Data_Entry!$H$3:$H$524="Human")*((Human_Data_Entry!$J$3:$J$524="BUY")+(Human_Data_Entry!$J$3:$J$524="SELL"))*ISNUMBER(Human_Data_Entry!$U$3:$U$524))</f>
        <v/>
      </c>
      <c r="K60" s="114">
        <f>IFERROR(AVERAGEIFS(Human_Data_Entry!$U$3:$U$524,Human_Data_Entry!$A$3:$A$524,$I60,Human_Data_Entry!$H$3:$H$524,"Human",Human_Data_Entry!$J$3:$J$524,"&lt;&gt;HOLD",Human_Data_Entry!$U$3:$U$524,"&lt;&gt;"),"")</f>
        <v/>
      </c>
      <c r="L60" s="114">
        <f>IFERROR(SUMIFS(Human_Data_Entry!$U$3:$U$524,Human_Data_Entry!$A$3:$A$524,$I60,Human_Data_Entry!$H$3:$H$524,"Human",Human_Data_Entry!$J$3:$J$524,"&lt;&gt;HOLD"),"")</f>
        <v/>
      </c>
      <c r="M60" s="108">
        <f>COUNTIFS(LLM_Data_Entry!$A$3:$A$548,$I60,LLM_Data_Entry!$F$3:$F$548,"LLM",LLM_Data_Entry!$H$3:$H$548,"&lt;&gt;HOLD",LLM_Data_Entry!$T$3:$T$548,"&lt;&gt;")</f>
        <v/>
      </c>
      <c r="N60" s="114">
        <f>IFERROR(AVERAGEIFS(LLM_Data_Entry!$T$3:$T$548,LLM_Data_Entry!$A$3:$A$548,$I60,LLM_Data_Entry!$F$3:$F$548,"LLM",LLM_Data_Entry!$H$3:$H$548,"&lt;&gt;HOLD",LLM_Data_Entry!$T$3:$T$548,"&lt;&gt;"),"")</f>
        <v/>
      </c>
      <c r="O60" s="114">
        <f>IFERROR(SUMIFS(LLM_Data_Entry!$T$3:$T$548,LLM_Data_Entry!$A$3:$A$548,$I60,LLM_Data_Entry!$F$3:$F$548,"LLM",LLM_Data_Entry!$H$3:$H$548,"&lt;&gt;HOLD"),"")</f>
        <v/>
      </c>
    </row>
    <row r="61">
      <c r="A61" s="109" t="inlineStr">
        <is>
          <t>Chipotle</t>
        </is>
      </c>
      <c r="B61" s="111">
        <f>COUNTIFS(Human_Data_Entry!$A$3:$A$524,$A61,Human_Data_Entry!$H$3:$H$524,"Human",Human_Data_Entry!$S$3:$S$524,"?*")</f>
        <v/>
      </c>
      <c r="C61" s="111">
        <f>COUNTIFS(Human_Data_Entry!$A$3:$A$524,$A61,Human_Data_Entry!$H$3:$H$524,"Human",Human_Data_Entry!$S$3:$S$524,"YES")</f>
        <v/>
      </c>
      <c r="D61" s="112">
        <f>IF(B61=0,"-",C61/B61)</f>
        <v/>
      </c>
      <c r="E61" s="111">
        <f>COUNTIFS(LLM_Data_Entry!$A$3:$A$548,$A61,LLM_Data_Entry!$F$3:$F$548,"LLM",LLM_Data_Entry!$R$3:$R$548,"&lt;&gt;")</f>
        <v/>
      </c>
      <c r="F61" s="113">
        <f>COUNTIFS(LLM_Data_Entry!$A$3:$A$548,$A61,LLM_Data_Entry!$F$3:$F$548,"LLM",LLM_Data_Entry!$R$3:$R$548,"YES")</f>
        <v/>
      </c>
      <c r="G61" s="112">
        <f>IF(E61=0,"-",F61/E61)</f>
        <v/>
      </c>
      <c r="I61" s="110">
        <f>A61</f>
        <v/>
      </c>
      <c r="J61" s="108">
        <f>SUMPRODUCT((Human_Data_Entry!$A$3:$A$524=$I61)*(Human_Data_Entry!$H$3:$H$524="Human")*((Human_Data_Entry!$J$3:$J$524="BUY")+(Human_Data_Entry!$J$3:$J$524="SELL"))*ISNUMBER(Human_Data_Entry!$U$3:$U$524))</f>
        <v/>
      </c>
      <c r="K61" s="114">
        <f>IFERROR(AVERAGEIFS(Human_Data_Entry!$U$3:$U$524,Human_Data_Entry!$A$3:$A$524,$I61,Human_Data_Entry!$H$3:$H$524,"Human",Human_Data_Entry!$J$3:$J$524,"&lt;&gt;HOLD",Human_Data_Entry!$U$3:$U$524,"&lt;&gt;"),"")</f>
        <v/>
      </c>
      <c r="L61" s="114">
        <f>IFERROR(SUMIFS(Human_Data_Entry!$U$3:$U$524,Human_Data_Entry!$A$3:$A$524,$I61,Human_Data_Entry!$H$3:$H$524,"Human",Human_Data_Entry!$J$3:$J$524,"&lt;&gt;HOLD"),"")</f>
        <v/>
      </c>
      <c r="M61" s="108">
        <f>COUNTIFS(LLM_Data_Entry!$A$3:$A$548,$I61,LLM_Data_Entry!$F$3:$F$548,"LLM",LLM_Data_Entry!$H$3:$H$548,"&lt;&gt;HOLD",LLM_Data_Entry!$T$3:$T$548,"&lt;&gt;")</f>
        <v/>
      </c>
      <c r="N61" s="114">
        <f>IFERROR(AVERAGEIFS(LLM_Data_Entry!$T$3:$T$548,LLM_Data_Entry!$A$3:$A$548,$I61,LLM_Data_Entry!$F$3:$F$548,"LLM",LLM_Data_Entry!$H$3:$H$548,"&lt;&gt;HOLD",LLM_Data_Entry!$T$3:$T$548,"&lt;&gt;"),"")</f>
        <v/>
      </c>
      <c r="O61" s="114">
        <f>IFERROR(SUMIFS(LLM_Data_Entry!$T$3:$T$548,LLM_Data_Entry!$A$3:$A$548,$I61,LLM_Data_Entry!$F$3:$F$548,"LLM",LLM_Data_Entry!$H$3:$H$548,"&lt;&gt;HOLD"),"")</f>
        <v/>
      </c>
    </row>
    <row r="62">
      <c r="A62" s="109" t="inlineStr">
        <is>
          <t>Colgate-Palmolive</t>
        </is>
      </c>
      <c r="B62" s="111">
        <f>COUNTIFS(Human_Data_Entry!$A$3:$A$524,$A62,Human_Data_Entry!$H$3:$H$524,"Human",Human_Data_Entry!$S$3:$S$524,"?*")</f>
        <v/>
      </c>
      <c r="C62" s="111">
        <f>COUNTIFS(Human_Data_Entry!$A$3:$A$524,$A62,Human_Data_Entry!$H$3:$H$524,"Human",Human_Data_Entry!$S$3:$S$524,"YES")</f>
        <v/>
      </c>
      <c r="D62" s="112">
        <f>IF(B62=0,"-",C62/B62)</f>
        <v/>
      </c>
      <c r="E62" s="111">
        <f>COUNTIFS(LLM_Data_Entry!$A$3:$A$548,$A62,LLM_Data_Entry!$F$3:$F$548,"LLM",LLM_Data_Entry!$R$3:$R$548,"&lt;&gt;")</f>
        <v/>
      </c>
      <c r="F62" s="113">
        <f>COUNTIFS(LLM_Data_Entry!$A$3:$A$548,$A62,LLM_Data_Entry!$F$3:$F$548,"LLM",LLM_Data_Entry!$R$3:$R$548,"YES")</f>
        <v/>
      </c>
      <c r="G62" s="112">
        <f>IF(E62=0,"-",F62/E62)</f>
        <v/>
      </c>
      <c r="I62" s="67">
        <f>A62</f>
        <v/>
      </c>
      <c r="J62" s="108">
        <f>SUMPRODUCT((Human_Data_Entry!$A$3:$A$524=$I62)*(Human_Data_Entry!$H$3:$H$524="Human")*((Human_Data_Entry!$J$3:$J$524="BUY")+(Human_Data_Entry!$J$3:$J$524="SELL"))*ISNUMBER(Human_Data_Entry!$U$3:$U$524))</f>
        <v/>
      </c>
      <c r="K62" s="114">
        <f>IFERROR(AVERAGEIFS(Human_Data_Entry!$U$3:$U$524,Human_Data_Entry!$A$3:$A$524,$I62,Human_Data_Entry!$H$3:$H$524,"Human",Human_Data_Entry!$J$3:$J$524,"&lt;&gt;HOLD",Human_Data_Entry!$U$3:$U$524,"&lt;&gt;"),"")</f>
        <v/>
      </c>
      <c r="L62" s="114">
        <f>IFERROR(SUMIFS(Human_Data_Entry!$U$3:$U$524,Human_Data_Entry!$A$3:$A$524,$I62,Human_Data_Entry!$H$3:$H$524,"Human",Human_Data_Entry!$J$3:$J$524,"&lt;&gt;HOLD"),"")</f>
        <v/>
      </c>
      <c r="M62" s="108">
        <f>COUNTIFS(LLM_Data_Entry!$A$3:$A$548,$I62,LLM_Data_Entry!$F$3:$F$548,"LLM",LLM_Data_Entry!$H$3:$H$548,"&lt;&gt;HOLD",LLM_Data_Entry!$T$3:$T$548,"&lt;&gt;")</f>
        <v/>
      </c>
      <c r="N62" s="114">
        <f>IFERROR(AVERAGEIFS(LLM_Data_Entry!$T$3:$T$548,LLM_Data_Entry!$A$3:$A$548,$I62,LLM_Data_Entry!$F$3:$F$548,"LLM",LLM_Data_Entry!$H$3:$H$548,"&lt;&gt;HOLD",LLM_Data_Entry!$T$3:$T$548,"&lt;&gt;"),"")</f>
        <v/>
      </c>
      <c r="O62" s="114">
        <f>IFERROR(SUMIFS(LLM_Data_Entry!$T$3:$T$548,LLM_Data_Entry!$A$3:$A$548,$I62,LLM_Data_Entry!$F$3:$F$548,"LLM",LLM_Data_Entry!$H$3:$H$548,"&lt;&gt;HOLD"),"")</f>
        <v/>
      </c>
    </row>
    <row r="63">
      <c r="A63" s="19" t="inlineStr">
        <is>
          <t>Comcast Corporation</t>
        </is>
      </c>
      <c r="B63" s="111">
        <f>COUNTIFS(Human_Data_Entry!$A$3:$A$524,$A63,Human_Data_Entry!$H$3:$H$524,"Human",Human_Data_Entry!$S$3:$S$524,"?*")</f>
        <v/>
      </c>
      <c r="C63" s="111">
        <f>COUNTIFS(Human_Data_Entry!$A$3:$A$524,$A63,Human_Data_Entry!$H$3:$H$524,"Human",Human_Data_Entry!$S$3:$S$524,"YES")</f>
        <v/>
      </c>
      <c r="D63" s="112">
        <f>IF(B63=0,"-",C63/B63)</f>
        <v/>
      </c>
      <c r="E63" s="111">
        <f>COUNTIFS(LLM_Data_Entry!$A$3:$A$548,$A63,LLM_Data_Entry!$F$3:$F$548,"LLM",LLM_Data_Entry!$R$3:$R$548,"&lt;&gt;")</f>
        <v/>
      </c>
      <c r="F63" s="113">
        <f>COUNTIFS(LLM_Data_Entry!$A$3:$A$548,$A63,LLM_Data_Entry!$F$3:$F$548,"LLM",LLM_Data_Entry!$R$3:$R$548,"YES")</f>
        <v/>
      </c>
      <c r="G63" s="112">
        <f>IF(E63=0,"-",F63/E63)</f>
        <v/>
      </c>
      <c r="I63" s="19">
        <f>A63</f>
        <v/>
      </c>
      <c r="J63" s="108">
        <f>SUMPRODUCT((Human_Data_Entry!$A$3:$A$524=$I63)*(Human_Data_Entry!$H$3:$H$524="Human")*((Human_Data_Entry!$J$3:$J$524="BUY")+(Human_Data_Entry!$J$3:$J$524="SELL"))*ISNUMBER(Human_Data_Entry!$U$3:$U$524))</f>
        <v/>
      </c>
      <c r="K63" s="114">
        <f>IFERROR(AVERAGEIFS(Human_Data_Entry!$U$3:$U$524,Human_Data_Entry!$A$3:$A$524,$I63,Human_Data_Entry!$H$3:$H$524,"Human",Human_Data_Entry!$J$3:$J$524,"&lt;&gt;HOLD",Human_Data_Entry!$U$3:$U$524,"&lt;&gt;"),"")</f>
        <v/>
      </c>
      <c r="L63" s="114">
        <f>IFERROR(SUMIFS(Human_Data_Entry!$U$3:$U$524,Human_Data_Entry!$A$3:$A$524,$I63,Human_Data_Entry!$H$3:$H$524,"Human",Human_Data_Entry!$J$3:$J$524,"&lt;&gt;HOLD"),"")</f>
        <v/>
      </c>
      <c r="M63" s="108">
        <f>COUNTIFS(LLM_Data_Entry!$A$3:$A$548,$I63,LLM_Data_Entry!$F$3:$F$548,"LLM",LLM_Data_Entry!$H$3:$H$548,"&lt;&gt;HOLD",LLM_Data_Entry!$T$3:$T$548,"&lt;&gt;")</f>
        <v/>
      </c>
      <c r="N63" s="114">
        <f>IFERROR(AVERAGEIFS(LLM_Data_Entry!$T$3:$T$548,LLM_Data_Entry!$A$3:$A$548,$I63,LLM_Data_Entry!$F$3:$F$548,"LLM",LLM_Data_Entry!$H$3:$H$548,"&lt;&gt;HOLD",LLM_Data_Entry!$T$3:$T$548,"&lt;&gt;"),"")</f>
        <v/>
      </c>
      <c r="O63" s="114">
        <f>IFERROR(SUMIFS(LLM_Data_Entry!$T$3:$T$548,LLM_Data_Entry!$A$3:$A$548,$I63,LLM_Data_Entry!$F$3:$F$548,"LLM",LLM_Data_Entry!$H$3:$H$548,"&lt;&gt;HOLD"),"")</f>
        <v/>
      </c>
    </row>
    <row r="64">
      <c r="A64" s="98" t="inlineStr">
        <is>
          <t>Costco</t>
        </is>
      </c>
      <c r="B64" s="111">
        <f>COUNTIFS(Human_Data_Entry!$A$3:$A$524,$A64,Human_Data_Entry!$H$3:$H$524,"Human",Human_Data_Entry!$S$3:$S$524,"?*")</f>
        <v/>
      </c>
      <c r="C64" s="111">
        <f>COUNTIFS(Human_Data_Entry!$A$3:$A$524,$A64,Human_Data_Entry!$H$3:$H$524,"Human",Human_Data_Entry!$S$3:$S$524,"YES")</f>
        <v/>
      </c>
      <c r="D64" s="112">
        <f>IF(B64=0,"-",C64/B64)</f>
        <v/>
      </c>
      <c r="E64" s="111">
        <f>COUNTIFS(LLM_Data_Entry!$A$3:$A$548,$A64,LLM_Data_Entry!$F$3:$F$548,"LLM",LLM_Data_Entry!$R$3:$R$548,"&lt;&gt;")</f>
        <v/>
      </c>
      <c r="F64" s="113">
        <f>COUNTIFS(LLM_Data_Entry!$A$3:$A$548,$A64,LLM_Data_Entry!$F$3:$F$548,"LLM",LLM_Data_Entry!$R$3:$R$548,"YES")</f>
        <v/>
      </c>
      <c r="G64" s="112">
        <f>IF(E64=0,"-",F64/E64)</f>
        <v/>
      </c>
      <c r="I64" s="98">
        <f>A64</f>
        <v/>
      </c>
      <c r="J64" s="108">
        <f>SUMPRODUCT((Human_Data_Entry!$A$3:$A$524=$I64)*(Human_Data_Entry!$H$3:$H$524="Human")*((Human_Data_Entry!$J$3:$J$524="BUY")+(Human_Data_Entry!$J$3:$J$524="SELL"))*ISNUMBER(Human_Data_Entry!$U$3:$U$524))</f>
        <v/>
      </c>
      <c r="K64" s="114">
        <f>IFERROR(AVERAGEIFS(Human_Data_Entry!$U$3:$U$524,Human_Data_Entry!$A$3:$A$524,$I64,Human_Data_Entry!$H$3:$H$524,"Human",Human_Data_Entry!$J$3:$J$524,"&lt;&gt;HOLD",Human_Data_Entry!$U$3:$U$524,"&lt;&gt;"),"")</f>
        <v/>
      </c>
      <c r="L64" s="114">
        <f>IFERROR(SUMIFS(Human_Data_Entry!$U$3:$U$524,Human_Data_Entry!$A$3:$A$524,$I64,Human_Data_Entry!$H$3:$H$524,"Human",Human_Data_Entry!$J$3:$J$524,"&lt;&gt;HOLD"),"")</f>
        <v/>
      </c>
      <c r="M64" s="108">
        <f>COUNTIFS(LLM_Data_Entry!$A$3:$A$548,$I64,LLM_Data_Entry!$F$3:$F$548,"LLM",LLM_Data_Entry!$H$3:$H$548,"&lt;&gt;HOLD",LLM_Data_Entry!$T$3:$T$548,"&lt;&gt;")</f>
        <v/>
      </c>
      <c r="N64" s="114">
        <f>IFERROR(AVERAGEIFS(LLM_Data_Entry!$T$3:$T$548,LLM_Data_Entry!$A$3:$A$548,$I64,LLM_Data_Entry!$F$3:$F$548,"LLM",LLM_Data_Entry!$H$3:$H$548,"&lt;&gt;HOLD",LLM_Data_Entry!$T$3:$T$548,"&lt;&gt;"),"")</f>
        <v/>
      </c>
      <c r="O64" s="114">
        <f>IFERROR(SUMIFS(LLM_Data_Entry!$T$3:$T$548,LLM_Data_Entry!$A$3:$A$548,$I64,LLM_Data_Entry!$F$3:$F$548,"LLM",LLM_Data_Entry!$H$3:$H$548,"&lt;&gt;HOLD"),"")</f>
        <v/>
      </c>
    </row>
    <row r="65">
      <c r="A65" s="98" t="inlineStr">
        <is>
          <t>Starbucks</t>
        </is>
      </c>
      <c r="B65" s="111">
        <f>COUNTIFS(Human_Data_Entry!$A$3:$A$524,$A65,Human_Data_Entry!$H$3:$H$524,"Human",Human_Data_Entry!$S$3:$S$524,"?*")</f>
        <v/>
      </c>
      <c r="C65" s="111">
        <f>COUNTIFS(Human_Data_Entry!$A$3:$A$524,$A65,Human_Data_Entry!$H$3:$H$524,"Human",Human_Data_Entry!$S$3:$S$524,"YES")</f>
        <v/>
      </c>
      <c r="D65" s="112">
        <f>IF(B65=0,"-",C65/B65)</f>
        <v/>
      </c>
      <c r="E65" s="111">
        <f>COUNTIFS(LLM_Data_Entry!$A$3:$A$548,$A65,LLM_Data_Entry!$F$3:$F$548,"LLM",LLM_Data_Entry!$R$3:$R$548,"&lt;&gt;")</f>
        <v/>
      </c>
      <c r="F65" s="113">
        <f>COUNTIFS(LLM_Data_Entry!$A$3:$A$548,$A65,LLM_Data_Entry!$F$3:$F$548,"LLM",LLM_Data_Entry!$R$3:$R$548,"YES")</f>
        <v/>
      </c>
      <c r="G65" s="112">
        <f>IF(E65=0,"-",F65/E65)</f>
        <v/>
      </c>
      <c r="I65" s="98">
        <f>A65</f>
        <v/>
      </c>
      <c r="J65" s="108">
        <f>SUMPRODUCT((Human_Data_Entry!$A$3:$A$524=$I65)*(Human_Data_Entry!$H$3:$H$524="Human")*((Human_Data_Entry!$J$3:$J$524="BUY")+(Human_Data_Entry!$J$3:$J$524="SELL"))*ISNUMBER(Human_Data_Entry!$U$3:$U$524))</f>
        <v/>
      </c>
      <c r="K65" s="114">
        <f>IFERROR(AVERAGEIFS(Human_Data_Entry!$U$3:$U$524,Human_Data_Entry!$A$3:$A$524,$I65,Human_Data_Entry!$H$3:$H$524,"Human",Human_Data_Entry!$J$3:$J$524,"&lt;&gt;HOLD",Human_Data_Entry!$U$3:$U$524,"&lt;&gt;"),"")</f>
        <v/>
      </c>
      <c r="L65" s="114">
        <f>IFERROR(SUMIFS(Human_Data_Entry!$U$3:$U$524,Human_Data_Entry!$A$3:$A$524,$I65,Human_Data_Entry!$H$3:$H$524,"Human",Human_Data_Entry!$J$3:$J$524,"&lt;&gt;HOLD"),"")</f>
        <v/>
      </c>
      <c r="M65" s="108">
        <f>COUNTIFS(LLM_Data_Entry!$A$3:$A$548,$I65,LLM_Data_Entry!$F$3:$F$548,"LLM",LLM_Data_Entry!$H$3:$H$548,"&lt;&gt;HOLD",LLM_Data_Entry!$T$3:$T$548,"&lt;&gt;")</f>
        <v/>
      </c>
      <c r="N65" s="114">
        <f>IFERROR(AVERAGEIFS(LLM_Data_Entry!$T$3:$T$548,LLM_Data_Entry!$A$3:$A$548,$I65,LLM_Data_Entry!$F$3:$F$548,"LLM",LLM_Data_Entry!$H$3:$H$548,"&lt;&gt;HOLD",LLM_Data_Entry!$T$3:$T$548,"&lt;&gt;"),"")</f>
        <v/>
      </c>
      <c r="O65" s="114">
        <f>IFERROR(SUMIFS(LLM_Data_Entry!$T$3:$T$548,LLM_Data_Entry!$A$3:$A$548,$I65,LLM_Data_Entry!$F$3:$F$548,"LLM",LLM_Data_Entry!$H$3:$H$548,"&lt;&gt;HOLD"),"")</f>
        <v/>
      </c>
    </row>
    <row r="66">
      <c r="A66" s="98" t="inlineStr">
        <is>
          <t>Datadog</t>
        </is>
      </c>
      <c r="B66" s="111">
        <f>COUNTIFS(Human_Data_Entry!$A$3:$A$524,$A66,Human_Data_Entry!$H$3:$H$524,"Human",Human_Data_Entry!$S$3:$S$524,"?*")</f>
        <v/>
      </c>
      <c r="C66" s="111">
        <f>COUNTIFS(Human_Data_Entry!$A$3:$A$524,$A66,Human_Data_Entry!$H$3:$H$524,"Human",Human_Data_Entry!$S$3:$S$524,"YES")</f>
        <v/>
      </c>
      <c r="D66" s="112">
        <f>IF(B66=0,"-",C66/B66)</f>
        <v/>
      </c>
      <c r="E66" s="111">
        <f>COUNTIFS(LLM_Data_Entry!$A$3:$A$548,$A66,LLM_Data_Entry!$F$3:$F$548,"LLM",LLM_Data_Entry!$R$3:$R$548,"&lt;&gt;")</f>
        <v/>
      </c>
      <c r="F66" s="113">
        <f>COUNTIFS(LLM_Data_Entry!$A$3:$A$548,$A66,LLM_Data_Entry!$F$3:$F$548,"LLM",LLM_Data_Entry!$R$3:$R$548,"YES")</f>
        <v/>
      </c>
      <c r="G66" s="112">
        <f>IF(E66=0,"-",F66/E66)</f>
        <v/>
      </c>
      <c r="I66" s="98">
        <f>A66</f>
        <v/>
      </c>
      <c r="J66" s="108">
        <f>SUMPRODUCT((Human_Data_Entry!$A$3:$A$524=$I66)*(Human_Data_Entry!$H$3:$H$524="Human")*((Human_Data_Entry!$J$3:$J$524="BUY")+(Human_Data_Entry!$J$3:$J$524="SELL"))*ISNUMBER(Human_Data_Entry!$U$3:$U$524))</f>
        <v/>
      </c>
      <c r="K66" s="114">
        <f>IFERROR(AVERAGEIFS(Human_Data_Entry!$U$3:$U$524,Human_Data_Entry!$A$3:$A$524,$I66,Human_Data_Entry!$H$3:$H$524,"Human",Human_Data_Entry!$J$3:$J$524,"&lt;&gt;HOLD",Human_Data_Entry!$U$3:$U$524,"&lt;&gt;"),"")</f>
        <v/>
      </c>
      <c r="L66" s="114">
        <f>IFERROR(SUMIFS(Human_Data_Entry!$U$3:$U$524,Human_Data_Entry!$A$3:$A$524,$I66,Human_Data_Entry!$H$3:$H$524,"Human",Human_Data_Entry!$J$3:$J$524,"&lt;&gt;HOLD"),"")</f>
        <v/>
      </c>
      <c r="M66" s="108">
        <f>COUNTIFS(LLM_Data_Entry!$A$3:$A$548,$I66,LLM_Data_Entry!$F$3:$F$548,"LLM",LLM_Data_Entry!$H$3:$H$548,"&lt;&gt;HOLD",LLM_Data_Entry!$T$3:$T$548,"&lt;&gt;")</f>
        <v/>
      </c>
      <c r="N66" s="114">
        <f>IFERROR(AVERAGEIFS(LLM_Data_Entry!$T$3:$T$548,LLM_Data_Entry!$A$3:$A$548,$I66,LLM_Data_Entry!$F$3:$F$548,"LLM",LLM_Data_Entry!$H$3:$H$548,"&lt;&gt;HOLD",LLM_Data_Entry!$T$3:$T$548,"&lt;&gt;"),"")</f>
        <v/>
      </c>
      <c r="O66" s="114">
        <f>IFERROR(SUMIFS(LLM_Data_Entry!$T$3:$T$548,LLM_Data_Entry!$A$3:$A$548,$I66,LLM_Data_Entry!$F$3:$F$548,"LLM",LLM_Data_Entry!$H$3:$H$548,"&lt;&gt;HOLD"),"")</f>
        <v/>
      </c>
    </row>
    <row r="67">
      <c r="A67" s="98" t="inlineStr">
        <is>
          <t>Dell</t>
        </is>
      </c>
      <c r="B67" s="111">
        <f>COUNTIFS(Human_Data_Entry!$A$3:$A$524,$A67,Human_Data_Entry!$H$3:$H$524,"Human",Human_Data_Entry!$S$3:$S$524,"?*")</f>
        <v/>
      </c>
      <c r="C67" s="111">
        <f>COUNTIFS(Human_Data_Entry!$A$3:$A$524,$A67,Human_Data_Entry!$H$3:$H$524,"Human",Human_Data_Entry!$S$3:$S$524,"YES")</f>
        <v/>
      </c>
      <c r="D67" s="112">
        <f>IF(B67=0,"-",C67/B67)</f>
        <v/>
      </c>
      <c r="E67" s="111">
        <f>COUNTIFS(LLM_Data_Entry!$A$3:$A$548,$A67,LLM_Data_Entry!$F$3:$F$548,"LLM",LLM_Data_Entry!$R$3:$R$548,"&lt;&gt;")</f>
        <v/>
      </c>
      <c r="F67" s="113">
        <f>COUNTIFS(LLM_Data_Entry!$A$3:$A$548,$A67,LLM_Data_Entry!$F$3:$F$548,"LLM",LLM_Data_Entry!$R$3:$R$548,"YES")</f>
        <v/>
      </c>
      <c r="G67" s="112">
        <f>IF(E67=0,"-",F67/E67)</f>
        <v/>
      </c>
      <c r="I67" s="98">
        <f>A67</f>
        <v/>
      </c>
      <c r="J67" s="108">
        <f>SUMPRODUCT((Human_Data_Entry!$A$3:$A$524=$I67)*(Human_Data_Entry!$H$3:$H$524="Human")*((Human_Data_Entry!$J$3:$J$524="BUY")+(Human_Data_Entry!$J$3:$J$524="SELL"))*ISNUMBER(Human_Data_Entry!$U$3:$U$524))</f>
        <v/>
      </c>
      <c r="K67" s="114">
        <f>IFERROR(AVERAGEIFS(Human_Data_Entry!$U$3:$U$524,Human_Data_Entry!$A$3:$A$524,$I67,Human_Data_Entry!$H$3:$H$524,"Human",Human_Data_Entry!$J$3:$J$524,"&lt;&gt;HOLD",Human_Data_Entry!$U$3:$U$524,"&lt;&gt;"),"")</f>
        <v/>
      </c>
      <c r="L67" s="114">
        <f>IFERROR(SUMIFS(Human_Data_Entry!$U$3:$U$524,Human_Data_Entry!$A$3:$A$524,$I67,Human_Data_Entry!$H$3:$H$524,"Human",Human_Data_Entry!$J$3:$J$524,"&lt;&gt;HOLD"),"")</f>
        <v/>
      </c>
      <c r="M67" s="108">
        <f>COUNTIFS(LLM_Data_Entry!$A$3:$A$548,$I67,LLM_Data_Entry!$F$3:$F$548,"LLM",LLM_Data_Entry!$H$3:$H$548,"&lt;&gt;HOLD",LLM_Data_Entry!$T$3:$T$548,"&lt;&gt;")</f>
        <v/>
      </c>
      <c r="N67" s="114">
        <f>IFERROR(AVERAGEIFS(LLM_Data_Entry!$T$3:$T$548,LLM_Data_Entry!$A$3:$A$548,$I67,LLM_Data_Entry!$F$3:$F$548,"LLM",LLM_Data_Entry!$H$3:$H$548,"&lt;&gt;HOLD",LLM_Data_Entry!$T$3:$T$548,"&lt;&gt;"),"")</f>
        <v/>
      </c>
      <c r="O67" s="114">
        <f>IFERROR(SUMIFS(LLM_Data_Entry!$T$3:$T$548,LLM_Data_Entry!$A$3:$A$548,$I67,LLM_Data_Entry!$F$3:$F$548,"LLM",LLM_Data_Entry!$H$3:$H$548,"&lt;&gt;HOLD"),"")</f>
        <v/>
      </c>
    </row>
    <row r="68">
      <c r="A68" s="98" t="inlineStr">
        <is>
          <t>Delta Air Lines</t>
        </is>
      </c>
      <c r="B68" s="111">
        <f>COUNTIFS(Human_Data_Entry!$A$3:$A$524,$A68,Human_Data_Entry!$H$3:$H$524,"Human",Human_Data_Entry!$S$3:$S$524,"?*")</f>
        <v/>
      </c>
      <c r="C68" s="111">
        <f>COUNTIFS(Human_Data_Entry!$A$3:$A$524,$A68,Human_Data_Entry!$H$3:$H$524,"Human",Human_Data_Entry!$S$3:$S$524,"YES")</f>
        <v/>
      </c>
      <c r="D68" s="112">
        <f>IF(B68=0,"-",C68/B68)</f>
        <v/>
      </c>
      <c r="E68" s="111">
        <f>COUNTIFS(LLM_Data_Entry!$A$3:$A$548,$A68,LLM_Data_Entry!$F$3:$F$548,"LLM",LLM_Data_Entry!$R$3:$R$548,"&lt;&gt;")</f>
        <v/>
      </c>
      <c r="F68" s="113">
        <f>COUNTIFS(LLM_Data_Entry!$A$3:$A$548,$A68,LLM_Data_Entry!$F$3:$F$548,"LLM",LLM_Data_Entry!$R$3:$R$548,"YES")</f>
        <v/>
      </c>
      <c r="G68" s="112">
        <f>IF(E68=0,"-",F68/E68)</f>
        <v/>
      </c>
      <c r="I68" s="98">
        <f>A68</f>
        <v/>
      </c>
      <c r="J68" s="108">
        <f>SUMPRODUCT((Human_Data_Entry!$A$3:$A$524=$I68)*(Human_Data_Entry!$H$3:$H$524="Human")*((Human_Data_Entry!$J$3:$J$524="BUY")+(Human_Data_Entry!$J$3:$J$524="SELL"))*ISNUMBER(Human_Data_Entry!$U$3:$U$524))</f>
        <v/>
      </c>
      <c r="K68" s="114">
        <f>IFERROR(AVERAGEIFS(Human_Data_Entry!$U$3:$U$524,Human_Data_Entry!$A$3:$A$524,$I68,Human_Data_Entry!$H$3:$H$524,"Human",Human_Data_Entry!$J$3:$J$524,"&lt;&gt;HOLD",Human_Data_Entry!$U$3:$U$524,"&lt;&gt;"),"")</f>
        <v/>
      </c>
      <c r="L68" s="114">
        <f>IFERROR(SUMIFS(Human_Data_Entry!$U$3:$U$524,Human_Data_Entry!$A$3:$A$524,$I68,Human_Data_Entry!$H$3:$H$524,"Human",Human_Data_Entry!$J$3:$J$524,"&lt;&gt;HOLD"),"")</f>
        <v/>
      </c>
      <c r="M68" s="108">
        <f>COUNTIFS(LLM_Data_Entry!$A$3:$A$548,$I68,LLM_Data_Entry!$F$3:$F$548,"LLM",LLM_Data_Entry!$H$3:$H$548,"&lt;&gt;HOLD",LLM_Data_Entry!$T$3:$T$548,"&lt;&gt;")</f>
        <v/>
      </c>
      <c r="N68" s="114">
        <f>IFERROR(AVERAGEIFS(LLM_Data_Entry!$T$3:$T$548,LLM_Data_Entry!$A$3:$A$548,$I68,LLM_Data_Entry!$F$3:$F$548,"LLM",LLM_Data_Entry!$H$3:$H$548,"&lt;&gt;HOLD",LLM_Data_Entry!$T$3:$T$548,"&lt;&gt;"),"")</f>
        <v/>
      </c>
      <c r="O68" s="114">
        <f>IFERROR(SUMIFS(LLM_Data_Entry!$T$3:$T$548,LLM_Data_Entry!$A$3:$A$548,$I68,LLM_Data_Entry!$F$3:$F$548,"LLM",LLM_Data_Entry!$H$3:$H$548,"&lt;&gt;HOLD"),"")</f>
        <v/>
      </c>
    </row>
    <row r="69">
      <c r="A69" s="98" t="inlineStr">
        <is>
          <t>eBay</t>
        </is>
      </c>
      <c r="B69" s="111">
        <f>COUNTIFS(Human_Data_Entry!$A$3:$A$524,$A69,Human_Data_Entry!$H$3:$H$524,"Human",Human_Data_Entry!$S$3:$S$524,"?*")</f>
        <v/>
      </c>
      <c r="C69" s="111">
        <f>COUNTIFS(Human_Data_Entry!$A$3:$A$524,$A69,Human_Data_Entry!$H$3:$H$524,"Human",Human_Data_Entry!$S$3:$S$524,"YES")</f>
        <v/>
      </c>
      <c r="D69" s="112">
        <f>IF(B69=0,"-",C69/B69)</f>
        <v/>
      </c>
      <c r="E69" s="111">
        <f>COUNTIFS(LLM_Data_Entry!$A$3:$A$548,$A69,LLM_Data_Entry!$F$3:$F$548,"LLM",LLM_Data_Entry!$R$3:$R$548,"&lt;&gt;")</f>
        <v/>
      </c>
      <c r="F69" s="113">
        <f>COUNTIFS(LLM_Data_Entry!$A$3:$A$548,$A69,LLM_Data_Entry!$F$3:$F$548,"LLM",LLM_Data_Entry!$R$3:$R$548,"YES")</f>
        <v/>
      </c>
      <c r="G69" s="112">
        <f>IF(E69=0,"-",F69/E69)</f>
        <v/>
      </c>
      <c r="I69" s="98">
        <f>A69</f>
        <v/>
      </c>
      <c r="J69" s="108">
        <f>SUMPRODUCT((Human_Data_Entry!$A$3:$A$524=$I69)*(Human_Data_Entry!$H$3:$H$524="Human")*((Human_Data_Entry!$J$3:$J$524="BUY")+(Human_Data_Entry!$J$3:$J$524="SELL"))*ISNUMBER(Human_Data_Entry!$U$3:$U$524))</f>
        <v/>
      </c>
      <c r="K69" s="114">
        <f>IFERROR(AVERAGEIFS(Human_Data_Entry!$U$3:$U$524,Human_Data_Entry!$A$3:$A$524,$I69,Human_Data_Entry!$H$3:$H$524,"Human",Human_Data_Entry!$J$3:$J$524,"&lt;&gt;HOLD",Human_Data_Entry!$U$3:$U$524,"&lt;&gt;"),"")</f>
        <v/>
      </c>
      <c r="L69" s="114">
        <f>IFERROR(SUMIFS(Human_Data_Entry!$U$3:$U$524,Human_Data_Entry!$A$3:$A$524,$I69,Human_Data_Entry!$H$3:$H$524,"Human",Human_Data_Entry!$J$3:$J$524,"&lt;&gt;HOLD"),"")</f>
        <v/>
      </c>
      <c r="M69" s="108">
        <f>COUNTIFS(LLM_Data_Entry!$A$3:$A$548,$I69,LLM_Data_Entry!$F$3:$F$548,"LLM",LLM_Data_Entry!$H$3:$H$548,"&lt;&gt;HOLD",LLM_Data_Entry!$T$3:$T$548,"&lt;&gt;")</f>
        <v/>
      </c>
      <c r="N69" s="114">
        <f>IFERROR(AVERAGEIFS(LLM_Data_Entry!$T$3:$T$548,LLM_Data_Entry!$A$3:$A$548,$I69,LLM_Data_Entry!$F$3:$F$548,"LLM",LLM_Data_Entry!$H$3:$H$548,"&lt;&gt;HOLD",LLM_Data_Entry!$T$3:$T$548,"&lt;&gt;"),"")</f>
        <v/>
      </c>
      <c r="O69" s="114">
        <f>IFERROR(SUMIFS(LLM_Data_Entry!$T$3:$T$548,LLM_Data_Entry!$A$3:$A$548,$I69,LLM_Data_Entry!$F$3:$F$548,"LLM",LLM_Data_Entry!$H$3:$H$548,"&lt;&gt;HOLD"),"")</f>
        <v/>
      </c>
    </row>
    <row r="70">
      <c r="A70" s="98" t="inlineStr">
        <is>
          <t>Eli Lilly</t>
        </is>
      </c>
      <c r="B70" s="111">
        <f>COUNTIFS(Human_Data_Entry!$A$3:$A$524,$A70,Human_Data_Entry!$H$3:$H$524,"Human",Human_Data_Entry!$S$3:$S$524,"?*")</f>
        <v/>
      </c>
      <c r="C70" s="111">
        <f>COUNTIFS(Human_Data_Entry!$A$3:$A$524,$A70,Human_Data_Entry!$H$3:$H$524,"Human",Human_Data_Entry!$S$3:$S$524,"YES")</f>
        <v/>
      </c>
      <c r="D70" s="112">
        <f>IF(B70=0,"-",C70/B70)</f>
        <v/>
      </c>
      <c r="E70" s="111">
        <f>COUNTIFS(LLM_Data_Entry!$A$3:$A$548,$A70,LLM_Data_Entry!$F$3:$F$548,"LLM",LLM_Data_Entry!$R$3:$R$548,"&lt;&gt;")</f>
        <v/>
      </c>
      <c r="F70" s="113">
        <f>COUNTIFS(LLM_Data_Entry!$A$3:$A$548,$A70,LLM_Data_Entry!$F$3:$F$548,"LLM",LLM_Data_Entry!$R$3:$R$548,"YES")</f>
        <v/>
      </c>
      <c r="G70" s="112">
        <f>IF(E70=0,"-",F70/E70)</f>
        <v/>
      </c>
      <c r="I70" s="98">
        <f>A70</f>
        <v/>
      </c>
      <c r="J70" s="108">
        <f>SUMPRODUCT((Human_Data_Entry!$A$3:$A$524=$I70)*(Human_Data_Entry!$H$3:$H$524="Human")*((Human_Data_Entry!$J$3:$J$524="BUY")+(Human_Data_Entry!$J$3:$J$524="SELL"))*ISNUMBER(Human_Data_Entry!$U$3:$U$524))</f>
        <v/>
      </c>
      <c r="K70" s="114">
        <f>IFERROR(AVERAGEIFS(Human_Data_Entry!$U$3:$U$524,Human_Data_Entry!$A$3:$A$524,$I70,Human_Data_Entry!$H$3:$H$524,"Human",Human_Data_Entry!$J$3:$J$524,"&lt;&gt;HOLD",Human_Data_Entry!$U$3:$U$524,"&lt;&gt;"),"")</f>
        <v/>
      </c>
      <c r="L70" s="114">
        <f>IFERROR(SUMIFS(Human_Data_Entry!$U$3:$U$524,Human_Data_Entry!$A$3:$A$524,$I70,Human_Data_Entry!$H$3:$H$524,"Human",Human_Data_Entry!$J$3:$J$524,"&lt;&gt;HOLD"),"")</f>
        <v/>
      </c>
      <c r="M70" s="108">
        <f>COUNTIFS(LLM_Data_Entry!$A$3:$A$548,$I70,LLM_Data_Entry!$F$3:$F$548,"LLM",LLM_Data_Entry!$H$3:$H$548,"&lt;&gt;HOLD",LLM_Data_Entry!$T$3:$T$548,"&lt;&gt;")</f>
        <v/>
      </c>
      <c r="N70" s="114">
        <f>IFERROR(AVERAGEIFS(LLM_Data_Entry!$T$3:$T$548,LLM_Data_Entry!$A$3:$A$548,$I70,LLM_Data_Entry!$F$3:$F$548,"LLM",LLM_Data_Entry!$H$3:$H$548,"&lt;&gt;HOLD",LLM_Data_Entry!$T$3:$T$548,"&lt;&gt;"),"")</f>
        <v/>
      </c>
      <c r="O70" s="114">
        <f>IFERROR(SUMIFS(LLM_Data_Entry!$T$3:$T$548,LLM_Data_Entry!$A$3:$A$548,$I70,LLM_Data_Entry!$F$3:$F$548,"LLM",LLM_Data_Entry!$H$3:$H$548,"&lt;&gt;HOLD"),"")</f>
        <v/>
      </c>
    </row>
    <row r="71">
      <c r="A71" s="109" t="inlineStr">
        <is>
          <t>Coinbase</t>
        </is>
      </c>
      <c r="B71" s="111">
        <f>COUNTIFS(Human_Data_Entry!$A$3:$A$524,$A71,Human_Data_Entry!$H$3:$H$524,"Human",Human_Data_Entry!$S$3:$S$524,"?*")</f>
        <v/>
      </c>
      <c r="C71" s="111">
        <f>COUNTIFS(Human_Data_Entry!$A$3:$A$524,$A71,Human_Data_Entry!$H$3:$H$524,"Human",Human_Data_Entry!$S$3:$S$524,"YES")</f>
        <v/>
      </c>
      <c r="D71" s="112">
        <f>IF(B71=0,"-",C71/B71)</f>
        <v/>
      </c>
      <c r="E71" s="111">
        <f>COUNTIFS(LLM_Data_Entry!$A$3:$A$548,$A71,LLM_Data_Entry!$F$3:$F$548,"LLM",LLM_Data_Entry!$R$3:$R$548,"&lt;&gt;")</f>
        <v/>
      </c>
      <c r="F71" s="113">
        <f>COUNTIFS(LLM_Data_Entry!$A$3:$A$548,$A71,LLM_Data_Entry!$F$3:$F$548,"LLM",LLM_Data_Entry!$R$3:$R$548,"YES")</f>
        <v/>
      </c>
      <c r="G71" s="112">
        <f>IF(E71=0,"-",F71/E71)</f>
        <v/>
      </c>
      <c r="I71" s="110">
        <f>A71</f>
        <v/>
      </c>
      <c r="J71" s="108">
        <f>SUMPRODUCT((Human_Data_Entry!$A$3:$A$524=$I71)*(Human_Data_Entry!$H$3:$H$524="Human")*((Human_Data_Entry!$J$3:$J$524="BUY")+(Human_Data_Entry!$J$3:$J$524="SELL"))*ISNUMBER(Human_Data_Entry!$U$3:$U$524))</f>
        <v/>
      </c>
      <c r="K71" s="114">
        <f>IFERROR(AVERAGEIFS(Human_Data_Entry!$U$3:$U$524,Human_Data_Entry!$A$3:$A$524,$I71,Human_Data_Entry!$H$3:$H$524,"Human",Human_Data_Entry!$J$3:$J$524,"&lt;&gt;HOLD",Human_Data_Entry!$U$3:$U$524,"&lt;&gt;"),"")</f>
        <v/>
      </c>
      <c r="L71" s="114">
        <f>IFERROR(SUMIFS(Human_Data_Entry!$U$3:$U$524,Human_Data_Entry!$A$3:$A$524,$I71,Human_Data_Entry!$H$3:$H$524,"Human",Human_Data_Entry!$J$3:$J$524,"&lt;&gt;HOLD"),"")</f>
        <v/>
      </c>
      <c r="M71" s="108">
        <f>COUNTIFS(LLM_Data_Entry!$A$3:$A$548,$I71,LLM_Data_Entry!$F$3:$F$548,"LLM",LLM_Data_Entry!$H$3:$H$548,"&lt;&gt;HOLD",LLM_Data_Entry!$T$3:$T$548,"&lt;&gt;")</f>
        <v/>
      </c>
      <c r="N71" s="114">
        <f>IFERROR(AVERAGEIFS(LLM_Data_Entry!$T$3:$T$548,LLM_Data_Entry!$A$3:$A$548,$I71,LLM_Data_Entry!$F$3:$F$548,"LLM",LLM_Data_Entry!$H$3:$H$548,"&lt;&gt;HOLD",LLM_Data_Entry!$T$3:$T$548,"&lt;&gt;"),"")</f>
        <v/>
      </c>
      <c r="O71" s="114">
        <f>IFERROR(SUMIFS(LLM_Data_Entry!$T$3:$T$548,LLM_Data_Entry!$A$3:$A$548,$I71,LLM_Data_Entry!$F$3:$F$548,"LLM",LLM_Data_Entry!$H$3:$H$548,"&lt;&gt;HOLD"),"")</f>
        <v/>
      </c>
    </row>
    <row r="72">
      <c r="A72" s="109" t="inlineStr">
        <is>
          <t>Expedia</t>
        </is>
      </c>
      <c r="B72" s="111">
        <f>COUNTIFS(Human_Data_Entry!$A$3:$A$524,$A72,Human_Data_Entry!$H$3:$H$524,"Human",Human_Data_Entry!$S$3:$S$524,"?*")</f>
        <v/>
      </c>
      <c r="C72" s="111">
        <f>COUNTIFS(Human_Data_Entry!$A$3:$A$524,$A72,Human_Data_Entry!$H$3:$H$524,"Human",Human_Data_Entry!$S$3:$S$524,"YES")</f>
        <v/>
      </c>
      <c r="D72" s="112">
        <f>IF(B72=0,"-",C72/B72)</f>
        <v/>
      </c>
      <c r="E72" s="111">
        <f>COUNTIFS(LLM_Data_Entry!$A$3:$A$548,$A72,LLM_Data_Entry!$F$3:$F$548,"LLM",LLM_Data_Entry!$R$3:$R$548,"&lt;&gt;")</f>
        <v/>
      </c>
      <c r="F72" s="113">
        <f>COUNTIFS(LLM_Data_Entry!$A$3:$A$548,$A72,LLM_Data_Entry!$F$3:$F$548,"LLM",LLM_Data_Entry!$R$3:$R$548,"YES")</f>
        <v/>
      </c>
      <c r="G72" s="112">
        <f>IF(E72=0,"-",F72/E72)</f>
        <v/>
      </c>
      <c r="I72" s="110">
        <f>A72</f>
        <v/>
      </c>
      <c r="J72" s="108">
        <f>SUMPRODUCT((Human_Data_Entry!$A$3:$A$524=$I72)*(Human_Data_Entry!$H$3:$H$524="Human")*((Human_Data_Entry!$J$3:$J$524="BUY")+(Human_Data_Entry!$J$3:$J$524="SELL"))*ISNUMBER(Human_Data_Entry!$U$3:$U$524))</f>
        <v/>
      </c>
      <c r="K72" s="114">
        <f>IFERROR(AVERAGEIFS(Human_Data_Entry!$U$3:$U$524,Human_Data_Entry!$A$3:$A$524,$I72,Human_Data_Entry!$H$3:$H$524,"Human",Human_Data_Entry!$J$3:$J$524,"&lt;&gt;HOLD",Human_Data_Entry!$U$3:$U$524,"&lt;&gt;"),"")</f>
        <v/>
      </c>
      <c r="L72" s="114">
        <f>IFERROR(SUMIFS(Human_Data_Entry!$U$3:$U$524,Human_Data_Entry!$A$3:$A$524,$I72,Human_Data_Entry!$H$3:$H$524,"Human",Human_Data_Entry!$J$3:$J$524,"&lt;&gt;HOLD"),"")</f>
        <v/>
      </c>
      <c r="M72" s="108">
        <f>COUNTIFS(LLM_Data_Entry!$A$3:$A$548,$I72,LLM_Data_Entry!$F$3:$F$548,"LLM",LLM_Data_Entry!$H$3:$H$548,"&lt;&gt;HOLD",LLM_Data_Entry!$T$3:$T$548,"&lt;&gt;")</f>
        <v/>
      </c>
      <c r="N72" s="114">
        <f>IFERROR(AVERAGEIFS(LLM_Data_Entry!$T$3:$T$548,LLM_Data_Entry!$A$3:$A$548,$I72,LLM_Data_Entry!$F$3:$F$548,"LLM",LLM_Data_Entry!$H$3:$H$548,"&lt;&gt;HOLD",LLM_Data_Entry!$T$3:$T$548,"&lt;&gt;"),"")</f>
        <v/>
      </c>
      <c r="O72" s="114">
        <f>IFERROR(SUMIFS(LLM_Data_Entry!$T$3:$T$548,LLM_Data_Entry!$A$3:$A$548,$I72,LLM_Data_Entry!$F$3:$F$548,"LLM",LLM_Data_Entry!$H$3:$H$548,"&lt;&gt;HOLD"),"")</f>
        <v/>
      </c>
    </row>
    <row r="73">
      <c r="A73" s="19" t="inlineStr">
        <is>
          <t>Freeport-McMoRan</t>
        </is>
      </c>
      <c r="B73" s="111">
        <f>COUNTIFS(Human_Data_Entry!$A$3:$A$524,$A73,Human_Data_Entry!$H$3:$H$524,"Human",Human_Data_Entry!$S$3:$S$524,"?*")</f>
        <v/>
      </c>
      <c r="C73" s="111">
        <f>COUNTIFS(Human_Data_Entry!$A$3:$A$524,$A73,Human_Data_Entry!$H$3:$H$524,"Human",Human_Data_Entry!$S$3:$S$524,"YES")</f>
        <v/>
      </c>
      <c r="D73" s="112">
        <f>IF(B73=0,"-",C73/B73)</f>
        <v/>
      </c>
      <c r="E73" s="111">
        <f>COUNTIFS(LLM_Data_Entry!$A$3:$A$548,$A73,LLM_Data_Entry!$F$3:$F$548,"LLM",LLM_Data_Entry!$R$3:$R$548,"&lt;&gt;")</f>
        <v/>
      </c>
      <c r="F73" s="113">
        <f>COUNTIFS(LLM_Data_Entry!$A$3:$A$548,$A73,LLM_Data_Entry!$F$3:$F$548,"LLM",LLM_Data_Entry!$R$3:$R$548,"YES")</f>
        <v/>
      </c>
      <c r="G73" s="112">
        <f>IF(E73=0,"-",F73/E73)</f>
        <v/>
      </c>
      <c r="I73" s="19">
        <f>A73</f>
        <v/>
      </c>
      <c r="J73" s="108">
        <f>SUMPRODUCT((Human_Data_Entry!$A$3:$A$524=$I73)*(Human_Data_Entry!$H$3:$H$524="Human")*((Human_Data_Entry!$J$3:$J$524="BUY")+(Human_Data_Entry!$J$3:$J$524="SELL"))*ISNUMBER(Human_Data_Entry!$U$3:$U$524))</f>
        <v/>
      </c>
      <c r="K73" s="114">
        <f>IFERROR(AVERAGEIFS(Human_Data_Entry!$U$3:$U$524,Human_Data_Entry!$A$3:$A$524,$I73,Human_Data_Entry!$H$3:$H$524,"Human",Human_Data_Entry!$J$3:$J$524,"&lt;&gt;HOLD",Human_Data_Entry!$U$3:$U$524,"&lt;&gt;"),"")</f>
        <v/>
      </c>
      <c r="L73" s="114">
        <f>IFERROR(SUMIFS(Human_Data_Entry!$U$3:$U$524,Human_Data_Entry!$A$3:$A$524,$I73,Human_Data_Entry!$H$3:$H$524,"Human",Human_Data_Entry!$J$3:$J$524,"&lt;&gt;HOLD"),"")</f>
        <v/>
      </c>
      <c r="M73" s="108">
        <f>COUNTIFS(LLM_Data_Entry!$A$3:$A$548,$I73,LLM_Data_Entry!$F$3:$F$548,"LLM",LLM_Data_Entry!$H$3:$H$548,"&lt;&gt;HOLD",LLM_Data_Entry!$T$3:$T$548,"&lt;&gt;")</f>
        <v/>
      </c>
      <c r="N73" s="114">
        <f>IFERROR(AVERAGEIFS(LLM_Data_Entry!$T$3:$T$548,LLM_Data_Entry!$A$3:$A$548,$I73,LLM_Data_Entry!$F$3:$F$548,"LLM",LLM_Data_Entry!$H$3:$H$548,"&lt;&gt;HOLD",LLM_Data_Entry!$T$3:$T$548,"&lt;&gt;"),"")</f>
        <v/>
      </c>
      <c r="O73" s="114">
        <f>IFERROR(SUMIFS(LLM_Data_Entry!$T$3:$T$548,LLM_Data_Entry!$A$3:$A$548,$I73,LLM_Data_Entry!$F$3:$F$548,"LLM",LLM_Data_Entry!$H$3:$H$548,"&lt;&gt;HOLD"),"")</f>
        <v/>
      </c>
    </row>
    <row r="74">
      <c r="A74" s="98" t="inlineStr">
        <is>
          <t>General Mills</t>
        </is>
      </c>
      <c r="B74" s="111">
        <f>COUNTIFS(Human_Data_Entry!$A$3:$A$524,$A74,Human_Data_Entry!$H$3:$H$524,"Human",Human_Data_Entry!$S$3:$S$524,"?*")</f>
        <v/>
      </c>
      <c r="C74" s="111">
        <f>COUNTIFS(Human_Data_Entry!$A$3:$A$524,$A74,Human_Data_Entry!$H$3:$H$524,"Human",Human_Data_Entry!$S$3:$S$524,"YES")</f>
        <v/>
      </c>
      <c r="D74" s="112">
        <f>IF(B74=0,"-",C74/B74)</f>
        <v/>
      </c>
      <c r="E74" s="111">
        <f>COUNTIFS(LLM_Data_Entry!$A$3:$A$548,$A74,LLM_Data_Entry!$F$3:$F$548,"LLM",LLM_Data_Entry!$R$3:$R$548,"&lt;&gt;")</f>
        <v/>
      </c>
      <c r="F74" s="113">
        <f>COUNTIFS(LLM_Data_Entry!$A$3:$A$548,$A74,LLM_Data_Entry!$F$3:$F$548,"LLM",LLM_Data_Entry!$R$3:$R$548,"YES")</f>
        <v/>
      </c>
      <c r="G74" s="112">
        <f>IF(E74=0,"-",F74/E74)</f>
        <v/>
      </c>
      <c r="I74" s="98">
        <f>A74</f>
        <v/>
      </c>
      <c r="J74" s="108">
        <f>SUMPRODUCT((Human_Data_Entry!$A$3:$A$524=$I74)*(Human_Data_Entry!$H$3:$H$524="Human")*((Human_Data_Entry!$J$3:$J$524="BUY")+(Human_Data_Entry!$J$3:$J$524="SELL"))*ISNUMBER(Human_Data_Entry!$U$3:$U$524))</f>
        <v/>
      </c>
      <c r="K74" s="114">
        <f>IFERROR(AVERAGEIFS(Human_Data_Entry!$U$3:$U$524,Human_Data_Entry!$A$3:$A$524,$I74,Human_Data_Entry!$H$3:$H$524,"Human",Human_Data_Entry!$J$3:$J$524,"&lt;&gt;HOLD",Human_Data_Entry!$U$3:$U$524,"&lt;&gt;"),"")</f>
        <v/>
      </c>
      <c r="L74" s="114">
        <f>IFERROR(SUMIFS(Human_Data_Entry!$U$3:$U$524,Human_Data_Entry!$A$3:$A$524,$I74,Human_Data_Entry!$H$3:$H$524,"Human",Human_Data_Entry!$J$3:$J$524,"&lt;&gt;HOLD"),"")</f>
        <v/>
      </c>
      <c r="M74" s="108">
        <f>COUNTIFS(LLM_Data_Entry!$A$3:$A$548,$I74,LLM_Data_Entry!$F$3:$F$548,"LLM",LLM_Data_Entry!$H$3:$H$548,"&lt;&gt;HOLD",LLM_Data_Entry!$T$3:$T$548,"&lt;&gt;")</f>
        <v/>
      </c>
      <c r="N74" s="114">
        <f>IFERROR(AVERAGEIFS(LLM_Data_Entry!$T$3:$T$548,LLM_Data_Entry!$A$3:$A$548,$I74,LLM_Data_Entry!$F$3:$F$548,"LLM",LLM_Data_Entry!$H$3:$H$548,"&lt;&gt;HOLD",LLM_Data_Entry!$T$3:$T$548,"&lt;&gt;"),"")</f>
        <v/>
      </c>
      <c r="O74" s="114">
        <f>IFERROR(SUMIFS(LLM_Data_Entry!$T$3:$T$548,LLM_Data_Entry!$A$3:$A$548,$I74,LLM_Data_Entry!$F$3:$F$548,"LLM",LLM_Data_Entry!$H$3:$H$548,"&lt;&gt;HOLD"),"")</f>
        <v/>
      </c>
    </row>
    <row r="75">
      <c r="A75" s="98" t="inlineStr">
        <is>
          <t>Heineken</t>
        </is>
      </c>
      <c r="B75" s="111">
        <f>COUNTIFS(Human_Data_Entry!$A$3:$A$524,$A75,Human_Data_Entry!$H$3:$H$524,"Human",Human_Data_Entry!$S$3:$S$524,"?*")</f>
        <v/>
      </c>
      <c r="C75" s="111">
        <f>COUNTIFS(Human_Data_Entry!$A$3:$A$524,$A75,Human_Data_Entry!$H$3:$H$524,"Human",Human_Data_Entry!$S$3:$S$524,"YES")</f>
        <v/>
      </c>
      <c r="D75" s="112">
        <f>IF(B75=0,"-",C75/B75)</f>
        <v/>
      </c>
      <c r="E75" s="111">
        <f>COUNTIFS(LLM_Data_Entry!$A$3:$A$548,$A75,LLM_Data_Entry!$F$3:$F$548,"LLM",LLM_Data_Entry!$R$3:$R$548,"&lt;&gt;")</f>
        <v/>
      </c>
      <c r="F75" s="113">
        <f>COUNTIFS(LLM_Data_Entry!$A$3:$A$548,$A75,LLM_Data_Entry!$F$3:$F$548,"LLM",LLM_Data_Entry!$R$3:$R$548,"YES")</f>
        <v/>
      </c>
      <c r="G75" s="112">
        <f>IF(E75=0,"-",F75/E75)</f>
        <v/>
      </c>
      <c r="I75" s="98">
        <f>A75</f>
        <v/>
      </c>
      <c r="J75" s="108">
        <f>SUMPRODUCT((Human_Data_Entry!$A$3:$A$524=$I75)*(Human_Data_Entry!$H$3:$H$524="Human")*((Human_Data_Entry!$J$3:$J$524="BUY")+(Human_Data_Entry!$J$3:$J$524="SELL"))*ISNUMBER(Human_Data_Entry!$U$3:$U$524))</f>
        <v/>
      </c>
      <c r="K75" s="114">
        <f>IFERROR(AVERAGEIFS(Human_Data_Entry!$U$3:$U$524,Human_Data_Entry!$A$3:$A$524,$I75,Human_Data_Entry!$H$3:$H$524,"Human",Human_Data_Entry!$J$3:$J$524,"&lt;&gt;HOLD",Human_Data_Entry!$U$3:$U$524,"&lt;&gt;"),"")</f>
        <v/>
      </c>
      <c r="L75" s="114">
        <f>IFERROR(SUMIFS(Human_Data_Entry!$U$3:$U$524,Human_Data_Entry!$A$3:$A$524,$I75,Human_Data_Entry!$H$3:$H$524,"Human",Human_Data_Entry!$J$3:$J$524,"&lt;&gt;HOLD"),"")</f>
        <v/>
      </c>
      <c r="M75" s="108">
        <f>COUNTIFS(LLM_Data_Entry!$A$3:$A$548,$I75,LLM_Data_Entry!$F$3:$F$548,"LLM",LLM_Data_Entry!$H$3:$H$548,"&lt;&gt;HOLD",LLM_Data_Entry!$T$3:$T$548,"&lt;&gt;")</f>
        <v/>
      </c>
      <c r="N75" s="114">
        <f>IFERROR(AVERAGEIFS(LLM_Data_Entry!$T$3:$T$548,LLM_Data_Entry!$A$3:$A$548,$I75,LLM_Data_Entry!$F$3:$F$548,"LLM",LLM_Data_Entry!$H$3:$H$548,"&lt;&gt;HOLD",LLM_Data_Entry!$T$3:$T$548,"&lt;&gt;"),"")</f>
        <v/>
      </c>
      <c r="O75" s="114">
        <f>IFERROR(SUMIFS(LLM_Data_Entry!$T$3:$T$548,LLM_Data_Entry!$A$3:$A$548,$I75,LLM_Data_Entry!$F$3:$F$548,"LLM",LLM_Data_Entry!$H$3:$H$548,"&lt;&gt;HOLD"),"")</f>
        <v/>
      </c>
    </row>
    <row r="76">
      <c r="A76" s="98" t="inlineStr">
        <is>
          <t>Hermes</t>
        </is>
      </c>
      <c r="B76" s="111">
        <f>COUNTIFS(Human_Data_Entry!$A$3:$A$524,$A76,Human_Data_Entry!$H$3:$H$524,"Human",Human_Data_Entry!$S$3:$S$524,"?*")</f>
        <v/>
      </c>
      <c r="C76" s="111">
        <f>COUNTIFS(Human_Data_Entry!$A$3:$A$524,$A76,Human_Data_Entry!$H$3:$H$524,"Human",Human_Data_Entry!$S$3:$S$524,"YES")</f>
        <v/>
      </c>
      <c r="D76" s="112">
        <f>IF(B76=0,"-",C76/B76)</f>
        <v/>
      </c>
      <c r="E76" s="111">
        <f>COUNTIFS(LLM_Data_Entry!$A$3:$A$548,$A76,LLM_Data_Entry!$F$3:$F$548,"LLM",LLM_Data_Entry!$R$3:$R$548,"&lt;&gt;")</f>
        <v/>
      </c>
      <c r="F76" s="113">
        <f>COUNTIFS(LLM_Data_Entry!$A$3:$A$548,$A76,LLM_Data_Entry!$F$3:$F$548,"LLM",LLM_Data_Entry!$R$3:$R$548,"YES")</f>
        <v/>
      </c>
      <c r="G76" s="112">
        <f>IF(E76=0,"-",F76/E76)</f>
        <v/>
      </c>
      <c r="I76" s="98">
        <f>A76</f>
        <v/>
      </c>
      <c r="J76" s="108">
        <f>SUMPRODUCT((Human_Data_Entry!$A$3:$A$524=$I76)*(Human_Data_Entry!$H$3:$H$524="Human")*((Human_Data_Entry!$J$3:$J$524="BUY")+(Human_Data_Entry!$J$3:$J$524="SELL"))*ISNUMBER(Human_Data_Entry!$U$3:$U$524))</f>
        <v/>
      </c>
      <c r="K76" s="114">
        <f>IFERROR(AVERAGEIFS(Human_Data_Entry!$U$3:$U$524,Human_Data_Entry!$A$3:$A$524,$I76,Human_Data_Entry!$H$3:$H$524,"Human",Human_Data_Entry!$J$3:$J$524,"&lt;&gt;HOLD",Human_Data_Entry!$U$3:$U$524,"&lt;&gt;"),"")</f>
        <v/>
      </c>
      <c r="L76" s="114">
        <f>IFERROR(SUMIFS(Human_Data_Entry!$U$3:$U$524,Human_Data_Entry!$A$3:$A$524,$I76,Human_Data_Entry!$H$3:$H$524,"Human",Human_Data_Entry!$J$3:$J$524,"&lt;&gt;HOLD"),"")</f>
        <v/>
      </c>
      <c r="M76" s="108">
        <f>COUNTIFS(LLM_Data_Entry!$A$3:$A$548,$I76,LLM_Data_Entry!$F$3:$F$548,"LLM",LLM_Data_Entry!$H$3:$H$548,"&lt;&gt;HOLD",LLM_Data_Entry!$T$3:$T$548,"&lt;&gt;")</f>
        <v/>
      </c>
      <c r="N76" s="114">
        <f>IFERROR(AVERAGEIFS(LLM_Data_Entry!$T$3:$T$548,LLM_Data_Entry!$A$3:$A$548,$I76,LLM_Data_Entry!$F$3:$F$548,"LLM",LLM_Data_Entry!$H$3:$H$548,"&lt;&gt;HOLD",LLM_Data_Entry!$T$3:$T$548,"&lt;&gt;"),"")</f>
        <v/>
      </c>
      <c r="O76" s="114">
        <f>IFERROR(SUMIFS(LLM_Data_Entry!$T$3:$T$548,LLM_Data_Entry!$A$3:$A$548,$I76,LLM_Data_Entry!$F$3:$F$548,"LLM",LLM_Data_Entry!$H$3:$H$548,"&lt;&gt;HOLD"),"")</f>
        <v/>
      </c>
    </row>
    <row r="77">
      <c r="A77" s="19" t="inlineStr">
        <is>
          <t>Home Depot</t>
        </is>
      </c>
      <c r="B77" s="111">
        <f>COUNTIFS(Human_Data_Entry!$A$3:$A$524,$A77,Human_Data_Entry!$H$3:$H$524,"Human",Human_Data_Entry!$S$3:$S$524,"?*")</f>
        <v/>
      </c>
      <c r="C77" s="111">
        <f>COUNTIFS(Human_Data_Entry!$A$3:$A$524,$A77,Human_Data_Entry!$H$3:$H$524,"Human",Human_Data_Entry!$S$3:$S$524,"YES")</f>
        <v/>
      </c>
      <c r="D77" s="112">
        <f>IF(B77=0,"-",C77/B77)</f>
        <v/>
      </c>
      <c r="E77" s="111">
        <f>COUNTIFS(LLM_Data_Entry!$A$3:$A$548,$A77,LLM_Data_Entry!$F$3:$F$548,"LLM",LLM_Data_Entry!$R$3:$R$548,"&lt;&gt;")</f>
        <v/>
      </c>
      <c r="F77" s="113">
        <f>COUNTIFS(LLM_Data_Entry!$A$3:$A$548,$A77,LLM_Data_Entry!$F$3:$F$548,"LLM",LLM_Data_Entry!$R$3:$R$548,"YES")</f>
        <v/>
      </c>
      <c r="G77" s="112">
        <f>IF(E77=0,"-",F77/E77)</f>
        <v/>
      </c>
      <c r="I77" s="19">
        <f>A77</f>
        <v/>
      </c>
      <c r="J77" s="108">
        <f>SUMPRODUCT((Human_Data_Entry!$A$3:$A$524=$I77)*(Human_Data_Entry!$H$3:$H$524="Human")*((Human_Data_Entry!$J$3:$J$524="BUY")+(Human_Data_Entry!$J$3:$J$524="SELL"))*ISNUMBER(Human_Data_Entry!$U$3:$U$524))</f>
        <v/>
      </c>
      <c r="K77" s="114">
        <f>IFERROR(AVERAGEIFS(Human_Data_Entry!$U$3:$U$524,Human_Data_Entry!$A$3:$A$524,$I77,Human_Data_Entry!$H$3:$H$524,"Human",Human_Data_Entry!$J$3:$J$524,"&lt;&gt;HOLD",Human_Data_Entry!$U$3:$U$524,"&lt;&gt;"),"")</f>
        <v/>
      </c>
      <c r="L77" s="114">
        <f>IFERROR(SUMIFS(Human_Data_Entry!$U$3:$U$524,Human_Data_Entry!$A$3:$A$524,$I77,Human_Data_Entry!$H$3:$H$524,"Human",Human_Data_Entry!$J$3:$J$524,"&lt;&gt;HOLD"),"")</f>
        <v/>
      </c>
      <c r="M77" s="108">
        <f>COUNTIFS(LLM_Data_Entry!$A$3:$A$548,$I77,LLM_Data_Entry!$F$3:$F$548,"LLM",LLM_Data_Entry!$H$3:$H$548,"&lt;&gt;HOLD",LLM_Data_Entry!$T$3:$T$548,"&lt;&gt;")</f>
        <v/>
      </c>
      <c r="N77" s="114">
        <f>IFERROR(AVERAGEIFS(LLM_Data_Entry!$T$3:$T$548,LLM_Data_Entry!$A$3:$A$548,$I77,LLM_Data_Entry!$F$3:$F$548,"LLM",LLM_Data_Entry!$H$3:$H$548,"&lt;&gt;HOLD",LLM_Data_Entry!$T$3:$T$548,"&lt;&gt;"),"")</f>
        <v/>
      </c>
      <c r="O77" s="114">
        <f>IFERROR(SUMIFS(LLM_Data_Entry!$T$3:$T$548,LLM_Data_Entry!$A$3:$A$548,$I77,LLM_Data_Entry!$F$3:$F$548,"LLM",LLM_Data_Entry!$H$3:$H$548,"&lt;&gt;HOLD"),"")</f>
        <v/>
      </c>
    </row>
    <row r="78">
      <c r="A78" s="19" t="inlineStr">
        <is>
          <t>Johnson &amp; Johnson</t>
        </is>
      </c>
      <c r="B78" s="111">
        <f>COUNTIFS(Human_Data_Entry!$A$3:$A$524,$A78,Human_Data_Entry!$H$3:$H$524,"Human",Human_Data_Entry!$S$3:$S$524,"?*")</f>
        <v/>
      </c>
      <c r="C78" s="111">
        <f>COUNTIFS(Human_Data_Entry!$A$3:$A$524,$A78,Human_Data_Entry!$H$3:$H$524,"Human",Human_Data_Entry!$S$3:$S$524,"YES")</f>
        <v/>
      </c>
      <c r="D78" s="112">
        <f>IF(B78=0,"-",C78/B78)</f>
        <v/>
      </c>
      <c r="E78" s="111">
        <f>COUNTIFS(LLM_Data_Entry!$A$3:$A$548,$A78,LLM_Data_Entry!$F$3:$F$548,"LLM",LLM_Data_Entry!$R$3:$R$548,"&lt;&gt;")</f>
        <v/>
      </c>
      <c r="F78" s="113">
        <f>COUNTIFS(LLM_Data_Entry!$A$3:$A$548,$A78,LLM_Data_Entry!$F$3:$F$548,"LLM",LLM_Data_Entry!$R$3:$R$548,"YES")</f>
        <v/>
      </c>
      <c r="G78" s="112">
        <f>IF(E78=0,"-",F78/E78)</f>
        <v/>
      </c>
      <c r="I78" s="19">
        <f>A78</f>
        <v/>
      </c>
      <c r="J78" s="108">
        <f>SUMPRODUCT((Human_Data_Entry!$A$3:$A$524=$I78)*(Human_Data_Entry!$H$3:$H$524="Human")*((Human_Data_Entry!$J$3:$J$524="BUY")+(Human_Data_Entry!$J$3:$J$524="SELL"))*ISNUMBER(Human_Data_Entry!$U$3:$U$524))</f>
        <v/>
      </c>
      <c r="K78" s="114">
        <f>IFERROR(AVERAGEIFS(Human_Data_Entry!$U$3:$U$524,Human_Data_Entry!$A$3:$A$524,$I78,Human_Data_Entry!$H$3:$H$524,"Human",Human_Data_Entry!$J$3:$J$524,"&lt;&gt;HOLD",Human_Data_Entry!$U$3:$U$524,"&lt;&gt;"),"")</f>
        <v/>
      </c>
      <c r="L78" s="114">
        <f>IFERROR(SUMIFS(Human_Data_Entry!$U$3:$U$524,Human_Data_Entry!$A$3:$A$524,$I78,Human_Data_Entry!$H$3:$H$524,"Human",Human_Data_Entry!$J$3:$J$524,"&lt;&gt;HOLD"),"")</f>
        <v/>
      </c>
      <c r="M78" s="108">
        <f>COUNTIFS(LLM_Data_Entry!$A$3:$A$548,$I78,LLM_Data_Entry!$F$3:$F$548,"LLM",LLM_Data_Entry!$H$3:$H$548,"&lt;&gt;HOLD",LLM_Data_Entry!$T$3:$T$548,"&lt;&gt;")</f>
        <v/>
      </c>
      <c r="N78" s="114">
        <f>IFERROR(AVERAGEIFS(LLM_Data_Entry!$T$3:$T$548,LLM_Data_Entry!$A$3:$A$548,$I78,LLM_Data_Entry!$F$3:$F$548,"LLM",LLM_Data_Entry!$H$3:$H$548,"&lt;&gt;HOLD",LLM_Data_Entry!$T$3:$T$548,"&lt;&gt;"),"")</f>
        <v/>
      </c>
      <c r="O78" s="114">
        <f>IFERROR(SUMIFS(LLM_Data_Entry!$T$3:$T$548,LLM_Data_Entry!$A$3:$A$548,$I78,LLM_Data_Entry!$F$3:$F$548,"LLM",LLM_Data_Entry!$H$3:$H$548,"&lt;&gt;HOLD"),"")</f>
        <v/>
      </c>
    </row>
    <row r="79">
      <c r="A79" s="19" t="inlineStr">
        <is>
          <t>Kraft Heinz</t>
        </is>
      </c>
      <c r="B79" s="111">
        <f>COUNTIFS(Human_Data_Entry!$A$3:$A$524,$A79,Human_Data_Entry!$H$3:$H$524,"Human",Human_Data_Entry!$S$3:$S$524,"?*")</f>
        <v/>
      </c>
      <c r="C79" s="111">
        <f>COUNTIFS(Human_Data_Entry!$A$3:$A$524,$A79,Human_Data_Entry!$H$3:$H$524,"Human",Human_Data_Entry!$S$3:$S$524,"YES")</f>
        <v/>
      </c>
      <c r="D79" s="112">
        <f>IF(B79=0,"-",C79/B79)</f>
        <v/>
      </c>
      <c r="E79" s="111">
        <f>COUNTIFS(LLM_Data_Entry!$A$3:$A$548,$A79,LLM_Data_Entry!$F$3:$F$548,"LLM",LLM_Data_Entry!$R$3:$R$548,"&lt;&gt;")</f>
        <v/>
      </c>
      <c r="F79" s="113">
        <f>COUNTIFS(LLM_Data_Entry!$A$3:$A$548,$A79,LLM_Data_Entry!$F$3:$F$548,"LLM",LLM_Data_Entry!$R$3:$R$548,"YES")</f>
        <v/>
      </c>
      <c r="G79" s="112">
        <f>IF(E79=0,"-",F79/E79)</f>
        <v/>
      </c>
      <c r="I79" s="19">
        <f>A79</f>
        <v/>
      </c>
      <c r="J79" s="108">
        <f>SUMPRODUCT((Human_Data_Entry!$A$3:$A$524=$I79)*(Human_Data_Entry!$H$3:$H$524="Human")*((Human_Data_Entry!$J$3:$J$524="BUY")+(Human_Data_Entry!$J$3:$J$524="SELL"))*ISNUMBER(Human_Data_Entry!$U$3:$U$524))</f>
        <v/>
      </c>
      <c r="K79" s="114">
        <f>IFERROR(AVERAGEIFS(Human_Data_Entry!$U$3:$U$524,Human_Data_Entry!$A$3:$A$524,$I79,Human_Data_Entry!$H$3:$H$524,"Human",Human_Data_Entry!$J$3:$J$524,"&lt;&gt;HOLD",Human_Data_Entry!$U$3:$U$524,"&lt;&gt;"),"")</f>
        <v/>
      </c>
      <c r="L79" s="114">
        <f>IFERROR(SUMIFS(Human_Data_Entry!$U$3:$U$524,Human_Data_Entry!$A$3:$A$524,$I79,Human_Data_Entry!$H$3:$H$524,"Human",Human_Data_Entry!$J$3:$J$524,"&lt;&gt;HOLD"),"")</f>
        <v/>
      </c>
      <c r="M79" s="108">
        <f>COUNTIFS(LLM_Data_Entry!$A$3:$A$548,$I79,LLM_Data_Entry!$F$3:$F$548,"LLM",LLM_Data_Entry!$H$3:$H$548,"&lt;&gt;HOLD",LLM_Data_Entry!$T$3:$T$548,"&lt;&gt;")</f>
        <v/>
      </c>
      <c r="N79" s="114">
        <f>IFERROR(AVERAGEIFS(LLM_Data_Entry!$T$3:$T$548,LLM_Data_Entry!$A$3:$A$548,$I79,LLM_Data_Entry!$F$3:$F$548,"LLM",LLM_Data_Entry!$H$3:$H$548,"&lt;&gt;HOLD",LLM_Data_Entry!$T$3:$T$548,"&lt;&gt;"),"")</f>
        <v/>
      </c>
      <c r="O79" s="114">
        <f>IFERROR(SUMIFS(LLM_Data_Entry!$T$3:$T$548,LLM_Data_Entry!$A$3:$A$548,$I79,LLM_Data_Entry!$F$3:$F$548,"LLM",LLM_Data_Entry!$H$3:$H$548,"&lt;&gt;HOLD"),"")</f>
        <v/>
      </c>
    </row>
    <row r="80">
      <c r="A80" t="inlineStr">
        <is>
          <t>Alphabet</t>
        </is>
      </c>
      <c r="B80" s="111">
        <f>COUNTIFS(Human_Data_Entry!$A$3:$A$524,$A80,Human_Data_Entry!$H$3:$H$524,"Human",Human_Data_Entry!$S$3:$S$524,"?*")</f>
        <v/>
      </c>
      <c r="C80" s="111">
        <f>COUNTIFS(Human_Data_Entry!$A$3:$A$524,$A80,Human_Data_Entry!$H$3:$H$524,"Human",Human_Data_Entry!$S$3:$S$524,"YES")</f>
        <v/>
      </c>
      <c r="D80" s="112">
        <f>IF(B80=0,"-",C80/B80)</f>
        <v/>
      </c>
      <c r="E80" s="111">
        <f>COUNTIFS(LLM_Data_Entry!$A$3:$A$548,$A80,LLM_Data_Entry!$F$3:$F$548,"LLM",LLM_Data_Entry!$R$3:$R$548,"&lt;&gt;")</f>
        <v/>
      </c>
      <c r="F80" s="113">
        <f>COUNTIFS(LLM_Data_Entry!$A$3:$A$548,$A80,LLM_Data_Entry!$F$3:$F$548,"LLM",LLM_Data_Entry!$R$3:$R$548,"YES")</f>
        <v/>
      </c>
      <c r="G80" s="112">
        <f>IF(E80=0,"-",F80/E80)</f>
        <v/>
      </c>
      <c r="I80">
        <f>A80</f>
        <v/>
      </c>
      <c r="J80" s="108">
        <f>SUMPRODUCT((Human_Data_Entry!$A$3:$A$524=$I80)*(Human_Data_Entry!$H$3:$H$524="Human")*((Human_Data_Entry!$J$3:$J$524="BUY")+(Human_Data_Entry!$J$3:$J$524="SELL"))*ISNUMBER(Human_Data_Entry!$U$3:$U$524))</f>
        <v/>
      </c>
      <c r="K80" s="114">
        <f>IFERROR(AVERAGEIFS(Human_Data_Entry!$U$3:$U$524,Human_Data_Entry!$A$3:$A$524,$I80,Human_Data_Entry!$H$3:$H$524,"Human",Human_Data_Entry!$J$3:$J$524,"&lt;&gt;HOLD",Human_Data_Entry!$U$3:$U$524,"&lt;&gt;"),"")</f>
        <v/>
      </c>
      <c r="L80" s="114">
        <f>IFERROR(SUMIFS(Human_Data_Entry!$U$3:$U$524,Human_Data_Entry!$A$3:$A$524,$I80,Human_Data_Entry!$H$3:$H$524,"Human",Human_Data_Entry!$J$3:$J$524,"&lt;&gt;HOLD"),"")</f>
        <v/>
      </c>
      <c r="M80" s="108">
        <f>COUNTIFS(LLM_Data_Entry!$A$3:$A$548,$I80,LLM_Data_Entry!$F$3:$F$548,"LLM",LLM_Data_Entry!$H$3:$H$548,"&lt;&gt;HOLD",LLM_Data_Entry!$T$3:$T$548,"&lt;&gt;")</f>
        <v/>
      </c>
      <c r="N80" s="114">
        <f>IFERROR(AVERAGEIFS(LLM_Data_Entry!$T$3:$T$548,LLM_Data_Entry!$A$3:$A$548,$I80,LLM_Data_Entry!$F$3:$F$548,"LLM",LLM_Data_Entry!$H$3:$H$548,"&lt;&gt;HOLD",LLM_Data_Entry!$T$3:$T$548,"&lt;&gt;"),"")</f>
        <v/>
      </c>
      <c r="O80" s="114">
        <f>IFERROR(SUMIFS(LLM_Data_Entry!$T$3:$T$548,LLM_Data_Entry!$A$3:$A$548,$I80,LLM_Data_Entry!$F$3:$F$548,"LLM",LLM_Data_Entry!$H$3:$H$548,"&lt;&gt;HOLD"),"")</f>
        <v/>
      </c>
    </row>
    <row r="81">
      <c r="A81" t="inlineStr">
        <is>
          <t>Lenovo</t>
        </is>
      </c>
      <c r="B81" s="111">
        <f>COUNTIFS(Human_Data_Entry!$A$3:$A$524,$A81,Human_Data_Entry!$H$3:$H$524,"Human",Human_Data_Entry!$S$3:$S$524,"?*")</f>
        <v/>
      </c>
      <c r="C81" s="111">
        <f>COUNTIFS(Human_Data_Entry!$A$3:$A$524,$A81,Human_Data_Entry!$H$3:$H$524,"Human",Human_Data_Entry!$S$3:$S$524,"YES")</f>
        <v/>
      </c>
      <c r="D81" s="112">
        <f>IF(B81=0,"-",C81/B81)</f>
        <v/>
      </c>
      <c r="E81" s="111">
        <f>COUNTIFS(LLM_Data_Entry!$A$3:$A$548,$A81,LLM_Data_Entry!$F$3:$F$548,"LLM",LLM_Data_Entry!$R$3:$R$548,"&lt;&gt;")</f>
        <v/>
      </c>
      <c r="F81" s="113">
        <f>COUNTIFS(LLM_Data_Entry!$A$3:$A$548,$A81,LLM_Data_Entry!$F$3:$F$548,"LLM",LLM_Data_Entry!$R$3:$R$548,"YES")</f>
        <v/>
      </c>
      <c r="G81" s="112">
        <f>IF(E81=0,"-",F81/E81)</f>
        <v/>
      </c>
      <c r="I81">
        <f>A81</f>
        <v/>
      </c>
      <c r="J81" s="108">
        <f>SUMPRODUCT((Human_Data_Entry!$A$3:$A$524=$I81)*(Human_Data_Entry!$H$3:$H$524="Human")*((Human_Data_Entry!$J$3:$J$524="BUY")+(Human_Data_Entry!$J$3:$J$524="SELL"))*ISNUMBER(Human_Data_Entry!$U$3:$U$524))</f>
        <v/>
      </c>
      <c r="K81" s="114">
        <f>IFERROR(AVERAGEIFS(Human_Data_Entry!$U$3:$U$524,Human_Data_Entry!$A$3:$A$524,$I81,Human_Data_Entry!$H$3:$H$524,"Human",Human_Data_Entry!$J$3:$J$524,"&lt;&gt;HOLD",Human_Data_Entry!$U$3:$U$524,"&lt;&gt;"),"")</f>
        <v/>
      </c>
      <c r="L81" s="114">
        <f>IFERROR(SUMIFS(Human_Data_Entry!$U$3:$U$524,Human_Data_Entry!$A$3:$A$524,$I81,Human_Data_Entry!$H$3:$H$524,"Human",Human_Data_Entry!$J$3:$J$524,"&lt;&gt;HOLD"),"")</f>
        <v/>
      </c>
      <c r="M81" s="108">
        <f>COUNTIFS(LLM_Data_Entry!$A$3:$A$548,$I81,LLM_Data_Entry!$F$3:$F$548,"LLM",LLM_Data_Entry!$H$3:$H$548,"&lt;&gt;HOLD",LLM_Data_Entry!$T$3:$T$548,"&lt;&gt;")</f>
        <v/>
      </c>
      <c r="N81" s="114">
        <f>IFERROR(AVERAGEIFS(LLM_Data_Entry!$T$3:$T$548,LLM_Data_Entry!$A$3:$A$548,$I81,LLM_Data_Entry!$F$3:$F$548,"LLM",LLM_Data_Entry!$H$3:$H$548,"&lt;&gt;HOLD",LLM_Data_Entry!$T$3:$T$548,"&lt;&gt;"),"")</f>
        <v/>
      </c>
      <c r="O81" s="114">
        <f>IFERROR(SUMIFS(LLM_Data_Entry!$T$3:$T$548,LLM_Data_Entry!$A$3:$A$548,$I81,LLM_Data_Entry!$F$3:$F$548,"LLM",LLM_Data_Entry!$H$3:$H$548,"&lt;&gt;HOLD"),"")</f>
        <v/>
      </c>
    </row>
    <row r="82">
      <c r="A82" t="inlineStr">
        <is>
          <t>Linde</t>
        </is>
      </c>
      <c r="B82" s="111">
        <f>COUNTIFS(Human_Data_Entry!$A$3:$A$524,$A82,Human_Data_Entry!$H$3:$H$524,"Human",Human_Data_Entry!$S$3:$S$524,"?*")</f>
        <v/>
      </c>
      <c r="C82" s="111">
        <f>COUNTIFS(Human_Data_Entry!$A$3:$A$524,$A82,Human_Data_Entry!$H$3:$H$524,"Human",Human_Data_Entry!$S$3:$S$524,"YES")</f>
        <v/>
      </c>
      <c r="D82" s="112">
        <f>IF(B82=0,"-",C82/B82)</f>
        <v/>
      </c>
      <c r="E82" s="111">
        <f>COUNTIFS(LLM_Data_Entry!$A$3:$A$548,$A82,LLM_Data_Entry!$F$3:$F$548,"LLM",LLM_Data_Entry!$R$3:$R$548,"&lt;&gt;")</f>
        <v/>
      </c>
      <c r="F82" s="113">
        <f>COUNTIFS(LLM_Data_Entry!$A$3:$A$548,$A82,LLM_Data_Entry!$F$3:$F$548,"LLM",LLM_Data_Entry!$R$3:$R$548,"YES")</f>
        <v/>
      </c>
      <c r="G82" s="112">
        <f>IF(E82=0,"-",F82/E82)</f>
        <v/>
      </c>
      <c r="I82">
        <f>A82</f>
        <v/>
      </c>
      <c r="J82" s="108">
        <f>SUMPRODUCT((Human_Data_Entry!$A$3:$A$524=$I82)*(Human_Data_Entry!$H$3:$H$524="Human")*((Human_Data_Entry!$J$3:$J$524="BUY")+(Human_Data_Entry!$J$3:$J$524="SELL"))*ISNUMBER(Human_Data_Entry!$U$3:$U$524))</f>
        <v/>
      </c>
      <c r="K82" s="114">
        <f>IFERROR(AVERAGEIFS(Human_Data_Entry!$U$3:$U$524,Human_Data_Entry!$A$3:$A$524,$I82,Human_Data_Entry!$H$3:$H$524,"Human",Human_Data_Entry!$J$3:$J$524,"&lt;&gt;HOLD",Human_Data_Entry!$U$3:$U$524,"&lt;&gt;"),"")</f>
        <v/>
      </c>
      <c r="L82" s="114">
        <f>IFERROR(SUMIFS(Human_Data_Entry!$U$3:$U$524,Human_Data_Entry!$A$3:$A$524,$I82,Human_Data_Entry!$H$3:$H$524,"Human",Human_Data_Entry!$J$3:$J$524,"&lt;&gt;HOLD"),"")</f>
        <v/>
      </c>
      <c r="M82" s="108">
        <f>COUNTIFS(LLM_Data_Entry!$A$3:$A$548,$I82,LLM_Data_Entry!$F$3:$F$548,"LLM",LLM_Data_Entry!$H$3:$H$548,"&lt;&gt;HOLD",LLM_Data_Entry!$T$3:$T$548,"&lt;&gt;")</f>
        <v/>
      </c>
      <c r="N82" s="114">
        <f>IFERROR(AVERAGEIFS(LLM_Data_Entry!$T$3:$T$548,LLM_Data_Entry!$A$3:$A$548,$I82,LLM_Data_Entry!$F$3:$F$548,"LLM",LLM_Data_Entry!$H$3:$H$548,"&lt;&gt;HOLD",LLM_Data_Entry!$T$3:$T$548,"&lt;&gt;"),"")</f>
        <v/>
      </c>
      <c r="O82" s="114">
        <f>IFERROR(SUMIFS(LLM_Data_Entry!$T$3:$T$548,LLM_Data_Entry!$A$3:$A$548,$I82,LLM_Data_Entry!$F$3:$F$548,"LLM",LLM_Data_Entry!$H$3:$H$548,"&lt;&gt;HOLD"),"")</f>
        <v/>
      </c>
    </row>
    <row r="83">
      <c r="A83" t="inlineStr">
        <is>
          <t>Lululemon</t>
        </is>
      </c>
      <c r="B83" s="111">
        <f>COUNTIFS(Human_Data_Entry!$A$3:$A$524,$A83,Human_Data_Entry!$H$3:$H$524,"Human",Human_Data_Entry!$S$3:$S$524,"?*")</f>
        <v/>
      </c>
      <c r="C83" s="111">
        <f>COUNTIFS(Human_Data_Entry!$A$3:$A$524,$A83,Human_Data_Entry!$H$3:$H$524,"Human",Human_Data_Entry!$S$3:$S$524,"YES")</f>
        <v/>
      </c>
      <c r="D83" s="112">
        <f>IF(B83=0,"-",C83/B83)</f>
        <v/>
      </c>
      <c r="E83" s="111">
        <f>COUNTIFS(LLM_Data_Entry!$A$3:$A$548,$A83,LLM_Data_Entry!$F$3:$F$548,"LLM",LLM_Data_Entry!$R$3:$R$548,"&lt;&gt;")</f>
        <v/>
      </c>
      <c r="F83" s="113">
        <f>COUNTIFS(LLM_Data_Entry!$A$3:$A$548,$A83,LLM_Data_Entry!$F$3:$F$548,"LLM",LLM_Data_Entry!$R$3:$R$548,"YES")</f>
        <v/>
      </c>
      <c r="G83" s="112">
        <f>IF(E83=0,"-",F83/E83)</f>
        <v/>
      </c>
      <c r="I83">
        <f>A83</f>
        <v/>
      </c>
      <c r="J83" s="108">
        <f>SUMPRODUCT((Human_Data_Entry!$A$3:$A$524=$I83)*(Human_Data_Entry!$H$3:$H$524="Human")*((Human_Data_Entry!$J$3:$J$524="BUY")+(Human_Data_Entry!$J$3:$J$524="SELL"))*ISNUMBER(Human_Data_Entry!$U$3:$U$524))</f>
        <v/>
      </c>
      <c r="K83" s="114">
        <f>IFERROR(AVERAGEIFS(Human_Data_Entry!$U$3:$U$524,Human_Data_Entry!$A$3:$A$524,$I83,Human_Data_Entry!$H$3:$H$524,"Human",Human_Data_Entry!$J$3:$J$524,"&lt;&gt;HOLD",Human_Data_Entry!$U$3:$U$524,"&lt;&gt;"),"")</f>
        <v/>
      </c>
      <c r="L83" s="114">
        <f>IFERROR(SUMIFS(Human_Data_Entry!$U$3:$U$524,Human_Data_Entry!$A$3:$A$524,$I83,Human_Data_Entry!$H$3:$H$524,"Human",Human_Data_Entry!$J$3:$J$524,"&lt;&gt;HOLD"),"")</f>
        <v/>
      </c>
      <c r="M83" s="108">
        <f>COUNTIFS(LLM_Data_Entry!$A$3:$A$548,$I83,LLM_Data_Entry!$F$3:$F$548,"LLM",LLM_Data_Entry!$H$3:$H$548,"&lt;&gt;HOLD",LLM_Data_Entry!$T$3:$T$548,"&lt;&gt;")</f>
        <v/>
      </c>
      <c r="N83" s="114">
        <f>IFERROR(AVERAGEIFS(LLM_Data_Entry!$T$3:$T$548,LLM_Data_Entry!$A$3:$A$548,$I83,LLM_Data_Entry!$F$3:$F$548,"LLM",LLM_Data_Entry!$H$3:$H$548,"&lt;&gt;HOLD",LLM_Data_Entry!$T$3:$T$548,"&lt;&gt;"),"")</f>
        <v/>
      </c>
      <c r="O83" s="114">
        <f>IFERROR(SUMIFS(LLM_Data_Entry!$T$3:$T$548,LLM_Data_Entry!$A$3:$A$548,$I83,LLM_Data_Entry!$F$3:$F$548,"LLM",LLM_Data_Entry!$H$3:$H$548,"&lt;&gt;HOLD"),"")</f>
        <v/>
      </c>
    </row>
    <row r="84">
      <c r="A84" t="inlineStr">
        <is>
          <t>Meta</t>
        </is>
      </c>
      <c r="B84" s="111">
        <f>COUNTIFS(Human_Data_Entry!$A$3:$A$524,$A84,Human_Data_Entry!$H$3:$H$524,"Human",Human_Data_Entry!$S$3:$S$524,"?*")</f>
        <v/>
      </c>
      <c r="C84" s="111">
        <f>COUNTIFS(Human_Data_Entry!$A$3:$A$524,$A84,Human_Data_Entry!$H$3:$H$524,"Human",Human_Data_Entry!$S$3:$S$524,"YES")</f>
        <v/>
      </c>
      <c r="D84" s="112">
        <f>IF(B84=0,"-",C84/B84)</f>
        <v/>
      </c>
      <c r="E84" s="111">
        <f>COUNTIFS(LLM_Data_Entry!$A$3:$A$548,$A84,LLM_Data_Entry!$F$3:$F$548,"LLM",LLM_Data_Entry!$R$3:$R$548,"&lt;&gt;")</f>
        <v/>
      </c>
      <c r="F84" s="113">
        <f>COUNTIFS(LLM_Data_Entry!$A$3:$A$548,$A84,LLM_Data_Entry!$F$3:$F$548,"LLM",LLM_Data_Entry!$R$3:$R$548,"YES")</f>
        <v/>
      </c>
      <c r="G84" s="112">
        <f>IF(E84=0,"-",F84/E84)</f>
        <v/>
      </c>
      <c r="I84">
        <f>A84</f>
        <v/>
      </c>
      <c r="J84" s="108">
        <f>SUMPRODUCT((Human_Data_Entry!$A$3:$A$524=$I84)*(Human_Data_Entry!$H$3:$H$524="Human")*((Human_Data_Entry!$J$3:$J$524="BUY")+(Human_Data_Entry!$J$3:$J$524="SELL"))*ISNUMBER(Human_Data_Entry!$U$3:$U$524))</f>
        <v/>
      </c>
      <c r="K84" s="114">
        <f>IFERROR(AVERAGEIFS(Human_Data_Entry!$U$3:$U$524,Human_Data_Entry!$A$3:$A$524,$I84,Human_Data_Entry!$H$3:$H$524,"Human",Human_Data_Entry!$J$3:$J$524,"&lt;&gt;HOLD",Human_Data_Entry!$U$3:$U$524,"&lt;&gt;"),"")</f>
        <v/>
      </c>
      <c r="L84" s="114">
        <f>IFERROR(SUMIFS(Human_Data_Entry!$U$3:$U$524,Human_Data_Entry!$A$3:$A$524,$I84,Human_Data_Entry!$H$3:$H$524,"Human",Human_Data_Entry!$J$3:$J$524,"&lt;&gt;HOLD"),"")</f>
        <v/>
      </c>
      <c r="M84" s="108">
        <f>COUNTIFS(LLM_Data_Entry!$A$3:$A$548,$I84,LLM_Data_Entry!$F$3:$F$548,"LLM",LLM_Data_Entry!$H$3:$H$548,"&lt;&gt;HOLD",LLM_Data_Entry!$T$3:$T$548,"&lt;&gt;")</f>
        <v/>
      </c>
      <c r="N84" s="114">
        <f>IFERROR(AVERAGEIFS(LLM_Data_Entry!$T$3:$T$548,LLM_Data_Entry!$A$3:$A$548,$I84,LLM_Data_Entry!$F$3:$F$548,"LLM",LLM_Data_Entry!$H$3:$H$548,"&lt;&gt;HOLD",LLM_Data_Entry!$T$3:$T$548,"&lt;&gt;"),"")</f>
        <v/>
      </c>
      <c r="O84" s="114">
        <f>IFERROR(SUMIFS(LLM_Data_Entry!$T$3:$T$548,LLM_Data_Entry!$A$3:$A$548,$I84,LLM_Data_Entry!$F$3:$F$548,"LLM",LLM_Data_Entry!$H$3:$H$548,"&lt;&gt;HOLD"),"")</f>
        <v/>
      </c>
    </row>
    <row r="85">
      <c r="A85" t="inlineStr">
        <is>
          <t>Micron</t>
        </is>
      </c>
      <c r="B85" s="111">
        <f>COUNTIFS(Human_Data_Entry!$A$3:$A$524,$A85,Human_Data_Entry!$H$3:$H$524,"Human",Human_Data_Entry!$S$3:$S$524,"?*")</f>
        <v/>
      </c>
      <c r="C85" s="111">
        <f>COUNTIFS(Human_Data_Entry!$A$3:$A$524,$A85,Human_Data_Entry!$H$3:$H$524,"Human",Human_Data_Entry!$S$3:$S$524,"YES")</f>
        <v/>
      </c>
      <c r="D85" s="112">
        <f>IF(B85=0,"-",C85/B85)</f>
        <v/>
      </c>
      <c r="E85" s="111">
        <f>COUNTIFS(LLM_Data_Entry!$A$3:$A$548,$A85,LLM_Data_Entry!$F$3:$F$548,"LLM",LLM_Data_Entry!$R$3:$R$548,"&lt;&gt;")</f>
        <v/>
      </c>
      <c r="F85" s="113">
        <f>COUNTIFS(LLM_Data_Entry!$A$3:$A$548,$A85,LLM_Data_Entry!$F$3:$F$548,"LLM",LLM_Data_Entry!$R$3:$R$548,"YES")</f>
        <v/>
      </c>
      <c r="G85" s="112">
        <f>IF(E85=0,"-",F85/E85)</f>
        <v/>
      </c>
      <c r="I85">
        <f>A85</f>
        <v/>
      </c>
      <c r="J85" s="108">
        <f>SUMPRODUCT((Human_Data_Entry!$A$3:$A$524=$I85)*(Human_Data_Entry!$H$3:$H$524="Human")*((Human_Data_Entry!$J$3:$J$524="BUY")+(Human_Data_Entry!$J$3:$J$524="SELL"))*ISNUMBER(Human_Data_Entry!$U$3:$U$524))</f>
        <v/>
      </c>
      <c r="K85" s="114">
        <f>IFERROR(AVERAGEIFS(Human_Data_Entry!$U$3:$U$524,Human_Data_Entry!$A$3:$A$524,$I85,Human_Data_Entry!$H$3:$H$524,"Human",Human_Data_Entry!$J$3:$J$524,"&lt;&gt;HOLD",Human_Data_Entry!$U$3:$U$524,"&lt;&gt;"),"")</f>
        <v/>
      </c>
      <c r="L85" s="114">
        <f>IFERROR(SUMIFS(Human_Data_Entry!$U$3:$U$524,Human_Data_Entry!$A$3:$A$524,$I85,Human_Data_Entry!$H$3:$H$524,"Human",Human_Data_Entry!$J$3:$J$524,"&lt;&gt;HOLD"),"")</f>
        <v/>
      </c>
      <c r="M85" s="108">
        <f>COUNTIFS(LLM_Data_Entry!$A$3:$A$548,$I85,LLM_Data_Entry!$F$3:$F$548,"LLM",LLM_Data_Entry!$H$3:$H$548,"&lt;&gt;HOLD",LLM_Data_Entry!$T$3:$T$548,"&lt;&gt;")</f>
        <v/>
      </c>
      <c r="N85" s="114">
        <f>IFERROR(AVERAGEIFS(LLM_Data_Entry!$T$3:$T$548,LLM_Data_Entry!$A$3:$A$548,$I85,LLM_Data_Entry!$F$3:$F$548,"LLM",LLM_Data_Entry!$H$3:$H$548,"&lt;&gt;HOLD",LLM_Data_Entry!$T$3:$T$548,"&lt;&gt;"),"")</f>
        <v/>
      </c>
      <c r="O85" s="114">
        <f>IFERROR(SUMIFS(LLM_Data_Entry!$T$3:$T$548,LLM_Data_Entry!$A$3:$A$548,$I85,LLM_Data_Entry!$F$3:$F$548,"LLM",LLM_Data_Entry!$H$3:$H$548,"&lt;&gt;HOLD"),"")</f>
        <v/>
      </c>
    </row>
    <row r="86">
      <c r="A86" t="inlineStr">
        <is>
          <t>Nestle</t>
        </is>
      </c>
      <c r="B86" s="111">
        <f>COUNTIFS(Human_Data_Entry!$A$3:$A$524,$A86,Human_Data_Entry!$H$3:$H$524,"Human",Human_Data_Entry!$S$3:$S$524,"?*")</f>
        <v/>
      </c>
      <c r="C86" s="111">
        <f>COUNTIFS(Human_Data_Entry!$A$3:$A$524,$A86,Human_Data_Entry!$H$3:$H$524,"Human",Human_Data_Entry!$S$3:$S$524,"YES")</f>
        <v/>
      </c>
      <c r="D86" s="112">
        <f>IF(B86=0,"-",C86/B86)</f>
        <v/>
      </c>
      <c r="E86" s="111">
        <f>COUNTIFS(LLM_Data_Entry!$A$3:$A$548,$A86,LLM_Data_Entry!$F$3:$F$548,"LLM",LLM_Data_Entry!$R$3:$R$548,"&lt;&gt;")</f>
        <v/>
      </c>
      <c r="F86" s="113">
        <f>COUNTIFS(LLM_Data_Entry!$A$3:$A$548,$A86,LLM_Data_Entry!$F$3:$F$548,"LLM",LLM_Data_Entry!$R$3:$R$548,"YES")</f>
        <v/>
      </c>
      <c r="G86" s="112">
        <f>IF(E86=0,"-",F86/E86)</f>
        <v/>
      </c>
      <c r="I86">
        <f>A86</f>
        <v/>
      </c>
      <c r="J86" s="108">
        <f>SUMPRODUCT((Human_Data_Entry!$A$3:$A$524=$I86)*(Human_Data_Entry!$H$3:$H$524="Human")*((Human_Data_Entry!$J$3:$J$524="BUY")+(Human_Data_Entry!$J$3:$J$524="SELL"))*ISNUMBER(Human_Data_Entry!$U$3:$U$524))</f>
        <v/>
      </c>
      <c r="K86" s="114">
        <f>IFERROR(AVERAGEIFS(Human_Data_Entry!$U$3:$U$524,Human_Data_Entry!$A$3:$A$524,$I86,Human_Data_Entry!$H$3:$H$524,"Human",Human_Data_Entry!$J$3:$J$524,"&lt;&gt;HOLD",Human_Data_Entry!$U$3:$U$524,"&lt;&gt;"),"")</f>
        <v/>
      </c>
      <c r="L86" s="114">
        <f>IFERROR(SUMIFS(Human_Data_Entry!$U$3:$U$524,Human_Data_Entry!$A$3:$A$524,$I86,Human_Data_Entry!$H$3:$H$524,"Human",Human_Data_Entry!$J$3:$J$524,"&lt;&gt;HOLD"),"")</f>
        <v/>
      </c>
      <c r="M86" s="108">
        <f>COUNTIFS(LLM_Data_Entry!$A$3:$A$548,$I86,LLM_Data_Entry!$F$3:$F$548,"LLM",LLM_Data_Entry!$H$3:$H$548,"&lt;&gt;HOLD",LLM_Data_Entry!$T$3:$T$548,"&lt;&gt;")</f>
        <v/>
      </c>
      <c r="N86" s="114">
        <f>IFERROR(AVERAGEIFS(LLM_Data_Entry!$T$3:$T$548,LLM_Data_Entry!$A$3:$A$548,$I86,LLM_Data_Entry!$F$3:$F$548,"LLM",LLM_Data_Entry!$H$3:$H$548,"&lt;&gt;HOLD",LLM_Data_Entry!$T$3:$T$548,"&lt;&gt;"),"")</f>
        <v/>
      </c>
      <c r="O86" s="114">
        <f>IFERROR(SUMIFS(LLM_Data_Entry!$T$3:$T$548,LLM_Data_Entry!$A$3:$A$548,$I86,LLM_Data_Entry!$F$3:$F$548,"LLM",LLM_Data_Entry!$H$3:$H$548,"&lt;&gt;HOLD"),"")</f>
        <v/>
      </c>
    </row>
    <row r="87">
      <c r="A87" t="inlineStr">
        <is>
          <t>Oracle</t>
        </is>
      </c>
      <c r="B87" s="111">
        <f>COUNTIFS(Human_Data_Entry!$A$3:$A$524,$A87,Human_Data_Entry!$H$3:$H$524,"Human",Human_Data_Entry!$S$3:$S$524,"?*")</f>
        <v/>
      </c>
      <c r="C87" s="111">
        <f>COUNTIFS(Human_Data_Entry!$A$3:$A$524,$A87,Human_Data_Entry!$H$3:$H$524,"Human",Human_Data_Entry!$S$3:$S$524,"YES")</f>
        <v/>
      </c>
      <c r="D87" s="112">
        <f>IF(B87=0,"-",C87/B87)</f>
        <v/>
      </c>
      <c r="E87" s="111">
        <f>COUNTIFS(LLM_Data_Entry!$A$3:$A$548,$A87,LLM_Data_Entry!$F$3:$F$548,"LLM",LLM_Data_Entry!$R$3:$R$548,"&lt;&gt;")</f>
        <v/>
      </c>
      <c r="F87" s="113">
        <f>COUNTIFS(LLM_Data_Entry!$A$3:$A$548,$A87,LLM_Data_Entry!$F$3:$F$548,"LLM",LLM_Data_Entry!$R$3:$R$548,"YES")</f>
        <v/>
      </c>
      <c r="G87" s="112">
        <f>IF(E87=0,"-",F87/E87)</f>
        <v/>
      </c>
      <c r="I87">
        <f>A87</f>
        <v/>
      </c>
      <c r="J87" s="108">
        <f>SUMPRODUCT((Human_Data_Entry!$A$3:$A$524=$I87)*(Human_Data_Entry!$H$3:$H$524="Human")*((Human_Data_Entry!$J$3:$J$524="BUY")+(Human_Data_Entry!$J$3:$J$524="SELL"))*ISNUMBER(Human_Data_Entry!$U$3:$U$524))</f>
        <v/>
      </c>
      <c r="K87" s="114">
        <f>IFERROR(AVERAGEIFS(Human_Data_Entry!$U$3:$U$524,Human_Data_Entry!$A$3:$A$524,$I87,Human_Data_Entry!$H$3:$H$524,"Human",Human_Data_Entry!$J$3:$J$524,"&lt;&gt;HOLD",Human_Data_Entry!$U$3:$U$524,"&lt;&gt;"),"")</f>
        <v/>
      </c>
      <c r="L87" s="114">
        <f>IFERROR(SUMIFS(Human_Data_Entry!$U$3:$U$524,Human_Data_Entry!$A$3:$A$524,$I87,Human_Data_Entry!$H$3:$H$524,"Human",Human_Data_Entry!$J$3:$J$524,"&lt;&gt;HOLD"),"")</f>
        <v/>
      </c>
      <c r="M87" s="108">
        <f>COUNTIFS(LLM_Data_Entry!$A$3:$A$548,$I87,LLM_Data_Entry!$F$3:$F$548,"LLM",LLM_Data_Entry!$H$3:$H$548,"&lt;&gt;HOLD",LLM_Data_Entry!$T$3:$T$548,"&lt;&gt;")</f>
        <v/>
      </c>
      <c r="N87" s="114">
        <f>IFERROR(AVERAGEIFS(LLM_Data_Entry!$T$3:$T$548,LLM_Data_Entry!$A$3:$A$548,$I87,LLM_Data_Entry!$F$3:$F$548,"LLM",LLM_Data_Entry!$H$3:$H$548,"&lt;&gt;HOLD",LLM_Data_Entry!$T$3:$T$548,"&lt;&gt;"),"")</f>
        <v/>
      </c>
      <c r="O87" s="114">
        <f>IFERROR(SUMIFS(LLM_Data_Entry!$T$3:$T$548,LLM_Data_Entry!$A$3:$A$548,$I87,LLM_Data_Entry!$F$3:$F$548,"LLM",LLM_Data_Entry!$H$3:$H$548,"&lt;&gt;HOLD"),"")</f>
        <v/>
      </c>
    </row>
    <row r="88">
      <c r="A88" t="inlineStr">
        <is>
          <t>Palantir</t>
        </is>
      </c>
      <c r="B88" s="111">
        <f>COUNTIFS(Human_Data_Entry!$A$3:$A$524,$A88,Human_Data_Entry!$H$3:$H$524,"Human",Human_Data_Entry!$S$3:$S$524,"?*")</f>
        <v/>
      </c>
      <c r="C88" s="111">
        <f>COUNTIFS(Human_Data_Entry!$A$3:$A$524,$A88,Human_Data_Entry!$H$3:$H$524,"Human",Human_Data_Entry!$S$3:$S$524,"YES")</f>
        <v/>
      </c>
      <c r="D88" s="112">
        <f>IF(B88=0,"-",C88/B88)</f>
        <v/>
      </c>
      <c r="E88" s="111">
        <f>COUNTIFS(LLM_Data_Entry!$A$3:$A$548,$A88,LLM_Data_Entry!$F$3:$F$548,"LLM",LLM_Data_Entry!$R$3:$R$548,"&lt;&gt;")</f>
        <v/>
      </c>
      <c r="F88" s="113">
        <f>COUNTIFS(LLM_Data_Entry!$A$3:$A$548,$A88,LLM_Data_Entry!$F$3:$F$548,"LLM",LLM_Data_Entry!$R$3:$R$548,"YES")</f>
        <v/>
      </c>
      <c r="G88" s="112">
        <f>IF(E88=0,"-",F88/E88)</f>
        <v/>
      </c>
      <c r="I88">
        <f>A88</f>
        <v/>
      </c>
      <c r="J88" s="108">
        <f>SUMPRODUCT((Human_Data_Entry!$A$3:$A$524=$I88)*(Human_Data_Entry!$H$3:$H$524="Human")*((Human_Data_Entry!$J$3:$J$524="BUY")+(Human_Data_Entry!$J$3:$J$524="SELL"))*ISNUMBER(Human_Data_Entry!$U$3:$U$524))</f>
        <v/>
      </c>
      <c r="K88" s="114">
        <f>IFERROR(AVERAGEIFS(Human_Data_Entry!$U$3:$U$524,Human_Data_Entry!$A$3:$A$524,$I88,Human_Data_Entry!$H$3:$H$524,"Human",Human_Data_Entry!$J$3:$J$524,"&lt;&gt;HOLD",Human_Data_Entry!$U$3:$U$524,"&lt;&gt;"),"")</f>
        <v/>
      </c>
      <c r="L88" s="114">
        <f>IFERROR(SUMIFS(Human_Data_Entry!$U$3:$U$524,Human_Data_Entry!$A$3:$A$524,$I88,Human_Data_Entry!$H$3:$H$524,"Human",Human_Data_Entry!$J$3:$J$524,"&lt;&gt;HOLD"),"")</f>
        <v/>
      </c>
      <c r="M88" s="108">
        <f>COUNTIFS(LLM_Data_Entry!$A$3:$A$548,$I88,LLM_Data_Entry!$F$3:$F$548,"LLM",LLM_Data_Entry!$H$3:$H$548,"&lt;&gt;HOLD",LLM_Data_Entry!$T$3:$T$548,"&lt;&gt;")</f>
        <v/>
      </c>
      <c r="N88" s="114">
        <f>IFERROR(AVERAGEIFS(LLM_Data_Entry!$T$3:$T$548,LLM_Data_Entry!$A$3:$A$548,$I88,LLM_Data_Entry!$F$3:$F$548,"LLM",LLM_Data_Entry!$H$3:$H$548,"&lt;&gt;HOLD",LLM_Data_Entry!$T$3:$T$548,"&lt;&gt;"),"")</f>
        <v/>
      </c>
      <c r="O88" s="114">
        <f>IFERROR(SUMIFS(LLM_Data_Entry!$T$3:$T$548,LLM_Data_Entry!$A$3:$A$548,$I88,LLM_Data_Entry!$F$3:$F$548,"LLM",LLM_Data_Entry!$H$3:$H$548,"&lt;&gt;HOLD"),"")</f>
        <v/>
      </c>
    </row>
    <row r="89">
      <c r="A89" t="inlineStr">
        <is>
          <t>Paypal</t>
        </is>
      </c>
      <c r="B89" s="111">
        <f>COUNTIFS(Human_Data_Entry!$A$3:$A$524,$A89,Human_Data_Entry!$H$3:$H$524,"Human",Human_Data_Entry!$S$3:$S$524,"?*")</f>
        <v/>
      </c>
      <c r="C89" s="111">
        <f>COUNTIFS(Human_Data_Entry!$A$3:$A$524,$A89,Human_Data_Entry!$H$3:$H$524,"Human",Human_Data_Entry!$S$3:$S$524,"YES")</f>
        <v/>
      </c>
      <c r="D89" s="112">
        <f>IF(B89=0,"-",C89/B89)</f>
        <v/>
      </c>
      <c r="E89" s="111">
        <f>COUNTIFS(LLM_Data_Entry!$A$3:$A$548,$A89,LLM_Data_Entry!$F$3:$F$548,"LLM",LLM_Data_Entry!$R$3:$R$548,"&lt;&gt;")</f>
        <v/>
      </c>
      <c r="F89" s="113">
        <f>COUNTIFS(LLM_Data_Entry!$A$3:$A$548,$A89,LLM_Data_Entry!$F$3:$F$548,"LLM",LLM_Data_Entry!$R$3:$R$548,"YES")</f>
        <v/>
      </c>
      <c r="G89" s="112">
        <f>IF(E89=0,"-",F89/E89)</f>
        <v/>
      </c>
      <c r="I89">
        <f>A89</f>
        <v/>
      </c>
      <c r="J89" s="108">
        <f>SUMPRODUCT((Human_Data_Entry!$A$3:$A$524=$I89)*(Human_Data_Entry!$H$3:$H$524="Human")*((Human_Data_Entry!$J$3:$J$524="BUY")+(Human_Data_Entry!$J$3:$J$524="SELL"))*ISNUMBER(Human_Data_Entry!$U$3:$U$524))</f>
        <v/>
      </c>
      <c r="K89" s="114">
        <f>IFERROR(AVERAGEIFS(Human_Data_Entry!$U$3:$U$524,Human_Data_Entry!$A$3:$A$524,$I89,Human_Data_Entry!$H$3:$H$524,"Human",Human_Data_Entry!$J$3:$J$524,"&lt;&gt;HOLD",Human_Data_Entry!$U$3:$U$524,"&lt;&gt;"),"")</f>
        <v/>
      </c>
      <c r="L89" s="114">
        <f>IFERROR(SUMIFS(Human_Data_Entry!$U$3:$U$524,Human_Data_Entry!$A$3:$A$524,$I89,Human_Data_Entry!$H$3:$H$524,"Human",Human_Data_Entry!$J$3:$J$524,"&lt;&gt;HOLD"),"")</f>
        <v/>
      </c>
      <c r="M89" s="108">
        <f>COUNTIFS(LLM_Data_Entry!$A$3:$A$548,$I89,LLM_Data_Entry!$F$3:$F$548,"LLM",LLM_Data_Entry!$H$3:$H$548,"&lt;&gt;HOLD",LLM_Data_Entry!$T$3:$T$548,"&lt;&gt;")</f>
        <v/>
      </c>
      <c r="N89" s="114">
        <f>IFERROR(AVERAGEIFS(LLM_Data_Entry!$T$3:$T$548,LLM_Data_Entry!$A$3:$A$548,$I89,LLM_Data_Entry!$F$3:$F$548,"LLM",LLM_Data_Entry!$H$3:$H$548,"&lt;&gt;HOLD",LLM_Data_Entry!$T$3:$T$548,"&lt;&gt;"),"")</f>
        <v/>
      </c>
      <c r="O89" s="114">
        <f>IFERROR(SUMIFS(LLM_Data_Entry!$T$3:$T$548,LLM_Data_Entry!$A$3:$A$548,$I89,LLM_Data_Entry!$F$3:$F$548,"LLM",LLM_Data_Entry!$H$3:$H$548,"&lt;&gt;HOLD"),"")</f>
        <v/>
      </c>
    </row>
    <row r="90">
      <c r="A90" t="inlineStr">
        <is>
          <t>Pinterest</t>
        </is>
      </c>
      <c r="B90" s="111">
        <f>COUNTIFS(Human_Data_Entry!$A$3:$A$524,$A90,Human_Data_Entry!$H$3:$H$524,"Human",Human_Data_Entry!$S$3:$S$524,"?*")</f>
        <v/>
      </c>
      <c r="C90" s="111">
        <f>COUNTIFS(Human_Data_Entry!$A$3:$A$524,$A90,Human_Data_Entry!$H$3:$H$524,"Human",Human_Data_Entry!$S$3:$S$524,"YES")</f>
        <v/>
      </c>
      <c r="D90" s="112">
        <f>IF(B90=0,"-",C90/B90)</f>
        <v/>
      </c>
      <c r="E90" s="111">
        <f>COUNTIFS(LLM_Data_Entry!$A$3:$A$548,$A90,LLM_Data_Entry!$F$3:$F$548,"LLM",LLM_Data_Entry!$R$3:$R$548,"&lt;&gt;")</f>
        <v/>
      </c>
      <c r="F90" s="113">
        <f>COUNTIFS(LLM_Data_Entry!$A$3:$A$548,$A90,LLM_Data_Entry!$F$3:$F$548,"LLM",LLM_Data_Entry!$R$3:$R$548,"YES")</f>
        <v/>
      </c>
      <c r="G90" s="112">
        <f>IF(E90=0,"-",F90/E90)</f>
        <v/>
      </c>
      <c r="I90">
        <f>A90</f>
        <v/>
      </c>
      <c r="J90" s="108">
        <f>SUMPRODUCT((Human_Data_Entry!$A$3:$A$524=$I90)*(Human_Data_Entry!$H$3:$H$524="Human")*((Human_Data_Entry!$J$3:$J$524="BUY")+(Human_Data_Entry!$J$3:$J$524="SELL"))*ISNUMBER(Human_Data_Entry!$U$3:$U$524))</f>
        <v/>
      </c>
      <c r="K90" s="114">
        <f>IFERROR(AVERAGEIFS(Human_Data_Entry!$U$3:$U$524,Human_Data_Entry!$A$3:$A$524,$I90,Human_Data_Entry!$H$3:$H$524,"Human",Human_Data_Entry!$J$3:$J$524,"&lt;&gt;HOLD",Human_Data_Entry!$U$3:$U$524,"&lt;&gt;"),"")</f>
        <v/>
      </c>
      <c r="L90" s="114">
        <f>IFERROR(SUMIFS(Human_Data_Entry!$U$3:$U$524,Human_Data_Entry!$A$3:$A$524,$I90,Human_Data_Entry!$H$3:$H$524,"Human",Human_Data_Entry!$J$3:$J$524,"&lt;&gt;HOLD"),"")</f>
        <v/>
      </c>
      <c r="M90" s="108">
        <f>COUNTIFS(LLM_Data_Entry!$A$3:$A$548,$I90,LLM_Data_Entry!$F$3:$F$548,"LLM",LLM_Data_Entry!$H$3:$H$548,"&lt;&gt;HOLD",LLM_Data_Entry!$T$3:$T$548,"&lt;&gt;")</f>
        <v/>
      </c>
      <c r="N90" s="114">
        <f>IFERROR(AVERAGEIFS(LLM_Data_Entry!$T$3:$T$548,LLM_Data_Entry!$A$3:$A$548,$I90,LLM_Data_Entry!$F$3:$F$548,"LLM",LLM_Data_Entry!$H$3:$H$548,"&lt;&gt;HOLD",LLM_Data_Entry!$T$3:$T$548,"&lt;&gt;"),"")</f>
        <v/>
      </c>
      <c r="O90" s="114">
        <f>IFERROR(SUMIFS(LLM_Data_Entry!$T$3:$T$548,LLM_Data_Entry!$A$3:$A$548,$I90,LLM_Data_Entry!$F$3:$F$548,"LLM",LLM_Data_Entry!$H$3:$H$548,"&lt;&gt;HOLD"),"")</f>
        <v/>
      </c>
    </row>
    <row r="91">
      <c r="A91" t="inlineStr">
        <is>
          <t>Robinhood Markets</t>
        </is>
      </c>
      <c r="B91" s="111">
        <f>COUNTIFS(Human_Data_Entry!$A$3:$A$524,$A91,Human_Data_Entry!$H$3:$H$524,"Human",Human_Data_Entry!$S$3:$S$524,"?*")</f>
        <v/>
      </c>
      <c r="C91" s="111">
        <f>COUNTIFS(Human_Data_Entry!$A$3:$A$524,$A91,Human_Data_Entry!$H$3:$H$524,"Human",Human_Data_Entry!$S$3:$S$524,"YES")</f>
        <v/>
      </c>
      <c r="D91" s="112">
        <f>IF(B91=0,"-",C91/B91)</f>
        <v/>
      </c>
      <c r="E91" s="111">
        <f>COUNTIFS(LLM_Data_Entry!$A$3:$A$548,$A91,LLM_Data_Entry!$F$3:$F$548,"LLM",LLM_Data_Entry!$R$3:$R$548,"&lt;&gt;")</f>
        <v/>
      </c>
      <c r="F91" s="113">
        <f>COUNTIFS(LLM_Data_Entry!$A$3:$A$548,$A91,LLM_Data_Entry!$F$3:$F$548,"LLM",LLM_Data_Entry!$R$3:$R$548,"YES")</f>
        <v/>
      </c>
      <c r="G91" s="112">
        <f>IF(E91=0,"-",F91/E91)</f>
        <v/>
      </c>
      <c r="I91">
        <f>A91</f>
        <v/>
      </c>
      <c r="J91" s="108">
        <f>SUMPRODUCT((Human_Data_Entry!$A$3:$A$524=$I91)*(Human_Data_Entry!$H$3:$H$524="Human")*((Human_Data_Entry!$J$3:$J$524="BUY")+(Human_Data_Entry!$J$3:$J$524="SELL"))*ISNUMBER(Human_Data_Entry!$U$3:$U$524))</f>
        <v/>
      </c>
      <c r="K91" s="114">
        <f>IFERROR(AVERAGEIFS(Human_Data_Entry!$U$3:$U$524,Human_Data_Entry!$A$3:$A$524,$I91,Human_Data_Entry!$H$3:$H$524,"Human",Human_Data_Entry!$J$3:$J$524,"&lt;&gt;HOLD",Human_Data_Entry!$U$3:$U$524,"&lt;&gt;"),"")</f>
        <v/>
      </c>
      <c r="L91" s="114">
        <f>IFERROR(SUMIFS(Human_Data_Entry!$U$3:$U$524,Human_Data_Entry!$A$3:$A$524,$I91,Human_Data_Entry!$H$3:$H$524,"Human",Human_Data_Entry!$J$3:$J$524,"&lt;&gt;HOLD"),"")</f>
        <v/>
      </c>
      <c r="M91" s="108">
        <f>COUNTIFS(LLM_Data_Entry!$A$3:$A$548,$I91,LLM_Data_Entry!$F$3:$F$548,"LLM",LLM_Data_Entry!$H$3:$H$548,"&lt;&gt;HOLD",LLM_Data_Entry!$T$3:$T$548,"&lt;&gt;")</f>
        <v/>
      </c>
      <c r="N91" s="114">
        <f>IFERROR(AVERAGEIFS(LLM_Data_Entry!$T$3:$T$548,LLM_Data_Entry!$A$3:$A$548,$I91,LLM_Data_Entry!$F$3:$F$548,"LLM",LLM_Data_Entry!$H$3:$H$548,"&lt;&gt;HOLD",LLM_Data_Entry!$T$3:$T$548,"&lt;&gt;"),"")</f>
        <v/>
      </c>
      <c r="O91" s="114">
        <f>IFERROR(SUMIFS(LLM_Data_Entry!$T$3:$T$548,LLM_Data_Entry!$A$3:$A$548,$I91,LLM_Data_Entry!$F$3:$F$548,"LLM",LLM_Data_Entry!$H$3:$H$548,"&lt;&gt;HOLD"),"")</f>
        <v/>
      </c>
    </row>
    <row r="92">
      <c r="A92" t="inlineStr">
        <is>
          <t>Salesforce</t>
        </is>
      </c>
      <c r="B92" s="111">
        <f>COUNTIFS(Human_Data_Entry!$A$3:$A$524,$A92,Human_Data_Entry!$H$3:$H$524,"Human",Human_Data_Entry!$S$3:$S$524,"?*")</f>
        <v/>
      </c>
      <c r="C92" s="111">
        <f>COUNTIFS(Human_Data_Entry!$A$3:$A$524,$A92,Human_Data_Entry!$H$3:$H$524,"Human",Human_Data_Entry!$S$3:$S$524,"YES")</f>
        <v/>
      </c>
      <c r="D92" s="112">
        <f>IF(B92=0,"-",C92/B92)</f>
        <v/>
      </c>
      <c r="E92" s="111">
        <f>COUNTIFS(LLM_Data_Entry!$A$3:$A$548,$A92,LLM_Data_Entry!$F$3:$F$548,"LLM",LLM_Data_Entry!$R$3:$R$548,"&lt;&gt;")</f>
        <v/>
      </c>
      <c r="F92" s="113">
        <f>COUNTIFS(LLM_Data_Entry!$A$3:$A$548,$A92,LLM_Data_Entry!$F$3:$F$548,"LLM",LLM_Data_Entry!$R$3:$R$548,"YES")</f>
        <v/>
      </c>
      <c r="G92" s="112">
        <f>IF(E92=0,"-",F92/E92)</f>
        <v/>
      </c>
      <c r="I92">
        <f>A92</f>
        <v/>
      </c>
      <c r="J92" s="108">
        <f>SUMPRODUCT((Human_Data_Entry!$A$3:$A$524=$I92)*(Human_Data_Entry!$H$3:$H$524="Human")*((Human_Data_Entry!$J$3:$J$524="BUY")+(Human_Data_Entry!$J$3:$J$524="SELL"))*ISNUMBER(Human_Data_Entry!$U$3:$U$524))</f>
        <v/>
      </c>
      <c r="K92" s="114">
        <f>IFERROR(AVERAGEIFS(Human_Data_Entry!$U$3:$U$524,Human_Data_Entry!$A$3:$A$524,$I92,Human_Data_Entry!$H$3:$H$524,"Human",Human_Data_Entry!$J$3:$J$524,"&lt;&gt;HOLD",Human_Data_Entry!$U$3:$U$524,"&lt;&gt;"),"")</f>
        <v/>
      </c>
      <c r="L92" s="114">
        <f>IFERROR(SUMIFS(Human_Data_Entry!$U$3:$U$524,Human_Data_Entry!$A$3:$A$524,$I92,Human_Data_Entry!$H$3:$H$524,"Human",Human_Data_Entry!$J$3:$J$524,"&lt;&gt;HOLD"),"")</f>
        <v/>
      </c>
      <c r="M92" s="108">
        <f>COUNTIFS(LLM_Data_Entry!$A$3:$A$548,$I92,LLM_Data_Entry!$F$3:$F$548,"LLM",LLM_Data_Entry!$H$3:$H$548,"&lt;&gt;HOLD",LLM_Data_Entry!$T$3:$T$548,"&lt;&gt;")</f>
        <v/>
      </c>
      <c r="N92" s="114">
        <f>IFERROR(AVERAGEIFS(LLM_Data_Entry!$T$3:$T$548,LLM_Data_Entry!$A$3:$A$548,$I92,LLM_Data_Entry!$F$3:$F$548,"LLM",LLM_Data_Entry!$H$3:$H$548,"&lt;&gt;HOLD",LLM_Data_Entry!$T$3:$T$548,"&lt;&gt;"),"")</f>
        <v/>
      </c>
      <c r="O92" s="114">
        <f>IFERROR(SUMIFS(LLM_Data_Entry!$T$3:$T$548,LLM_Data_Entry!$A$3:$A$548,$I92,LLM_Data_Entry!$F$3:$F$548,"LLM",LLM_Data_Entry!$H$3:$H$548,"&lt;&gt;HOLD"),"")</f>
        <v/>
      </c>
    </row>
    <row r="93">
      <c r="A93" t="inlineStr">
        <is>
          <t>Shopify</t>
        </is>
      </c>
      <c r="B93" s="111">
        <f>COUNTIFS(Human_Data_Entry!$A$3:$A$524,$A93,Human_Data_Entry!$H$3:$H$524,"Human",Human_Data_Entry!$S$3:$S$524,"?*")</f>
        <v/>
      </c>
      <c r="C93" s="111">
        <f>COUNTIFS(Human_Data_Entry!$A$3:$A$524,$A93,Human_Data_Entry!$H$3:$H$524,"Human",Human_Data_Entry!$S$3:$S$524,"YES")</f>
        <v/>
      </c>
      <c r="D93" s="112">
        <f>IF(B93=0,"-",C93/B93)</f>
        <v/>
      </c>
      <c r="E93" s="111">
        <f>COUNTIFS(LLM_Data_Entry!$A$3:$A$548,$A93,LLM_Data_Entry!$F$3:$F$548,"LLM",LLM_Data_Entry!$R$3:$R$548,"&lt;&gt;")</f>
        <v/>
      </c>
      <c r="F93" s="113">
        <f>COUNTIFS(LLM_Data_Entry!$A$3:$A$548,$A93,LLM_Data_Entry!$F$3:$F$548,"LLM",LLM_Data_Entry!$R$3:$R$548,"YES")</f>
        <v/>
      </c>
      <c r="G93" s="112">
        <f>IF(E93=0,"-",F93/E93)</f>
        <v/>
      </c>
      <c r="I93">
        <f>A93</f>
        <v/>
      </c>
      <c r="J93" s="108">
        <f>SUMPRODUCT((Human_Data_Entry!$A$3:$A$524=$I93)*(Human_Data_Entry!$H$3:$H$524="Human")*((Human_Data_Entry!$J$3:$J$524="BUY")+(Human_Data_Entry!$J$3:$J$524="SELL"))*ISNUMBER(Human_Data_Entry!$U$3:$U$524))</f>
        <v/>
      </c>
      <c r="K93" s="114">
        <f>IFERROR(AVERAGEIFS(Human_Data_Entry!$U$3:$U$524,Human_Data_Entry!$A$3:$A$524,$I93,Human_Data_Entry!$H$3:$H$524,"Human",Human_Data_Entry!$J$3:$J$524,"&lt;&gt;HOLD",Human_Data_Entry!$U$3:$U$524,"&lt;&gt;"),"")</f>
        <v/>
      </c>
      <c r="L93" s="114">
        <f>IFERROR(SUMIFS(Human_Data_Entry!$U$3:$U$524,Human_Data_Entry!$A$3:$A$524,$I93,Human_Data_Entry!$H$3:$H$524,"Human",Human_Data_Entry!$J$3:$J$524,"&lt;&gt;HOLD"),"")</f>
        <v/>
      </c>
      <c r="M93" s="108">
        <f>COUNTIFS(LLM_Data_Entry!$A$3:$A$548,$I93,LLM_Data_Entry!$F$3:$F$548,"LLM",LLM_Data_Entry!$H$3:$H$548,"&lt;&gt;HOLD",LLM_Data_Entry!$T$3:$T$548,"&lt;&gt;")</f>
        <v/>
      </c>
      <c r="N93" s="114">
        <f>IFERROR(AVERAGEIFS(LLM_Data_Entry!$T$3:$T$548,LLM_Data_Entry!$A$3:$A$548,$I93,LLM_Data_Entry!$F$3:$F$548,"LLM",LLM_Data_Entry!$H$3:$H$548,"&lt;&gt;HOLD",LLM_Data_Entry!$T$3:$T$548,"&lt;&gt;"),"")</f>
        <v/>
      </c>
      <c r="O93" s="114">
        <f>IFERROR(SUMIFS(LLM_Data_Entry!$T$3:$T$548,LLM_Data_Entry!$A$3:$A$548,$I93,LLM_Data_Entry!$F$3:$F$548,"LLM",LLM_Data_Entry!$H$3:$H$548,"&lt;&gt;HOLD"),"")</f>
        <v/>
      </c>
    </row>
    <row r="94">
      <c r="A94" t="inlineStr">
        <is>
          <t>Siemens</t>
        </is>
      </c>
      <c r="B94" s="111">
        <f>COUNTIFS(Human_Data_Entry!$A$3:$A$524,$A94,Human_Data_Entry!$H$3:$H$524,"Human",Human_Data_Entry!$S$3:$S$524,"?*")</f>
        <v/>
      </c>
      <c r="C94" s="111">
        <f>COUNTIFS(Human_Data_Entry!$A$3:$A$524,$A94,Human_Data_Entry!$H$3:$H$524,"Human",Human_Data_Entry!$S$3:$S$524,"YES")</f>
        <v/>
      </c>
      <c r="D94" s="112">
        <f>IF(B94=0,"-",C94/B94)</f>
        <v/>
      </c>
      <c r="E94" s="111">
        <f>COUNTIFS(LLM_Data_Entry!$A$3:$A$548,$A94,LLM_Data_Entry!$F$3:$F$548,"LLM",LLM_Data_Entry!$R$3:$R$548,"&lt;&gt;")</f>
        <v/>
      </c>
      <c r="F94" s="113">
        <f>COUNTIFS(LLM_Data_Entry!$A$3:$A$548,$A94,LLM_Data_Entry!$F$3:$F$548,"LLM",LLM_Data_Entry!$R$3:$R$548,"YES")</f>
        <v/>
      </c>
      <c r="G94" s="112">
        <f>IF(E94=0,"-",F94/E94)</f>
        <v/>
      </c>
      <c r="I94">
        <f>A94</f>
        <v/>
      </c>
      <c r="J94" s="108">
        <f>SUMPRODUCT((Human_Data_Entry!$A$3:$A$524=$I94)*(Human_Data_Entry!$H$3:$H$524="Human")*((Human_Data_Entry!$J$3:$J$524="BUY")+(Human_Data_Entry!$J$3:$J$524="SELL"))*ISNUMBER(Human_Data_Entry!$U$3:$U$524))</f>
        <v/>
      </c>
      <c r="K94" s="114">
        <f>IFERROR(AVERAGEIFS(Human_Data_Entry!$U$3:$U$524,Human_Data_Entry!$A$3:$A$524,$I94,Human_Data_Entry!$H$3:$H$524,"Human",Human_Data_Entry!$J$3:$J$524,"&lt;&gt;HOLD",Human_Data_Entry!$U$3:$U$524,"&lt;&gt;"),"")</f>
        <v/>
      </c>
      <c r="L94" s="114">
        <f>IFERROR(SUMIFS(Human_Data_Entry!$U$3:$U$524,Human_Data_Entry!$A$3:$A$524,$I94,Human_Data_Entry!$H$3:$H$524,"Human",Human_Data_Entry!$J$3:$J$524,"&lt;&gt;HOLD"),"")</f>
        <v/>
      </c>
      <c r="M94" s="108">
        <f>COUNTIFS(LLM_Data_Entry!$A$3:$A$548,$I94,LLM_Data_Entry!$F$3:$F$548,"LLM",LLM_Data_Entry!$H$3:$H$548,"&lt;&gt;HOLD",LLM_Data_Entry!$T$3:$T$548,"&lt;&gt;")</f>
        <v/>
      </c>
      <c r="N94" s="114">
        <f>IFERROR(AVERAGEIFS(LLM_Data_Entry!$T$3:$T$548,LLM_Data_Entry!$A$3:$A$548,$I94,LLM_Data_Entry!$F$3:$F$548,"LLM",LLM_Data_Entry!$H$3:$H$548,"&lt;&gt;HOLD",LLM_Data_Entry!$T$3:$T$548,"&lt;&gt;"),"")</f>
        <v/>
      </c>
      <c r="O94" s="114">
        <f>IFERROR(SUMIFS(LLM_Data_Entry!$T$3:$T$548,LLM_Data_Entry!$A$3:$A$548,$I94,LLM_Data_Entry!$F$3:$F$548,"LLM",LLM_Data_Entry!$H$3:$H$548,"&lt;&gt;HOLD"),"")</f>
        <v/>
      </c>
    </row>
    <row r="95">
      <c r="A95" t="inlineStr">
        <is>
          <t>Sony</t>
        </is>
      </c>
      <c r="B95" s="111">
        <f>COUNTIFS(Human_Data_Entry!$A$3:$A$524,$A95,Human_Data_Entry!$H$3:$H$524,"Human",Human_Data_Entry!$S$3:$S$524,"?*")</f>
        <v/>
      </c>
      <c r="C95" s="111">
        <f>COUNTIFS(Human_Data_Entry!$A$3:$A$524,$A95,Human_Data_Entry!$H$3:$H$524,"Human",Human_Data_Entry!$S$3:$S$524,"YES")</f>
        <v/>
      </c>
      <c r="D95" s="112">
        <f>IF(B95=0,"-",C95/B95)</f>
        <v/>
      </c>
      <c r="E95" s="111">
        <f>COUNTIFS(LLM_Data_Entry!$A$3:$A$548,$A95,LLM_Data_Entry!$F$3:$F$548,"LLM",LLM_Data_Entry!$R$3:$R$548,"&lt;&gt;")</f>
        <v/>
      </c>
      <c r="F95" s="113">
        <f>COUNTIFS(LLM_Data_Entry!$A$3:$A$548,$A95,LLM_Data_Entry!$F$3:$F$548,"LLM",LLM_Data_Entry!$R$3:$R$548,"YES")</f>
        <v/>
      </c>
      <c r="G95" s="112">
        <f>IF(E95=0,"-",F95/E95)</f>
        <v/>
      </c>
      <c r="I95">
        <f>A95</f>
        <v/>
      </c>
      <c r="J95" s="108">
        <f>SUMPRODUCT((Human_Data_Entry!$A$3:$A$524=$I95)*(Human_Data_Entry!$H$3:$H$524="Human")*((Human_Data_Entry!$J$3:$J$524="BUY")+(Human_Data_Entry!$J$3:$J$524="SELL"))*ISNUMBER(Human_Data_Entry!$U$3:$U$524))</f>
        <v/>
      </c>
      <c r="K95" s="114">
        <f>IFERROR(AVERAGEIFS(Human_Data_Entry!$U$3:$U$524,Human_Data_Entry!$A$3:$A$524,$I95,Human_Data_Entry!$H$3:$H$524,"Human",Human_Data_Entry!$J$3:$J$524,"&lt;&gt;HOLD",Human_Data_Entry!$U$3:$U$524,"&lt;&gt;"),"")</f>
        <v/>
      </c>
      <c r="L95" s="114">
        <f>IFERROR(SUMIFS(Human_Data_Entry!$U$3:$U$524,Human_Data_Entry!$A$3:$A$524,$I95,Human_Data_Entry!$H$3:$H$524,"Human",Human_Data_Entry!$J$3:$J$524,"&lt;&gt;HOLD"),"")</f>
        <v/>
      </c>
      <c r="M95" s="108">
        <f>COUNTIFS(LLM_Data_Entry!$A$3:$A$548,$I95,LLM_Data_Entry!$F$3:$F$548,"LLM",LLM_Data_Entry!$H$3:$H$548,"&lt;&gt;HOLD",LLM_Data_Entry!$T$3:$T$548,"&lt;&gt;")</f>
        <v/>
      </c>
      <c r="N95" s="114">
        <f>IFERROR(AVERAGEIFS(LLM_Data_Entry!$T$3:$T$548,LLM_Data_Entry!$A$3:$A$548,$I95,LLM_Data_Entry!$F$3:$F$548,"LLM",LLM_Data_Entry!$H$3:$H$548,"&lt;&gt;HOLD",LLM_Data_Entry!$T$3:$T$548,"&lt;&gt;"),"")</f>
        <v/>
      </c>
      <c r="O95" s="114">
        <f>IFERROR(SUMIFS(LLM_Data_Entry!$T$3:$T$548,LLM_Data_Entry!$A$3:$A$548,$I95,LLM_Data_Entry!$F$3:$F$548,"LLM",LLM_Data_Entry!$H$3:$H$548,"&lt;&gt;HOLD"),"")</f>
        <v/>
      </c>
    </row>
    <row r="96">
      <c r="A96" t="inlineStr">
        <is>
          <t>Spotify</t>
        </is>
      </c>
      <c r="B96" s="111">
        <f>COUNTIFS(Human_Data_Entry!$A$3:$A$524,$A96,Human_Data_Entry!$H$3:$H$524,"Human",Human_Data_Entry!$S$3:$S$524,"?*")</f>
        <v/>
      </c>
      <c r="C96" s="111">
        <f>COUNTIFS(Human_Data_Entry!$A$3:$A$524,$A96,Human_Data_Entry!$H$3:$H$524,"Human",Human_Data_Entry!$S$3:$S$524,"YES")</f>
        <v/>
      </c>
      <c r="D96" s="112">
        <f>IF(B96=0,"-",C96/B96)</f>
        <v/>
      </c>
      <c r="E96" s="111">
        <f>COUNTIFS(LLM_Data_Entry!$A$3:$A$548,$A96,LLM_Data_Entry!$F$3:$F$548,"LLM",LLM_Data_Entry!$R$3:$R$548,"&lt;&gt;")</f>
        <v/>
      </c>
      <c r="F96" s="113">
        <f>COUNTIFS(LLM_Data_Entry!$A$3:$A$548,$A96,LLM_Data_Entry!$F$3:$F$548,"LLM",LLM_Data_Entry!$R$3:$R$548,"YES")</f>
        <v/>
      </c>
      <c r="G96" s="112">
        <f>IF(E96=0,"-",F96/E96)</f>
        <v/>
      </c>
      <c r="I96">
        <f>A96</f>
        <v/>
      </c>
      <c r="J96" s="108">
        <f>SUMPRODUCT((Human_Data_Entry!$A$3:$A$524=$I96)*(Human_Data_Entry!$H$3:$H$524="Human")*((Human_Data_Entry!$J$3:$J$524="BUY")+(Human_Data_Entry!$J$3:$J$524="SELL"))*ISNUMBER(Human_Data_Entry!$U$3:$U$524))</f>
        <v/>
      </c>
      <c r="K96" s="114">
        <f>IFERROR(AVERAGEIFS(Human_Data_Entry!$U$3:$U$524,Human_Data_Entry!$A$3:$A$524,$I96,Human_Data_Entry!$H$3:$H$524,"Human",Human_Data_Entry!$J$3:$J$524,"&lt;&gt;HOLD",Human_Data_Entry!$U$3:$U$524,"&lt;&gt;"),"")</f>
        <v/>
      </c>
      <c r="L96" s="114">
        <f>IFERROR(SUMIFS(Human_Data_Entry!$U$3:$U$524,Human_Data_Entry!$A$3:$A$524,$I96,Human_Data_Entry!$H$3:$H$524,"Human",Human_Data_Entry!$J$3:$J$524,"&lt;&gt;HOLD"),"")</f>
        <v/>
      </c>
      <c r="M96" s="108">
        <f>COUNTIFS(LLM_Data_Entry!$A$3:$A$548,$I96,LLM_Data_Entry!$F$3:$F$548,"LLM",LLM_Data_Entry!$H$3:$H$548,"&lt;&gt;HOLD",LLM_Data_Entry!$T$3:$T$548,"&lt;&gt;")</f>
        <v/>
      </c>
      <c r="N96" s="114">
        <f>IFERROR(AVERAGEIFS(LLM_Data_Entry!$T$3:$T$548,LLM_Data_Entry!$A$3:$A$548,$I96,LLM_Data_Entry!$F$3:$F$548,"LLM",LLM_Data_Entry!$H$3:$H$548,"&lt;&gt;HOLD",LLM_Data_Entry!$T$3:$T$548,"&lt;&gt;"),"")</f>
        <v/>
      </c>
      <c r="O96" s="114">
        <f>IFERROR(SUMIFS(LLM_Data_Entry!$T$3:$T$548,LLM_Data_Entry!$A$3:$A$548,$I96,LLM_Data_Entry!$F$3:$F$548,"LLM",LLM_Data_Entry!$H$3:$H$548,"&lt;&gt;HOLD"),"")</f>
        <v/>
      </c>
    </row>
    <row r="97">
      <c r="A97" t="inlineStr">
        <is>
          <t>Standard Chartered</t>
        </is>
      </c>
      <c r="B97" s="111">
        <f>COUNTIFS(Human_Data_Entry!$A$3:$A$524,$A97,Human_Data_Entry!$H$3:$H$524,"Human",Human_Data_Entry!$S$3:$S$524,"?*")</f>
        <v/>
      </c>
      <c r="C97" s="111">
        <f>COUNTIFS(Human_Data_Entry!$A$3:$A$524,$A97,Human_Data_Entry!$H$3:$H$524,"Human",Human_Data_Entry!$S$3:$S$524,"YES")</f>
        <v/>
      </c>
      <c r="D97" s="112">
        <f>IF(B97=0,"-",C97/B97)</f>
        <v/>
      </c>
      <c r="E97" s="111">
        <f>COUNTIFS(LLM_Data_Entry!$A$3:$A$548,$A97,LLM_Data_Entry!$F$3:$F$548,"LLM",LLM_Data_Entry!$R$3:$R$548,"&lt;&gt;")</f>
        <v/>
      </c>
      <c r="F97" s="113">
        <f>COUNTIFS(LLM_Data_Entry!$A$3:$A$548,$A97,LLM_Data_Entry!$F$3:$F$548,"LLM",LLM_Data_Entry!$R$3:$R$548,"YES")</f>
        <v/>
      </c>
      <c r="G97" s="112">
        <f>IF(E97=0,"-",F97/E97)</f>
        <v/>
      </c>
      <c r="I97">
        <f>A97</f>
        <v/>
      </c>
      <c r="J97" s="108">
        <f>SUMPRODUCT((Human_Data_Entry!$A$3:$A$524=$I97)*(Human_Data_Entry!$H$3:$H$524="Human")*((Human_Data_Entry!$J$3:$J$524="BUY")+(Human_Data_Entry!$J$3:$J$524="SELL"))*ISNUMBER(Human_Data_Entry!$U$3:$U$524))</f>
        <v/>
      </c>
      <c r="K97" s="114">
        <f>IFERROR(AVERAGEIFS(Human_Data_Entry!$U$3:$U$524,Human_Data_Entry!$A$3:$A$524,$I97,Human_Data_Entry!$H$3:$H$524,"Human",Human_Data_Entry!$J$3:$J$524,"&lt;&gt;HOLD",Human_Data_Entry!$U$3:$U$524,"&lt;&gt;"),"")</f>
        <v/>
      </c>
      <c r="L97" s="114">
        <f>IFERROR(SUMIFS(Human_Data_Entry!$U$3:$U$524,Human_Data_Entry!$A$3:$A$524,$I97,Human_Data_Entry!$H$3:$H$524,"Human",Human_Data_Entry!$J$3:$J$524,"&lt;&gt;HOLD"),"")</f>
        <v/>
      </c>
      <c r="M97" s="108">
        <f>COUNTIFS(LLM_Data_Entry!$A$3:$A$548,$I97,LLM_Data_Entry!$F$3:$F$548,"LLM",LLM_Data_Entry!$H$3:$H$548,"&lt;&gt;HOLD",LLM_Data_Entry!$T$3:$T$548,"&lt;&gt;")</f>
        <v/>
      </c>
      <c r="N97" s="114">
        <f>IFERROR(AVERAGEIFS(LLM_Data_Entry!$T$3:$T$548,LLM_Data_Entry!$A$3:$A$548,$I97,LLM_Data_Entry!$F$3:$F$548,"LLM",LLM_Data_Entry!$H$3:$H$548,"&lt;&gt;HOLD",LLM_Data_Entry!$T$3:$T$548,"&lt;&gt;"),"")</f>
        <v/>
      </c>
      <c r="O97" s="114">
        <f>IFERROR(SUMIFS(LLM_Data_Entry!$T$3:$T$548,LLM_Data_Entry!$A$3:$A$548,$I97,LLM_Data_Entry!$F$3:$F$548,"LLM",LLM_Data_Entry!$H$3:$H$548,"&lt;&gt;HOLD"),"")</f>
        <v/>
      </c>
    </row>
    <row r="98">
      <c r="A98" t="inlineStr">
        <is>
          <t>Tesla</t>
        </is>
      </c>
      <c r="B98" s="111">
        <f>COUNTIFS(Human_Data_Entry!$A$3:$A$524,$A98,Human_Data_Entry!$H$3:$H$524,"Human",Human_Data_Entry!$S$3:$S$524,"?*")</f>
        <v/>
      </c>
      <c r="C98" s="111">
        <f>COUNTIFS(Human_Data_Entry!$A$3:$A$524,$A98,Human_Data_Entry!$H$3:$H$524,"Human",Human_Data_Entry!$S$3:$S$524,"YES")</f>
        <v/>
      </c>
      <c r="D98" s="112">
        <f>IF(B98=0,"-",C98/B98)</f>
        <v/>
      </c>
      <c r="E98" s="111">
        <f>COUNTIFS(LLM_Data_Entry!$A$3:$A$548,$A98,LLM_Data_Entry!$F$3:$F$548,"LLM",LLM_Data_Entry!$R$3:$R$548,"&lt;&gt;")</f>
        <v/>
      </c>
      <c r="F98" s="113">
        <f>COUNTIFS(LLM_Data_Entry!$A$3:$A$548,$A98,LLM_Data_Entry!$F$3:$F$548,"LLM",LLM_Data_Entry!$R$3:$R$548,"YES")</f>
        <v/>
      </c>
      <c r="G98" s="112">
        <f>IF(E98=0,"-",F98/E98)</f>
        <v/>
      </c>
      <c r="I98">
        <f>A98</f>
        <v/>
      </c>
      <c r="J98" s="108">
        <f>SUMPRODUCT((Human_Data_Entry!$A$3:$A$524=$I98)*(Human_Data_Entry!$H$3:$H$524="Human")*((Human_Data_Entry!$J$3:$J$524="BUY")+(Human_Data_Entry!$J$3:$J$524="SELL"))*ISNUMBER(Human_Data_Entry!$U$3:$U$524))</f>
        <v/>
      </c>
      <c r="K98" s="114">
        <f>IFERROR(AVERAGEIFS(Human_Data_Entry!$U$3:$U$524,Human_Data_Entry!$A$3:$A$524,$I98,Human_Data_Entry!$H$3:$H$524,"Human",Human_Data_Entry!$J$3:$J$524,"&lt;&gt;HOLD",Human_Data_Entry!$U$3:$U$524,"&lt;&gt;"),"")</f>
        <v/>
      </c>
      <c r="L98" s="114">
        <f>IFERROR(SUMIFS(Human_Data_Entry!$U$3:$U$524,Human_Data_Entry!$A$3:$A$524,$I98,Human_Data_Entry!$H$3:$H$524,"Human",Human_Data_Entry!$J$3:$J$524,"&lt;&gt;HOLD"),"")</f>
        <v/>
      </c>
      <c r="M98" s="108">
        <f>COUNTIFS(LLM_Data_Entry!$A$3:$A$548,$I98,LLM_Data_Entry!$F$3:$F$548,"LLM",LLM_Data_Entry!$H$3:$H$548,"&lt;&gt;HOLD",LLM_Data_Entry!$T$3:$T$548,"&lt;&gt;")</f>
        <v/>
      </c>
      <c r="N98" s="114">
        <f>IFERROR(AVERAGEIFS(LLM_Data_Entry!$T$3:$T$548,LLM_Data_Entry!$A$3:$A$548,$I98,LLM_Data_Entry!$F$3:$F$548,"LLM",LLM_Data_Entry!$H$3:$H$548,"&lt;&gt;HOLD",LLM_Data_Entry!$T$3:$T$548,"&lt;&gt;"),"")</f>
        <v/>
      </c>
      <c r="O98" s="114">
        <f>IFERROR(SUMIFS(LLM_Data_Entry!$T$3:$T$548,LLM_Data_Entry!$A$3:$A$548,$I98,LLM_Data_Entry!$F$3:$F$548,"LLM",LLM_Data_Entry!$H$3:$H$548,"&lt;&gt;HOLD"),"")</f>
        <v/>
      </c>
    </row>
    <row r="99">
      <c r="A99" t="inlineStr">
        <is>
          <t>Nvidia</t>
        </is>
      </c>
      <c r="B99" s="111">
        <f>COUNTIFS(Human_Data_Entry!$A$3:$A$524,$A99,Human_Data_Entry!$H$3:$H$524,"Human",Human_Data_Entry!$S$3:$S$524,"?*")</f>
        <v/>
      </c>
      <c r="C99" s="111">
        <f>COUNTIFS(Human_Data_Entry!$A$3:$A$524,$A99,Human_Data_Entry!$H$3:$H$524,"Human",Human_Data_Entry!$S$3:$S$524,"YES")</f>
        <v/>
      </c>
      <c r="D99" s="112">
        <f>IF(B99=0,"-",C99/B99)</f>
        <v/>
      </c>
      <c r="E99" s="111">
        <f>COUNTIFS(LLM_Data_Entry!$A$3:$A$548,$A99,LLM_Data_Entry!$F$3:$F$548,"LLM",LLM_Data_Entry!$R$3:$R$548,"&lt;&gt;")</f>
        <v/>
      </c>
      <c r="F99" s="113">
        <f>COUNTIFS(LLM_Data_Entry!$A$3:$A$548,$A99,LLM_Data_Entry!$F$3:$F$548,"LLM",LLM_Data_Entry!$R$3:$R$548,"YES")</f>
        <v/>
      </c>
      <c r="G99" s="112">
        <f>IF(E99=0,"-",F99/E99)</f>
        <v/>
      </c>
      <c r="I99">
        <f>A99</f>
        <v/>
      </c>
      <c r="J99" s="108">
        <f>SUMPRODUCT((Human_Data_Entry!$A$3:$A$524=$I99)*(Human_Data_Entry!$H$3:$H$524="Human")*((Human_Data_Entry!$J$3:$J$524="BUY")+(Human_Data_Entry!$J$3:$J$524="SELL"))*ISNUMBER(Human_Data_Entry!$U$3:$U$524))</f>
        <v/>
      </c>
      <c r="K99" s="114">
        <f>IFERROR(AVERAGEIFS(Human_Data_Entry!$U$3:$U$524,Human_Data_Entry!$A$3:$A$524,$I99,Human_Data_Entry!$H$3:$H$524,"Human",Human_Data_Entry!$J$3:$J$524,"&lt;&gt;HOLD",Human_Data_Entry!$U$3:$U$524,"&lt;&gt;"),"")</f>
        <v/>
      </c>
      <c r="L99" s="114">
        <f>IFERROR(SUMIFS(Human_Data_Entry!$U$3:$U$524,Human_Data_Entry!$A$3:$A$524,$I99,Human_Data_Entry!$H$3:$H$524,"Human",Human_Data_Entry!$J$3:$J$524,"&lt;&gt;HOLD"),"")</f>
        <v/>
      </c>
      <c r="M99" s="108">
        <f>COUNTIFS(LLM_Data_Entry!$A$3:$A$548,$I99,LLM_Data_Entry!$F$3:$F$548,"LLM",LLM_Data_Entry!$H$3:$H$548,"&lt;&gt;HOLD",LLM_Data_Entry!$T$3:$T$548,"&lt;&gt;")</f>
        <v/>
      </c>
      <c r="N99" s="114">
        <f>IFERROR(AVERAGEIFS(LLM_Data_Entry!$T$3:$T$548,LLM_Data_Entry!$A$3:$A$548,$I99,LLM_Data_Entry!$F$3:$F$548,"LLM",LLM_Data_Entry!$H$3:$H$548,"&lt;&gt;HOLD",LLM_Data_Entry!$T$3:$T$548,"&lt;&gt;"),"")</f>
        <v/>
      </c>
      <c r="O99" s="114">
        <f>IFERROR(SUMIFS(LLM_Data_Entry!$T$3:$T$548,LLM_Data_Entry!$A$3:$A$548,$I99,LLM_Data_Entry!$F$3:$F$548,"LLM",LLM_Data_Entry!$H$3:$H$548,"&lt;&gt;HOLD"),"")</f>
        <v/>
      </c>
    </row>
    <row r="100">
      <c r="A100" t="inlineStr">
        <is>
          <t>Union Pacific</t>
        </is>
      </c>
      <c r="B100" s="111">
        <f>COUNTIFS(Human_Data_Entry!$A$3:$A$524,$A100,Human_Data_Entry!$H$3:$H$524,"Human",Human_Data_Entry!$S$3:$S$524,"?*")</f>
        <v/>
      </c>
      <c r="C100" s="111">
        <f>COUNTIFS(Human_Data_Entry!$A$3:$A$524,$A100,Human_Data_Entry!$H$3:$H$524,"Human",Human_Data_Entry!$S$3:$S$524,"YES")</f>
        <v/>
      </c>
      <c r="D100" s="112">
        <f>IF(B100=0,"-",C100/B100)</f>
        <v/>
      </c>
      <c r="E100" s="111">
        <f>COUNTIFS(LLM_Data_Entry!$A$3:$A$548,$A100,LLM_Data_Entry!$F$3:$F$548,"LLM",LLM_Data_Entry!$R$3:$R$548,"&lt;&gt;")</f>
        <v/>
      </c>
      <c r="F100" s="113">
        <f>COUNTIFS(LLM_Data_Entry!$A$3:$A$548,$A100,LLM_Data_Entry!$F$3:$F$548,"LLM",LLM_Data_Entry!$R$3:$R$548,"YES")</f>
        <v/>
      </c>
      <c r="G100" s="112">
        <f>IF(E100=0,"-",F100/E100)</f>
        <v/>
      </c>
      <c r="I100">
        <f>A100</f>
        <v/>
      </c>
      <c r="J100" s="108">
        <f>SUMPRODUCT((Human_Data_Entry!$A$3:$A$524=$I100)*(Human_Data_Entry!$H$3:$H$524="Human")*((Human_Data_Entry!$J$3:$J$524="BUY")+(Human_Data_Entry!$J$3:$J$524="SELL"))*ISNUMBER(Human_Data_Entry!$U$3:$U$524))</f>
        <v/>
      </c>
      <c r="K100" s="114">
        <f>IFERROR(AVERAGEIFS(Human_Data_Entry!$U$3:$U$524,Human_Data_Entry!$A$3:$A$524,$I100,Human_Data_Entry!$H$3:$H$524,"Human",Human_Data_Entry!$J$3:$J$524,"&lt;&gt;HOLD",Human_Data_Entry!$U$3:$U$524,"&lt;&gt;"),"")</f>
        <v/>
      </c>
      <c r="L100" s="114">
        <f>IFERROR(SUMIFS(Human_Data_Entry!$U$3:$U$524,Human_Data_Entry!$A$3:$A$524,$I100,Human_Data_Entry!$H$3:$H$524,"Human",Human_Data_Entry!$J$3:$J$524,"&lt;&gt;HOLD"),"")</f>
        <v/>
      </c>
      <c r="M100" s="108">
        <f>COUNTIFS(LLM_Data_Entry!$A$3:$A$548,$I100,LLM_Data_Entry!$F$3:$F$548,"LLM",LLM_Data_Entry!$H$3:$H$548,"&lt;&gt;HOLD",LLM_Data_Entry!$T$3:$T$548,"&lt;&gt;")</f>
        <v/>
      </c>
      <c r="N100" s="114">
        <f>IFERROR(AVERAGEIFS(LLM_Data_Entry!$T$3:$T$548,LLM_Data_Entry!$A$3:$A$548,$I100,LLM_Data_Entry!$F$3:$F$548,"LLM",LLM_Data_Entry!$H$3:$H$548,"&lt;&gt;HOLD",LLM_Data_Entry!$T$3:$T$548,"&lt;&gt;"),"")</f>
        <v/>
      </c>
      <c r="O100" s="114">
        <f>IFERROR(SUMIFS(LLM_Data_Entry!$T$3:$T$548,LLM_Data_Entry!$A$3:$A$548,$I100,LLM_Data_Entry!$F$3:$F$548,"LLM",LLM_Data_Entry!$H$3:$H$548,"&lt;&gt;HOLD"),"")</f>
        <v/>
      </c>
    </row>
    <row r="101">
      <c r="A101" t="inlineStr">
        <is>
          <t>UnitedHealth</t>
        </is>
      </c>
      <c r="B101" s="111">
        <f>COUNTIFS(Human_Data_Entry!$A$3:$A$524,$A101,Human_Data_Entry!$H$3:$H$524,"Human",Human_Data_Entry!$S$3:$S$524,"?*")</f>
        <v/>
      </c>
      <c r="C101" s="111">
        <f>COUNTIFS(Human_Data_Entry!$A$3:$A$524,$A101,Human_Data_Entry!$H$3:$H$524,"Human",Human_Data_Entry!$S$3:$S$524,"YES")</f>
        <v/>
      </c>
      <c r="D101" s="112">
        <f>IF(B101=0,"-",C101/B101)</f>
        <v/>
      </c>
      <c r="E101" s="111">
        <f>COUNTIFS(LLM_Data_Entry!$A$3:$A$548,$A101,LLM_Data_Entry!$F$3:$F$548,"LLM",LLM_Data_Entry!$R$3:$R$548,"&lt;&gt;")</f>
        <v/>
      </c>
      <c r="F101" s="113">
        <f>COUNTIFS(LLM_Data_Entry!$A$3:$A$548,$A101,LLM_Data_Entry!$F$3:$F$548,"LLM",LLM_Data_Entry!$R$3:$R$548,"YES")</f>
        <v/>
      </c>
      <c r="G101" s="112">
        <f>IF(E101=0,"-",F101/E101)</f>
        <v/>
      </c>
      <c r="I101">
        <f>A101</f>
        <v/>
      </c>
      <c r="J101" s="108">
        <f>SUMPRODUCT((Human_Data_Entry!$A$3:$A$524=$I101)*(Human_Data_Entry!$H$3:$H$524="Human")*((Human_Data_Entry!$J$3:$J$524="BUY")+(Human_Data_Entry!$J$3:$J$524="SELL"))*ISNUMBER(Human_Data_Entry!$U$3:$U$524))</f>
        <v/>
      </c>
      <c r="K101" s="114">
        <f>IFERROR(AVERAGEIFS(Human_Data_Entry!$U$3:$U$524,Human_Data_Entry!$A$3:$A$524,$I101,Human_Data_Entry!$H$3:$H$524,"Human",Human_Data_Entry!$J$3:$J$524,"&lt;&gt;HOLD",Human_Data_Entry!$U$3:$U$524,"&lt;&gt;"),"")</f>
        <v/>
      </c>
      <c r="L101" s="114">
        <f>IFERROR(SUMIFS(Human_Data_Entry!$U$3:$U$524,Human_Data_Entry!$A$3:$A$524,$I101,Human_Data_Entry!$H$3:$H$524,"Human",Human_Data_Entry!$J$3:$J$524,"&lt;&gt;HOLD"),"")</f>
        <v/>
      </c>
      <c r="M101" s="108">
        <f>COUNTIFS(LLM_Data_Entry!$A$3:$A$548,$I101,LLM_Data_Entry!$F$3:$F$548,"LLM",LLM_Data_Entry!$H$3:$H$548,"&lt;&gt;HOLD",LLM_Data_Entry!$T$3:$T$548,"&lt;&gt;")</f>
        <v/>
      </c>
      <c r="N101" s="114">
        <f>IFERROR(AVERAGEIFS(LLM_Data_Entry!$T$3:$T$548,LLM_Data_Entry!$A$3:$A$548,$I101,LLM_Data_Entry!$F$3:$F$548,"LLM",LLM_Data_Entry!$H$3:$H$548,"&lt;&gt;HOLD",LLM_Data_Entry!$T$3:$T$548,"&lt;&gt;"),"")</f>
        <v/>
      </c>
      <c r="O101" s="114">
        <f>IFERROR(SUMIFS(LLM_Data_Entry!$T$3:$T$548,LLM_Data_Entry!$A$3:$A$548,$I101,LLM_Data_Entry!$F$3:$F$548,"LLM",LLM_Data_Entry!$H$3:$H$548,"&lt;&gt;HOLD"),"")</f>
        <v/>
      </c>
    </row>
    <row r="102">
      <c r="A102" t="inlineStr">
        <is>
          <t>Visa</t>
        </is>
      </c>
      <c r="B102" s="111">
        <f>COUNTIFS(Human_Data_Entry!$A$3:$A$524,$A102,Human_Data_Entry!$H$3:$H$524,"Human",Human_Data_Entry!$S$3:$S$524,"?*")</f>
        <v/>
      </c>
      <c r="C102" s="111">
        <f>COUNTIFS(Human_Data_Entry!$A$3:$A$524,$A102,Human_Data_Entry!$H$3:$H$524,"Human",Human_Data_Entry!$S$3:$S$524,"YES")</f>
        <v/>
      </c>
      <c r="D102" s="112">
        <f>IF(B102=0,"-",C102/B102)</f>
        <v/>
      </c>
      <c r="E102" s="111">
        <f>COUNTIFS(LLM_Data_Entry!$A$3:$A$548,$A102,LLM_Data_Entry!$F$3:$F$548,"LLM",LLM_Data_Entry!$R$3:$R$548,"&lt;&gt;")</f>
        <v/>
      </c>
      <c r="F102" s="113">
        <f>COUNTIFS(LLM_Data_Entry!$A$3:$A$548,$A102,LLM_Data_Entry!$F$3:$F$548,"LLM",LLM_Data_Entry!$R$3:$R$548,"YES")</f>
        <v/>
      </c>
      <c r="G102" s="112">
        <f>IF(E102=0,"-",F102/E102)</f>
        <v/>
      </c>
      <c r="I102">
        <f>A102</f>
        <v/>
      </c>
      <c r="J102" s="108">
        <f>SUMPRODUCT((Human_Data_Entry!$A$3:$A$524=$I102)*(Human_Data_Entry!$H$3:$H$524="Human")*((Human_Data_Entry!$J$3:$J$524="BUY")+(Human_Data_Entry!$J$3:$J$524="SELL"))*ISNUMBER(Human_Data_Entry!$U$3:$U$524))</f>
        <v/>
      </c>
      <c r="K102" s="114">
        <f>IFERROR(AVERAGEIFS(Human_Data_Entry!$U$3:$U$524,Human_Data_Entry!$A$3:$A$524,$I102,Human_Data_Entry!$H$3:$H$524,"Human",Human_Data_Entry!$J$3:$J$524,"&lt;&gt;HOLD",Human_Data_Entry!$U$3:$U$524,"&lt;&gt;"),"")</f>
        <v/>
      </c>
      <c r="L102" s="114">
        <f>IFERROR(SUMIFS(Human_Data_Entry!$U$3:$U$524,Human_Data_Entry!$A$3:$A$524,$I102,Human_Data_Entry!$H$3:$H$524,"Human",Human_Data_Entry!$J$3:$J$524,"&lt;&gt;HOLD"),"")</f>
        <v/>
      </c>
      <c r="M102" s="108">
        <f>COUNTIFS(LLM_Data_Entry!$A$3:$A$548,$I102,LLM_Data_Entry!$F$3:$F$548,"LLM",LLM_Data_Entry!$H$3:$H$548,"&lt;&gt;HOLD",LLM_Data_Entry!$T$3:$T$548,"&lt;&gt;")</f>
        <v/>
      </c>
      <c r="N102" s="114">
        <f>IFERROR(AVERAGEIFS(LLM_Data_Entry!$T$3:$T$548,LLM_Data_Entry!$A$3:$A$548,$I102,LLM_Data_Entry!$F$3:$F$548,"LLM",LLM_Data_Entry!$H$3:$H$548,"&lt;&gt;HOLD",LLM_Data_Entry!$T$3:$T$548,"&lt;&gt;"),"")</f>
        <v/>
      </c>
      <c r="O102" s="114">
        <f>IFERROR(SUMIFS(LLM_Data_Entry!$T$3:$T$548,LLM_Data_Entry!$A$3:$A$548,$I102,LLM_Data_Entry!$F$3:$F$548,"LLM",LLM_Data_Entry!$H$3:$H$548,"&lt;&gt;HOLD"),"")</f>
        <v/>
      </c>
    </row>
    <row r="103">
      <c r="A103" t="inlineStr">
        <is>
          <t>Workday</t>
        </is>
      </c>
      <c r="B103" s="111">
        <f>COUNTIFS(Human_Data_Entry!$A$3:$A$524,$A103,Human_Data_Entry!$H$3:$H$524,"Human",Human_Data_Entry!$S$3:$S$524,"?*")</f>
        <v/>
      </c>
      <c r="C103" s="111">
        <f>COUNTIFS(Human_Data_Entry!$A$3:$A$524,$A103,Human_Data_Entry!$H$3:$H$524,"Human",Human_Data_Entry!$S$3:$S$524,"YES")</f>
        <v/>
      </c>
      <c r="D103" s="112">
        <f>IF(B103=0,"-",C103/B103)</f>
        <v/>
      </c>
      <c r="E103" s="111">
        <f>COUNTIFS(LLM_Data_Entry!$A$3:$A$548,$A103,LLM_Data_Entry!$F$3:$F$548,"LLM",LLM_Data_Entry!$R$3:$R$548,"&lt;&gt;")</f>
        <v/>
      </c>
      <c r="F103" s="113">
        <f>COUNTIFS(LLM_Data_Entry!$A$3:$A$548,$A103,LLM_Data_Entry!$F$3:$F$548,"LLM",LLM_Data_Entry!$R$3:$R$548,"YES")</f>
        <v/>
      </c>
      <c r="G103" s="112">
        <f>IF(E103=0,"-",F103/E103)</f>
        <v/>
      </c>
      <c r="I103">
        <f>A103</f>
        <v/>
      </c>
      <c r="J103" s="108">
        <f>SUMPRODUCT((Human_Data_Entry!$A$3:$A$524=$I103)*(Human_Data_Entry!$H$3:$H$524="Human")*((Human_Data_Entry!$J$3:$J$524="BUY")+(Human_Data_Entry!$J$3:$J$524="SELL"))*ISNUMBER(Human_Data_Entry!$U$3:$U$524))</f>
        <v/>
      </c>
      <c r="K103" s="114">
        <f>IFERROR(AVERAGEIFS(Human_Data_Entry!$U$3:$U$524,Human_Data_Entry!$A$3:$A$524,$I103,Human_Data_Entry!$H$3:$H$524,"Human",Human_Data_Entry!$J$3:$J$524,"&lt;&gt;HOLD",Human_Data_Entry!$U$3:$U$524,"&lt;&gt;"),"")</f>
        <v/>
      </c>
      <c r="L103" s="114">
        <f>IFERROR(SUMIFS(Human_Data_Entry!$U$3:$U$524,Human_Data_Entry!$A$3:$A$524,$I103,Human_Data_Entry!$H$3:$H$524,"Human",Human_Data_Entry!$J$3:$J$524,"&lt;&gt;HOLD"),"")</f>
        <v/>
      </c>
      <c r="M103" s="108">
        <f>COUNTIFS(LLM_Data_Entry!$A$3:$A$548,$I103,LLM_Data_Entry!$F$3:$F$548,"LLM",LLM_Data_Entry!$H$3:$H$548,"&lt;&gt;HOLD",LLM_Data_Entry!$T$3:$T$548,"&lt;&gt;")</f>
        <v/>
      </c>
      <c r="N103" s="114">
        <f>IFERROR(AVERAGEIFS(LLM_Data_Entry!$T$3:$T$548,LLM_Data_Entry!$A$3:$A$548,$I103,LLM_Data_Entry!$F$3:$F$548,"LLM",LLM_Data_Entry!$H$3:$H$548,"&lt;&gt;HOLD",LLM_Data_Entry!$T$3:$T$548,"&lt;&gt;"),"")</f>
        <v/>
      </c>
      <c r="O103" s="114">
        <f>IFERROR(SUMIFS(LLM_Data_Entry!$T$3:$T$548,LLM_Data_Entry!$A$3:$A$548,$I103,LLM_Data_Entry!$F$3:$F$548,"LLM",LLM_Data_Entry!$H$3:$H$548,"&lt;&gt;HOLD"),"")</f>
        <v/>
      </c>
    </row>
    <row r="104">
      <c r="A104" t="inlineStr">
        <is>
          <t>American Express</t>
        </is>
      </c>
      <c r="B104" s="111">
        <f>COUNTIFS(Human_Data_Entry!$A$3:$A$524,$A104,Human_Data_Entry!$H$3:$H$524,"Human",Human_Data_Entry!$S$3:$S$524,"?*")</f>
        <v/>
      </c>
      <c r="C104" s="111">
        <f>COUNTIFS(Human_Data_Entry!$A$3:$A$524,$A104,Human_Data_Entry!$H$3:$H$524,"Human",Human_Data_Entry!$S$3:$S$524,"YES")</f>
        <v/>
      </c>
      <c r="D104" s="112">
        <f>IF(B104=0,"-",C104/B104)</f>
        <v/>
      </c>
      <c r="E104" s="111">
        <f>COUNTIFS(LLM_Data_Entry!$A$3:$A$548,$A104,LLM_Data_Entry!$F$3:$F$548,"LLM",LLM_Data_Entry!$R$3:$R$548,"&lt;&gt;")</f>
        <v/>
      </c>
      <c r="F104" s="113">
        <f>COUNTIFS(LLM_Data_Entry!$A$3:$A$548,$A104,LLM_Data_Entry!$F$3:$F$548,"LLM",LLM_Data_Entry!$R$3:$R$548,"YES")</f>
        <v/>
      </c>
      <c r="G104" s="112">
        <f>IF(E104=0,"-",F104/E104)</f>
        <v/>
      </c>
      <c r="I104">
        <f>A104</f>
        <v/>
      </c>
      <c r="J104" s="108">
        <f>SUMPRODUCT((Human_Data_Entry!$A$3:$A$524=$I104)*(Human_Data_Entry!$H$3:$H$524="Human")*((Human_Data_Entry!$J$3:$J$524="BUY")+(Human_Data_Entry!$J$3:$J$524="SELL"))*ISNUMBER(Human_Data_Entry!$U$3:$U$524))</f>
        <v/>
      </c>
      <c r="K104" s="114">
        <f>IFERROR(AVERAGEIFS(Human_Data_Entry!$U$3:$U$524,Human_Data_Entry!$A$3:$A$524,$I104,Human_Data_Entry!$H$3:$H$524,"Human",Human_Data_Entry!$J$3:$J$524,"&lt;&gt;HOLD",Human_Data_Entry!$U$3:$U$524,"&lt;&gt;"),"")</f>
        <v/>
      </c>
      <c r="L104" s="114">
        <f>IFERROR(SUMIFS(Human_Data_Entry!$U$3:$U$524,Human_Data_Entry!$A$3:$A$524,$I104,Human_Data_Entry!$H$3:$H$524,"Human",Human_Data_Entry!$J$3:$J$524,"&lt;&gt;HOLD"),"")</f>
        <v/>
      </c>
      <c r="M104" s="108">
        <f>COUNTIFS(LLM_Data_Entry!$A$3:$A$548,$I104,LLM_Data_Entry!$F$3:$F$548,"LLM",LLM_Data_Entry!$H$3:$H$548,"&lt;&gt;HOLD",LLM_Data_Entry!$T$3:$T$548,"&lt;&gt;")</f>
        <v/>
      </c>
      <c r="N104" s="114">
        <f>IFERROR(AVERAGEIFS(LLM_Data_Entry!$T$3:$T$548,LLM_Data_Entry!$A$3:$A$548,$I104,LLM_Data_Entry!$F$3:$F$548,"LLM",LLM_Data_Entry!$H$3:$H$548,"&lt;&gt;HOLD",LLM_Data_Entry!$T$3:$T$548,"&lt;&gt;"),"")</f>
        <v/>
      </c>
      <c r="O104" s="114">
        <f>IFERROR(SUMIFS(LLM_Data_Entry!$T$3:$T$548,LLM_Data_Entry!$A$3:$A$548,$I104,LLM_Data_Entry!$F$3:$F$548,"LLM",LLM_Data_Entry!$H$3:$H$548,"&lt;&gt;HOLD"),"")</f>
        <v/>
      </c>
    </row>
    <row r="105">
      <c r="A105" t="inlineStr">
        <is>
          <t>Chevron</t>
        </is>
      </c>
      <c r="B105" s="111">
        <f>COUNTIFS(Human_Data_Entry!$A$3:$A$524,$A105,Human_Data_Entry!$H$3:$H$524,"Human",Human_Data_Entry!$S$3:$S$524,"?*")</f>
        <v/>
      </c>
      <c r="C105" s="111">
        <f>COUNTIFS(Human_Data_Entry!$A$3:$A$524,$A105,Human_Data_Entry!$H$3:$H$524,"Human",Human_Data_Entry!$S$3:$S$524,"YES")</f>
        <v/>
      </c>
      <c r="D105" s="112">
        <f>IF(B105=0,"-",C105/B105)</f>
        <v/>
      </c>
      <c r="E105" s="111">
        <f>COUNTIFS(LLM_Data_Entry!$A$3:$A$548,$A105,LLM_Data_Entry!$F$3:$F$548,"LLM",LLM_Data_Entry!$R$3:$R$548,"&lt;&gt;")</f>
        <v/>
      </c>
      <c r="F105" s="113">
        <f>COUNTIFS(LLM_Data_Entry!$A$3:$A$548,$A105,LLM_Data_Entry!$F$3:$F$548,"LLM",LLM_Data_Entry!$R$3:$R$548,"YES")</f>
        <v/>
      </c>
      <c r="G105" s="112">
        <f>IF(E105=0,"-",F105/E105)</f>
        <v/>
      </c>
      <c r="I105">
        <f>A105</f>
        <v/>
      </c>
      <c r="J105" s="108">
        <f>SUMPRODUCT((Human_Data_Entry!$A$3:$A$524=$I105)*(Human_Data_Entry!$H$3:$H$524="Human")*((Human_Data_Entry!$J$3:$J$524="BUY")+(Human_Data_Entry!$J$3:$J$524="SELL"))*ISNUMBER(Human_Data_Entry!$U$3:$U$524))</f>
        <v/>
      </c>
      <c r="K105" s="114">
        <f>IFERROR(AVERAGEIFS(Human_Data_Entry!$U$3:$U$524,Human_Data_Entry!$A$3:$A$524,$I105,Human_Data_Entry!$H$3:$H$524,"Human",Human_Data_Entry!$J$3:$J$524,"&lt;&gt;HOLD",Human_Data_Entry!$U$3:$U$524,"&lt;&gt;"),"")</f>
        <v/>
      </c>
      <c r="L105" s="114">
        <f>IFERROR(SUMIFS(Human_Data_Entry!$U$3:$U$524,Human_Data_Entry!$A$3:$A$524,$I105,Human_Data_Entry!$H$3:$H$524,"Human",Human_Data_Entry!$J$3:$J$524,"&lt;&gt;HOLD"),"")</f>
        <v/>
      </c>
      <c r="M105" s="108">
        <f>COUNTIFS(LLM_Data_Entry!$A$3:$A$548,$I105,LLM_Data_Entry!$F$3:$F$548,"LLM",LLM_Data_Entry!$H$3:$H$548,"&lt;&gt;HOLD",LLM_Data_Entry!$T$3:$T$548,"&lt;&gt;")</f>
        <v/>
      </c>
      <c r="N105" s="114">
        <f>IFERROR(AVERAGEIFS(LLM_Data_Entry!$T$3:$T$548,LLM_Data_Entry!$A$3:$A$548,$I105,LLM_Data_Entry!$F$3:$F$548,"LLM",LLM_Data_Entry!$H$3:$H$548,"&lt;&gt;HOLD",LLM_Data_Entry!$T$3:$T$548,"&lt;&gt;"),"")</f>
        <v/>
      </c>
      <c r="O105" s="114">
        <f>IFERROR(SUMIFS(LLM_Data_Entry!$T$3:$T$548,LLM_Data_Entry!$A$3:$A$548,$I105,LLM_Data_Entry!$F$3:$F$548,"LLM",LLM_Data_Entry!$H$3:$H$548,"&lt;&gt;HOLD"),"")</f>
        <v/>
      </c>
    </row>
    <row r="106">
      <c r="A106" t="inlineStr">
        <is>
          <t>Intel</t>
        </is>
      </c>
      <c r="B106" s="111">
        <f>COUNTIFS(Human_Data_Entry!$A$3:$A$524,$A106,Human_Data_Entry!$H$3:$H$524,"Human",Human_Data_Entry!$S$3:$S$524,"?*")</f>
        <v/>
      </c>
      <c r="C106" s="111">
        <f>COUNTIFS(Human_Data_Entry!$A$3:$A$524,$A106,Human_Data_Entry!$H$3:$H$524,"Human",Human_Data_Entry!$S$3:$S$524,"YES")</f>
        <v/>
      </c>
      <c r="D106" s="112">
        <f>IF(B106=0,"-",C106/B106)</f>
        <v/>
      </c>
      <c r="E106" s="111">
        <f>COUNTIFS(LLM_Data_Entry!$A$3:$A$548,$A106,LLM_Data_Entry!$F$3:$F$548,"LLM",LLM_Data_Entry!$R$3:$R$548,"&lt;&gt;")</f>
        <v/>
      </c>
      <c r="F106" s="113">
        <f>COUNTIFS(LLM_Data_Entry!$A$3:$A$548,$A106,LLM_Data_Entry!$F$3:$F$548,"LLM",LLM_Data_Entry!$R$3:$R$548,"YES")</f>
        <v/>
      </c>
      <c r="G106" s="112">
        <f>IF(E106=0,"-",F106/E106)</f>
        <v/>
      </c>
      <c r="I106">
        <f>A106</f>
        <v/>
      </c>
      <c r="J106" s="108">
        <f>SUMPRODUCT((Human_Data_Entry!$A$3:$A$524=$I106)*(Human_Data_Entry!$H$3:$H$524="Human")*((Human_Data_Entry!$J$3:$J$524="BUY")+(Human_Data_Entry!$J$3:$J$524="SELL"))*ISNUMBER(Human_Data_Entry!$U$3:$U$524))</f>
        <v/>
      </c>
      <c r="K106" s="114">
        <f>IFERROR(AVERAGEIFS(Human_Data_Entry!$U$3:$U$524,Human_Data_Entry!$A$3:$A$524,$I106,Human_Data_Entry!$H$3:$H$524,"Human",Human_Data_Entry!$J$3:$J$524,"&lt;&gt;HOLD",Human_Data_Entry!$U$3:$U$524,"&lt;&gt;"),"")</f>
        <v/>
      </c>
      <c r="L106" s="114">
        <f>IFERROR(SUMIFS(Human_Data_Entry!$U$3:$U$524,Human_Data_Entry!$A$3:$A$524,$I106,Human_Data_Entry!$H$3:$H$524,"Human",Human_Data_Entry!$J$3:$J$524,"&lt;&gt;HOLD"),"")</f>
        <v/>
      </c>
      <c r="M106" s="108">
        <f>COUNTIFS(LLM_Data_Entry!$A$3:$A$548,$I106,LLM_Data_Entry!$F$3:$F$548,"LLM",LLM_Data_Entry!$H$3:$H$548,"&lt;&gt;HOLD",LLM_Data_Entry!$T$3:$T$548,"&lt;&gt;")</f>
        <v/>
      </c>
      <c r="N106" s="114">
        <f>IFERROR(AVERAGEIFS(LLM_Data_Entry!$T$3:$T$548,LLM_Data_Entry!$A$3:$A$548,$I106,LLM_Data_Entry!$F$3:$F$548,"LLM",LLM_Data_Entry!$H$3:$H$548,"&lt;&gt;HOLD",LLM_Data_Entry!$T$3:$T$548,"&lt;&gt;"),"")</f>
        <v/>
      </c>
      <c r="O106" s="114">
        <f>IFERROR(SUMIFS(LLM_Data_Entry!$T$3:$T$548,LLM_Data_Entry!$A$3:$A$548,$I106,LLM_Data_Entry!$F$3:$F$548,"LLM",LLM_Data_Entry!$H$3:$H$548,"&lt;&gt;HOLD"),"")</f>
        <v/>
      </c>
    </row>
    <row r="107">
      <c r="A107" t="inlineStr">
        <is>
          <t>Mastercard</t>
        </is>
      </c>
      <c r="B107" s="111">
        <f>COUNTIFS(Human_Data_Entry!$A$3:$A$524,$A107,Human_Data_Entry!$H$3:$H$524,"Human",Human_Data_Entry!$S$3:$S$524,"?*")</f>
        <v/>
      </c>
      <c r="C107" s="111">
        <f>COUNTIFS(Human_Data_Entry!$A$3:$A$524,$A107,Human_Data_Entry!$H$3:$H$524,"Human",Human_Data_Entry!$S$3:$S$524,"YES")</f>
        <v/>
      </c>
      <c r="D107" s="112">
        <f>IF(B107=0,"-",C107/B107)</f>
        <v/>
      </c>
      <c r="E107" s="111">
        <f>COUNTIFS(LLM_Data_Entry!$A$3:$A$548,$A107,LLM_Data_Entry!$F$3:$F$548,"LLM",LLM_Data_Entry!$R$3:$R$548,"&lt;&gt;")</f>
        <v/>
      </c>
      <c r="F107" s="113">
        <f>COUNTIFS(LLM_Data_Entry!$A$3:$A$548,$A107,LLM_Data_Entry!$F$3:$F$548,"LLM",LLM_Data_Entry!$R$3:$R$548,"YES")</f>
        <v/>
      </c>
      <c r="G107" s="112">
        <f>IF(E107=0,"-",F107/E107)</f>
        <v/>
      </c>
      <c r="I107">
        <f>A107</f>
        <v/>
      </c>
      <c r="J107" s="108">
        <f>SUMPRODUCT((Human_Data_Entry!$A$3:$A$524=$I107)*(Human_Data_Entry!$H$3:$H$524="Human")*((Human_Data_Entry!$J$3:$J$524="BUY")+(Human_Data_Entry!$J$3:$J$524="SELL"))*ISNUMBER(Human_Data_Entry!$U$3:$U$524))</f>
        <v/>
      </c>
      <c r="K107" s="114">
        <f>IFERROR(AVERAGEIFS(Human_Data_Entry!$U$3:$U$524,Human_Data_Entry!$A$3:$A$524,$I107,Human_Data_Entry!$H$3:$H$524,"Human",Human_Data_Entry!$J$3:$J$524,"&lt;&gt;HOLD",Human_Data_Entry!$U$3:$U$524,"&lt;&gt;"),"")</f>
        <v/>
      </c>
      <c r="L107" s="114">
        <f>IFERROR(SUMIFS(Human_Data_Entry!$U$3:$U$524,Human_Data_Entry!$A$3:$A$524,$I107,Human_Data_Entry!$H$3:$H$524,"Human",Human_Data_Entry!$J$3:$J$524,"&lt;&gt;HOLD"),"")</f>
        <v/>
      </c>
      <c r="M107" s="108">
        <f>COUNTIFS(LLM_Data_Entry!$A$3:$A$548,$I107,LLM_Data_Entry!$F$3:$F$548,"LLM",LLM_Data_Entry!$H$3:$H$548,"&lt;&gt;HOLD",LLM_Data_Entry!$T$3:$T$548,"&lt;&gt;")</f>
        <v/>
      </c>
      <c r="N107" s="114">
        <f>IFERROR(AVERAGEIFS(LLM_Data_Entry!$T$3:$T$548,LLM_Data_Entry!$A$3:$A$548,$I107,LLM_Data_Entry!$F$3:$F$548,"LLM",LLM_Data_Entry!$H$3:$H$548,"&lt;&gt;HOLD",LLM_Data_Entry!$T$3:$T$548,"&lt;&gt;"),"")</f>
        <v/>
      </c>
      <c r="O107" s="114">
        <f>IFERROR(SUMIFS(LLM_Data_Entry!$T$3:$T$548,LLM_Data_Entry!$A$3:$A$548,$I107,LLM_Data_Entry!$F$3:$F$548,"LLM",LLM_Data_Entry!$H$3:$H$548,"&lt;&gt;HOLD"),"")</f>
        <v/>
      </c>
    </row>
    <row r="108">
      <c r="A108" t="inlineStr">
        <is>
          <t>Shell</t>
        </is>
      </c>
      <c r="B108" s="111">
        <f>COUNTIFS(Human_Data_Entry!$A$3:$A$524,$A108,Human_Data_Entry!$H$3:$H$524,"Human",Human_Data_Entry!$S$3:$S$524,"?*")</f>
        <v/>
      </c>
      <c r="C108" s="111">
        <f>COUNTIFS(Human_Data_Entry!$A$3:$A$524,$A108,Human_Data_Entry!$H$3:$H$524,"Human",Human_Data_Entry!$S$3:$S$524,"YES")</f>
        <v/>
      </c>
      <c r="D108" s="112">
        <f>IF(B108=0,"-",C108/B108)</f>
        <v/>
      </c>
      <c r="E108" s="111">
        <f>COUNTIFS(LLM_Data_Entry!$A$3:$A$548,$A108,LLM_Data_Entry!$F$3:$F$548,"LLM",LLM_Data_Entry!$R$3:$R$548,"&lt;&gt;")</f>
        <v/>
      </c>
      <c r="F108" s="113">
        <f>COUNTIFS(LLM_Data_Entry!$A$3:$A$548,$A108,LLM_Data_Entry!$F$3:$F$548,"LLM",LLM_Data_Entry!$R$3:$R$548,"YES")</f>
        <v/>
      </c>
      <c r="G108" s="112">
        <f>IF(E108=0,"-",F108/E108)</f>
        <v/>
      </c>
      <c r="I108">
        <f>A108</f>
        <v/>
      </c>
      <c r="J108" s="108">
        <f>SUMPRODUCT((Human_Data_Entry!$A$3:$A$524=$I108)*(Human_Data_Entry!$H$3:$H$524="Human")*((Human_Data_Entry!$J$3:$J$524="BUY")+(Human_Data_Entry!$J$3:$J$524="SELL"))*ISNUMBER(Human_Data_Entry!$U$3:$U$524))</f>
        <v/>
      </c>
      <c r="K108" s="114">
        <f>IFERROR(AVERAGEIFS(Human_Data_Entry!$U$3:$U$524,Human_Data_Entry!$A$3:$A$524,$I108,Human_Data_Entry!$H$3:$H$524,"Human",Human_Data_Entry!$J$3:$J$524,"&lt;&gt;HOLD",Human_Data_Entry!$U$3:$U$524,"&lt;&gt;"),"")</f>
        <v/>
      </c>
      <c r="L108" s="114">
        <f>IFERROR(SUMIFS(Human_Data_Entry!$U$3:$U$524,Human_Data_Entry!$A$3:$A$524,$I108,Human_Data_Entry!$H$3:$H$524,"Human",Human_Data_Entry!$J$3:$J$524,"&lt;&gt;HOLD"),"")</f>
        <v/>
      </c>
      <c r="M108" s="108">
        <f>COUNTIFS(LLM_Data_Entry!$A$3:$A$548,$I108,LLM_Data_Entry!$F$3:$F$548,"LLM",LLM_Data_Entry!$H$3:$H$548,"&lt;&gt;HOLD",LLM_Data_Entry!$T$3:$T$548,"&lt;&gt;")</f>
        <v/>
      </c>
      <c r="N108" s="114">
        <f>IFERROR(AVERAGEIFS(LLM_Data_Entry!$T$3:$T$548,LLM_Data_Entry!$A$3:$A$548,$I108,LLM_Data_Entry!$F$3:$F$548,"LLM",LLM_Data_Entry!$H$3:$H$548,"&lt;&gt;HOLD",LLM_Data_Entry!$T$3:$T$548,"&lt;&gt;"),"")</f>
        <v/>
      </c>
      <c r="O108" s="114">
        <f>IFERROR(SUMIFS(LLM_Data_Entry!$T$3:$T$548,LLM_Data_Entry!$A$3:$A$548,$I108,LLM_Data_Entry!$F$3:$F$548,"LLM",LLM_Data_Entry!$H$3:$H$548,"&lt;&gt;HOLD"),"")</f>
        <v/>
      </c>
    </row>
    <row r="115">
      <c r="A115" s="10" t="inlineStr">
        <is>
          <t>Secondary check - Always-SELL rule (not the study benchmark)</t>
        </is>
      </c>
    </row>
    <row r="116" ht="30" customHeight="1">
      <c r="B116" s="17" t="inlineStr">
        <is>
          <t>Total with
Prices Entered</t>
        </is>
      </c>
      <c r="C116" s="17" t="inlineStr">
        <is>
          <t># DOWN
moves</t>
        </is>
      </c>
      <c r="D116" s="17" t="inlineStr">
        <is>
          <t>Naive Baseline
% Correct</t>
        </is>
      </c>
    </row>
    <row r="117">
      <c r="A117" s="11" t="inlineStr">
        <is>
          <t>If always SELL:</t>
        </is>
      </c>
      <c r="B117" s="57">
        <f>COUNTIF(Human_Data_Entry!$S$3:$S$524,"?*")</f>
        <v/>
      </c>
      <c r="C117" s="57">
        <f>COUNTIF(Human_Data_Entry!$R$3:$R$524,"DOWN")</f>
        <v/>
      </c>
      <c r="D117" s="58">
        <f>IF(B117=0,"-",C117/B117)</f>
        <v/>
      </c>
    </row>
    <row r="118" ht="168.95" customHeight="1">
      <c r="A118" s="134" t="inlineStr">
        <is>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is>
      </c>
    </row>
    <row r="121">
      <c r="A121" t="inlineStr">
        <is>
          <t>SECTION C — SECOND RESULTS BLOCK, re-priced basis (the block above is unchanged and still the published one)</t>
        </is>
      </c>
    </row>
    <row r="122">
      <c r="A122" t="inlineStr">
        <is>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is>
      </c>
    </row>
    <row r="124">
      <c r="A124" t="inlineStr"/>
      <c r="B124" t="inlineStr">
        <is>
          <t>Human (re-priced)</t>
        </is>
      </c>
      <c r="C124" t="inlineStr">
        <is>
          <t>LLM (re-priced)</t>
        </is>
      </c>
    </row>
    <row r="125">
      <c r="A125" t="inlineStr">
        <is>
          <t>Readings re-priced</t>
        </is>
      </c>
      <c r="B125">
        <f>SUMPRODUCT(--(Human_Data_Entry!$AJ$3:$AJ$524&lt;&gt;""))</f>
        <v/>
      </c>
      <c r="C125">
        <f>SUMPRODUCT(--(LLM_Data_Entry!$AE$3:$AE$430&lt;&gt;""))</f>
        <v/>
      </c>
    </row>
    <row r="126">
      <c r="A126" t="inlineStr">
        <is>
          <t>Correct</t>
        </is>
      </c>
      <c r="B126">
        <f>SUMPRODUCT(--(Human_Data_Entry!$AJ$3:$AJ$524="YES"))</f>
        <v/>
      </c>
      <c r="C126">
        <f>SUMPRODUCT(--(LLM_Data_Entry!$AE$3:$AE$430="YES"))</f>
        <v/>
      </c>
    </row>
    <row r="127">
      <c r="A127" t="inlineStr">
        <is>
          <t>% Correct</t>
        </is>
      </c>
      <c r="B127">
        <f>IFERROR(B126/B125,"")</f>
        <v/>
      </c>
      <c r="C127">
        <f>IFERROR(C126/C125,"")</f>
        <v/>
      </c>
    </row>
    <row r="128">
      <c r="A128" t="inlineStr">
        <is>
          <t>Naive floor (best single constant call)</t>
        </is>
      </c>
      <c r="B128">
        <f>IFERROR(MAX(SUMPRODUCT(--(Human_Data_Entry!$AI$3:$AI$524="UP")),SUMPRODUCT(--(Human_Data_Entry!$AI$3:$AI$524="DOWN")),SUMPRODUCT(--(Human_Data_Entry!$AI$3:$AI$524="FLAT")))/B125,"")</f>
        <v/>
      </c>
      <c r="C128">
        <f>IFERROR(MAX(SUMPRODUCT(--(LLM_Data_Entry!$AD$3:$AD$430="UP")),SUMPRODUCT(--(LLM_Data_Entry!$AD$3:$AD$430="DOWN")),SUMPRODUCT(--(LLM_Data_Entry!$AD$3:$AD$430="FLAT")))/C125,"")</f>
        <v/>
      </c>
    </row>
    <row r="129">
      <c r="A129" t="inlineStr">
        <is>
          <t># Trades</t>
        </is>
      </c>
      <c r="B129">
        <f>SUMPRODUCT(--(Human_Data_Entry!$AJ$3:$AJ$524&lt;&gt;""),--((Human_Data_Entry!$J$3:$J$524="BUY")+(Human_Data_Entry!$J$3:$J$524="SELL")&gt;0))</f>
        <v/>
      </c>
      <c r="C129">
        <f>SUMPRODUCT(--(LLM_Data_Entry!$AE$3:$AE$430&lt;&gt;""),--((LLM_Data_Entry!$H$3:$H$430="BUY")+(LLM_Data_Entry!$H$3:$H$430="SELL")&gt;0))</f>
        <v/>
      </c>
    </row>
    <row r="130">
      <c r="A130" t="inlineStr">
        <is>
          <t>Total Return % (sum of per-trade)</t>
        </is>
      </c>
      <c r="B130">
        <f>SUM(Human_Data_Entry!$AK$3:$AK$524)</f>
        <v/>
      </c>
      <c r="C130">
        <f>SUM(LLM_Data_Entry!$AF$3:$AF$430)</f>
        <v/>
      </c>
    </row>
    <row r="131">
      <c r="A131" t="inlineStr">
        <is>
          <t>Avg %/Trade</t>
        </is>
      </c>
      <c r="B131">
        <f>IFERROR(B130/B129,"")</f>
        <v/>
      </c>
      <c r="C131">
        <f>IFERROR(C130/C129,"")</f>
        <v/>
      </c>
    </row>
    <row r="132">
      <c r="A132" t="inlineStr">
        <is>
          <t>Outcome mix — UP</t>
        </is>
      </c>
      <c r="B132">
        <f>SUMPRODUCT(--(Human_Data_Entry!$AI$3:$AI$524="UP"))</f>
        <v/>
      </c>
      <c r="C132">
        <f>SUMPRODUCT(--(LLM_Data_Entry!$AD$3:$AD$430="UP"))</f>
        <v/>
      </c>
    </row>
    <row r="133">
      <c r="A133" t="inlineStr">
        <is>
          <t>Outcome mix — DOWN</t>
        </is>
      </c>
      <c r="B133">
        <f>SUMPRODUCT(--(Human_Data_Entry!$AI$3:$AI$524="DOWN"))</f>
        <v/>
      </c>
      <c r="C133">
        <f>SUMPRODUCT(--(LLM_Data_Entry!$AD$3:$AD$430="DOWN"))</f>
        <v/>
      </c>
    </row>
    <row r="134">
      <c r="A134" t="inlineStr">
        <is>
          <t>Outcome mix — FLAT</t>
        </is>
      </c>
      <c r="B134">
        <f>SUMPRODUCT(--(Human_Data_Entry!$AI$3:$AI$524="FLAT"))</f>
        <v/>
      </c>
      <c r="C134">
        <f>SUMPRODUCT(--(LLM_Data_Entry!$AD$3:$AD$430="FLAT"))</f>
        <v/>
      </c>
    </row>
    <row r="135">
      <c r="A135" t="inlineStr">
        <is>
          <t>Readings left out — window undetermined</t>
        </is>
      </c>
      <c r="B135" t="n">
        <v>0</v>
      </c>
      <c r="C135" t="n">
        <v>0</v>
      </c>
    </row>
    <row r="137">
      <c r="A137" t="inlineStr">
        <is>
          <t>Head to head, on readings both arms re-priced</t>
        </is>
      </c>
    </row>
    <row r="138">
      <c r="A138" t="inlineStr">
        <is>
          <t>Matched readings</t>
        </is>
      </c>
      <c r="B138" t="n">
        <v>279</v>
      </c>
    </row>
    <row r="139">
      <c r="A139" t="inlineStr">
        <is>
          <t>Both correct</t>
        </is>
      </c>
      <c r="B139" t="n">
        <v>47</v>
      </c>
    </row>
    <row r="140">
      <c r="A140" t="inlineStr">
        <is>
          <t>Human only</t>
        </is>
      </c>
      <c r="B140" t="n">
        <v>56</v>
      </c>
    </row>
    <row r="141">
      <c r="A141" t="inlineStr">
        <is>
          <t>LLM only</t>
        </is>
      </c>
      <c r="B141" t="n">
        <v>69</v>
      </c>
    </row>
    <row r="142">
      <c r="A142" t="inlineStr">
        <is>
          <t>Neither</t>
        </is>
      </c>
      <c r="B142" t="n">
        <v>107</v>
      </c>
    </row>
    <row r="143">
      <c r="A143" t="inlineStr">
        <is>
          <t>Same decision</t>
        </is>
      </c>
      <c r="B143" t="n">
        <v>108</v>
      </c>
    </row>
    <row r="144">
      <c r="A144" t="inlineStr">
        <is>
          <t>Net calls gained by humans</t>
        </is>
      </c>
      <c r="B144" t="n">
        <v>-13</v>
      </c>
    </row>
    <row r="145">
      <c r="A145" t="inlineStr">
        <is>
          <t>Readings where the arms disagree on direction — a check, not a result: under one series over one window it must be zero</t>
        </is>
      </c>
      <c r="B145" t="n">
        <v>0</v>
      </c>
    </row>
    <row r="147">
      <c r="A147" t="inlineStr">
        <is>
          <t>The 2x2 is a count taken at build time, not a formula: both arms are matched on Company|Year|Quarter and the pairing cannot be expressed over these columns without a lookup on every row. rb_check_c.py recomputes all of it from the raw prices.</t>
        </is>
      </c>
    </row>
    <row r="150">
      <c r="A150" t="inlineStr">
        <is>
          <t>SECTION D - ANALYSIS BLOCKS. Re-aggregations of the trades already in this workbook: no new price and no new decision. Nothing above row 148 was changed.</t>
        </is>
      </c>
    </row>
    <row r="151">
      <c r="A151" t="inlineStr">
        <is>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is>
      </c>
    </row>
    <row r="153">
      <c r="A153" t="inlineStr">
        <is>
          <t>D5a - Accuracy and P&amp;L by phase</t>
        </is>
      </c>
    </row>
    <row r="154">
      <c r="A154" t="inlineStr">
        <is>
          <t>Phase comes from Human_Data_Entry!AL and LLM_Data_Entry!AG, which look it up from Company_List!G. 'no corpus folder' means the company has a row in Company_List but no reading folder in either corpus; 'not in Company_List' means it has no row at all.</t>
        </is>
      </c>
    </row>
    <row r="156">
      <c r="A156" t="inlineStr">
        <is>
          <t>Phase</t>
        </is>
      </c>
      <c r="B156" t="inlineStr">
        <is>
          <t>Human n</t>
        </is>
      </c>
      <c r="C156" t="inlineStr">
        <is>
          <t>Human correct</t>
        </is>
      </c>
      <c r="D156" t="inlineStr">
        <is>
          <t>Human %</t>
        </is>
      </c>
      <c r="E156" t="inlineStr">
        <is>
          <t>Human trades</t>
        </is>
      </c>
      <c r="F156" t="inlineStr">
        <is>
          <t>Human return</t>
        </is>
      </c>
      <c r="G156" t="inlineStr">
        <is>
          <t>Human share of return</t>
        </is>
      </c>
      <c r="H156" t="inlineStr">
        <is>
          <t>LLM n</t>
        </is>
      </c>
      <c r="I156" t="inlineStr">
        <is>
          <t>LLM correct</t>
        </is>
      </c>
      <c r="J156" t="inlineStr">
        <is>
          <t>LLM %</t>
        </is>
      </c>
      <c r="K156" t="inlineStr">
        <is>
          <t>LLM trades</t>
        </is>
      </c>
      <c r="L156" t="inlineStr">
        <is>
          <t>LLM return</t>
        </is>
      </c>
      <c r="M156" t="inlineStr">
        <is>
          <t>Human n (re-priced)</t>
        </is>
      </c>
      <c r="N156" t="inlineStr">
        <is>
          <t>Human % (re-priced)</t>
        </is>
      </c>
      <c r="O156" t="inlineStr">
        <is>
          <t>Human return (re-priced)</t>
        </is>
      </c>
      <c r="P156" t="inlineStr">
        <is>
          <t>LLM n (re-priced)</t>
        </is>
      </c>
      <c r="Q156" t="inlineStr">
        <is>
          <t>LLM % (re-priced)</t>
        </is>
      </c>
      <c r="R156" t="inlineStr">
        <is>
          <t>LLM return (re-priced)</t>
        </is>
      </c>
    </row>
    <row r="157">
      <c r="A157" t="inlineStr">
        <is>
          <t>Phase 2</t>
        </is>
      </c>
      <c r="B157">
        <f>COUNTIFS(Human_Data_Entry!$S$3:$S$524,"?*",Human_Data_Entry!$H$3:$H$524,"Human",Human_Data_Entry!$AL$3:$AL$524,"P2")</f>
        <v/>
      </c>
      <c r="C157">
        <f>COUNTIFS(Human_Data_Entry!$S$3:$S$524,"YES",Human_Data_Entry!$H$3:$H$524,"Human",Human_Data_Entry!$AL$3:$AL$524,"P2")</f>
        <v/>
      </c>
      <c r="D157">
        <f>IFERROR(C157/B157,"")</f>
        <v/>
      </c>
      <c r="E157">
        <f>COUNTIFS(Human_Data_Entry!$J$3:$J$524,"BUY",Human_Data_Entry!$S$3:$S$524,"?*",Human_Data_Entry!$H$3:$H$524,"Human",Human_Data_Entry!$AL$3:$AL$524,"P2")+COUNTIFS(Human_Data_Entry!$J$3:$J$524,"SELL",Human_Data_Entry!$S$3:$S$524,"?*",Human_Data_Entry!$H$3:$H$524,"Human",Human_Data_Entry!$AL$3:$AL$524,"P2")</f>
        <v/>
      </c>
      <c r="F157">
        <f>SUMIFS(Human_Data_Entry!$AT$3:$AT$524,Human_Data_Entry!$AL$3:$AL$524,"P2")</f>
        <v/>
      </c>
      <c r="G157">
        <f>IFERROR(F157/$F$161,"")</f>
        <v/>
      </c>
      <c r="H157">
        <f>COUNTIFS(LLM_Data_Entry!$R$3:$R$430,"?*",LLM_Data_Entry!$AG$3:$AG$430,"P2")</f>
        <v/>
      </c>
      <c r="I157">
        <f>COUNTIFS(LLM_Data_Entry!$R$3:$R$430,"YES",LLM_Data_Entry!$AG$3:$AG$430,"P2")</f>
        <v/>
      </c>
      <c r="J157">
        <f>IFERROR(I157/H157,"")</f>
        <v/>
      </c>
      <c r="K157">
        <f>COUNTIFS(LLM_Data_Entry!$H$3:$H$430,"BUY",LLM_Data_Entry!$R$3:$R$430,"?*",LLM_Data_Entry!$AG$3:$AG$430,"P2")+COUNTIFS(LLM_Data_Entry!$H$3:$H$430,"SELL",LLM_Data_Entry!$R$3:$R$430,"?*",LLM_Data_Entry!$AG$3:$AG$430,"P2")</f>
        <v/>
      </c>
      <c r="L157">
        <f>SUMIFS(LLM_Data_Entry!$AM$3:$AM$430,LLM_Data_Entry!$AG$3:$AG$430,"P2")</f>
        <v/>
      </c>
      <c r="M157">
        <f>COUNTIFS(Human_Data_Entry!$AJ$3:$AJ$524,"?*",Human_Data_Entry!$H$3:$H$524,"Human",Human_Data_Entry!$AL$3:$AL$524,"P2")</f>
        <v/>
      </c>
      <c r="N157">
        <f>IFERROR(COUNTIFS(Human_Data_Entry!$AJ$3:$AJ$524,"YES",Human_Data_Entry!$H$3:$H$524,"Human",Human_Data_Entry!$AL$3:$AL$524,"P2")/M157,"")</f>
        <v/>
      </c>
      <c r="O157">
        <f>SUMIFS(Human_Data_Entry!$AU$3:$AU$524,Human_Data_Entry!$AL$3:$AL$524,"P2")</f>
        <v/>
      </c>
      <c r="P157">
        <f>COUNTIFS(LLM_Data_Entry!$AE$3:$AE$430,"?*",LLM_Data_Entry!$AG$3:$AG$430,"P2")</f>
        <v/>
      </c>
      <c r="Q157">
        <f>IFERROR(COUNTIFS(LLM_Data_Entry!$AE$3:$AE$430,"YES",LLM_Data_Entry!$AG$3:$AG$430,"P2")/P157,"")</f>
        <v/>
      </c>
      <c r="R157">
        <f>SUMIFS(LLM_Data_Entry!$AN$3:$AN$430,LLM_Data_Entry!$AG$3:$AG$430,"P2")</f>
        <v/>
      </c>
    </row>
    <row r="158">
      <c r="A158" t="inlineStr">
        <is>
          <t>Phase 3</t>
        </is>
      </c>
      <c r="B158">
        <f>COUNTIFS(Human_Data_Entry!$S$3:$S$524,"?*",Human_Data_Entry!$H$3:$H$524,"Human",Human_Data_Entry!$AL$3:$AL$524,"P3")</f>
        <v/>
      </c>
      <c r="C158">
        <f>COUNTIFS(Human_Data_Entry!$S$3:$S$524,"YES",Human_Data_Entry!$H$3:$H$524,"Human",Human_Data_Entry!$AL$3:$AL$524,"P3")</f>
        <v/>
      </c>
      <c r="D158">
        <f>IFERROR(C158/B158,"")</f>
        <v/>
      </c>
      <c r="E158">
        <f>COUNTIFS(Human_Data_Entry!$J$3:$J$524,"BUY",Human_Data_Entry!$S$3:$S$524,"?*",Human_Data_Entry!$H$3:$H$524,"Human",Human_Data_Entry!$AL$3:$AL$524,"P3")+COUNTIFS(Human_Data_Entry!$J$3:$J$524,"SELL",Human_Data_Entry!$S$3:$S$524,"?*",Human_Data_Entry!$H$3:$H$524,"Human",Human_Data_Entry!$AL$3:$AL$524,"P3")</f>
        <v/>
      </c>
      <c r="F158">
        <f>SUMIFS(Human_Data_Entry!$AT$3:$AT$524,Human_Data_Entry!$AL$3:$AL$524,"P3")</f>
        <v/>
      </c>
      <c r="G158">
        <f>IFERROR(F158/$F$161,"")</f>
        <v/>
      </c>
      <c r="H158">
        <f>COUNTIFS(LLM_Data_Entry!$R$3:$R$430,"?*",LLM_Data_Entry!$AG$3:$AG$430,"P3")</f>
        <v/>
      </c>
      <c r="I158">
        <f>COUNTIFS(LLM_Data_Entry!$R$3:$R$430,"YES",LLM_Data_Entry!$AG$3:$AG$430,"P3")</f>
        <v/>
      </c>
      <c r="J158">
        <f>IFERROR(I158/H158,"")</f>
        <v/>
      </c>
      <c r="K158">
        <f>COUNTIFS(LLM_Data_Entry!$H$3:$H$430,"BUY",LLM_Data_Entry!$R$3:$R$430,"?*",LLM_Data_Entry!$AG$3:$AG$430,"P3")+COUNTIFS(LLM_Data_Entry!$H$3:$H$430,"SELL",LLM_Data_Entry!$R$3:$R$430,"?*",LLM_Data_Entry!$AG$3:$AG$430,"P3")</f>
        <v/>
      </c>
      <c r="L158">
        <f>SUMIFS(LLM_Data_Entry!$AM$3:$AM$430,LLM_Data_Entry!$AG$3:$AG$430,"P3")</f>
        <v/>
      </c>
      <c r="M158">
        <f>COUNTIFS(Human_Data_Entry!$AJ$3:$AJ$524,"?*",Human_Data_Entry!$H$3:$H$524,"Human",Human_Data_Entry!$AL$3:$AL$524,"P3")</f>
        <v/>
      </c>
      <c r="N158">
        <f>IFERROR(COUNTIFS(Human_Data_Entry!$AJ$3:$AJ$524,"YES",Human_Data_Entry!$H$3:$H$524,"Human",Human_Data_Entry!$AL$3:$AL$524,"P3")/M158,"")</f>
        <v/>
      </c>
      <c r="O158">
        <f>SUMIFS(Human_Data_Entry!$AU$3:$AU$524,Human_Data_Entry!$AL$3:$AL$524,"P3")</f>
        <v/>
      </c>
      <c r="P158">
        <f>COUNTIFS(LLM_Data_Entry!$AE$3:$AE$430,"?*",LLM_Data_Entry!$AG$3:$AG$430,"P3")</f>
        <v/>
      </c>
      <c r="Q158">
        <f>IFERROR(COUNTIFS(LLM_Data_Entry!$AE$3:$AE$430,"YES",LLM_Data_Entry!$AG$3:$AG$430,"P3")/P158,"")</f>
        <v/>
      </c>
      <c r="R158">
        <f>SUMIFS(LLM_Data_Entry!$AN$3:$AN$430,LLM_Data_Entry!$AG$3:$AG$430,"P3")</f>
        <v/>
      </c>
    </row>
    <row r="159">
      <c r="A159" t="inlineStr">
        <is>
          <t>both corpora</t>
        </is>
      </c>
      <c r="B159">
        <f>COUNTIFS(Human_Data_Entry!$S$3:$S$524,"?*",Human_Data_Entry!$H$3:$H$524,"Human",Human_Data_Entry!$AL$3:$AL$524,"both")</f>
        <v/>
      </c>
      <c r="C159">
        <f>COUNTIFS(Human_Data_Entry!$S$3:$S$524,"YES",Human_Data_Entry!$H$3:$H$524,"Human",Human_Data_Entry!$AL$3:$AL$524,"both")</f>
        <v/>
      </c>
      <c r="D159">
        <f>IFERROR(C159/B159,"")</f>
        <v/>
      </c>
      <c r="E159">
        <f>COUNTIFS(Human_Data_Entry!$J$3:$J$524,"BUY",Human_Data_Entry!$S$3:$S$524,"?*",Human_Data_Entry!$H$3:$H$524,"Human",Human_Data_Entry!$AL$3:$AL$524,"both")+COUNTIFS(Human_Data_Entry!$J$3:$J$524,"SELL",Human_Data_Entry!$S$3:$S$524,"?*",Human_Data_Entry!$H$3:$H$524,"Human",Human_Data_Entry!$AL$3:$AL$524,"both")</f>
        <v/>
      </c>
      <c r="F159">
        <f>SUMIFS(Human_Data_Entry!$AT$3:$AT$524,Human_Data_Entry!$AL$3:$AL$524,"both")</f>
        <v/>
      </c>
      <c r="G159">
        <f>IFERROR(F159/$F$161,"")</f>
        <v/>
      </c>
      <c r="H159">
        <f>COUNTIFS(LLM_Data_Entry!$R$3:$R$430,"?*",LLM_Data_Entry!$AG$3:$AG$430,"both")</f>
        <v/>
      </c>
      <c r="I159">
        <f>COUNTIFS(LLM_Data_Entry!$R$3:$R$430,"YES",LLM_Data_Entry!$AG$3:$AG$430,"both")</f>
        <v/>
      </c>
      <c r="J159">
        <f>IFERROR(I159/H159,"")</f>
        <v/>
      </c>
      <c r="K159">
        <f>COUNTIFS(LLM_Data_Entry!$H$3:$H$430,"BUY",LLM_Data_Entry!$R$3:$R$430,"?*",LLM_Data_Entry!$AG$3:$AG$430,"both")+COUNTIFS(LLM_Data_Entry!$H$3:$H$430,"SELL",LLM_Data_Entry!$R$3:$R$430,"?*",LLM_Data_Entry!$AG$3:$AG$430,"both")</f>
        <v/>
      </c>
      <c r="L159">
        <f>SUMIFS(LLM_Data_Entry!$AM$3:$AM$430,LLM_Data_Entry!$AG$3:$AG$430,"both")</f>
        <v/>
      </c>
      <c r="M159">
        <f>COUNTIFS(Human_Data_Entry!$AJ$3:$AJ$524,"?*",Human_Data_Entry!$H$3:$H$524,"Human",Human_Data_Entry!$AL$3:$AL$524,"both")</f>
        <v/>
      </c>
      <c r="N159">
        <f>IFERROR(COUNTIFS(Human_Data_Entry!$AJ$3:$AJ$524,"YES",Human_Data_Entry!$H$3:$H$524,"Human",Human_Data_Entry!$AL$3:$AL$524,"both")/M159,"")</f>
        <v/>
      </c>
      <c r="O159">
        <f>SUMIFS(Human_Data_Entry!$AU$3:$AU$524,Human_Data_Entry!$AL$3:$AL$524,"both")</f>
        <v/>
      </c>
      <c r="P159">
        <f>COUNTIFS(LLM_Data_Entry!$AE$3:$AE$430,"?*",LLM_Data_Entry!$AG$3:$AG$430,"both")</f>
        <v/>
      </c>
      <c r="Q159">
        <f>IFERROR(COUNTIFS(LLM_Data_Entry!$AE$3:$AE$430,"YES",LLM_Data_Entry!$AG$3:$AG$430,"both")/P159,"")</f>
        <v/>
      </c>
      <c r="R159">
        <f>SUMIFS(LLM_Data_Entry!$AN$3:$AN$430,LLM_Data_Entry!$AG$3:$AG$430,"both")</f>
        <v/>
      </c>
    </row>
    <row r="160">
      <c r="A160" t="inlineStr">
        <is>
          <t>not in Company_List</t>
        </is>
      </c>
      <c r="B160">
        <f>COUNTIFS(Human_Data_Entry!$S$3:$S$524,"?*",Human_Data_Entry!$H$3:$H$524,"Human",Human_Data_Entry!$AL$3:$AL$524,"unassigned")</f>
        <v/>
      </c>
      <c r="C160">
        <f>COUNTIFS(Human_Data_Entry!$S$3:$S$524,"YES",Human_Data_Entry!$H$3:$H$524,"Human",Human_Data_Entry!$AL$3:$AL$524,"unassigned")</f>
        <v/>
      </c>
      <c r="D160">
        <f>IFERROR(C160/B160,"")</f>
        <v/>
      </c>
      <c r="E160">
        <f>COUNTIFS(Human_Data_Entry!$J$3:$J$524,"BUY",Human_Data_Entry!$S$3:$S$524,"?*",Human_Data_Entry!$H$3:$H$524,"Human",Human_Data_Entry!$AL$3:$AL$524,"unassigned")+COUNTIFS(Human_Data_Entry!$J$3:$J$524,"SELL",Human_Data_Entry!$S$3:$S$524,"?*",Human_Data_Entry!$H$3:$H$524,"Human",Human_Data_Entry!$AL$3:$AL$524,"unassigned")</f>
        <v/>
      </c>
      <c r="F160">
        <f>SUMIFS(Human_Data_Entry!$AT$3:$AT$524,Human_Data_Entry!$AL$3:$AL$524,"unassigned")</f>
        <v/>
      </c>
      <c r="G160">
        <f>IFERROR(F160/$F$161,"")</f>
        <v/>
      </c>
      <c r="H160">
        <f>COUNTIFS(LLM_Data_Entry!$R$3:$R$430,"?*",LLM_Data_Entry!$AG$3:$AG$430,"unassigned")</f>
        <v/>
      </c>
      <c r="I160">
        <f>COUNTIFS(LLM_Data_Entry!$R$3:$R$430,"YES",LLM_Data_Entry!$AG$3:$AG$430,"unassigned")</f>
        <v/>
      </c>
      <c r="J160">
        <f>IFERROR(I160/H160,"")</f>
        <v/>
      </c>
      <c r="K160">
        <f>COUNTIFS(LLM_Data_Entry!$H$3:$H$430,"BUY",LLM_Data_Entry!$R$3:$R$430,"?*",LLM_Data_Entry!$AG$3:$AG$430,"unassigned")+COUNTIFS(LLM_Data_Entry!$H$3:$H$430,"SELL",LLM_Data_Entry!$R$3:$R$430,"?*",LLM_Data_Entry!$AG$3:$AG$430,"unassigned")</f>
        <v/>
      </c>
      <c r="L160">
        <f>SUMIFS(LLM_Data_Entry!$AM$3:$AM$430,LLM_Data_Entry!$AG$3:$AG$430,"unassigned")</f>
        <v/>
      </c>
      <c r="M160">
        <f>COUNTIFS(Human_Data_Entry!$AJ$3:$AJ$524,"?*",Human_Data_Entry!$H$3:$H$524,"Human",Human_Data_Entry!$AL$3:$AL$524,"unassigned")</f>
        <v/>
      </c>
      <c r="N160">
        <f>IFERROR(COUNTIFS(Human_Data_Entry!$AJ$3:$AJ$524,"YES",Human_Data_Entry!$H$3:$H$524,"Human",Human_Data_Entry!$AL$3:$AL$524,"unassigned")/M160,"")</f>
        <v/>
      </c>
      <c r="O160">
        <f>SUMIFS(Human_Data_Entry!$AU$3:$AU$524,Human_Data_Entry!$AL$3:$AL$524,"unassigned")</f>
        <v/>
      </c>
      <c r="P160">
        <f>COUNTIFS(LLM_Data_Entry!$AE$3:$AE$430,"?*",LLM_Data_Entry!$AG$3:$AG$430,"unassigned")</f>
        <v/>
      </c>
      <c r="Q160">
        <f>IFERROR(COUNTIFS(LLM_Data_Entry!$AE$3:$AE$430,"YES",LLM_Data_Entry!$AG$3:$AG$430,"unassigned")/P160,"")</f>
        <v/>
      </c>
      <c r="R160">
        <f>SUMIFS(LLM_Data_Entry!$AN$3:$AN$430,LLM_Data_Entry!$AG$3:$AG$430,"unassigned")</f>
        <v/>
      </c>
    </row>
    <row r="161">
      <c r="A161" t="inlineStr">
        <is>
          <t>TOTAL</t>
        </is>
      </c>
      <c r="B161">
        <f>COUNTIFS(Human_Data_Entry!$S$3:$S$524,"?*",Human_Data_Entry!$H$3:$H$524,"Human")</f>
        <v/>
      </c>
      <c r="C161">
        <f>COUNTIFS(Human_Data_Entry!$S$3:$S$524,"YES",Human_Data_Entry!$H$3:$H$524,"Human")</f>
        <v/>
      </c>
      <c r="D161">
        <f>IFERROR(C161/B161,"")</f>
        <v/>
      </c>
      <c r="E161">
        <f>COUNTIFS(Human_Data_Entry!$J$3:$J$524,"BUY",Human_Data_Entry!$S$3:$S$524,"?*",Human_Data_Entry!$H$3:$H$524,"Human")+COUNTIFS(Human_Data_Entry!$J$3:$J$524,"SELL",Human_Data_Entry!$S$3:$S$524,"?*",Human_Data_Entry!$H$3:$H$524,"Human")</f>
        <v/>
      </c>
      <c r="F161">
        <f>SUM(Human_Data_Entry!$AT$3:$AT$524)</f>
        <v/>
      </c>
      <c r="G161">
        <f>IFERROR(F161/$F$161,"")</f>
        <v/>
      </c>
      <c r="H161">
        <f>COUNTIFS(LLM_Data_Entry!$R$3:$R$430,"?*")</f>
        <v/>
      </c>
      <c r="I161">
        <f>COUNTIFS(LLM_Data_Entry!$R$3:$R$430,"YES")</f>
        <v/>
      </c>
      <c r="J161">
        <f>IFERROR(I161/H161,"")</f>
        <v/>
      </c>
      <c r="K161">
        <f>COUNTIFS(LLM_Data_Entry!$H$3:$H$430,"BUY",LLM_Data_Entry!$R$3:$R$430,"?*")+COUNTIFS(LLM_Data_Entry!$H$3:$H$430,"SELL",LLM_Data_Entry!$R$3:$R$430,"?*")</f>
        <v/>
      </c>
      <c r="L161">
        <f>SUM(LLM_Data_Entry!$AM$3:$AM$430)</f>
        <v/>
      </c>
      <c r="M161">
        <f>COUNTIFS(Human_Data_Entry!$AJ$3:$AJ$524,"?*",Human_Data_Entry!$H$3:$H$524,"Human")</f>
        <v/>
      </c>
      <c r="N161">
        <f>IFERROR(COUNTIFS(Human_Data_Entry!$AJ$3:$AJ$524,"YES",Human_Data_Entry!$H$3:$H$524,"Human")/M161,"")</f>
        <v/>
      </c>
      <c r="O161">
        <f>SUM(Human_Data_Entry!$AU$3:$AU$524)</f>
        <v/>
      </c>
      <c r="P161">
        <f>COUNTIFS(LLM_Data_Entry!$AE$3:$AE$430,"?*")</f>
        <v/>
      </c>
      <c r="Q161">
        <f>IFERROR(COUNTIFS(LLM_Data_Entry!$AE$3:$AE$430,"YES")/P161,"")</f>
        <v/>
      </c>
      <c r="R161">
        <f>SUM(LLM_Data_Entry!$AN$3:$AN$430)</f>
        <v/>
      </c>
    </row>
    <row r="162">
      <c r="A162" t="inlineStr">
        <is>
          <t>Reconciliation - the buckets must sum to the total</t>
        </is>
      </c>
      <c r="B162">
        <f>IF(SUM(B157:B160)=B161,"OK","MISMATCH")</f>
        <v/>
      </c>
      <c r="H162">
        <f>IF(SUM(H157:H160)=H161,"OK","MISMATCH")</f>
        <v/>
      </c>
      <c r="M162">
        <f>IF(SUM(M157:M160)=M161,"OK","MISMATCH")</f>
        <v/>
      </c>
      <c r="P162">
        <f>IF(SUM(P157:P160)=P161,"OK","MISMATCH")</f>
        <v/>
      </c>
    </row>
    <row r="164">
      <c r="A164" t="inlineStr">
        <is>
          <t>D5m - Accuracy and P&amp;L by sector</t>
        </is>
      </c>
    </row>
    <row r="165">
      <c r="A165" t="inlineStr">
        <is>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is>
      </c>
    </row>
    <row r="167">
      <c r="A167" t="inlineStr">
        <is>
          <t>Sector</t>
        </is>
      </c>
      <c r="B167" t="inlineStr">
        <is>
          <t>Human n</t>
        </is>
      </c>
      <c r="C167" t="inlineStr">
        <is>
          <t>Human correct</t>
        </is>
      </c>
      <c r="D167" t="inlineStr">
        <is>
          <t>Human %</t>
        </is>
      </c>
      <c r="E167" t="inlineStr">
        <is>
          <t>Human trades</t>
        </is>
      </c>
      <c r="F167" t="inlineStr">
        <is>
          <t>Human return</t>
        </is>
      </c>
      <c r="G167" t="inlineStr">
        <is>
          <t>Human share of return</t>
        </is>
      </c>
      <c r="H167" t="inlineStr">
        <is>
          <t>LLM n</t>
        </is>
      </c>
      <c r="I167" t="inlineStr">
        <is>
          <t>LLM correct</t>
        </is>
      </c>
      <c r="J167" t="inlineStr">
        <is>
          <t>LLM %</t>
        </is>
      </c>
      <c r="K167" t="inlineStr">
        <is>
          <t>LLM trades</t>
        </is>
      </c>
      <c r="L167" t="inlineStr">
        <is>
          <t>LLM return</t>
        </is>
      </c>
      <c r="M167" t="inlineStr">
        <is>
          <t>Human n (re-priced)</t>
        </is>
      </c>
      <c r="N167" t="inlineStr">
        <is>
          <t>Human % (re-priced)</t>
        </is>
      </c>
      <c r="O167" t="inlineStr">
        <is>
          <t>Human return (re-priced)</t>
        </is>
      </c>
      <c r="P167" t="inlineStr">
        <is>
          <t>LLM n (re-priced)</t>
        </is>
      </c>
      <c r="Q167" t="inlineStr">
        <is>
          <t>LLM % (re-priced)</t>
        </is>
      </c>
      <c r="R167" t="inlineStr">
        <is>
          <t>LLM return (re-priced)</t>
        </is>
      </c>
    </row>
    <row r="168">
      <c r="A168" t="inlineStr">
        <is>
          <t>Information Technology</t>
        </is>
      </c>
      <c r="B168">
        <f>COUNTIFS(Human_Data_Entry!$S$3:$S$524,"?*",Human_Data_Entry!$H$3:$H$524,"Human",Human_Data_Entry!$AZ$3:$AZ$524,"Information Technology")</f>
        <v/>
      </c>
      <c r="C168">
        <f>COUNTIFS(Human_Data_Entry!$S$3:$S$524,"YES",Human_Data_Entry!$H$3:$H$524,"Human",Human_Data_Entry!$AZ$3:$AZ$524,"Information Technology")</f>
        <v/>
      </c>
      <c r="D168">
        <f>IFERROR(C168/B168,"")</f>
        <v/>
      </c>
      <c r="E168">
        <f>COUNTIFS(Human_Data_Entry!$J$3:$J$524,"BUY",Human_Data_Entry!$S$3:$S$524,"?*",Human_Data_Entry!$H$3:$H$524,"Human",Human_Data_Entry!$AZ$3:$AZ$524,"Information Technology")+COUNTIFS(Human_Data_Entry!$J$3:$J$524,"SELL",Human_Data_Entry!$S$3:$S$524,"?*",Human_Data_Entry!$H$3:$H$524,"Human",Human_Data_Entry!$AZ$3:$AZ$524,"Information Technology")</f>
        <v/>
      </c>
      <c r="F168">
        <f>SUMIFS(Human_Data_Entry!$AT$3:$AT$524,Human_Data_Entry!$AZ$3:$AZ$524,"Information Technology")</f>
        <v/>
      </c>
      <c r="G168">
        <f>IFERROR(F168/$F$179,"")</f>
        <v/>
      </c>
      <c r="H168">
        <f>COUNTIFS(LLM_Data_Entry!$R$3:$R$430,"?*",LLM_Data_Entry!$AS$3:$AS$430,"Information Technology")</f>
        <v/>
      </c>
      <c r="I168">
        <f>COUNTIFS(LLM_Data_Entry!$R$3:$R$430,"YES",LLM_Data_Entry!$AS$3:$AS$430,"Information Technology")</f>
        <v/>
      </c>
      <c r="J168">
        <f>IFERROR(I168/H168,"")</f>
        <v/>
      </c>
      <c r="K168">
        <f>COUNTIFS(LLM_Data_Entry!$H$3:$H$430,"BUY",LLM_Data_Entry!$R$3:$R$430,"?*",LLM_Data_Entry!$AS$3:$AS$430,"Information Technology")+COUNTIFS(LLM_Data_Entry!$H$3:$H$430,"SELL",LLM_Data_Entry!$R$3:$R$430,"?*",LLM_Data_Entry!$AS$3:$AS$430,"Information Technology")</f>
        <v/>
      </c>
      <c r="L168">
        <f>SUMIFS(LLM_Data_Entry!$AM$3:$AM$430,LLM_Data_Entry!$AS$3:$AS$430,"Information Technology")</f>
        <v/>
      </c>
      <c r="M168">
        <f>COUNTIFS(Human_Data_Entry!$AJ$3:$AJ$524,"?*",Human_Data_Entry!$H$3:$H$524,"Human",Human_Data_Entry!$AZ$3:$AZ$524,"Information Technology")</f>
        <v/>
      </c>
      <c r="N168">
        <f>IFERROR(COUNTIFS(Human_Data_Entry!$AJ$3:$AJ$524,"YES",Human_Data_Entry!$H$3:$H$524,"Human",Human_Data_Entry!$AZ$3:$AZ$524,"Information Technology")/M168,"")</f>
        <v/>
      </c>
      <c r="O168">
        <f>SUMIFS(Human_Data_Entry!$AU$3:$AU$524,Human_Data_Entry!$AZ$3:$AZ$524,"Information Technology")</f>
        <v/>
      </c>
      <c r="P168">
        <f>COUNTIFS(LLM_Data_Entry!$AE$3:$AE$430,"?*",LLM_Data_Entry!$AS$3:$AS$430,"Information Technology")</f>
        <v/>
      </c>
      <c r="Q168">
        <f>IFERROR(COUNTIFS(LLM_Data_Entry!$AE$3:$AE$430,"YES",LLM_Data_Entry!$AS$3:$AS$430,"Information Technology")/P168,"")</f>
        <v/>
      </c>
      <c r="R168">
        <f>SUMIFS(LLM_Data_Entry!$AN$3:$AN$430,LLM_Data_Entry!$AS$3:$AS$430,"Information Technology")</f>
        <v/>
      </c>
    </row>
    <row r="169">
      <c r="A169" t="inlineStr">
        <is>
          <t>Communication Services</t>
        </is>
      </c>
      <c r="B169">
        <f>COUNTIFS(Human_Data_Entry!$S$3:$S$524,"?*",Human_Data_Entry!$H$3:$H$524,"Human",Human_Data_Entry!$AZ$3:$AZ$524,"Communication Services")</f>
        <v/>
      </c>
      <c r="C169">
        <f>COUNTIFS(Human_Data_Entry!$S$3:$S$524,"YES",Human_Data_Entry!$H$3:$H$524,"Human",Human_Data_Entry!$AZ$3:$AZ$524,"Communication Services")</f>
        <v/>
      </c>
      <c r="D169">
        <f>IFERROR(C169/B169,"")</f>
        <v/>
      </c>
      <c r="E169">
        <f>COUNTIFS(Human_Data_Entry!$J$3:$J$524,"BUY",Human_Data_Entry!$S$3:$S$524,"?*",Human_Data_Entry!$H$3:$H$524,"Human",Human_Data_Entry!$AZ$3:$AZ$524,"Communication Services")+COUNTIFS(Human_Data_Entry!$J$3:$J$524,"SELL",Human_Data_Entry!$S$3:$S$524,"?*",Human_Data_Entry!$H$3:$H$524,"Human",Human_Data_Entry!$AZ$3:$AZ$524,"Communication Services")</f>
        <v/>
      </c>
      <c r="F169">
        <f>SUMIFS(Human_Data_Entry!$AT$3:$AT$524,Human_Data_Entry!$AZ$3:$AZ$524,"Communication Services")</f>
        <v/>
      </c>
      <c r="G169">
        <f>IFERROR(F169/$F$179,"")</f>
        <v/>
      </c>
      <c r="H169">
        <f>COUNTIFS(LLM_Data_Entry!$R$3:$R$430,"?*",LLM_Data_Entry!$AS$3:$AS$430,"Communication Services")</f>
        <v/>
      </c>
      <c r="I169">
        <f>COUNTIFS(LLM_Data_Entry!$R$3:$R$430,"YES",LLM_Data_Entry!$AS$3:$AS$430,"Communication Services")</f>
        <v/>
      </c>
      <c r="J169">
        <f>IFERROR(I169/H169,"")</f>
        <v/>
      </c>
      <c r="K169">
        <f>COUNTIFS(LLM_Data_Entry!$H$3:$H$430,"BUY",LLM_Data_Entry!$R$3:$R$430,"?*",LLM_Data_Entry!$AS$3:$AS$430,"Communication Services")+COUNTIFS(LLM_Data_Entry!$H$3:$H$430,"SELL",LLM_Data_Entry!$R$3:$R$430,"?*",LLM_Data_Entry!$AS$3:$AS$430,"Communication Services")</f>
        <v/>
      </c>
      <c r="L169">
        <f>SUMIFS(LLM_Data_Entry!$AM$3:$AM$430,LLM_Data_Entry!$AS$3:$AS$430,"Communication Services")</f>
        <v/>
      </c>
      <c r="M169">
        <f>COUNTIFS(Human_Data_Entry!$AJ$3:$AJ$524,"?*",Human_Data_Entry!$H$3:$H$524,"Human",Human_Data_Entry!$AZ$3:$AZ$524,"Communication Services")</f>
        <v/>
      </c>
      <c r="N169">
        <f>IFERROR(COUNTIFS(Human_Data_Entry!$AJ$3:$AJ$524,"YES",Human_Data_Entry!$H$3:$H$524,"Human",Human_Data_Entry!$AZ$3:$AZ$524,"Communication Services")/M169,"")</f>
        <v/>
      </c>
      <c r="O169">
        <f>SUMIFS(Human_Data_Entry!$AU$3:$AU$524,Human_Data_Entry!$AZ$3:$AZ$524,"Communication Services")</f>
        <v/>
      </c>
      <c r="P169">
        <f>COUNTIFS(LLM_Data_Entry!$AE$3:$AE$430,"?*",LLM_Data_Entry!$AS$3:$AS$430,"Communication Services")</f>
        <v/>
      </c>
      <c r="Q169">
        <f>IFERROR(COUNTIFS(LLM_Data_Entry!$AE$3:$AE$430,"YES",LLM_Data_Entry!$AS$3:$AS$430,"Communication Services")/P169,"")</f>
        <v/>
      </c>
      <c r="R169">
        <f>SUMIFS(LLM_Data_Entry!$AN$3:$AN$430,LLM_Data_Entry!$AS$3:$AS$430,"Communication Services")</f>
        <v/>
      </c>
    </row>
    <row r="170">
      <c r="A170" t="inlineStr">
        <is>
          <t>Financials</t>
        </is>
      </c>
      <c r="B170">
        <f>COUNTIFS(Human_Data_Entry!$S$3:$S$524,"?*",Human_Data_Entry!$H$3:$H$524,"Human",Human_Data_Entry!$AZ$3:$AZ$524,"Financials")</f>
        <v/>
      </c>
      <c r="C170">
        <f>COUNTIFS(Human_Data_Entry!$S$3:$S$524,"YES",Human_Data_Entry!$H$3:$H$524,"Human",Human_Data_Entry!$AZ$3:$AZ$524,"Financials")</f>
        <v/>
      </c>
      <c r="D170">
        <f>IFERROR(C170/B170,"")</f>
        <v/>
      </c>
      <c r="E170">
        <f>COUNTIFS(Human_Data_Entry!$J$3:$J$524,"BUY",Human_Data_Entry!$S$3:$S$524,"?*",Human_Data_Entry!$H$3:$H$524,"Human",Human_Data_Entry!$AZ$3:$AZ$524,"Financials")+COUNTIFS(Human_Data_Entry!$J$3:$J$524,"SELL",Human_Data_Entry!$S$3:$S$524,"?*",Human_Data_Entry!$H$3:$H$524,"Human",Human_Data_Entry!$AZ$3:$AZ$524,"Financials")</f>
        <v/>
      </c>
      <c r="F170">
        <f>SUMIFS(Human_Data_Entry!$AT$3:$AT$524,Human_Data_Entry!$AZ$3:$AZ$524,"Financials")</f>
        <v/>
      </c>
      <c r="G170">
        <f>IFERROR(F170/$F$179,"")</f>
        <v/>
      </c>
      <c r="H170">
        <f>COUNTIFS(LLM_Data_Entry!$R$3:$R$430,"?*",LLM_Data_Entry!$AS$3:$AS$430,"Financials")</f>
        <v/>
      </c>
      <c r="I170">
        <f>COUNTIFS(LLM_Data_Entry!$R$3:$R$430,"YES",LLM_Data_Entry!$AS$3:$AS$430,"Financials")</f>
        <v/>
      </c>
      <c r="J170">
        <f>IFERROR(I170/H170,"")</f>
        <v/>
      </c>
      <c r="K170">
        <f>COUNTIFS(LLM_Data_Entry!$H$3:$H$430,"BUY",LLM_Data_Entry!$R$3:$R$430,"?*",LLM_Data_Entry!$AS$3:$AS$430,"Financials")+COUNTIFS(LLM_Data_Entry!$H$3:$H$430,"SELL",LLM_Data_Entry!$R$3:$R$430,"?*",LLM_Data_Entry!$AS$3:$AS$430,"Financials")</f>
        <v/>
      </c>
      <c r="L170">
        <f>SUMIFS(LLM_Data_Entry!$AM$3:$AM$430,LLM_Data_Entry!$AS$3:$AS$430,"Financials")</f>
        <v/>
      </c>
      <c r="M170">
        <f>COUNTIFS(Human_Data_Entry!$AJ$3:$AJ$524,"?*",Human_Data_Entry!$H$3:$H$524,"Human",Human_Data_Entry!$AZ$3:$AZ$524,"Financials")</f>
        <v/>
      </c>
      <c r="N170">
        <f>IFERROR(COUNTIFS(Human_Data_Entry!$AJ$3:$AJ$524,"YES",Human_Data_Entry!$H$3:$H$524,"Human",Human_Data_Entry!$AZ$3:$AZ$524,"Financials")/M170,"")</f>
        <v/>
      </c>
      <c r="O170">
        <f>SUMIFS(Human_Data_Entry!$AU$3:$AU$524,Human_Data_Entry!$AZ$3:$AZ$524,"Financials")</f>
        <v/>
      </c>
      <c r="P170">
        <f>COUNTIFS(LLM_Data_Entry!$AE$3:$AE$430,"?*",LLM_Data_Entry!$AS$3:$AS$430,"Financials")</f>
        <v/>
      </c>
      <c r="Q170">
        <f>IFERROR(COUNTIFS(LLM_Data_Entry!$AE$3:$AE$430,"YES",LLM_Data_Entry!$AS$3:$AS$430,"Financials")/P170,"")</f>
        <v/>
      </c>
      <c r="R170">
        <f>SUMIFS(LLM_Data_Entry!$AN$3:$AN$430,LLM_Data_Entry!$AS$3:$AS$430,"Financials")</f>
        <v/>
      </c>
    </row>
    <row r="171">
      <c r="A171" t="inlineStr">
        <is>
          <t>Health Care</t>
        </is>
      </c>
      <c r="B171">
        <f>COUNTIFS(Human_Data_Entry!$S$3:$S$524,"?*",Human_Data_Entry!$H$3:$H$524,"Human",Human_Data_Entry!$AZ$3:$AZ$524,"Health Care")</f>
        <v/>
      </c>
      <c r="C171">
        <f>COUNTIFS(Human_Data_Entry!$S$3:$S$524,"YES",Human_Data_Entry!$H$3:$H$524,"Human",Human_Data_Entry!$AZ$3:$AZ$524,"Health Care")</f>
        <v/>
      </c>
      <c r="D171">
        <f>IFERROR(C171/B171,"")</f>
        <v/>
      </c>
      <c r="E171">
        <f>COUNTIFS(Human_Data_Entry!$J$3:$J$524,"BUY",Human_Data_Entry!$S$3:$S$524,"?*",Human_Data_Entry!$H$3:$H$524,"Human",Human_Data_Entry!$AZ$3:$AZ$524,"Health Care")+COUNTIFS(Human_Data_Entry!$J$3:$J$524,"SELL",Human_Data_Entry!$S$3:$S$524,"?*",Human_Data_Entry!$H$3:$H$524,"Human",Human_Data_Entry!$AZ$3:$AZ$524,"Health Care")</f>
        <v/>
      </c>
      <c r="F171">
        <f>SUMIFS(Human_Data_Entry!$AT$3:$AT$524,Human_Data_Entry!$AZ$3:$AZ$524,"Health Care")</f>
        <v/>
      </c>
      <c r="G171">
        <f>IFERROR(F171/$F$179,"")</f>
        <v/>
      </c>
      <c r="H171">
        <f>COUNTIFS(LLM_Data_Entry!$R$3:$R$430,"?*",LLM_Data_Entry!$AS$3:$AS$430,"Health Care")</f>
        <v/>
      </c>
      <c r="I171">
        <f>COUNTIFS(LLM_Data_Entry!$R$3:$R$430,"YES",LLM_Data_Entry!$AS$3:$AS$430,"Health Care")</f>
        <v/>
      </c>
      <c r="J171">
        <f>IFERROR(I171/H171,"")</f>
        <v/>
      </c>
      <c r="K171">
        <f>COUNTIFS(LLM_Data_Entry!$H$3:$H$430,"BUY",LLM_Data_Entry!$R$3:$R$430,"?*",LLM_Data_Entry!$AS$3:$AS$430,"Health Care")+COUNTIFS(LLM_Data_Entry!$H$3:$H$430,"SELL",LLM_Data_Entry!$R$3:$R$430,"?*",LLM_Data_Entry!$AS$3:$AS$430,"Health Care")</f>
        <v/>
      </c>
      <c r="L171">
        <f>SUMIFS(LLM_Data_Entry!$AM$3:$AM$430,LLM_Data_Entry!$AS$3:$AS$430,"Health Care")</f>
        <v/>
      </c>
      <c r="M171">
        <f>COUNTIFS(Human_Data_Entry!$AJ$3:$AJ$524,"?*",Human_Data_Entry!$H$3:$H$524,"Human",Human_Data_Entry!$AZ$3:$AZ$524,"Health Care")</f>
        <v/>
      </c>
      <c r="N171">
        <f>IFERROR(COUNTIFS(Human_Data_Entry!$AJ$3:$AJ$524,"YES",Human_Data_Entry!$H$3:$H$524,"Human",Human_Data_Entry!$AZ$3:$AZ$524,"Health Care")/M171,"")</f>
        <v/>
      </c>
      <c r="O171">
        <f>SUMIFS(Human_Data_Entry!$AU$3:$AU$524,Human_Data_Entry!$AZ$3:$AZ$524,"Health Care")</f>
        <v/>
      </c>
      <c r="P171">
        <f>COUNTIFS(LLM_Data_Entry!$AE$3:$AE$430,"?*",LLM_Data_Entry!$AS$3:$AS$430,"Health Care")</f>
        <v/>
      </c>
      <c r="Q171">
        <f>IFERROR(COUNTIFS(LLM_Data_Entry!$AE$3:$AE$430,"YES",LLM_Data_Entry!$AS$3:$AS$430,"Health Care")/P171,"")</f>
        <v/>
      </c>
      <c r="R171">
        <f>SUMIFS(LLM_Data_Entry!$AN$3:$AN$430,LLM_Data_Entry!$AS$3:$AS$430,"Health Care")</f>
        <v/>
      </c>
    </row>
    <row r="172">
      <c r="A172" t="inlineStr">
        <is>
          <t>Consumer Discretionary</t>
        </is>
      </c>
      <c r="B172">
        <f>COUNTIFS(Human_Data_Entry!$S$3:$S$524,"?*",Human_Data_Entry!$H$3:$H$524,"Human",Human_Data_Entry!$AZ$3:$AZ$524,"Consumer Discretionary")</f>
        <v/>
      </c>
      <c r="C172">
        <f>COUNTIFS(Human_Data_Entry!$S$3:$S$524,"YES",Human_Data_Entry!$H$3:$H$524,"Human",Human_Data_Entry!$AZ$3:$AZ$524,"Consumer Discretionary")</f>
        <v/>
      </c>
      <c r="D172">
        <f>IFERROR(C172/B172,"")</f>
        <v/>
      </c>
      <c r="E172">
        <f>COUNTIFS(Human_Data_Entry!$J$3:$J$524,"BUY",Human_Data_Entry!$S$3:$S$524,"?*",Human_Data_Entry!$H$3:$H$524,"Human",Human_Data_Entry!$AZ$3:$AZ$524,"Consumer Discretionary")+COUNTIFS(Human_Data_Entry!$J$3:$J$524,"SELL",Human_Data_Entry!$S$3:$S$524,"?*",Human_Data_Entry!$H$3:$H$524,"Human",Human_Data_Entry!$AZ$3:$AZ$524,"Consumer Discretionary")</f>
        <v/>
      </c>
      <c r="F172">
        <f>SUMIFS(Human_Data_Entry!$AT$3:$AT$524,Human_Data_Entry!$AZ$3:$AZ$524,"Consumer Discretionary")</f>
        <v/>
      </c>
      <c r="G172">
        <f>IFERROR(F172/$F$179,"")</f>
        <v/>
      </c>
      <c r="H172">
        <f>COUNTIFS(LLM_Data_Entry!$R$3:$R$430,"?*",LLM_Data_Entry!$AS$3:$AS$430,"Consumer Discretionary")</f>
        <v/>
      </c>
      <c r="I172">
        <f>COUNTIFS(LLM_Data_Entry!$R$3:$R$430,"YES",LLM_Data_Entry!$AS$3:$AS$430,"Consumer Discretionary")</f>
        <v/>
      </c>
      <c r="J172">
        <f>IFERROR(I172/H172,"")</f>
        <v/>
      </c>
      <c r="K172">
        <f>COUNTIFS(LLM_Data_Entry!$H$3:$H$430,"BUY",LLM_Data_Entry!$R$3:$R$430,"?*",LLM_Data_Entry!$AS$3:$AS$430,"Consumer Discretionary")+COUNTIFS(LLM_Data_Entry!$H$3:$H$430,"SELL",LLM_Data_Entry!$R$3:$R$430,"?*",LLM_Data_Entry!$AS$3:$AS$430,"Consumer Discretionary")</f>
        <v/>
      </c>
      <c r="L172">
        <f>SUMIFS(LLM_Data_Entry!$AM$3:$AM$430,LLM_Data_Entry!$AS$3:$AS$430,"Consumer Discretionary")</f>
        <v/>
      </c>
      <c r="M172">
        <f>COUNTIFS(Human_Data_Entry!$AJ$3:$AJ$524,"?*",Human_Data_Entry!$H$3:$H$524,"Human",Human_Data_Entry!$AZ$3:$AZ$524,"Consumer Discretionary")</f>
        <v/>
      </c>
      <c r="N172">
        <f>IFERROR(COUNTIFS(Human_Data_Entry!$AJ$3:$AJ$524,"YES",Human_Data_Entry!$H$3:$H$524,"Human",Human_Data_Entry!$AZ$3:$AZ$524,"Consumer Discretionary")/M172,"")</f>
        <v/>
      </c>
      <c r="O172">
        <f>SUMIFS(Human_Data_Entry!$AU$3:$AU$524,Human_Data_Entry!$AZ$3:$AZ$524,"Consumer Discretionary")</f>
        <v/>
      </c>
      <c r="P172">
        <f>COUNTIFS(LLM_Data_Entry!$AE$3:$AE$430,"?*",LLM_Data_Entry!$AS$3:$AS$430,"Consumer Discretionary")</f>
        <v/>
      </c>
      <c r="Q172">
        <f>IFERROR(COUNTIFS(LLM_Data_Entry!$AE$3:$AE$430,"YES",LLM_Data_Entry!$AS$3:$AS$430,"Consumer Discretionary")/P172,"")</f>
        <v/>
      </c>
      <c r="R172">
        <f>SUMIFS(LLM_Data_Entry!$AN$3:$AN$430,LLM_Data_Entry!$AS$3:$AS$430,"Consumer Discretionary")</f>
        <v/>
      </c>
    </row>
    <row r="173">
      <c r="A173" t="inlineStr">
        <is>
          <t>Consumer Staples</t>
        </is>
      </c>
      <c r="B173">
        <f>COUNTIFS(Human_Data_Entry!$S$3:$S$524,"?*",Human_Data_Entry!$H$3:$H$524,"Human",Human_Data_Entry!$AZ$3:$AZ$524,"Consumer Staples")</f>
        <v/>
      </c>
      <c r="C173">
        <f>COUNTIFS(Human_Data_Entry!$S$3:$S$524,"YES",Human_Data_Entry!$H$3:$H$524,"Human",Human_Data_Entry!$AZ$3:$AZ$524,"Consumer Staples")</f>
        <v/>
      </c>
      <c r="D173">
        <f>IFERROR(C173/B173,"")</f>
        <v/>
      </c>
      <c r="E173">
        <f>COUNTIFS(Human_Data_Entry!$J$3:$J$524,"BUY",Human_Data_Entry!$S$3:$S$524,"?*",Human_Data_Entry!$H$3:$H$524,"Human",Human_Data_Entry!$AZ$3:$AZ$524,"Consumer Staples")+COUNTIFS(Human_Data_Entry!$J$3:$J$524,"SELL",Human_Data_Entry!$S$3:$S$524,"?*",Human_Data_Entry!$H$3:$H$524,"Human",Human_Data_Entry!$AZ$3:$AZ$524,"Consumer Staples")</f>
        <v/>
      </c>
      <c r="F173">
        <f>SUMIFS(Human_Data_Entry!$AT$3:$AT$524,Human_Data_Entry!$AZ$3:$AZ$524,"Consumer Staples")</f>
        <v/>
      </c>
      <c r="G173">
        <f>IFERROR(F173/$F$179,"")</f>
        <v/>
      </c>
      <c r="H173">
        <f>COUNTIFS(LLM_Data_Entry!$R$3:$R$430,"?*",LLM_Data_Entry!$AS$3:$AS$430,"Consumer Staples")</f>
        <v/>
      </c>
      <c r="I173">
        <f>COUNTIFS(LLM_Data_Entry!$R$3:$R$430,"YES",LLM_Data_Entry!$AS$3:$AS$430,"Consumer Staples")</f>
        <v/>
      </c>
      <c r="J173">
        <f>IFERROR(I173/H173,"")</f>
        <v/>
      </c>
      <c r="K173">
        <f>COUNTIFS(LLM_Data_Entry!$H$3:$H$430,"BUY",LLM_Data_Entry!$R$3:$R$430,"?*",LLM_Data_Entry!$AS$3:$AS$430,"Consumer Staples")+COUNTIFS(LLM_Data_Entry!$H$3:$H$430,"SELL",LLM_Data_Entry!$R$3:$R$430,"?*",LLM_Data_Entry!$AS$3:$AS$430,"Consumer Staples")</f>
        <v/>
      </c>
      <c r="L173">
        <f>SUMIFS(LLM_Data_Entry!$AM$3:$AM$430,LLM_Data_Entry!$AS$3:$AS$430,"Consumer Staples")</f>
        <v/>
      </c>
      <c r="M173">
        <f>COUNTIFS(Human_Data_Entry!$AJ$3:$AJ$524,"?*",Human_Data_Entry!$H$3:$H$524,"Human",Human_Data_Entry!$AZ$3:$AZ$524,"Consumer Staples")</f>
        <v/>
      </c>
      <c r="N173">
        <f>IFERROR(COUNTIFS(Human_Data_Entry!$AJ$3:$AJ$524,"YES",Human_Data_Entry!$H$3:$H$524,"Human",Human_Data_Entry!$AZ$3:$AZ$524,"Consumer Staples")/M173,"")</f>
        <v/>
      </c>
      <c r="O173">
        <f>SUMIFS(Human_Data_Entry!$AU$3:$AU$524,Human_Data_Entry!$AZ$3:$AZ$524,"Consumer Staples")</f>
        <v/>
      </c>
      <c r="P173">
        <f>COUNTIFS(LLM_Data_Entry!$AE$3:$AE$430,"?*",LLM_Data_Entry!$AS$3:$AS$430,"Consumer Staples")</f>
        <v/>
      </c>
      <c r="Q173">
        <f>IFERROR(COUNTIFS(LLM_Data_Entry!$AE$3:$AE$430,"YES",LLM_Data_Entry!$AS$3:$AS$430,"Consumer Staples")/P173,"")</f>
        <v/>
      </c>
      <c r="R173">
        <f>SUMIFS(LLM_Data_Entry!$AN$3:$AN$430,LLM_Data_Entry!$AS$3:$AS$430,"Consumer Staples")</f>
        <v/>
      </c>
    </row>
    <row r="174">
      <c r="A174" t="inlineStr">
        <is>
          <t>Energy</t>
        </is>
      </c>
      <c r="B174">
        <f>COUNTIFS(Human_Data_Entry!$S$3:$S$524,"?*",Human_Data_Entry!$H$3:$H$524,"Human",Human_Data_Entry!$AZ$3:$AZ$524,"Energy")</f>
        <v/>
      </c>
      <c r="C174">
        <f>COUNTIFS(Human_Data_Entry!$S$3:$S$524,"YES",Human_Data_Entry!$H$3:$H$524,"Human",Human_Data_Entry!$AZ$3:$AZ$524,"Energy")</f>
        <v/>
      </c>
      <c r="D174">
        <f>IFERROR(C174/B174,"")</f>
        <v/>
      </c>
      <c r="E174">
        <f>COUNTIFS(Human_Data_Entry!$J$3:$J$524,"BUY",Human_Data_Entry!$S$3:$S$524,"?*",Human_Data_Entry!$H$3:$H$524,"Human",Human_Data_Entry!$AZ$3:$AZ$524,"Energy")+COUNTIFS(Human_Data_Entry!$J$3:$J$524,"SELL",Human_Data_Entry!$S$3:$S$524,"?*",Human_Data_Entry!$H$3:$H$524,"Human",Human_Data_Entry!$AZ$3:$AZ$524,"Energy")</f>
        <v/>
      </c>
      <c r="F174">
        <f>SUMIFS(Human_Data_Entry!$AT$3:$AT$524,Human_Data_Entry!$AZ$3:$AZ$524,"Energy")</f>
        <v/>
      </c>
      <c r="G174">
        <f>IFERROR(F174/$F$179,"")</f>
        <v/>
      </c>
      <c r="H174">
        <f>COUNTIFS(LLM_Data_Entry!$R$3:$R$430,"?*",LLM_Data_Entry!$AS$3:$AS$430,"Energy")</f>
        <v/>
      </c>
      <c r="I174">
        <f>COUNTIFS(LLM_Data_Entry!$R$3:$R$430,"YES",LLM_Data_Entry!$AS$3:$AS$430,"Energy")</f>
        <v/>
      </c>
      <c r="J174">
        <f>IFERROR(I174/H174,"")</f>
        <v/>
      </c>
      <c r="K174">
        <f>COUNTIFS(LLM_Data_Entry!$H$3:$H$430,"BUY",LLM_Data_Entry!$R$3:$R$430,"?*",LLM_Data_Entry!$AS$3:$AS$430,"Energy")+COUNTIFS(LLM_Data_Entry!$H$3:$H$430,"SELL",LLM_Data_Entry!$R$3:$R$430,"?*",LLM_Data_Entry!$AS$3:$AS$430,"Energy")</f>
        <v/>
      </c>
      <c r="L174">
        <f>SUMIFS(LLM_Data_Entry!$AM$3:$AM$430,LLM_Data_Entry!$AS$3:$AS$430,"Energy")</f>
        <v/>
      </c>
      <c r="M174">
        <f>COUNTIFS(Human_Data_Entry!$AJ$3:$AJ$524,"?*",Human_Data_Entry!$H$3:$H$524,"Human",Human_Data_Entry!$AZ$3:$AZ$524,"Energy")</f>
        <v/>
      </c>
      <c r="N174">
        <f>IFERROR(COUNTIFS(Human_Data_Entry!$AJ$3:$AJ$524,"YES",Human_Data_Entry!$H$3:$H$524,"Human",Human_Data_Entry!$AZ$3:$AZ$524,"Energy")/M174,"")</f>
        <v/>
      </c>
      <c r="O174">
        <f>SUMIFS(Human_Data_Entry!$AU$3:$AU$524,Human_Data_Entry!$AZ$3:$AZ$524,"Energy")</f>
        <v/>
      </c>
      <c r="P174">
        <f>COUNTIFS(LLM_Data_Entry!$AE$3:$AE$430,"?*",LLM_Data_Entry!$AS$3:$AS$430,"Energy")</f>
        <v/>
      </c>
      <c r="Q174">
        <f>IFERROR(COUNTIFS(LLM_Data_Entry!$AE$3:$AE$430,"YES",LLM_Data_Entry!$AS$3:$AS$430,"Energy")/P174,"")</f>
        <v/>
      </c>
      <c r="R174">
        <f>SUMIFS(LLM_Data_Entry!$AN$3:$AN$430,LLM_Data_Entry!$AS$3:$AS$430,"Energy")</f>
        <v/>
      </c>
    </row>
    <row r="175">
      <c r="A175" t="inlineStr">
        <is>
          <t>Utilities</t>
        </is>
      </c>
      <c r="B175">
        <f>COUNTIFS(Human_Data_Entry!$S$3:$S$524,"?*",Human_Data_Entry!$H$3:$H$524,"Human",Human_Data_Entry!$AZ$3:$AZ$524,"Utilities")</f>
        <v/>
      </c>
      <c r="C175">
        <f>COUNTIFS(Human_Data_Entry!$S$3:$S$524,"YES",Human_Data_Entry!$H$3:$H$524,"Human",Human_Data_Entry!$AZ$3:$AZ$524,"Utilities")</f>
        <v/>
      </c>
      <c r="D175">
        <f>IFERROR(C175/B175,"")</f>
        <v/>
      </c>
      <c r="E175">
        <f>COUNTIFS(Human_Data_Entry!$J$3:$J$524,"BUY",Human_Data_Entry!$S$3:$S$524,"?*",Human_Data_Entry!$H$3:$H$524,"Human",Human_Data_Entry!$AZ$3:$AZ$524,"Utilities")+COUNTIFS(Human_Data_Entry!$J$3:$J$524,"SELL",Human_Data_Entry!$S$3:$S$524,"?*",Human_Data_Entry!$H$3:$H$524,"Human",Human_Data_Entry!$AZ$3:$AZ$524,"Utilities")</f>
        <v/>
      </c>
      <c r="F175">
        <f>SUMIFS(Human_Data_Entry!$AT$3:$AT$524,Human_Data_Entry!$AZ$3:$AZ$524,"Utilities")</f>
        <v/>
      </c>
      <c r="G175">
        <f>IFERROR(F175/$F$179,"")</f>
        <v/>
      </c>
      <c r="H175">
        <f>COUNTIFS(LLM_Data_Entry!$R$3:$R$430,"?*",LLM_Data_Entry!$AS$3:$AS$430,"Utilities")</f>
        <v/>
      </c>
      <c r="I175">
        <f>COUNTIFS(LLM_Data_Entry!$R$3:$R$430,"YES",LLM_Data_Entry!$AS$3:$AS$430,"Utilities")</f>
        <v/>
      </c>
      <c r="J175">
        <f>IFERROR(I175/H175,"")</f>
        <v/>
      </c>
      <c r="K175">
        <f>COUNTIFS(LLM_Data_Entry!$H$3:$H$430,"BUY",LLM_Data_Entry!$R$3:$R$430,"?*",LLM_Data_Entry!$AS$3:$AS$430,"Utilities")+COUNTIFS(LLM_Data_Entry!$H$3:$H$430,"SELL",LLM_Data_Entry!$R$3:$R$430,"?*",LLM_Data_Entry!$AS$3:$AS$430,"Utilities")</f>
        <v/>
      </c>
      <c r="L175">
        <f>SUMIFS(LLM_Data_Entry!$AM$3:$AM$430,LLM_Data_Entry!$AS$3:$AS$430,"Utilities")</f>
        <v/>
      </c>
      <c r="M175">
        <f>COUNTIFS(Human_Data_Entry!$AJ$3:$AJ$524,"?*",Human_Data_Entry!$H$3:$H$524,"Human",Human_Data_Entry!$AZ$3:$AZ$524,"Utilities")</f>
        <v/>
      </c>
      <c r="N175">
        <f>IFERROR(COUNTIFS(Human_Data_Entry!$AJ$3:$AJ$524,"YES",Human_Data_Entry!$H$3:$H$524,"Human",Human_Data_Entry!$AZ$3:$AZ$524,"Utilities")/M175,"")</f>
        <v/>
      </c>
      <c r="O175">
        <f>SUMIFS(Human_Data_Entry!$AU$3:$AU$524,Human_Data_Entry!$AZ$3:$AZ$524,"Utilities")</f>
        <v/>
      </c>
      <c r="P175">
        <f>COUNTIFS(LLM_Data_Entry!$AE$3:$AE$430,"?*",LLM_Data_Entry!$AS$3:$AS$430,"Utilities")</f>
        <v/>
      </c>
      <c r="Q175">
        <f>IFERROR(COUNTIFS(LLM_Data_Entry!$AE$3:$AE$430,"YES",LLM_Data_Entry!$AS$3:$AS$430,"Utilities")/P175,"")</f>
        <v/>
      </c>
      <c r="R175">
        <f>SUMIFS(LLM_Data_Entry!$AN$3:$AN$430,LLM_Data_Entry!$AS$3:$AS$430,"Utilities")</f>
        <v/>
      </c>
    </row>
    <row r="176">
      <c r="A176" t="inlineStr">
        <is>
          <t>Industrials</t>
        </is>
      </c>
      <c r="B176">
        <f>COUNTIFS(Human_Data_Entry!$S$3:$S$524,"?*",Human_Data_Entry!$H$3:$H$524,"Human",Human_Data_Entry!$AZ$3:$AZ$524,"Industrials")</f>
        <v/>
      </c>
      <c r="C176">
        <f>COUNTIFS(Human_Data_Entry!$S$3:$S$524,"YES",Human_Data_Entry!$H$3:$H$524,"Human",Human_Data_Entry!$AZ$3:$AZ$524,"Industrials")</f>
        <v/>
      </c>
      <c r="D176">
        <f>IFERROR(C176/B176,"")</f>
        <v/>
      </c>
      <c r="E176">
        <f>COUNTIFS(Human_Data_Entry!$J$3:$J$524,"BUY",Human_Data_Entry!$S$3:$S$524,"?*",Human_Data_Entry!$H$3:$H$524,"Human",Human_Data_Entry!$AZ$3:$AZ$524,"Industrials")+COUNTIFS(Human_Data_Entry!$J$3:$J$524,"SELL",Human_Data_Entry!$S$3:$S$524,"?*",Human_Data_Entry!$H$3:$H$524,"Human",Human_Data_Entry!$AZ$3:$AZ$524,"Industrials")</f>
        <v/>
      </c>
      <c r="F176">
        <f>SUMIFS(Human_Data_Entry!$AT$3:$AT$524,Human_Data_Entry!$AZ$3:$AZ$524,"Industrials")</f>
        <v/>
      </c>
      <c r="G176">
        <f>IFERROR(F176/$F$179,"")</f>
        <v/>
      </c>
      <c r="H176">
        <f>COUNTIFS(LLM_Data_Entry!$R$3:$R$430,"?*",LLM_Data_Entry!$AS$3:$AS$430,"Industrials")</f>
        <v/>
      </c>
      <c r="I176">
        <f>COUNTIFS(LLM_Data_Entry!$R$3:$R$430,"YES",LLM_Data_Entry!$AS$3:$AS$430,"Industrials")</f>
        <v/>
      </c>
      <c r="J176">
        <f>IFERROR(I176/H176,"")</f>
        <v/>
      </c>
      <c r="K176">
        <f>COUNTIFS(LLM_Data_Entry!$H$3:$H$430,"BUY",LLM_Data_Entry!$R$3:$R$430,"?*",LLM_Data_Entry!$AS$3:$AS$430,"Industrials")+COUNTIFS(LLM_Data_Entry!$H$3:$H$430,"SELL",LLM_Data_Entry!$R$3:$R$430,"?*",LLM_Data_Entry!$AS$3:$AS$430,"Industrials")</f>
        <v/>
      </c>
      <c r="L176">
        <f>SUMIFS(LLM_Data_Entry!$AM$3:$AM$430,LLM_Data_Entry!$AS$3:$AS$430,"Industrials")</f>
        <v/>
      </c>
      <c r="M176">
        <f>COUNTIFS(Human_Data_Entry!$AJ$3:$AJ$524,"?*",Human_Data_Entry!$H$3:$H$524,"Human",Human_Data_Entry!$AZ$3:$AZ$524,"Industrials")</f>
        <v/>
      </c>
      <c r="N176">
        <f>IFERROR(COUNTIFS(Human_Data_Entry!$AJ$3:$AJ$524,"YES",Human_Data_Entry!$H$3:$H$524,"Human",Human_Data_Entry!$AZ$3:$AZ$524,"Industrials")/M176,"")</f>
        <v/>
      </c>
      <c r="O176">
        <f>SUMIFS(Human_Data_Entry!$AU$3:$AU$524,Human_Data_Entry!$AZ$3:$AZ$524,"Industrials")</f>
        <v/>
      </c>
      <c r="P176">
        <f>COUNTIFS(LLM_Data_Entry!$AE$3:$AE$430,"?*",LLM_Data_Entry!$AS$3:$AS$430,"Industrials")</f>
        <v/>
      </c>
      <c r="Q176">
        <f>IFERROR(COUNTIFS(LLM_Data_Entry!$AE$3:$AE$430,"YES",LLM_Data_Entry!$AS$3:$AS$430,"Industrials")/P176,"")</f>
        <v/>
      </c>
      <c r="R176">
        <f>SUMIFS(LLM_Data_Entry!$AN$3:$AN$430,LLM_Data_Entry!$AS$3:$AS$430,"Industrials")</f>
        <v/>
      </c>
    </row>
    <row r="177">
      <c r="A177" t="inlineStr">
        <is>
          <t>Materials</t>
        </is>
      </c>
      <c r="B177">
        <f>COUNTIFS(Human_Data_Entry!$S$3:$S$524,"?*",Human_Data_Entry!$H$3:$H$524,"Human",Human_Data_Entry!$AZ$3:$AZ$524,"Materials")</f>
        <v/>
      </c>
      <c r="C177">
        <f>COUNTIFS(Human_Data_Entry!$S$3:$S$524,"YES",Human_Data_Entry!$H$3:$H$524,"Human",Human_Data_Entry!$AZ$3:$AZ$524,"Materials")</f>
        <v/>
      </c>
      <c r="D177">
        <f>IFERROR(C177/B177,"")</f>
        <v/>
      </c>
      <c r="E177">
        <f>COUNTIFS(Human_Data_Entry!$J$3:$J$524,"BUY",Human_Data_Entry!$S$3:$S$524,"?*",Human_Data_Entry!$H$3:$H$524,"Human",Human_Data_Entry!$AZ$3:$AZ$524,"Materials")+COUNTIFS(Human_Data_Entry!$J$3:$J$524,"SELL",Human_Data_Entry!$S$3:$S$524,"?*",Human_Data_Entry!$H$3:$H$524,"Human",Human_Data_Entry!$AZ$3:$AZ$524,"Materials")</f>
        <v/>
      </c>
      <c r="F177">
        <f>SUMIFS(Human_Data_Entry!$AT$3:$AT$524,Human_Data_Entry!$AZ$3:$AZ$524,"Materials")</f>
        <v/>
      </c>
      <c r="G177">
        <f>IFERROR(F177/$F$179,"")</f>
        <v/>
      </c>
      <c r="H177">
        <f>COUNTIFS(LLM_Data_Entry!$R$3:$R$430,"?*",LLM_Data_Entry!$AS$3:$AS$430,"Materials")</f>
        <v/>
      </c>
      <c r="I177">
        <f>COUNTIFS(LLM_Data_Entry!$R$3:$R$430,"YES",LLM_Data_Entry!$AS$3:$AS$430,"Materials")</f>
        <v/>
      </c>
      <c r="J177">
        <f>IFERROR(I177/H177,"")</f>
        <v/>
      </c>
      <c r="K177">
        <f>COUNTIFS(LLM_Data_Entry!$H$3:$H$430,"BUY",LLM_Data_Entry!$R$3:$R$430,"?*",LLM_Data_Entry!$AS$3:$AS$430,"Materials")+COUNTIFS(LLM_Data_Entry!$H$3:$H$430,"SELL",LLM_Data_Entry!$R$3:$R$430,"?*",LLM_Data_Entry!$AS$3:$AS$430,"Materials")</f>
        <v/>
      </c>
      <c r="L177">
        <f>SUMIFS(LLM_Data_Entry!$AM$3:$AM$430,LLM_Data_Entry!$AS$3:$AS$430,"Materials")</f>
        <v/>
      </c>
      <c r="M177">
        <f>COUNTIFS(Human_Data_Entry!$AJ$3:$AJ$524,"?*",Human_Data_Entry!$H$3:$H$524,"Human",Human_Data_Entry!$AZ$3:$AZ$524,"Materials")</f>
        <v/>
      </c>
      <c r="N177">
        <f>IFERROR(COUNTIFS(Human_Data_Entry!$AJ$3:$AJ$524,"YES",Human_Data_Entry!$H$3:$H$524,"Human",Human_Data_Entry!$AZ$3:$AZ$524,"Materials")/M177,"")</f>
        <v/>
      </c>
      <c r="O177">
        <f>SUMIFS(Human_Data_Entry!$AU$3:$AU$524,Human_Data_Entry!$AZ$3:$AZ$524,"Materials")</f>
        <v/>
      </c>
      <c r="P177">
        <f>COUNTIFS(LLM_Data_Entry!$AE$3:$AE$430,"?*",LLM_Data_Entry!$AS$3:$AS$430,"Materials")</f>
        <v/>
      </c>
      <c r="Q177">
        <f>IFERROR(COUNTIFS(LLM_Data_Entry!$AE$3:$AE$430,"YES",LLM_Data_Entry!$AS$3:$AS$430,"Materials")/P177,"")</f>
        <v/>
      </c>
      <c r="R177">
        <f>SUMIFS(LLM_Data_Entry!$AN$3:$AN$430,LLM_Data_Entry!$AS$3:$AS$430,"Materials")</f>
        <v/>
      </c>
    </row>
    <row r="178">
      <c r="A178" t="inlineStr">
        <is>
          <t>not in Company_List (no sector)</t>
        </is>
      </c>
      <c r="B178">
        <f>COUNTIFS(Human_Data_Entry!$S$3:$S$524,"?*",Human_Data_Entry!$H$3:$H$524,"Human",Human_Data_Entry!$AZ$3:$AZ$524,"unassigned")</f>
        <v/>
      </c>
      <c r="C178">
        <f>COUNTIFS(Human_Data_Entry!$S$3:$S$524,"YES",Human_Data_Entry!$H$3:$H$524,"Human",Human_Data_Entry!$AZ$3:$AZ$524,"unassigned")</f>
        <v/>
      </c>
      <c r="D178">
        <f>IFERROR(C178/B178,"")</f>
        <v/>
      </c>
      <c r="E178">
        <f>COUNTIFS(Human_Data_Entry!$J$3:$J$524,"BUY",Human_Data_Entry!$S$3:$S$524,"?*",Human_Data_Entry!$H$3:$H$524,"Human",Human_Data_Entry!$AZ$3:$AZ$524,"unassigned")+COUNTIFS(Human_Data_Entry!$J$3:$J$524,"SELL",Human_Data_Entry!$S$3:$S$524,"?*",Human_Data_Entry!$H$3:$H$524,"Human",Human_Data_Entry!$AZ$3:$AZ$524,"unassigned")</f>
        <v/>
      </c>
      <c r="F178">
        <f>SUMIFS(Human_Data_Entry!$AT$3:$AT$524,Human_Data_Entry!$AZ$3:$AZ$524,"unassigned")</f>
        <v/>
      </c>
      <c r="G178">
        <f>IFERROR(F178/$F$179,"")</f>
        <v/>
      </c>
      <c r="H178">
        <f>COUNTIFS(LLM_Data_Entry!$R$3:$R$430,"?*",LLM_Data_Entry!$AS$3:$AS$430,"unassigned")</f>
        <v/>
      </c>
      <c r="I178">
        <f>COUNTIFS(LLM_Data_Entry!$R$3:$R$430,"YES",LLM_Data_Entry!$AS$3:$AS$430,"unassigned")</f>
        <v/>
      </c>
      <c r="J178">
        <f>IFERROR(I178/H178,"")</f>
        <v/>
      </c>
      <c r="K178">
        <f>COUNTIFS(LLM_Data_Entry!$H$3:$H$430,"BUY",LLM_Data_Entry!$R$3:$R$430,"?*",LLM_Data_Entry!$AS$3:$AS$430,"unassigned")+COUNTIFS(LLM_Data_Entry!$H$3:$H$430,"SELL",LLM_Data_Entry!$R$3:$R$430,"?*",LLM_Data_Entry!$AS$3:$AS$430,"unassigned")</f>
        <v/>
      </c>
      <c r="L178">
        <f>SUMIFS(LLM_Data_Entry!$AM$3:$AM$430,LLM_Data_Entry!$AS$3:$AS$430,"unassigned")</f>
        <v/>
      </c>
      <c r="M178">
        <f>COUNTIFS(Human_Data_Entry!$AJ$3:$AJ$524,"?*",Human_Data_Entry!$H$3:$H$524,"Human",Human_Data_Entry!$AZ$3:$AZ$524,"unassigned")</f>
        <v/>
      </c>
      <c r="N178">
        <f>IFERROR(COUNTIFS(Human_Data_Entry!$AJ$3:$AJ$524,"YES",Human_Data_Entry!$H$3:$H$524,"Human",Human_Data_Entry!$AZ$3:$AZ$524,"unassigned")/M178,"")</f>
        <v/>
      </c>
      <c r="O178">
        <f>SUMIFS(Human_Data_Entry!$AU$3:$AU$524,Human_Data_Entry!$AZ$3:$AZ$524,"unassigned")</f>
        <v/>
      </c>
      <c r="P178">
        <f>COUNTIFS(LLM_Data_Entry!$AE$3:$AE$430,"?*",LLM_Data_Entry!$AS$3:$AS$430,"unassigned")</f>
        <v/>
      </c>
      <c r="Q178">
        <f>IFERROR(COUNTIFS(LLM_Data_Entry!$AE$3:$AE$430,"YES",LLM_Data_Entry!$AS$3:$AS$430,"unassigned")/P178,"")</f>
        <v/>
      </c>
      <c r="R178">
        <f>SUMIFS(LLM_Data_Entry!$AN$3:$AN$430,LLM_Data_Entry!$AS$3:$AS$430,"unassigned")</f>
        <v/>
      </c>
    </row>
    <row r="179">
      <c r="A179" t="inlineStr">
        <is>
          <t>TOTAL (by sector)</t>
        </is>
      </c>
      <c r="B179">
        <f>COUNTIFS(Human_Data_Entry!$S$3:$S$524,"?*",Human_Data_Entry!$H$3:$H$524,"Human")</f>
        <v/>
      </c>
      <c r="C179">
        <f>COUNTIFS(Human_Data_Entry!$S$3:$S$524,"YES",Human_Data_Entry!$H$3:$H$524,"Human")</f>
        <v/>
      </c>
      <c r="D179">
        <f>IFERROR(C179/B179,"")</f>
        <v/>
      </c>
      <c r="E179">
        <f>COUNTIFS(Human_Data_Entry!$J$3:$J$524,"BUY",Human_Data_Entry!$S$3:$S$524,"?*",Human_Data_Entry!$H$3:$H$524,"Human")+COUNTIFS(Human_Data_Entry!$J$3:$J$524,"SELL",Human_Data_Entry!$S$3:$S$524,"?*",Human_Data_Entry!$H$3:$H$524,"Human")</f>
        <v/>
      </c>
      <c r="F179">
        <f>SUM(Human_Data_Entry!$AT$3:$AT$524)</f>
        <v/>
      </c>
      <c r="G179">
        <f>IFERROR(F179/$F$179,"")</f>
        <v/>
      </c>
      <c r="H179">
        <f>COUNTIFS(LLM_Data_Entry!$R$3:$R$430,"?*")</f>
        <v/>
      </c>
      <c r="I179">
        <f>COUNTIFS(LLM_Data_Entry!$R$3:$R$430,"YES")</f>
        <v/>
      </c>
      <c r="J179">
        <f>IFERROR(I179/H179,"")</f>
        <v/>
      </c>
      <c r="K179">
        <f>COUNTIFS(LLM_Data_Entry!$H$3:$H$430,"BUY",LLM_Data_Entry!$R$3:$R$430,"?*")+COUNTIFS(LLM_Data_Entry!$H$3:$H$430,"SELL",LLM_Data_Entry!$R$3:$R$430,"?*")</f>
        <v/>
      </c>
      <c r="L179">
        <f>SUM(LLM_Data_Entry!$AM$3:$AM$430)</f>
        <v/>
      </c>
      <c r="M179">
        <f>COUNTIFS(Human_Data_Entry!$AJ$3:$AJ$524,"?*",Human_Data_Entry!$H$3:$H$524,"Human")</f>
        <v/>
      </c>
      <c r="N179">
        <f>IFERROR(COUNTIFS(Human_Data_Entry!$AJ$3:$AJ$524,"YES",Human_Data_Entry!$H$3:$H$524,"Human")/M179,"")</f>
        <v/>
      </c>
      <c r="O179">
        <f>SUM(Human_Data_Entry!$AU$3:$AU$524)</f>
        <v/>
      </c>
      <c r="P179">
        <f>COUNTIFS(LLM_Data_Entry!$AE$3:$AE$430,"?*")</f>
        <v/>
      </c>
      <c r="Q179">
        <f>IFERROR(COUNTIFS(LLM_Data_Entry!$AE$3:$AE$430,"YES")/P179,"")</f>
        <v/>
      </c>
      <c r="R179">
        <f>SUM(LLM_Data_Entry!$AN$3:$AN$430)</f>
        <v/>
      </c>
    </row>
    <row r="180">
      <c r="A180" t="inlineStr">
        <is>
          <t>Reconciliation - the sectors must sum to the total</t>
        </is>
      </c>
      <c r="B180">
        <f>IF(SUM(B168:B178)=B179,"OK","MISMATCH")</f>
        <v/>
      </c>
      <c r="H180">
        <f>IF(SUM(H168:H178)=H179,"OK","MISMATCH")</f>
        <v/>
      </c>
      <c r="M180">
        <f>IF(SUM(M168:M178)=M179,"OK","MISMATCH")</f>
        <v/>
      </c>
      <c r="P180">
        <f>IF(SUM(P168:P178)=P179,"OK","MISMATCH")</f>
        <v/>
      </c>
    </row>
    <row r="182">
      <c r="A182" t="inlineStr">
        <is>
          <t>D5b - Every naive rule, both arms, each on its own denominator</t>
        </is>
      </c>
    </row>
    <row r="183">
      <c r="A183" t="inlineStr">
        <is>
          <t>A naive rule always makes the same call. Its accuracy is the share of readings whose realised direction matches it, measured over that arm's own readings. The block at row 115 above uses one rule on a denominator pooled across both arms.</t>
        </is>
      </c>
    </row>
    <row r="185">
      <c r="A185" t="inlineStr">
        <is>
          <t>Rule</t>
        </is>
      </c>
      <c r="B185" t="inlineStr">
        <is>
          <t>Human published</t>
        </is>
      </c>
      <c r="C185" t="inlineStr">
        <is>
          <t>Human re-priced</t>
        </is>
      </c>
      <c r="D185" t="inlineStr">
        <is>
          <t>LLM published</t>
        </is>
      </c>
      <c r="E185" t="inlineStr">
        <is>
          <t>LLM re-priced</t>
        </is>
      </c>
    </row>
    <row r="186">
      <c r="A186" t="inlineStr">
        <is>
          <t>Always BUY</t>
        </is>
      </c>
      <c r="B186">
        <f>IFERROR(COUNTIFS(Human_Data_Entry!$R$3:$R$524,"UP",Human_Data_Entry!$H$3:$H$524,"Human")/(COUNTIFS(Human_Data_Entry!$R$3:$R$524,"UP",Human_Data_Entry!$H$3:$H$524,"Human")+COUNTIFS(Human_Data_Entry!$R$3:$R$524,"DOWN",Human_Data_Entry!$H$3:$H$524,"Human")+COUNTIFS(Human_Data_Entry!$R$3:$R$524,"FLAT",Human_Data_Entry!$H$3:$H$524,"Human")),"")</f>
        <v/>
      </c>
      <c r="C186">
        <f>IFERROR(COUNTIFS(Human_Data_Entry!$AI$3:$AI$524,"UP",Human_Data_Entry!$H$3:$H$524,"Human")/(COUNTIFS(Human_Data_Entry!$AI$3:$AI$524,"UP",Human_Data_Entry!$H$3:$H$524,"Human")+COUNTIFS(Human_Data_Entry!$AI$3:$AI$524,"DOWN",Human_Data_Entry!$H$3:$H$524,"Human")+COUNTIFS(Human_Data_Entry!$AI$3:$AI$524,"FLAT",Human_Data_Entry!$H$3:$H$524,"Human")),"")</f>
        <v/>
      </c>
      <c r="D186">
        <f>IFERROR(COUNTIFS(LLM_Data_Entry!$Q$3:$Q$430,"UP")/(COUNTIFS(LLM_Data_Entry!$Q$3:$Q$430,"UP")+COUNTIFS(LLM_Data_Entry!$Q$3:$Q$430,"DOWN")+COUNTIFS(LLM_Data_Entry!$Q$3:$Q$430,"FLAT")),"")</f>
        <v/>
      </c>
      <c r="E186">
        <f>IFERROR(COUNTIFS(LLM_Data_Entry!$AD$3:$AD$430,"UP")/(COUNTIFS(LLM_Data_Entry!$AD$3:$AD$430,"UP")+COUNTIFS(LLM_Data_Entry!$AD$3:$AD$430,"DOWN")+COUNTIFS(LLM_Data_Entry!$AD$3:$AD$430,"FLAT")),"")</f>
        <v/>
      </c>
    </row>
    <row r="187">
      <c r="A187" t="inlineStr">
        <is>
          <t>Always SELL</t>
        </is>
      </c>
      <c r="B187">
        <f>IFERROR(COUNTIFS(Human_Data_Entry!$R$3:$R$524,"DOWN",Human_Data_Entry!$H$3:$H$524,"Human")/(COUNTIFS(Human_Data_Entry!$R$3:$R$524,"UP",Human_Data_Entry!$H$3:$H$524,"Human")+COUNTIFS(Human_Data_Entry!$R$3:$R$524,"DOWN",Human_Data_Entry!$H$3:$H$524,"Human")+COUNTIFS(Human_Data_Entry!$R$3:$R$524,"FLAT",Human_Data_Entry!$H$3:$H$524,"Human")),"")</f>
        <v/>
      </c>
      <c r="C187">
        <f>IFERROR(COUNTIFS(Human_Data_Entry!$AI$3:$AI$524,"DOWN",Human_Data_Entry!$H$3:$H$524,"Human")/(COUNTIFS(Human_Data_Entry!$AI$3:$AI$524,"UP",Human_Data_Entry!$H$3:$H$524,"Human")+COUNTIFS(Human_Data_Entry!$AI$3:$AI$524,"DOWN",Human_Data_Entry!$H$3:$H$524,"Human")+COUNTIFS(Human_Data_Entry!$AI$3:$AI$524,"FLAT",Human_Data_Entry!$H$3:$H$524,"Human")),"")</f>
        <v/>
      </c>
      <c r="D187">
        <f>IFERROR(COUNTIFS(LLM_Data_Entry!$Q$3:$Q$430,"DOWN")/(COUNTIFS(LLM_Data_Entry!$Q$3:$Q$430,"UP")+COUNTIFS(LLM_Data_Entry!$Q$3:$Q$430,"DOWN")+COUNTIFS(LLM_Data_Entry!$Q$3:$Q$430,"FLAT")),"")</f>
        <v/>
      </c>
      <c r="E187">
        <f>IFERROR(COUNTIFS(LLM_Data_Entry!$AD$3:$AD$430,"DOWN")/(COUNTIFS(LLM_Data_Entry!$AD$3:$AD$430,"UP")+COUNTIFS(LLM_Data_Entry!$AD$3:$AD$430,"DOWN")+COUNTIFS(LLM_Data_Entry!$AD$3:$AD$430,"FLAT")),"")</f>
        <v/>
      </c>
    </row>
    <row r="188">
      <c r="A188" t="inlineStr">
        <is>
          <t>Always HOLD</t>
        </is>
      </c>
      <c r="B188">
        <f>IFERROR(COUNTIFS(Human_Data_Entry!$R$3:$R$524,"FLAT",Human_Data_Entry!$H$3:$H$524,"Human")/(COUNTIFS(Human_Data_Entry!$R$3:$R$524,"UP",Human_Data_Entry!$H$3:$H$524,"Human")+COUNTIFS(Human_Data_Entry!$R$3:$R$524,"DOWN",Human_Data_Entry!$H$3:$H$524,"Human")+COUNTIFS(Human_Data_Entry!$R$3:$R$524,"FLAT",Human_Data_Entry!$H$3:$H$524,"Human")),"")</f>
        <v/>
      </c>
      <c r="C188">
        <f>IFERROR(COUNTIFS(Human_Data_Entry!$AI$3:$AI$524,"FLAT",Human_Data_Entry!$H$3:$H$524,"Human")/(COUNTIFS(Human_Data_Entry!$AI$3:$AI$524,"UP",Human_Data_Entry!$H$3:$H$524,"Human")+COUNTIFS(Human_Data_Entry!$AI$3:$AI$524,"DOWN",Human_Data_Entry!$H$3:$H$524,"Human")+COUNTIFS(Human_Data_Entry!$AI$3:$AI$524,"FLAT",Human_Data_Entry!$H$3:$H$524,"Human")),"")</f>
        <v/>
      </c>
      <c r="D188">
        <f>IFERROR(COUNTIFS(LLM_Data_Entry!$Q$3:$Q$430,"FLAT")/(COUNTIFS(LLM_Data_Entry!$Q$3:$Q$430,"UP")+COUNTIFS(LLM_Data_Entry!$Q$3:$Q$430,"DOWN")+COUNTIFS(LLM_Data_Entry!$Q$3:$Q$430,"FLAT")),"")</f>
        <v/>
      </c>
      <c r="E188">
        <f>IFERROR(COUNTIFS(LLM_Data_Entry!$AD$3:$AD$430,"FLAT")/(COUNTIFS(LLM_Data_Entry!$AD$3:$AD$430,"UP")+COUNTIFS(LLM_Data_Entry!$AD$3:$AD$430,"DOWN")+COUNTIFS(LLM_Data_Entry!$AD$3:$AD$430,"FLAT")),"")</f>
        <v/>
      </c>
    </row>
    <row r="189">
      <c r="A189" t="inlineStr">
        <is>
          <t>Naive floor - best of the three</t>
        </is>
      </c>
      <c r="B189">
        <f>MAX(B186:B188)</f>
        <v/>
      </c>
      <c r="C189">
        <f>MAX(C186:C188)</f>
        <v/>
      </c>
      <c r="D189">
        <f>MAX(D186:D188)</f>
        <v/>
      </c>
      <c r="E189">
        <f>MAX(E186:E188)</f>
        <v/>
      </c>
    </row>
    <row r="190">
      <c r="A190" t="inlineStr">
        <is>
          <t>Readings the floor is measured over</t>
        </is>
      </c>
      <c r="B190">
        <f>COUNTIFS(Human_Data_Entry!$R$3:$R$524,"UP",Human_Data_Entry!$H$3:$H$524,"Human")+COUNTIFS(Human_Data_Entry!$R$3:$R$524,"DOWN",Human_Data_Entry!$H$3:$H$524,"Human")+COUNTIFS(Human_Data_Entry!$R$3:$R$524,"FLAT",Human_Data_Entry!$H$3:$H$524,"Human")</f>
        <v/>
      </c>
      <c r="C190">
        <f>COUNTIFS(Human_Data_Entry!$AI$3:$AI$524,"UP",Human_Data_Entry!$H$3:$H$524,"Human")+COUNTIFS(Human_Data_Entry!$AI$3:$AI$524,"DOWN",Human_Data_Entry!$H$3:$H$524,"Human")+COUNTIFS(Human_Data_Entry!$AI$3:$AI$524,"FLAT",Human_Data_Entry!$H$3:$H$524,"Human")</f>
        <v/>
      </c>
      <c r="D190">
        <f>COUNTIFS(LLM_Data_Entry!$Q$3:$Q$430,"UP")+COUNTIFS(LLM_Data_Entry!$Q$3:$Q$430,"DOWN")+COUNTIFS(LLM_Data_Entry!$Q$3:$Q$430,"FLAT")</f>
        <v/>
      </c>
      <c r="E190">
        <f>COUNTIFS(LLM_Data_Entry!$AD$3:$AD$430,"UP")+COUNTIFS(LLM_Data_Entry!$AD$3:$AD$430,"DOWN")+COUNTIFS(LLM_Data_Entry!$AD$3:$AD$430,"FLAT")</f>
        <v/>
      </c>
    </row>
    <row r="191">
      <c r="A191" t="inlineStr">
        <is>
          <t>Arm accuracy</t>
        </is>
      </c>
      <c r="B191">
        <f>IFERROR(COUNTIFS(Human_Data_Entry!$S$3:$S$524,"YES",Human_Data_Entry!$H$3:$H$524,"Human")/COUNTIFS(Human_Data_Entry!$S$3:$S$524,"?*",Human_Data_Entry!$H$3:$H$524,"Human"),"")</f>
        <v/>
      </c>
      <c r="C191">
        <f>IFERROR(COUNTIFS(Human_Data_Entry!$AJ$3:$AJ$524,"YES",Human_Data_Entry!$H$3:$H$524,"Human")/COUNTIFS(Human_Data_Entry!$AJ$3:$AJ$524,"?*",Human_Data_Entry!$H$3:$H$524,"Human"),"")</f>
        <v/>
      </c>
      <c r="D191">
        <f>IFERROR(COUNTIFS(LLM_Data_Entry!$R$3:$R$430,"YES")/COUNTIFS(LLM_Data_Entry!$R$3:$R$430,"?*"),"")</f>
        <v/>
      </c>
      <c r="E191">
        <f>IFERROR(COUNTIFS(LLM_Data_Entry!$AE$3:$AE$430,"YES")/COUNTIFS(LLM_Data_Entry!$AE$3:$AE$430,"?*"),"")</f>
        <v/>
      </c>
    </row>
    <row r="192">
      <c r="A192" t="inlineStr">
        <is>
          <t>Margin over own floor (percentage points)</t>
        </is>
      </c>
      <c r="B192">
        <f>(B191-B189)*100</f>
        <v/>
      </c>
      <c r="C192">
        <f>(C191-C189)*100</f>
        <v/>
      </c>
      <c r="D192">
        <f>(D191-D189)*100</f>
        <v/>
      </c>
      <c r="E192">
        <f>(E191-E189)*100</f>
        <v/>
      </c>
    </row>
    <row r="194">
      <c r="A194" t="inlineStr">
        <is>
          <t>D5c - Accuracy by year of the reported period</t>
        </is>
      </c>
    </row>
    <row r="195">
      <c r="A195" t="inlineStr">
        <is>
          <t>Year is the reading's own Year column - the period reported on, not the date the document was read.</t>
        </is>
      </c>
    </row>
    <row r="197">
      <c r="A197" t="inlineStr">
        <is>
          <t>Year</t>
        </is>
      </c>
      <c r="B197" t="inlineStr">
        <is>
          <t>Human n</t>
        </is>
      </c>
      <c r="C197" t="inlineStr">
        <is>
          <t>Human %</t>
        </is>
      </c>
      <c r="D197" t="inlineStr">
        <is>
          <t>Human % (re-priced)</t>
        </is>
      </c>
      <c r="E197" t="inlineStr">
        <is>
          <t>LLM n</t>
        </is>
      </c>
      <c r="F197" t="inlineStr">
        <is>
          <t>LLM %</t>
        </is>
      </c>
      <c r="G197" t="inlineStr">
        <is>
          <t>LLM % (re-priced)</t>
        </is>
      </c>
    </row>
    <row r="198">
      <c r="A198" t="n">
        <v>2023</v>
      </c>
      <c r="B198">
        <f>COUNTIFS(Human_Data_Entry!$S$3:$S$524,"?*",Human_Data_Entry!$H$3:$H$524,"Human",Human_Data_Entry!$C$3:$C$524,2023)</f>
        <v/>
      </c>
      <c r="C198">
        <f>IFERROR(COUNTIFS(Human_Data_Entry!$S$3:$S$524,"YES",Human_Data_Entry!$H$3:$H$524,"Human",Human_Data_Entry!$C$3:$C$524,2023)/B198,"")</f>
        <v/>
      </c>
      <c r="D198">
        <f>IFERROR(COUNTIFS(Human_Data_Entry!$AJ$3:$AJ$524,"YES",Human_Data_Entry!$H$3:$H$524,"Human",Human_Data_Entry!$C$3:$C$524,2023)/COUNTIFS(Human_Data_Entry!$AJ$3:$AJ$524,"?*",Human_Data_Entry!$H$3:$H$524,"Human",Human_Data_Entry!$C$3:$C$524,2023),"")</f>
        <v/>
      </c>
      <c r="E198">
        <f>COUNTIFS(LLM_Data_Entry!$R$3:$R$430,"?*",LLM_Data_Entry!$C$3:$C$430,2023)</f>
        <v/>
      </c>
      <c r="F198">
        <f>IFERROR(COUNTIFS(LLM_Data_Entry!$R$3:$R$430,"YES",LLM_Data_Entry!$C$3:$C$430,2023)/E198,"")</f>
        <v/>
      </c>
      <c r="G198">
        <f>IFERROR(COUNTIFS(LLM_Data_Entry!$AE$3:$AE$430,"YES",LLM_Data_Entry!$C$3:$C$430,2023)/COUNTIFS(LLM_Data_Entry!$AE$3:$AE$430,"?*",LLM_Data_Entry!$C$3:$C$430,2023),"")</f>
        <v/>
      </c>
    </row>
    <row r="199">
      <c r="A199" t="n">
        <v>2024</v>
      </c>
      <c r="B199">
        <f>COUNTIFS(Human_Data_Entry!$S$3:$S$524,"?*",Human_Data_Entry!$H$3:$H$524,"Human",Human_Data_Entry!$C$3:$C$524,2024)</f>
        <v/>
      </c>
      <c r="C199">
        <f>IFERROR(COUNTIFS(Human_Data_Entry!$S$3:$S$524,"YES",Human_Data_Entry!$H$3:$H$524,"Human",Human_Data_Entry!$C$3:$C$524,2024)/B199,"")</f>
        <v/>
      </c>
      <c r="D199">
        <f>IFERROR(COUNTIFS(Human_Data_Entry!$AJ$3:$AJ$524,"YES",Human_Data_Entry!$H$3:$H$524,"Human",Human_Data_Entry!$C$3:$C$524,2024)/COUNTIFS(Human_Data_Entry!$AJ$3:$AJ$524,"?*",Human_Data_Entry!$H$3:$H$524,"Human",Human_Data_Entry!$C$3:$C$524,2024),"")</f>
        <v/>
      </c>
      <c r="E199">
        <f>COUNTIFS(LLM_Data_Entry!$R$3:$R$430,"?*",LLM_Data_Entry!$C$3:$C$430,2024)</f>
        <v/>
      </c>
      <c r="F199">
        <f>IFERROR(COUNTIFS(LLM_Data_Entry!$R$3:$R$430,"YES",LLM_Data_Entry!$C$3:$C$430,2024)/E199,"")</f>
        <v/>
      </c>
      <c r="G199">
        <f>IFERROR(COUNTIFS(LLM_Data_Entry!$AE$3:$AE$430,"YES",LLM_Data_Entry!$C$3:$C$430,2024)/COUNTIFS(LLM_Data_Entry!$AE$3:$AE$430,"?*",LLM_Data_Entry!$C$3:$C$430,2024),"")</f>
        <v/>
      </c>
    </row>
    <row r="200">
      <c r="A200" t="n">
        <v>2025</v>
      </c>
      <c r="B200">
        <f>COUNTIFS(Human_Data_Entry!$S$3:$S$524,"?*",Human_Data_Entry!$H$3:$H$524,"Human",Human_Data_Entry!$C$3:$C$524,2025)</f>
        <v/>
      </c>
      <c r="C200">
        <f>IFERROR(COUNTIFS(Human_Data_Entry!$S$3:$S$524,"YES",Human_Data_Entry!$H$3:$H$524,"Human",Human_Data_Entry!$C$3:$C$524,2025)/B200,"")</f>
        <v/>
      </c>
      <c r="D200">
        <f>IFERROR(COUNTIFS(Human_Data_Entry!$AJ$3:$AJ$524,"YES",Human_Data_Entry!$H$3:$H$524,"Human",Human_Data_Entry!$C$3:$C$524,2025)/COUNTIFS(Human_Data_Entry!$AJ$3:$AJ$524,"?*",Human_Data_Entry!$H$3:$H$524,"Human",Human_Data_Entry!$C$3:$C$524,2025),"")</f>
        <v/>
      </c>
      <c r="E200">
        <f>COUNTIFS(LLM_Data_Entry!$R$3:$R$430,"?*",LLM_Data_Entry!$C$3:$C$430,2025)</f>
        <v/>
      </c>
      <c r="F200">
        <f>IFERROR(COUNTIFS(LLM_Data_Entry!$R$3:$R$430,"YES",LLM_Data_Entry!$C$3:$C$430,2025)/E200,"")</f>
        <v/>
      </c>
      <c r="G200">
        <f>IFERROR(COUNTIFS(LLM_Data_Entry!$AE$3:$AE$430,"YES",LLM_Data_Entry!$C$3:$C$430,2025)/COUNTIFS(LLM_Data_Entry!$AE$3:$AE$430,"?*",LLM_Data_Entry!$C$3:$C$430,2025),"")</f>
        <v/>
      </c>
    </row>
    <row r="201">
      <c r="A201" t="n">
        <v>2026</v>
      </c>
      <c r="B201">
        <f>COUNTIFS(Human_Data_Entry!$S$3:$S$524,"?*",Human_Data_Entry!$H$3:$H$524,"Human",Human_Data_Entry!$C$3:$C$524,2026)</f>
        <v/>
      </c>
      <c r="C201">
        <f>IFERROR(COUNTIFS(Human_Data_Entry!$S$3:$S$524,"YES",Human_Data_Entry!$H$3:$H$524,"Human",Human_Data_Entry!$C$3:$C$524,2026)/B201,"")</f>
        <v/>
      </c>
      <c r="D201">
        <f>IFERROR(COUNTIFS(Human_Data_Entry!$AJ$3:$AJ$524,"YES",Human_Data_Entry!$H$3:$H$524,"Human",Human_Data_Entry!$C$3:$C$524,2026)/COUNTIFS(Human_Data_Entry!$AJ$3:$AJ$524,"?*",Human_Data_Entry!$H$3:$H$524,"Human",Human_Data_Entry!$C$3:$C$524,2026),"")</f>
        <v/>
      </c>
      <c r="E201">
        <f>COUNTIFS(LLM_Data_Entry!$R$3:$R$430,"?*",LLM_Data_Entry!$C$3:$C$430,2026)</f>
        <v/>
      </c>
      <c r="F201">
        <f>IFERROR(COUNTIFS(LLM_Data_Entry!$R$3:$R$430,"YES",LLM_Data_Entry!$C$3:$C$430,2026)/E201,"")</f>
        <v/>
      </c>
      <c r="G201">
        <f>IFERROR(COUNTIFS(LLM_Data_Entry!$AE$3:$AE$430,"YES",LLM_Data_Entry!$C$3:$C$430,2026)/COUNTIFS(LLM_Data_Entry!$AE$3:$AE$430,"?*",LLM_Data_Entry!$C$3:$C$430,2026),"")</f>
        <v/>
      </c>
    </row>
    <row r="203">
      <c r="A203" t="inlineStr">
        <is>
          <t>D5d - Accuracy by the size of the realised move</t>
        </is>
      </c>
    </row>
    <row r="204">
      <c r="A204" t="inlineStr">
        <is>
          <t>Bands are on the absolute realised move. Anything inside the FLAT band is a HOLD by construction, so the first two bands are where every arm's HOLDs live and a high score there is not skill - it is the band definition. The bands that carry information are 2% and above.</t>
        </is>
      </c>
    </row>
    <row r="206">
      <c r="A206" t="inlineStr">
        <is>
          <t>|Realised move|</t>
        </is>
      </c>
      <c r="B206" t="inlineStr">
        <is>
          <t>Human n</t>
        </is>
      </c>
      <c r="C206" t="inlineStr">
        <is>
          <t>Human %</t>
        </is>
      </c>
      <c r="D206" t="inlineStr">
        <is>
          <t>Human n (re-priced)</t>
        </is>
      </c>
      <c r="E206" t="inlineStr">
        <is>
          <t>Human % (re-priced)</t>
        </is>
      </c>
      <c r="F206" t="inlineStr">
        <is>
          <t>LLM n</t>
        </is>
      </c>
      <c r="G206" t="inlineStr">
        <is>
          <t>LLM %</t>
        </is>
      </c>
      <c r="H206" t="inlineStr">
        <is>
          <t>LLM n (re-priced)</t>
        </is>
      </c>
      <c r="I206" t="inlineStr">
        <is>
          <t>LLM % (re-priced)</t>
        </is>
      </c>
    </row>
    <row r="207">
      <c r="A207" t="inlineStr">
        <is>
          <t>under 1%</t>
        </is>
      </c>
      <c r="B207">
        <f>COUNTIFS(Human_Data_Entry!$S$3:$S$524,"?*",Human_Data_Entry!$H$3:$H$524,"Human",Human_Data_Entry!$Q$3:$Q$524,"&gt;=0",Human_Data_Entry!$Q$3:$Q$524,"&lt;0.01")+COUNTIFS(Human_Data_Entry!$S$3:$S$524,"?*",Human_Data_Entry!$H$3:$H$524,"Human",Human_Data_Entry!$Q$3:$Q$524,"&lt;0",Human_Data_Entry!$Q$3:$Q$524,"&gt;-0.01")</f>
        <v/>
      </c>
      <c r="C207">
        <f>IFERROR((COUNTIFS(Human_Data_Entry!$S$3:$S$524,"YES",Human_Data_Entry!$H$3:$H$524,"Human",Human_Data_Entry!$Q$3:$Q$524,"&gt;=0",Human_Data_Entry!$Q$3:$Q$524,"&lt;0.01")+COUNTIFS(Human_Data_Entry!$S$3:$S$524,"YES",Human_Data_Entry!$H$3:$H$524,"Human",Human_Data_Entry!$Q$3:$Q$524,"&lt;0",Human_Data_Entry!$Q$3:$Q$524,"&gt;-0.01"))/B207,"")</f>
        <v/>
      </c>
      <c r="D207">
        <f>COUNTIFS(Human_Data_Entry!$AJ$3:$AJ$524,"?*",Human_Data_Entry!$H$3:$H$524,"Human",Human_Data_Entry!$AH$3:$AH$524,"&gt;=0",Human_Data_Entry!$AH$3:$AH$524,"&lt;0.01")+COUNTIFS(Human_Data_Entry!$AJ$3:$AJ$524,"?*",Human_Data_Entry!$H$3:$H$524,"Human",Human_Data_Entry!$AH$3:$AH$524,"&lt;0",Human_Data_Entry!$AH$3:$AH$524,"&gt;-0.01")</f>
        <v/>
      </c>
      <c r="E207">
        <f>IFERROR((COUNTIFS(Human_Data_Entry!$AJ$3:$AJ$524,"YES",Human_Data_Entry!$H$3:$H$524,"Human",Human_Data_Entry!$AH$3:$AH$524,"&gt;=0",Human_Data_Entry!$AH$3:$AH$524,"&lt;0.01")+COUNTIFS(Human_Data_Entry!$AJ$3:$AJ$524,"YES",Human_Data_Entry!$H$3:$H$524,"Human",Human_Data_Entry!$AH$3:$AH$524,"&lt;0",Human_Data_Entry!$AH$3:$AH$524,"&gt;-0.01"))/D207,"")</f>
        <v/>
      </c>
      <c r="F207">
        <f>COUNTIFS(LLM_Data_Entry!$R$3:$R$430,"?*",LLM_Data_Entry!$P$3:$P$430,"&gt;=0",LLM_Data_Entry!$P$3:$P$430,"&lt;0.01")+COUNTIFS(LLM_Data_Entry!$R$3:$R$430,"?*",LLM_Data_Entry!$P$3:$P$430,"&lt;0",LLM_Data_Entry!$P$3:$P$430,"&gt;-0.01")</f>
        <v/>
      </c>
      <c r="G207">
        <f>IFERROR((COUNTIFS(LLM_Data_Entry!$R$3:$R$430,"YES",LLM_Data_Entry!$P$3:$P$430,"&gt;=0",LLM_Data_Entry!$P$3:$P$430,"&lt;0.01")+COUNTIFS(LLM_Data_Entry!$R$3:$R$430,"YES",LLM_Data_Entry!$P$3:$P$430,"&lt;0",LLM_Data_Entry!$P$3:$P$430,"&gt;-0.01"))/F207,"")</f>
        <v/>
      </c>
      <c r="H207">
        <f>COUNTIFS(LLM_Data_Entry!$AE$3:$AE$430,"?*",LLM_Data_Entry!$AC$3:$AC$430,"&gt;=0",LLM_Data_Entry!$AC$3:$AC$430,"&lt;0.01")+COUNTIFS(LLM_Data_Entry!$AE$3:$AE$430,"?*",LLM_Data_Entry!$AC$3:$AC$430,"&lt;0",LLM_Data_Entry!$AC$3:$AC$430,"&gt;-0.01")</f>
        <v/>
      </c>
      <c r="I207">
        <f>IFERROR((COUNTIFS(LLM_Data_Entry!$AE$3:$AE$430,"YES",LLM_Data_Entry!$AC$3:$AC$430,"&gt;=0",LLM_Data_Entry!$AC$3:$AC$430,"&lt;0.01")+COUNTIFS(LLM_Data_Entry!$AE$3:$AE$430,"YES",LLM_Data_Entry!$AC$3:$AC$430,"&lt;0",LLM_Data_Entry!$AC$3:$AC$430,"&gt;-0.01"))/H207,"")</f>
        <v/>
      </c>
    </row>
    <row r="208">
      <c r="A208" t="inlineStr">
        <is>
          <t>1% to 2%</t>
        </is>
      </c>
      <c r="B208">
        <f>COUNTIFS(Human_Data_Entry!$S$3:$S$524,"?*",Human_Data_Entry!$H$3:$H$524,"Human",Human_Data_Entry!$Q$3:$Q$524,"&gt;=0.01",Human_Data_Entry!$Q$3:$Q$524,"&lt;0.02")+COUNTIFS(Human_Data_Entry!$S$3:$S$524,"?*",Human_Data_Entry!$H$3:$H$524,"Human",Human_Data_Entry!$Q$3:$Q$524,"&lt;=-0.01",Human_Data_Entry!$Q$3:$Q$524,"&gt;-0.02")</f>
        <v/>
      </c>
      <c r="C208">
        <f>IFERROR((COUNTIFS(Human_Data_Entry!$S$3:$S$524,"YES",Human_Data_Entry!$H$3:$H$524,"Human",Human_Data_Entry!$Q$3:$Q$524,"&gt;=0.01",Human_Data_Entry!$Q$3:$Q$524,"&lt;0.02")+COUNTIFS(Human_Data_Entry!$S$3:$S$524,"YES",Human_Data_Entry!$H$3:$H$524,"Human",Human_Data_Entry!$Q$3:$Q$524,"&lt;=-0.01",Human_Data_Entry!$Q$3:$Q$524,"&gt;-0.02"))/B208,"")</f>
        <v/>
      </c>
      <c r="D208">
        <f>COUNTIFS(Human_Data_Entry!$AJ$3:$AJ$524,"?*",Human_Data_Entry!$H$3:$H$524,"Human",Human_Data_Entry!$AH$3:$AH$524,"&gt;=0.01",Human_Data_Entry!$AH$3:$AH$524,"&lt;0.02")+COUNTIFS(Human_Data_Entry!$AJ$3:$AJ$524,"?*",Human_Data_Entry!$H$3:$H$524,"Human",Human_Data_Entry!$AH$3:$AH$524,"&lt;=-0.01",Human_Data_Entry!$AH$3:$AH$524,"&gt;-0.02")</f>
        <v/>
      </c>
      <c r="E208">
        <f>IFERROR((COUNTIFS(Human_Data_Entry!$AJ$3:$AJ$524,"YES",Human_Data_Entry!$H$3:$H$524,"Human",Human_Data_Entry!$AH$3:$AH$524,"&gt;=0.01",Human_Data_Entry!$AH$3:$AH$524,"&lt;0.02")+COUNTIFS(Human_Data_Entry!$AJ$3:$AJ$524,"YES",Human_Data_Entry!$H$3:$H$524,"Human",Human_Data_Entry!$AH$3:$AH$524,"&lt;=-0.01",Human_Data_Entry!$AH$3:$AH$524,"&gt;-0.02"))/D208,"")</f>
        <v/>
      </c>
      <c r="F208">
        <f>COUNTIFS(LLM_Data_Entry!$R$3:$R$430,"?*",LLM_Data_Entry!$P$3:$P$430,"&gt;=0.01",LLM_Data_Entry!$P$3:$P$430,"&lt;0.02")+COUNTIFS(LLM_Data_Entry!$R$3:$R$430,"?*",LLM_Data_Entry!$P$3:$P$430,"&lt;=-0.01",LLM_Data_Entry!$P$3:$P$430,"&gt;-0.02")</f>
        <v/>
      </c>
      <c r="G208">
        <f>IFERROR((COUNTIFS(LLM_Data_Entry!$R$3:$R$430,"YES",LLM_Data_Entry!$P$3:$P$430,"&gt;=0.01",LLM_Data_Entry!$P$3:$P$430,"&lt;0.02")+COUNTIFS(LLM_Data_Entry!$R$3:$R$430,"YES",LLM_Data_Entry!$P$3:$P$430,"&lt;=-0.01",LLM_Data_Entry!$P$3:$P$430,"&gt;-0.02"))/F208,"")</f>
        <v/>
      </c>
      <c r="H208">
        <f>COUNTIFS(LLM_Data_Entry!$AE$3:$AE$430,"?*",LLM_Data_Entry!$AC$3:$AC$430,"&gt;=0.01",LLM_Data_Entry!$AC$3:$AC$430,"&lt;0.02")+COUNTIFS(LLM_Data_Entry!$AE$3:$AE$430,"?*",LLM_Data_Entry!$AC$3:$AC$430,"&lt;=-0.01",LLM_Data_Entry!$AC$3:$AC$430,"&gt;-0.02")</f>
        <v/>
      </c>
      <c r="I208">
        <f>IFERROR((COUNTIFS(LLM_Data_Entry!$AE$3:$AE$430,"YES",LLM_Data_Entry!$AC$3:$AC$430,"&gt;=0.01",LLM_Data_Entry!$AC$3:$AC$430,"&lt;0.02")+COUNTIFS(LLM_Data_Entry!$AE$3:$AE$430,"YES",LLM_Data_Entry!$AC$3:$AC$430,"&lt;=-0.01",LLM_Data_Entry!$AC$3:$AC$430,"&gt;-0.02"))/H208,"")</f>
        <v/>
      </c>
    </row>
    <row r="209">
      <c r="A209" t="inlineStr">
        <is>
          <t>2% to 5%</t>
        </is>
      </c>
      <c r="B209">
        <f>COUNTIFS(Human_Data_Entry!$S$3:$S$524,"?*",Human_Data_Entry!$H$3:$H$524,"Human",Human_Data_Entry!$Q$3:$Q$524,"&gt;=0.02",Human_Data_Entry!$Q$3:$Q$524,"&lt;0.05")+COUNTIFS(Human_Data_Entry!$S$3:$S$524,"?*",Human_Data_Entry!$H$3:$H$524,"Human",Human_Data_Entry!$Q$3:$Q$524,"&lt;=-0.02",Human_Data_Entry!$Q$3:$Q$524,"&gt;-0.05")</f>
        <v/>
      </c>
      <c r="C209">
        <f>IFERROR((COUNTIFS(Human_Data_Entry!$S$3:$S$524,"YES",Human_Data_Entry!$H$3:$H$524,"Human",Human_Data_Entry!$Q$3:$Q$524,"&gt;=0.02",Human_Data_Entry!$Q$3:$Q$524,"&lt;0.05")+COUNTIFS(Human_Data_Entry!$S$3:$S$524,"YES",Human_Data_Entry!$H$3:$H$524,"Human",Human_Data_Entry!$Q$3:$Q$524,"&lt;=-0.02",Human_Data_Entry!$Q$3:$Q$524,"&gt;-0.05"))/B209,"")</f>
        <v/>
      </c>
      <c r="D209">
        <f>COUNTIFS(Human_Data_Entry!$AJ$3:$AJ$524,"?*",Human_Data_Entry!$H$3:$H$524,"Human",Human_Data_Entry!$AH$3:$AH$524,"&gt;=0.02",Human_Data_Entry!$AH$3:$AH$524,"&lt;0.05")+COUNTIFS(Human_Data_Entry!$AJ$3:$AJ$524,"?*",Human_Data_Entry!$H$3:$H$524,"Human",Human_Data_Entry!$AH$3:$AH$524,"&lt;=-0.02",Human_Data_Entry!$AH$3:$AH$524,"&gt;-0.05")</f>
        <v/>
      </c>
      <c r="E209">
        <f>IFERROR((COUNTIFS(Human_Data_Entry!$AJ$3:$AJ$524,"YES",Human_Data_Entry!$H$3:$H$524,"Human",Human_Data_Entry!$AH$3:$AH$524,"&gt;=0.02",Human_Data_Entry!$AH$3:$AH$524,"&lt;0.05")+COUNTIFS(Human_Data_Entry!$AJ$3:$AJ$524,"YES",Human_Data_Entry!$H$3:$H$524,"Human",Human_Data_Entry!$AH$3:$AH$524,"&lt;=-0.02",Human_Data_Entry!$AH$3:$AH$524,"&gt;-0.05"))/D209,"")</f>
        <v/>
      </c>
      <c r="F209">
        <f>COUNTIFS(LLM_Data_Entry!$R$3:$R$430,"?*",LLM_Data_Entry!$P$3:$P$430,"&gt;=0.02",LLM_Data_Entry!$P$3:$P$430,"&lt;0.05")+COUNTIFS(LLM_Data_Entry!$R$3:$R$430,"?*",LLM_Data_Entry!$P$3:$P$430,"&lt;=-0.02",LLM_Data_Entry!$P$3:$P$430,"&gt;-0.05")</f>
        <v/>
      </c>
      <c r="G209">
        <f>IFERROR((COUNTIFS(LLM_Data_Entry!$R$3:$R$430,"YES",LLM_Data_Entry!$P$3:$P$430,"&gt;=0.02",LLM_Data_Entry!$P$3:$P$430,"&lt;0.05")+COUNTIFS(LLM_Data_Entry!$R$3:$R$430,"YES",LLM_Data_Entry!$P$3:$P$430,"&lt;=-0.02",LLM_Data_Entry!$P$3:$P$430,"&gt;-0.05"))/F209,"")</f>
        <v/>
      </c>
      <c r="H209">
        <f>COUNTIFS(LLM_Data_Entry!$AE$3:$AE$430,"?*",LLM_Data_Entry!$AC$3:$AC$430,"&gt;=0.02",LLM_Data_Entry!$AC$3:$AC$430,"&lt;0.05")+COUNTIFS(LLM_Data_Entry!$AE$3:$AE$430,"?*",LLM_Data_Entry!$AC$3:$AC$430,"&lt;=-0.02",LLM_Data_Entry!$AC$3:$AC$430,"&gt;-0.05")</f>
        <v/>
      </c>
      <c r="I209">
        <f>IFERROR((COUNTIFS(LLM_Data_Entry!$AE$3:$AE$430,"YES",LLM_Data_Entry!$AC$3:$AC$430,"&gt;=0.02",LLM_Data_Entry!$AC$3:$AC$430,"&lt;0.05")+COUNTIFS(LLM_Data_Entry!$AE$3:$AE$430,"YES",LLM_Data_Entry!$AC$3:$AC$430,"&lt;=-0.02",LLM_Data_Entry!$AC$3:$AC$430,"&gt;-0.05"))/H209,"")</f>
        <v/>
      </c>
    </row>
    <row r="210">
      <c r="A210" t="inlineStr">
        <is>
          <t>5% to 10%</t>
        </is>
      </c>
      <c r="B210">
        <f>COUNTIFS(Human_Data_Entry!$S$3:$S$524,"?*",Human_Data_Entry!$H$3:$H$524,"Human",Human_Data_Entry!$Q$3:$Q$524,"&gt;=0.05",Human_Data_Entry!$Q$3:$Q$524,"&lt;0.1")+COUNTIFS(Human_Data_Entry!$S$3:$S$524,"?*",Human_Data_Entry!$H$3:$H$524,"Human",Human_Data_Entry!$Q$3:$Q$524,"&lt;=-0.05",Human_Data_Entry!$Q$3:$Q$524,"&gt;-0.1")</f>
        <v/>
      </c>
      <c r="C210">
        <f>IFERROR((COUNTIFS(Human_Data_Entry!$S$3:$S$524,"YES",Human_Data_Entry!$H$3:$H$524,"Human",Human_Data_Entry!$Q$3:$Q$524,"&gt;=0.05",Human_Data_Entry!$Q$3:$Q$524,"&lt;0.1")+COUNTIFS(Human_Data_Entry!$S$3:$S$524,"YES",Human_Data_Entry!$H$3:$H$524,"Human",Human_Data_Entry!$Q$3:$Q$524,"&lt;=-0.05",Human_Data_Entry!$Q$3:$Q$524,"&gt;-0.1"))/B210,"")</f>
        <v/>
      </c>
      <c r="D210">
        <f>COUNTIFS(Human_Data_Entry!$AJ$3:$AJ$524,"?*",Human_Data_Entry!$H$3:$H$524,"Human",Human_Data_Entry!$AH$3:$AH$524,"&gt;=0.05",Human_Data_Entry!$AH$3:$AH$524,"&lt;0.1")+COUNTIFS(Human_Data_Entry!$AJ$3:$AJ$524,"?*",Human_Data_Entry!$H$3:$H$524,"Human",Human_Data_Entry!$AH$3:$AH$524,"&lt;=-0.05",Human_Data_Entry!$AH$3:$AH$524,"&gt;-0.1")</f>
        <v/>
      </c>
      <c r="E210">
        <f>IFERROR((COUNTIFS(Human_Data_Entry!$AJ$3:$AJ$524,"YES",Human_Data_Entry!$H$3:$H$524,"Human",Human_Data_Entry!$AH$3:$AH$524,"&gt;=0.05",Human_Data_Entry!$AH$3:$AH$524,"&lt;0.1")+COUNTIFS(Human_Data_Entry!$AJ$3:$AJ$524,"YES",Human_Data_Entry!$H$3:$H$524,"Human",Human_Data_Entry!$AH$3:$AH$524,"&lt;=-0.05",Human_Data_Entry!$AH$3:$AH$524,"&gt;-0.1"))/D210,"")</f>
        <v/>
      </c>
      <c r="F210">
        <f>COUNTIFS(LLM_Data_Entry!$R$3:$R$430,"?*",LLM_Data_Entry!$P$3:$P$430,"&gt;=0.05",LLM_Data_Entry!$P$3:$P$430,"&lt;0.1")+COUNTIFS(LLM_Data_Entry!$R$3:$R$430,"?*",LLM_Data_Entry!$P$3:$P$430,"&lt;=-0.05",LLM_Data_Entry!$P$3:$P$430,"&gt;-0.1")</f>
        <v/>
      </c>
      <c r="G210">
        <f>IFERROR((COUNTIFS(LLM_Data_Entry!$R$3:$R$430,"YES",LLM_Data_Entry!$P$3:$P$430,"&gt;=0.05",LLM_Data_Entry!$P$3:$P$430,"&lt;0.1")+COUNTIFS(LLM_Data_Entry!$R$3:$R$430,"YES",LLM_Data_Entry!$P$3:$P$430,"&lt;=-0.05",LLM_Data_Entry!$P$3:$P$430,"&gt;-0.1"))/F210,"")</f>
        <v/>
      </c>
      <c r="H210">
        <f>COUNTIFS(LLM_Data_Entry!$AE$3:$AE$430,"?*",LLM_Data_Entry!$AC$3:$AC$430,"&gt;=0.05",LLM_Data_Entry!$AC$3:$AC$430,"&lt;0.1")+COUNTIFS(LLM_Data_Entry!$AE$3:$AE$430,"?*",LLM_Data_Entry!$AC$3:$AC$430,"&lt;=-0.05",LLM_Data_Entry!$AC$3:$AC$430,"&gt;-0.1")</f>
        <v/>
      </c>
      <c r="I210">
        <f>IFERROR((COUNTIFS(LLM_Data_Entry!$AE$3:$AE$430,"YES",LLM_Data_Entry!$AC$3:$AC$430,"&gt;=0.05",LLM_Data_Entry!$AC$3:$AC$430,"&lt;0.1")+COUNTIFS(LLM_Data_Entry!$AE$3:$AE$430,"YES",LLM_Data_Entry!$AC$3:$AC$430,"&lt;=-0.05",LLM_Data_Entry!$AC$3:$AC$430,"&gt;-0.1"))/H210,"")</f>
        <v/>
      </c>
    </row>
    <row r="211">
      <c r="A211" t="inlineStr">
        <is>
          <t>10% and over</t>
        </is>
      </c>
      <c r="B211">
        <f>COUNTIFS(Human_Data_Entry!$S$3:$S$524,"?*",Human_Data_Entry!$H$3:$H$524,"Human",Human_Data_Entry!$Q$3:$Q$524,"&gt;=0.1")+COUNTIFS(Human_Data_Entry!$S$3:$S$524,"?*",Human_Data_Entry!$H$3:$H$524,"Human",Human_Data_Entry!$Q$3:$Q$524,"&lt;=-0.1")</f>
        <v/>
      </c>
      <c r="C211">
        <f>IFERROR((COUNTIFS(Human_Data_Entry!$S$3:$S$524,"YES",Human_Data_Entry!$H$3:$H$524,"Human",Human_Data_Entry!$Q$3:$Q$524,"&gt;=0.1")+COUNTIFS(Human_Data_Entry!$S$3:$S$524,"YES",Human_Data_Entry!$H$3:$H$524,"Human",Human_Data_Entry!$Q$3:$Q$524,"&lt;=-0.1"))/B211,"")</f>
        <v/>
      </c>
      <c r="D211">
        <f>COUNTIFS(Human_Data_Entry!$AJ$3:$AJ$524,"?*",Human_Data_Entry!$H$3:$H$524,"Human",Human_Data_Entry!$AH$3:$AH$524,"&gt;=0.1")+COUNTIFS(Human_Data_Entry!$AJ$3:$AJ$524,"?*",Human_Data_Entry!$H$3:$H$524,"Human",Human_Data_Entry!$AH$3:$AH$524,"&lt;=-0.1")</f>
        <v/>
      </c>
      <c r="E211">
        <f>IFERROR((COUNTIFS(Human_Data_Entry!$AJ$3:$AJ$524,"YES",Human_Data_Entry!$H$3:$H$524,"Human",Human_Data_Entry!$AH$3:$AH$524,"&gt;=0.1")+COUNTIFS(Human_Data_Entry!$AJ$3:$AJ$524,"YES",Human_Data_Entry!$H$3:$H$524,"Human",Human_Data_Entry!$AH$3:$AH$524,"&lt;=-0.1"))/D211,"")</f>
        <v/>
      </c>
      <c r="F211">
        <f>COUNTIFS(LLM_Data_Entry!$R$3:$R$430,"?*",LLM_Data_Entry!$P$3:$P$430,"&gt;=0.1")+COUNTIFS(LLM_Data_Entry!$R$3:$R$430,"?*",LLM_Data_Entry!$P$3:$P$430,"&lt;=-0.1")</f>
        <v/>
      </c>
      <c r="G211">
        <f>IFERROR((COUNTIFS(LLM_Data_Entry!$R$3:$R$430,"YES",LLM_Data_Entry!$P$3:$P$430,"&gt;=0.1")+COUNTIFS(LLM_Data_Entry!$R$3:$R$430,"YES",LLM_Data_Entry!$P$3:$P$430,"&lt;=-0.1"))/F211,"")</f>
        <v/>
      </c>
      <c r="H211">
        <f>COUNTIFS(LLM_Data_Entry!$AE$3:$AE$430,"?*",LLM_Data_Entry!$AC$3:$AC$430,"&gt;=0.1")+COUNTIFS(LLM_Data_Entry!$AE$3:$AE$430,"?*",LLM_Data_Entry!$AC$3:$AC$430,"&lt;=-0.1")</f>
        <v/>
      </c>
      <c r="I211">
        <f>IFERROR((COUNTIFS(LLM_Data_Entry!$AE$3:$AE$430,"YES",LLM_Data_Entry!$AC$3:$AC$430,"&gt;=0.1")+COUNTIFS(LLM_Data_Entry!$AE$3:$AE$430,"YES",LLM_Data_Entry!$AC$3:$AC$430,"&lt;=-0.1"))/H211,"")</f>
        <v/>
      </c>
    </row>
    <row r="212">
      <c r="A212" t="inlineStr">
        <is>
          <t>Reconciliation - the bands must sum to the arm</t>
        </is>
      </c>
      <c r="B212">
        <f>IF(SUM(B207:B211)=COUNTIFS(Human_Data_Entry!$S$3:$S$524,"?*",Human_Data_Entry!$H$3:$H$524,"Human"),"OK","MISMATCH")</f>
        <v/>
      </c>
      <c r="D212">
        <f>IF(SUM(D207:D211)=COUNTIFS(Human_Data_Entry!$AJ$3:$AJ$524,"?*",Human_Data_Entry!$H$3:$H$524,"Human"),"OK","MISMATCH")</f>
        <v/>
      </c>
      <c r="F212">
        <f>IF(SUM(F207:F211)=COUNTIFS(LLM_Data_Entry!$R$3:$R$430,"?*"),"OK","MISMATCH")</f>
        <v/>
      </c>
      <c r="H212">
        <f>IF(SUM(H207:H211)=COUNTIFS(LLM_Data_Entry!$AE$3:$AE$430,"?*"),"OK","MISMATCH")</f>
        <v/>
      </c>
    </row>
    <row r="214">
      <c r="A214" t="inlineStr">
        <is>
          <t>D5e - Return per trade: dispersion, Sharpe and a 95% interval</t>
        </is>
      </c>
    </row>
    <row r="215">
      <c r="A215" t="inlineStr">
        <is>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is>
      </c>
    </row>
    <row r="217">
      <c r="A217" t="inlineStr">
        <is>
          <t>Measure</t>
        </is>
      </c>
      <c r="B217" t="inlineStr">
        <is>
          <t>Human published</t>
        </is>
      </c>
      <c r="C217" t="inlineStr">
        <is>
          <t>Human re-priced</t>
        </is>
      </c>
      <c r="D217" t="inlineStr">
        <is>
          <t>LLM published</t>
        </is>
      </c>
      <c r="E217" t="inlineStr">
        <is>
          <t>LLM re-priced</t>
        </is>
      </c>
    </row>
    <row r="218">
      <c r="A218" t="inlineStr">
        <is>
          <t># Trades</t>
        </is>
      </c>
      <c r="B218">
        <f>COUNT(Human_Data_Entry!$AT$3:$AT$524)</f>
        <v/>
      </c>
      <c r="C218">
        <f>COUNT(Human_Data_Entry!$AU$3:$AU$524)</f>
        <v/>
      </c>
      <c r="D218">
        <f>COUNT(LLM_Data_Entry!$AM$3:$AM$430)</f>
        <v/>
      </c>
      <c r="E218">
        <f>COUNT(LLM_Data_Entry!$AN$3:$AN$430)</f>
        <v/>
      </c>
    </row>
    <row r="219">
      <c r="A219" t="inlineStr">
        <is>
          <t>Mean net return per trade</t>
        </is>
      </c>
      <c r="B219">
        <f>IFERROR(AVERAGE(Human_Data_Entry!$AT$3:$AT$524),"")</f>
        <v/>
      </c>
      <c r="C219">
        <f>IFERROR(AVERAGE(Human_Data_Entry!$AU$3:$AU$524),"")</f>
        <v/>
      </c>
      <c r="D219">
        <f>IFERROR(AVERAGE(LLM_Data_Entry!$AM$3:$AM$430),"")</f>
        <v/>
      </c>
      <c r="E219">
        <f>IFERROR(AVERAGE(LLM_Data_Entry!$AN$3:$AN$430),"")</f>
        <v/>
      </c>
    </row>
    <row r="220">
      <c r="A220" t="inlineStr">
        <is>
          <t>Standard deviation per trade</t>
        </is>
      </c>
      <c r="B220">
        <f>IFERROR(STDEV(Human_Data_Entry!$AT$3:$AT$524),"")</f>
        <v/>
      </c>
      <c r="C220">
        <f>IFERROR(STDEV(Human_Data_Entry!$AU$3:$AU$524),"")</f>
        <v/>
      </c>
      <c r="D220">
        <f>IFERROR(STDEV(LLM_Data_Entry!$AM$3:$AM$430),"")</f>
        <v/>
      </c>
      <c r="E220">
        <f>IFERROR(STDEV(LLM_Data_Entry!$AN$3:$AN$430),"")</f>
        <v/>
      </c>
    </row>
    <row r="221">
      <c r="A221" t="inlineStr">
        <is>
          <t>Sharpe (mean / sd)</t>
        </is>
      </c>
      <c r="B221">
        <f>IFERROR(B219/B220,"")</f>
        <v/>
      </c>
      <c r="C221">
        <f>IFERROR(C219/C220,"")</f>
        <v/>
      </c>
      <c r="D221">
        <f>IFERROR(D219/D220,"")</f>
        <v/>
      </c>
      <c r="E221">
        <f>IFERROR(E219/E220,"")</f>
        <v/>
      </c>
    </row>
    <row r="222">
      <c r="A222" t="inlineStr">
        <is>
          <t>95% interval on the mean - low</t>
        </is>
      </c>
      <c r="B222">
        <f>IFERROR(B219-1.96*B220/SQRT(B218),"")</f>
        <v/>
      </c>
      <c r="C222">
        <f>IFERROR(C219-1.96*C220/SQRT(C218),"")</f>
        <v/>
      </c>
      <c r="D222">
        <f>IFERROR(D219-1.96*D220/SQRT(D218),"")</f>
        <v/>
      </c>
      <c r="E222">
        <f>IFERROR(E219-1.96*E220/SQRT(E218),"")</f>
        <v/>
      </c>
    </row>
    <row r="223">
      <c r="A223" t="inlineStr">
        <is>
          <t>95% interval on the mean - high</t>
        </is>
      </c>
      <c r="B223">
        <f>IFERROR(B219+1.96*B220/SQRT(B218),"")</f>
        <v/>
      </c>
      <c r="C223">
        <f>IFERROR(C219+1.96*C220/SQRT(C218),"")</f>
        <v/>
      </c>
      <c r="D223">
        <f>IFERROR(D219+1.96*D220/SQRT(D218),"")</f>
        <v/>
      </c>
      <c r="E223">
        <f>IFERROR(E219+1.96*E220/SQRT(E218),"")</f>
        <v/>
      </c>
    </row>
    <row r="224">
      <c r="A224" t="inlineStr">
        <is>
          <t>Mean distinguishable from zero at 95%?</t>
        </is>
      </c>
      <c r="B224">
        <f>IF(B222*B223&gt;0,"YES","NO")</f>
        <v/>
      </c>
      <c r="C224">
        <f>IF(C222*C223&gt;0,"YES","NO")</f>
        <v/>
      </c>
      <c r="D224">
        <f>IF(D222*D223&gt;0,"YES","NO")</f>
        <v/>
      </c>
      <c r="E224">
        <f>IF(E222*E223&gt;0,"YES","NO")</f>
        <v/>
      </c>
    </row>
    <row r="226">
      <c r="A226" t="inlineStr">
        <is>
          <t>D5f - Conviction-weighted sizing versus flat sizing</t>
        </is>
      </c>
    </row>
    <row r="227">
      <c r="A227" t="inlineStr">
        <is>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is>
      </c>
    </row>
    <row r="229">
      <c r="A229" t="inlineStr">
        <is>
          <t>Measure</t>
        </is>
      </c>
      <c r="B229" t="inlineStr">
        <is>
          <t>Human published</t>
        </is>
      </c>
      <c r="C229" t="inlineStr">
        <is>
          <t>Human re-priced</t>
        </is>
      </c>
      <c r="D229" t="inlineStr">
        <is>
          <t>LLM published</t>
        </is>
      </c>
      <c r="E229" t="inlineStr">
        <is>
          <t>LLM re-priced</t>
        </is>
      </c>
    </row>
    <row r="230">
      <c r="A230" t="inlineStr">
        <is>
          <t># Trades</t>
        </is>
      </c>
      <c r="B230">
        <f>COUNT(Human_Data_Entry!$AT$3:$AT$524)</f>
        <v/>
      </c>
      <c r="C230">
        <f>COUNT(Human_Data_Entry!$AU$3:$AU$524)</f>
        <v/>
      </c>
      <c r="D230">
        <f>COUNT(LLM_Data_Entry!$AM$3:$AM$430)</f>
        <v/>
      </c>
      <c r="E230">
        <f>COUNT(LLM_Data_Entry!$AN$3:$AN$430)</f>
        <v/>
      </c>
    </row>
    <row r="231">
      <c r="A231" t="inlineStr">
        <is>
          <t>Flat: mean net return per trade</t>
        </is>
      </c>
      <c r="B231">
        <f>IFERROR(AVERAGE(Human_Data_Entry!$AT$3:$AT$524),"")</f>
        <v/>
      </c>
      <c r="C231">
        <f>IFERROR(AVERAGE(Human_Data_Entry!$AU$3:$AU$524),"")</f>
        <v/>
      </c>
      <c r="D231">
        <f>IFERROR(AVERAGE(LLM_Data_Entry!$AM$3:$AM$430),"")</f>
        <v/>
      </c>
      <c r="E231">
        <f>IFERROR(AVERAGE(LLM_Data_Entry!$AN$3:$AN$430),"")</f>
        <v/>
      </c>
    </row>
    <row r="232">
      <c r="A232" t="inlineStr">
        <is>
          <t>Conviction-weighted: mean net return per trade</t>
        </is>
      </c>
      <c r="B232">
        <f>IFERROR(SUM(Human_Data_Entry!$AW$3:$AW$524)/SUM(Human_Data_Entry!$AV$3:$AV$524),"")</f>
        <v/>
      </c>
      <c r="C232">
        <f>IFERROR(SUM(Human_Data_Entry!$AY$3:$AY$524)/SUM(Human_Data_Entry!$AX$3:$AX$524),"")</f>
        <v/>
      </c>
      <c r="D232">
        <f>IFERROR(SUM(LLM_Data_Entry!$AP$3:$AP$430)/SUM(LLM_Data_Entry!$AO$3:$AO$430),"")</f>
        <v/>
      </c>
      <c r="E232">
        <f>IFERROR(SUM(LLM_Data_Entry!$AR$3:$AR$430)/SUM(LLM_Data_Entry!$AQ$3:$AQ$430),"")</f>
        <v/>
      </c>
    </row>
    <row r="233">
      <c r="A233" t="inlineStr">
        <is>
          <t>Difference (weighted - flat)</t>
        </is>
      </c>
      <c r="B233">
        <f>IFERROR(B232-B231,"")</f>
        <v/>
      </c>
      <c r="C233">
        <f>IFERROR(C232-C231,"")</f>
        <v/>
      </c>
      <c r="D233">
        <f>IFERROR(D232-D231,"")</f>
        <v/>
      </c>
      <c r="E233">
        <f>IFERROR(E232-E231,"")</f>
        <v/>
      </c>
    </row>
    <row r="234">
      <c r="A234" t="inlineStr">
        <is>
          <t>Sum of weights</t>
        </is>
      </c>
      <c r="B234">
        <f>SUM(Human_Data_Entry!$AV$3:$AV$524)</f>
        <v/>
      </c>
      <c r="C234">
        <f>SUM(Human_Data_Entry!$AX$3:$AX$524)</f>
        <v/>
      </c>
      <c r="D234">
        <f>SUM(LLM_Data_Entry!$AO$3:$AO$430)</f>
        <v/>
      </c>
      <c r="E234">
        <f>SUM(LLM_Data_Entry!$AQ$3:$AQ$430)</f>
        <v/>
      </c>
    </row>
    <row r="235">
      <c r="A235" t="inlineStr">
        <is>
          <t>Trades carrying zero weight</t>
        </is>
      </c>
      <c r="B235">
        <f>COUNTIFS(Human_Data_Entry!$AV$3:$AV$524,0)</f>
        <v/>
      </c>
      <c r="C235">
        <f>COUNTIFS(Human_Data_Entry!$AX$3:$AX$524,0)</f>
        <v/>
      </c>
      <c r="D235">
        <f>COUNTIFS(LLM_Data_Entry!$AO$3:$AO$430,0)</f>
        <v/>
      </c>
      <c r="E235">
        <f>COUNTIFS(LLM_Data_Entry!$AQ$3:$AQ$430,0)</f>
        <v/>
      </c>
    </row>
    <row r="237">
      <c r="A237" t="inlineStr">
        <is>
          <t>D5g - Accuracy by information set (human arm only)</t>
        </is>
      </c>
    </row>
    <row r="238">
      <c r="A238" t="inlineStr">
        <is>
          <t>Derived in Human_Data_Entry!AS from the row's own Document and Section, not retyped. 'full' means the row records reading the whole bundle; '&lt;document&gt; only' means it names one document and no section. The model sheet records neither.</t>
        </is>
      </c>
    </row>
    <row r="240">
      <c r="A240" t="inlineStr">
        <is>
          <t>Information set</t>
        </is>
      </c>
      <c r="B240" t="inlineStr">
        <is>
          <t>n</t>
        </is>
      </c>
      <c r="C240" t="inlineStr">
        <is>
          <t>Correct</t>
        </is>
      </c>
      <c r="D240" t="inlineStr">
        <is>
          <t>%</t>
        </is>
      </c>
      <c r="E240" t="inlineStr">
        <is>
          <t>% (re-priced)</t>
        </is>
      </c>
      <c r="F240" t="inlineStr">
        <is>
          <t>Trades</t>
        </is>
      </c>
      <c r="G240" t="inlineStr">
        <is>
          <t>Total return</t>
        </is>
      </c>
      <c r="H240" t="inlineStr">
        <is>
          <t>Total return (re-priced)</t>
        </is>
      </c>
    </row>
    <row r="241">
      <c r="A241" t="inlineStr">
        <is>
          <t>financials</t>
        </is>
      </c>
      <c r="B241">
        <f>COUNTIFS(Human_Data_Entry!$S$3:$S$524,"?*",Human_Data_Entry!$H$3:$H$524,"Human",Human_Data_Entry!$AS$3:$AS$524,"financials")</f>
        <v/>
      </c>
      <c r="C241">
        <f>COUNTIFS(Human_Data_Entry!$S$3:$S$524,"YES",Human_Data_Entry!$H$3:$H$524,"Human",Human_Data_Entry!$AS$3:$AS$524,"financials")</f>
        <v/>
      </c>
      <c r="D241">
        <f>IFERROR(C241/B241,"")</f>
        <v/>
      </c>
      <c r="E241">
        <f>IFERROR(COUNTIFS(Human_Data_Entry!$AJ$3:$AJ$524,"YES",Human_Data_Entry!$H$3:$H$524,"Human",Human_Data_Entry!$AS$3:$AS$524,"financials")/COUNTIFS(Human_Data_Entry!$AJ$3:$AJ$524,"?*",Human_Data_Entry!$H$3:$H$524,"Human",Human_Data_Entry!$AS$3:$AS$524,"financials"),"")</f>
        <v/>
      </c>
      <c r="F241">
        <f>COUNTIFS(Human_Data_Entry!$J$3:$J$524,"BUY",Human_Data_Entry!$S$3:$S$524,"?*",Human_Data_Entry!$H$3:$H$524,"Human",Human_Data_Entry!$AS$3:$AS$524,"financials")+COUNTIFS(Human_Data_Entry!$J$3:$J$524,"SELL",Human_Data_Entry!$S$3:$S$524,"?*",Human_Data_Entry!$H$3:$H$524,"Human",Human_Data_Entry!$AS$3:$AS$524,"financials")</f>
        <v/>
      </c>
      <c r="G241">
        <f>SUMIFS(Human_Data_Entry!$AT$3:$AT$524,Human_Data_Entry!$AS$3:$AS$524,"financials")</f>
        <v/>
      </c>
      <c r="H241">
        <f>SUMIFS(Human_Data_Entry!$AU$3:$AU$524,Human_Data_Entry!$AS$3:$AS$524,"financials")</f>
        <v/>
      </c>
    </row>
    <row r="242">
      <c r="A242" t="inlineStr">
        <is>
          <t>full</t>
        </is>
      </c>
      <c r="B242">
        <f>COUNTIFS(Human_Data_Entry!$S$3:$S$524,"?*",Human_Data_Entry!$H$3:$H$524,"Human",Human_Data_Entry!$AS$3:$AS$524,"full")</f>
        <v/>
      </c>
      <c r="C242">
        <f>COUNTIFS(Human_Data_Entry!$S$3:$S$524,"YES",Human_Data_Entry!$H$3:$H$524,"Human",Human_Data_Entry!$AS$3:$AS$524,"full")</f>
        <v/>
      </c>
      <c r="D242">
        <f>IFERROR(C242/B242,"")</f>
        <v/>
      </c>
      <c r="E242">
        <f>IFERROR(COUNTIFS(Human_Data_Entry!$AJ$3:$AJ$524,"YES",Human_Data_Entry!$H$3:$H$524,"Human",Human_Data_Entry!$AS$3:$AS$524,"full")/COUNTIFS(Human_Data_Entry!$AJ$3:$AJ$524,"?*",Human_Data_Entry!$H$3:$H$524,"Human",Human_Data_Entry!$AS$3:$AS$524,"full"),"")</f>
        <v/>
      </c>
      <c r="F242">
        <f>COUNTIFS(Human_Data_Entry!$J$3:$J$524,"BUY",Human_Data_Entry!$S$3:$S$524,"?*",Human_Data_Entry!$H$3:$H$524,"Human",Human_Data_Entry!$AS$3:$AS$524,"full")+COUNTIFS(Human_Data_Entry!$J$3:$J$524,"SELL",Human_Data_Entry!$S$3:$S$524,"?*",Human_Data_Entry!$H$3:$H$524,"Human",Human_Data_Entry!$AS$3:$AS$524,"full")</f>
        <v/>
      </c>
      <c r="G242">
        <f>SUMIFS(Human_Data_Entry!$AT$3:$AT$524,Human_Data_Entry!$AS$3:$AS$524,"full")</f>
        <v/>
      </c>
      <c r="H242">
        <f>SUMIFS(Human_Data_Entry!$AU$3:$AU$524,Human_Data_Entry!$AS$3:$AS$524,"full")</f>
        <v/>
      </c>
    </row>
    <row r="243">
      <c r="A243" t="inlineStr">
        <is>
          <t>guidance</t>
        </is>
      </c>
      <c r="B243">
        <f>COUNTIFS(Human_Data_Entry!$S$3:$S$524,"?*",Human_Data_Entry!$H$3:$H$524,"Human",Human_Data_Entry!$AS$3:$AS$524,"guidance")</f>
        <v/>
      </c>
      <c r="C243">
        <f>COUNTIFS(Human_Data_Entry!$S$3:$S$524,"YES",Human_Data_Entry!$H$3:$H$524,"Human",Human_Data_Entry!$AS$3:$AS$524,"guidance")</f>
        <v/>
      </c>
      <c r="D243">
        <f>IFERROR(C243/B243,"")</f>
        <v/>
      </c>
      <c r="E243">
        <f>IFERROR(COUNTIFS(Human_Data_Entry!$AJ$3:$AJ$524,"YES",Human_Data_Entry!$H$3:$H$524,"Human",Human_Data_Entry!$AS$3:$AS$524,"guidance")/COUNTIFS(Human_Data_Entry!$AJ$3:$AJ$524,"?*",Human_Data_Entry!$H$3:$H$524,"Human",Human_Data_Entry!$AS$3:$AS$524,"guidance"),"")</f>
        <v/>
      </c>
      <c r="F243">
        <f>COUNTIFS(Human_Data_Entry!$J$3:$J$524,"BUY",Human_Data_Entry!$S$3:$S$524,"?*",Human_Data_Entry!$H$3:$H$524,"Human",Human_Data_Entry!$AS$3:$AS$524,"guidance")+COUNTIFS(Human_Data_Entry!$J$3:$J$524,"SELL",Human_Data_Entry!$S$3:$S$524,"?*",Human_Data_Entry!$H$3:$H$524,"Human",Human_Data_Entry!$AS$3:$AS$524,"guidance")</f>
        <v/>
      </c>
      <c r="G243">
        <f>SUMIFS(Human_Data_Entry!$AT$3:$AT$524,Human_Data_Entry!$AS$3:$AS$524,"guidance")</f>
        <v/>
      </c>
      <c r="H243">
        <f>SUMIFS(Human_Data_Entry!$AU$3:$AU$524,Human_Data_Entry!$AS$3:$AS$524,"guidance")</f>
        <v/>
      </c>
    </row>
    <row r="244">
      <c r="A244" t="inlineStr">
        <is>
          <t>presentation only</t>
        </is>
      </c>
      <c r="B244">
        <f>COUNTIFS(Human_Data_Entry!$S$3:$S$524,"?*",Human_Data_Entry!$H$3:$H$524,"Human",Human_Data_Entry!$AS$3:$AS$524,"presentation only")</f>
        <v/>
      </c>
      <c r="C244">
        <f>COUNTIFS(Human_Data_Entry!$S$3:$S$524,"YES",Human_Data_Entry!$H$3:$H$524,"Human",Human_Data_Entry!$AS$3:$AS$524,"presentation only")</f>
        <v/>
      </c>
      <c r="D244">
        <f>IFERROR(C244/B244,"")</f>
        <v/>
      </c>
      <c r="E244">
        <f>IFERROR(COUNTIFS(Human_Data_Entry!$AJ$3:$AJ$524,"YES",Human_Data_Entry!$H$3:$H$524,"Human",Human_Data_Entry!$AS$3:$AS$524,"presentation only")/COUNTIFS(Human_Data_Entry!$AJ$3:$AJ$524,"?*",Human_Data_Entry!$H$3:$H$524,"Human",Human_Data_Entry!$AS$3:$AS$524,"presentation only"),"")</f>
        <v/>
      </c>
      <c r="F244">
        <f>COUNTIFS(Human_Data_Entry!$J$3:$J$524,"BUY",Human_Data_Entry!$S$3:$S$524,"?*",Human_Data_Entry!$H$3:$H$524,"Human",Human_Data_Entry!$AS$3:$AS$524,"presentation only")+COUNTIFS(Human_Data_Entry!$J$3:$J$524,"SELL",Human_Data_Entry!$S$3:$S$524,"?*",Human_Data_Entry!$H$3:$H$524,"Human",Human_Data_Entry!$AS$3:$AS$524,"presentation only")</f>
        <v/>
      </c>
      <c r="G244">
        <f>SUMIFS(Human_Data_Entry!$AT$3:$AT$524,Human_Data_Entry!$AS$3:$AS$524,"presentation only")</f>
        <v/>
      </c>
      <c r="H244">
        <f>SUMIFS(Human_Data_Entry!$AU$3:$AU$524,Human_Data_Entry!$AS$3:$AS$524,"presentation only")</f>
        <v/>
      </c>
    </row>
    <row r="245">
      <c r="A245" t="inlineStr">
        <is>
          <t>press release document only</t>
        </is>
      </c>
      <c r="B245">
        <f>COUNTIFS(Human_Data_Entry!$S$3:$S$524,"?*",Human_Data_Entry!$H$3:$H$524,"Human",Human_Data_Entry!$AS$3:$AS$524,"press release document only")</f>
        <v/>
      </c>
      <c r="C245">
        <f>COUNTIFS(Human_Data_Entry!$S$3:$S$524,"YES",Human_Data_Entry!$H$3:$H$524,"Human",Human_Data_Entry!$AS$3:$AS$524,"press release document only")</f>
        <v/>
      </c>
      <c r="D245">
        <f>IFERROR(C245/B245,"")</f>
        <v/>
      </c>
      <c r="E245">
        <f>IFERROR(COUNTIFS(Human_Data_Entry!$AJ$3:$AJ$524,"YES",Human_Data_Entry!$H$3:$H$524,"Human",Human_Data_Entry!$AS$3:$AS$524,"press release document only")/COUNTIFS(Human_Data_Entry!$AJ$3:$AJ$524,"?*",Human_Data_Entry!$H$3:$H$524,"Human",Human_Data_Entry!$AS$3:$AS$524,"press release document only"),"")</f>
        <v/>
      </c>
      <c r="F245">
        <f>COUNTIFS(Human_Data_Entry!$J$3:$J$524,"BUY",Human_Data_Entry!$S$3:$S$524,"?*",Human_Data_Entry!$H$3:$H$524,"Human",Human_Data_Entry!$AS$3:$AS$524,"press release document only")+COUNTIFS(Human_Data_Entry!$J$3:$J$524,"SELL",Human_Data_Entry!$S$3:$S$524,"?*",Human_Data_Entry!$H$3:$H$524,"Human",Human_Data_Entry!$AS$3:$AS$524,"press release document only")</f>
        <v/>
      </c>
      <c r="G245">
        <f>SUMIFS(Human_Data_Entry!$AT$3:$AT$524,Human_Data_Entry!$AS$3:$AS$524,"press release document only")</f>
        <v/>
      </c>
      <c r="H245">
        <f>SUMIFS(Human_Data_Entry!$AU$3:$AU$524,Human_Data_Entry!$AS$3:$AS$524,"press release document only")</f>
        <v/>
      </c>
    </row>
    <row r="246">
      <c r="A246" t="inlineStr">
        <is>
          <t>qanda</t>
        </is>
      </c>
      <c r="B246">
        <f>COUNTIFS(Human_Data_Entry!$S$3:$S$524,"?*",Human_Data_Entry!$H$3:$H$524,"Human",Human_Data_Entry!$AS$3:$AS$524,"qanda")</f>
        <v/>
      </c>
      <c r="C246">
        <f>COUNTIFS(Human_Data_Entry!$S$3:$S$524,"YES",Human_Data_Entry!$H$3:$H$524,"Human",Human_Data_Entry!$AS$3:$AS$524,"qanda")</f>
        <v/>
      </c>
      <c r="D246">
        <f>IFERROR(C246/B246,"")</f>
        <v/>
      </c>
      <c r="E246">
        <f>IFERROR(COUNTIFS(Human_Data_Entry!$AJ$3:$AJ$524,"YES",Human_Data_Entry!$H$3:$H$524,"Human",Human_Data_Entry!$AS$3:$AS$524,"qanda")/COUNTIFS(Human_Data_Entry!$AJ$3:$AJ$524,"?*",Human_Data_Entry!$H$3:$H$524,"Human",Human_Data_Entry!$AS$3:$AS$524,"qanda"),"")</f>
        <v/>
      </c>
      <c r="F246">
        <f>COUNTIFS(Human_Data_Entry!$J$3:$J$524,"BUY",Human_Data_Entry!$S$3:$S$524,"?*",Human_Data_Entry!$H$3:$H$524,"Human",Human_Data_Entry!$AS$3:$AS$524,"qanda")+COUNTIFS(Human_Data_Entry!$J$3:$J$524,"SELL",Human_Data_Entry!$S$3:$S$524,"?*",Human_Data_Entry!$H$3:$H$524,"Human",Human_Data_Entry!$AS$3:$AS$524,"qanda")</f>
        <v/>
      </c>
      <c r="G246">
        <f>SUMIFS(Human_Data_Entry!$AT$3:$AT$524,Human_Data_Entry!$AS$3:$AS$524,"qanda")</f>
        <v/>
      </c>
      <c r="H246">
        <f>SUMIFS(Human_Data_Entry!$AU$3:$AU$524,Human_Data_Entry!$AS$3:$AS$524,"qanda")</f>
        <v/>
      </c>
    </row>
    <row r="247">
      <c r="A247" t="inlineStr">
        <is>
          <t>transcript only</t>
        </is>
      </c>
      <c r="B247">
        <f>COUNTIFS(Human_Data_Entry!$S$3:$S$524,"?*",Human_Data_Entry!$H$3:$H$524,"Human",Human_Data_Entry!$AS$3:$AS$524,"transcript only")</f>
        <v/>
      </c>
      <c r="C247">
        <f>COUNTIFS(Human_Data_Entry!$S$3:$S$524,"YES",Human_Data_Entry!$H$3:$H$524,"Human",Human_Data_Entry!$AS$3:$AS$524,"transcript only")</f>
        <v/>
      </c>
      <c r="D247">
        <f>IFERROR(C247/B247,"")</f>
        <v/>
      </c>
      <c r="E247">
        <f>IFERROR(COUNTIFS(Human_Data_Entry!$AJ$3:$AJ$524,"YES",Human_Data_Entry!$H$3:$H$524,"Human",Human_Data_Entry!$AS$3:$AS$524,"transcript only")/COUNTIFS(Human_Data_Entry!$AJ$3:$AJ$524,"?*",Human_Data_Entry!$H$3:$H$524,"Human",Human_Data_Entry!$AS$3:$AS$524,"transcript only"),"")</f>
        <v/>
      </c>
      <c r="F247">
        <f>COUNTIFS(Human_Data_Entry!$J$3:$J$524,"BUY",Human_Data_Entry!$S$3:$S$524,"?*",Human_Data_Entry!$H$3:$H$524,"Human",Human_Data_Entry!$AS$3:$AS$524,"transcript only")+COUNTIFS(Human_Data_Entry!$J$3:$J$524,"SELL",Human_Data_Entry!$S$3:$S$524,"?*",Human_Data_Entry!$H$3:$H$524,"Human",Human_Data_Entry!$AS$3:$AS$524,"transcript only")</f>
        <v/>
      </c>
      <c r="G247">
        <f>SUMIFS(Human_Data_Entry!$AT$3:$AT$524,Human_Data_Entry!$AS$3:$AS$524,"transcript only")</f>
        <v/>
      </c>
      <c r="H247">
        <f>SUMIFS(Human_Data_Entry!$AU$3:$AU$524,Human_Data_Entry!$AS$3:$AS$524,"transcript only")</f>
        <v/>
      </c>
    </row>
    <row r="248">
      <c r="A248" t="inlineStr">
        <is>
          <t>unrecorded</t>
        </is>
      </c>
      <c r="B248">
        <f>COUNTIFS(Human_Data_Entry!$S$3:$S$524,"?*",Human_Data_Entry!$H$3:$H$524,"Human",Human_Data_Entry!$AS$3:$AS$524,"unrecorded")</f>
        <v/>
      </c>
      <c r="C248">
        <f>COUNTIFS(Human_Data_Entry!$S$3:$S$524,"YES",Human_Data_Entry!$H$3:$H$524,"Human",Human_Data_Entry!$AS$3:$AS$524,"unrecorded")</f>
        <v/>
      </c>
      <c r="D248">
        <f>IFERROR(C248/B248,"")</f>
        <v/>
      </c>
      <c r="E248">
        <f>IFERROR(COUNTIFS(Human_Data_Entry!$AJ$3:$AJ$524,"YES",Human_Data_Entry!$H$3:$H$524,"Human",Human_Data_Entry!$AS$3:$AS$524,"unrecorded")/COUNTIFS(Human_Data_Entry!$AJ$3:$AJ$524,"?*",Human_Data_Entry!$H$3:$H$524,"Human",Human_Data_Entry!$AS$3:$AS$524,"unrecorded"),"")</f>
        <v/>
      </c>
      <c r="F248">
        <f>COUNTIFS(Human_Data_Entry!$J$3:$J$524,"BUY",Human_Data_Entry!$S$3:$S$524,"?*",Human_Data_Entry!$H$3:$H$524,"Human",Human_Data_Entry!$AS$3:$AS$524,"unrecorded")+COUNTIFS(Human_Data_Entry!$J$3:$J$524,"SELL",Human_Data_Entry!$S$3:$S$524,"?*",Human_Data_Entry!$H$3:$H$524,"Human",Human_Data_Entry!$AS$3:$AS$524,"unrecorded")</f>
        <v/>
      </c>
      <c r="G248">
        <f>SUMIFS(Human_Data_Entry!$AT$3:$AT$524,Human_Data_Entry!$AS$3:$AS$524,"unrecorded")</f>
        <v/>
      </c>
      <c r="H248">
        <f>SUMIFS(Human_Data_Entry!$AU$3:$AU$524,Human_Data_Entry!$AS$3:$AS$524,"unrecorded")</f>
        <v/>
      </c>
    </row>
    <row r="249">
      <c r="A249" t="inlineStr">
        <is>
          <t>Reconciliation - the buckets must sum to the arm</t>
        </is>
      </c>
      <c r="B249">
        <f>IF(SUM(B241:B248)=COUNTIFS(Human_Data_Entry!$S$3:$S$524,"?*",Human_Data_Entry!$H$3:$H$524,"Human"),"OK","MISMATCH")</f>
        <v/>
      </c>
    </row>
    <row r="251">
      <c r="A251" t="inlineStr">
        <is>
          <t>D5h - Inside and outside the declared study window</t>
        </is>
      </c>
    </row>
    <row r="252">
      <c r="A252" t="inlineStr">
        <is>
          <t>The window is Settings B19:B20, currently the full observed span, so every reading is IN and nothing is excluded from any published figure. Narrow it and this block shows immediately what that costs. Rows are flagged, never deleted.</t>
        </is>
      </c>
    </row>
    <row r="254">
      <c r="A254" t="inlineStr">
        <is>
          <t>In window</t>
        </is>
      </c>
      <c r="B254" t="inlineStr">
        <is>
          <t>Human n</t>
        </is>
      </c>
      <c r="C254" t="inlineStr">
        <is>
          <t>Human %</t>
        </is>
      </c>
      <c r="D254" t="inlineStr">
        <is>
          <t>Human % (re-priced)</t>
        </is>
      </c>
      <c r="E254" t="inlineStr">
        <is>
          <t>Human trades</t>
        </is>
      </c>
      <c r="F254" t="inlineStr">
        <is>
          <t>Human return</t>
        </is>
      </c>
      <c r="G254" t="inlineStr">
        <is>
          <t>LLM n</t>
        </is>
      </c>
      <c r="H254" t="inlineStr">
        <is>
          <t>LLM %</t>
        </is>
      </c>
      <c r="I254" t="inlineStr">
        <is>
          <t>LLM % (re-priced)</t>
        </is>
      </c>
      <c r="J254" t="inlineStr">
        <is>
          <t>LLM trades</t>
        </is>
      </c>
      <c r="K254" t="inlineStr">
        <is>
          <t>LLM return</t>
        </is>
      </c>
    </row>
    <row r="255">
      <c r="A255" t="inlineStr">
        <is>
          <t>IN</t>
        </is>
      </c>
      <c r="B255">
        <f>COUNTIFS(Human_Data_Entry!$S$3:$S$524,"?*",Human_Data_Entry!$H$3:$H$524,"Human",Human_Data_Entry!$AR$3:$AR$524,"IN")</f>
        <v/>
      </c>
      <c r="C255">
        <f>IFERROR(COUNTIFS(Human_Data_Entry!$S$3:$S$524,"YES",Human_Data_Entry!$H$3:$H$524,"Human",Human_Data_Entry!$AR$3:$AR$524,"IN")/B255,"")</f>
        <v/>
      </c>
      <c r="D255">
        <f>IFERROR(COUNTIFS(Human_Data_Entry!$AJ$3:$AJ$524,"YES",Human_Data_Entry!$H$3:$H$524,"Human",Human_Data_Entry!$AR$3:$AR$524,"IN")/COUNTIFS(Human_Data_Entry!$AJ$3:$AJ$524,"?*",Human_Data_Entry!$H$3:$H$524,"Human",Human_Data_Entry!$AR$3:$AR$524,"IN"),"")</f>
        <v/>
      </c>
      <c r="E255">
        <f>COUNTIFS(Human_Data_Entry!$J$3:$J$524,"BUY",Human_Data_Entry!$S$3:$S$524,"?*",Human_Data_Entry!$H$3:$H$524,"Human",Human_Data_Entry!$AR$3:$AR$524,"IN")+COUNTIFS(Human_Data_Entry!$J$3:$J$524,"SELL",Human_Data_Entry!$S$3:$S$524,"?*",Human_Data_Entry!$H$3:$H$524,"Human",Human_Data_Entry!$AR$3:$AR$524,"IN")</f>
        <v/>
      </c>
      <c r="F255">
        <f>SUMIFS(Human_Data_Entry!$AT$3:$AT$524,Human_Data_Entry!$AR$3:$AR$524,"IN")</f>
        <v/>
      </c>
      <c r="G255">
        <f>COUNTIFS(LLM_Data_Entry!$R$3:$R$430,"?*",LLM_Data_Entry!$AL$3:$AL$430,"IN")</f>
        <v/>
      </c>
      <c r="H255">
        <f>IFERROR(COUNTIFS(LLM_Data_Entry!$R$3:$R$430,"YES",LLM_Data_Entry!$AL$3:$AL$430,"IN")/G255,"")</f>
        <v/>
      </c>
      <c r="I255">
        <f>IFERROR(COUNTIFS(LLM_Data_Entry!$AE$3:$AE$430,"YES",LLM_Data_Entry!$AL$3:$AL$430,"IN")/COUNTIFS(LLM_Data_Entry!$AE$3:$AE$430,"?*",LLM_Data_Entry!$AL$3:$AL$430,"IN"),"")</f>
        <v/>
      </c>
      <c r="J255">
        <f>COUNTIFS(LLM_Data_Entry!$H$3:$H$430,"BUY",LLM_Data_Entry!$R$3:$R$430,"?*",LLM_Data_Entry!$AL$3:$AL$430,"IN")+COUNTIFS(LLM_Data_Entry!$H$3:$H$430,"SELL",LLM_Data_Entry!$R$3:$R$430,"?*",LLM_Data_Entry!$AL$3:$AL$430,"IN")</f>
        <v/>
      </c>
      <c r="K255">
        <f>SUMIFS(LLM_Data_Entry!$AM$3:$AM$430,LLM_Data_Entry!$AL$3:$AL$430,"IN")</f>
        <v/>
      </c>
    </row>
    <row r="256">
      <c r="A256" t="inlineStr">
        <is>
          <t>OUT</t>
        </is>
      </c>
      <c r="B256">
        <f>COUNTIFS(Human_Data_Entry!$S$3:$S$524,"?*",Human_Data_Entry!$H$3:$H$524,"Human",Human_Data_Entry!$AR$3:$AR$524,"OUT")</f>
        <v/>
      </c>
      <c r="C256">
        <f>IFERROR(COUNTIFS(Human_Data_Entry!$S$3:$S$524,"YES",Human_Data_Entry!$H$3:$H$524,"Human",Human_Data_Entry!$AR$3:$AR$524,"OUT")/B256,"")</f>
        <v/>
      </c>
      <c r="D256">
        <f>IFERROR(COUNTIFS(Human_Data_Entry!$AJ$3:$AJ$524,"YES",Human_Data_Entry!$H$3:$H$524,"Human",Human_Data_Entry!$AR$3:$AR$524,"OUT")/COUNTIFS(Human_Data_Entry!$AJ$3:$AJ$524,"?*",Human_Data_Entry!$H$3:$H$524,"Human",Human_Data_Entry!$AR$3:$AR$524,"OUT"),"")</f>
        <v/>
      </c>
      <c r="E256">
        <f>COUNTIFS(Human_Data_Entry!$J$3:$J$524,"BUY",Human_Data_Entry!$S$3:$S$524,"?*",Human_Data_Entry!$H$3:$H$524,"Human",Human_Data_Entry!$AR$3:$AR$524,"OUT")+COUNTIFS(Human_Data_Entry!$J$3:$J$524,"SELL",Human_Data_Entry!$S$3:$S$524,"?*",Human_Data_Entry!$H$3:$H$524,"Human",Human_Data_Entry!$AR$3:$AR$524,"OUT")</f>
        <v/>
      </c>
      <c r="F256">
        <f>SUMIFS(Human_Data_Entry!$AT$3:$AT$524,Human_Data_Entry!$AR$3:$AR$524,"OUT")</f>
        <v/>
      </c>
      <c r="G256">
        <f>COUNTIFS(LLM_Data_Entry!$R$3:$R$430,"?*",LLM_Data_Entry!$AL$3:$AL$430,"OUT")</f>
        <v/>
      </c>
      <c r="H256">
        <f>IFERROR(COUNTIFS(LLM_Data_Entry!$R$3:$R$430,"YES",LLM_Data_Entry!$AL$3:$AL$430,"OUT")/G256,"")</f>
        <v/>
      </c>
      <c r="I256">
        <f>IFERROR(COUNTIFS(LLM_Data_Entry!$AE$3:$AE$430,"YES",LLM_Data_Entry!$AL$3:$AL$430,"OUT")/COUNTIFS(LLM_Data_Entry!$AE$3:$AE$430,"?*",LLM_Data_Entry!$AL$3:$AL$430,"OUT"),"")</f>
        <v/>
      </c>
      <c r="J256">
        <f>COUNTIFS(LLM_Data_Entry!$H$3:$H$430,"BUY",LLM_Data_Entry!$R$3:$R$430,"?*",LLM_Data_Entry!$AL$3:$AL$430,"OUT")+COUNTIFS(LLM_Data_Entry!$H$3:$H$430,"SELL",LLM_Data_Entry!$R$3:$R$430,"?*",LLM_Data_Entry!$AL$3:$AL$430,"OUT")</f>
        <v/>
      </c>
      <c r="K256">
        <f>SUMIFS(LLM_Data_Entry!$AM$3:$AM$430,LLM_Data_Entry!$AL$3:$AL$430,"OUT")</f>
        <v/>
      </c>
    </row>
    <row r="259">
      <c r="A259" t="inlineStr">
        <is>
          <t>D5l - Concentration: how much of the total is a few readings</t>
        </is>
      </c>
    </row>
    <row r="260">
      <c r="A260" t="inlineStr">
        <is>
          <t>Read over each arm's own trades. The point is not that a large winner is suspect - every price in this workbook has been checked against the market - but that a total carried by one or five readings supports a much weaker claim than the same total spread over 262.</t>
        </is>
      </c>
    </row>
    <row r="262">
      <c r="A262" t="inlineStr">
        <is>
          <t>Measure</t>
        </is>
      </c>
      <c r="B262" t="inlineStr">
        <is>
          <t>Human published</t>
        </is>
      </c>
      <c r="C262" t="inlineStr">
        <is>
          <t>Human re-priced</t>
        </is>
      </c>
      <c r="D262" t="inlineStr">
        <is>
          <t>LLM published</t>
        </is>
      </c>
      <c r="E262" t="inlineStr">
        <is>
          <t>LLM re-priced</t>
        </is>
      </c>
    </row>
    <row r="263">
      <c r="A263" t="inlineStr">
        <is>
          <t>Winning trades</t>
        </is>
      </c>
      <c r="B263">
        <f>COUNTIFS(Human_Data_Entry!$AT$3:$AT$524,"&gt;0")</f>
        <v/>
      </c>
      <c r="C263">
        <f>COUNTIFS(Human_Data_Entry!$AU$3:$AU$524,"&gt;0")</f>
        <v/>
      </c>
      <c r="D263">
        <f>COUNTIFS(LLM_Data_Entry!$AM$3:$AM$430,"&gt;0")</f>
        <v/>
      </c>
      <c r="E263">
        <f>COUNTIFS(LLM_Data_Entry!$AN$3:$AN$430,"&gt;0")</f>
        <v/>
      </c>
    </row>
    <row r="264">
      <c r="A264" t="inlineStr">
        <is>
          <t>Losing trades</t>
        </is>
      </c>
      <c r="B264">
        <f>COUNTIFS(Human_Data_Entry!$AT$3:$AT$524,"&lt;0")</f>
        <v/>
      </c>
      <c r="C264">
        <f>COUNTIFS(Human_Data_Entry!$AU$3:$AU$524,"&lt;0")</f>
        <v/>
      </c>
      <c r="D264">
        <f>COUNTIFS(LLM_Data_Entry!$AM$3:$AM$430,"&lt;0")</f>
        <v/>
      </c>
      <c r="E264">
        <f>COUNTIFS(LLM_Data_Entry!$AN$3:$AN$430,"&lt;0")</f>
        <v/>
      </c>
    </row>
    <row r="265">
      <c r="A265" t="inlineStr">
        <is>
          <t>Largest single winning trade</t>
        </is>
      </c>
      <c r="B265">
        <f>MAX(Human_Data_Entry!$AT$3:$AT$524)</f>
        <v/>
      </c>
      <c r="C265">
        <f>MAX(Human_Data_Entry!$AU$3:$AU$524)</f>
        <v/>
      </c>
      <c r="D265">
        <f>MAX(LLM_Data_Entry!$AM$3:$AM$430)</f>
        <v/>
      </c>
      <c r="E265">
        <f>MAX(LLM_Data_Entry!$AN$3:$AN$430)</f>
        <v/>
      </c>
    </row>
    <row r="266">
      <c r="A266" t="inlineStr">
        <is>
          <t>Its share of the arm's total return</t>
        </is>
      </c>
      <c r="B266">
        <f>IFERROR(B265/SUM(Human_Data_Entry!$AT$3:$AT$524),"")</f>
        <v/>
      </c>
      <c r="C266">
        <f>IFERROR(C265/SUM(Human_Data_Entry!$AU$3:$AU$524),"")</f>
        <v/>
      </c>
      <c r="D266">
        <f>IFERROR(D265/SUM(LLM_Data_Entry!$AM$3:$AM$430),"")</f>
        <v/>
      </c>
      <c r="E266">
        <f>IFERROR(E265/SUM(LLM_Data_Entry!$AN$3:$AN$430),"")</f>
        <v/>
      </c>
    </row>
    <row r="267">
      <c r="A267" t="inlineStr">
        <is>
          <t>Total return excluding it</t>
        </is>
      </c>
      <c r="B267">
        <f>SUM(Human_Data_Entry!$AT$3:$AT$524)-B265</f>
        <v/>
      </c>
      <c r="C267">
        <f>SUM(Human_Data_Entry!$AU$3:$AU$524)-C265</f>
        <v/>
      </c>
      <c r="D267">
        <f>SUM(LLM_Data_Entry!$AM$3:$AM$430)-D265</f>
        <v/>
      </c>
      <c r="E267">
        <f>SUM(LLM_Data_Entry!$AN$3:$AN$430)-E265</f>
        <v/>
      </c>
    </row>
    <row r="268">
      <c r="A268" t="inlineStr">
        <is>
          <t>Sum of the five largest winning trades</t>
        </is>
      </c>
      <c r="B268">
        <f>LARGE(Human_Data_Entry!$AT$3:$AT$524,1)+LARGE(Human_Data_Entry!$AT$3:$AT$524,2)+LARGE(Human_Data_Entry!$AT$3:$AT$524,3)+LARGE(Human_Data_Entry!$AT$3:$AT$524,4)+LARGE(Human_Data_Entry!$AT$3:$AT$524,5)</f>
        <v/>
      </c>
      <c r="C268">
        <f>LARGE(Human_Data_Entry!$AU$3:$AU$524,1)+LARGE(Human_Data_Entry!$AU$3:$AU$524,2)+LARGE(Human_Data_Entry!$AU$3:$AU$524,3)+LARGE(Human_Data_Entry!$AU$3:$AU$524,4)+LARGE(Human_Data_Entry!$AU$3:$AU$524,5)</f>
        <v/>
      </c>
      <c r="D268">
        <f>LARGE(LLM_Data_Entry!$AM$3:$AM$430,1)+LARGE(LLM_Data_Entry!$AM$3:$AM$430,2)+LARGE(LLM_Data_Entry!$AM$3:$AM$430,3)+LARGE(LLM_Data_Entry!$AM$3:$AM$430,4)+LARGE(LLM_Data_Entry!$AM$3:$AM$430,5)</f>
        <v/>
      </c>
      <c r="E268">
        <f>LARGE(LLM_Data_Entry!$AN$3:$AN$430,1)+LARGE(LLM_Data_Entry!$AN$3:$AN$430,2)+LARGE(LLM_Data_Entry!$AN$3:$AN$430,3)+LARGE(LLM_Data_Entry!$AN$3:$AN$430,4)+LARGE(LLM_Data_Entry!$AN$3:$AN$430,5)</f>
        <v/>
      </c>
    </row>
    <row r="269">
      <c r="A269" t="inlineStr">
        <is>
          <t>Their share of the arm's total return</t>
        </is>
      </c>
      <c r="B269">
        <f>IFERROR(B268/SUM(Human_Data_Entry!$AT$3:$AT$524),"")</f>
        <v/>
      </c>
      <c r="C269">
        <f>IFERROR(C268/SUM(Human_Data_Entry!$AU$3:$AU$524),"")</f>
        <v/>
      </c>
      <c r="D269">
        <f>IFERROR(D268/SUM(LLM_Data_Entry!$AM$3:$AM$430),"")</f>
        <v/>
      </c>
      <c r="E269">
        <f>IFERROR(E268/SUM(LLM_Data_Entry!$AN$3:$AN$430),"")</f>
        <v/>
      </c>
    </row>
    <row r="270">
      <c r="A270" t="inlineStr">
        <is>
          <t>Total return excluding them</t>
        </is>
      </c>
      <c r="B270">
        <f>SUM(Human_Data_Entry!$AT$3:$AT$524)-B268</f>
        <v/>
      </c>
      <c r="C270">
        <f>SUM(Human_Data_Entry!$AU$3:$AU$524)-C268</f>
        <v/>
      </c>
      <c r="D270">
        <f>SUM(LLM_Data_Entry!$AM$3:$AM$430)-D268</f>
        <v/>
      </c>
      <c r="E270">
        <f>SUM(LLM_Data_Entry!$AN$3:$AN$430)-E268</f>
        <v/>
      </c>
    </row>
    <row r="271">
      <c r="A271" t="inlineStr">
        <is>
          <t>Largest single losing trade</t>
        </is>
      </c>
      <c r="B271">
        <f>MIN(Human_Data_Entry!$AT$3:$AT$524)</f>
        <v/>
      </c>
      <c r="C271">
        <f>MIN(Human_Data_Entry!$AU$3:$AU$524)</f>
        <v/>
      </c>
      <c r="D271">
        <f>MIN(LLM_Data_Entry!$AM$3:$AM$430)</f>
        <v/>
      </c>
      <c r="E271">
        <f>MIN(LLM_Data_Entry!$AN$3:$AN$430)</f>
        <v/>
      </c>
    </row>
    <row r="272">
      <c r="A272" t="inlineStr">
        <is>
          <t>Still positive without the five largest winners?</t>
        </is>
      </c>
      <c r="B272">
        <f>IF(B270&gt;0,"YES","NO")</f>
        <v/>
      </c>
      <c r="C272">
        <f>IF(C270&gt;0,"YES","NO")</f>
        <v/>
      </c>
      <c r="D272">
        <f>IF(D270&gt;0,"YES","NO")</f>
        <v/>
      </c>
      <c r="E272">
        <f>IF(E270&gt;0,"YES","NO")</f>
        <v/>
      </c>
    </row>
    <row r="274">
      <c r="A274" t="inlineStr">
        <is>
          <t>SECTION E - STUDY DESIGN AND SCHEMA</t>
        </is>
      </c>
      <c r="C274" t="inlineStr">
        <is>
          <t>Added 10 August 2026. Nothing in this block moves a published figure; every row either counts what the sheet now records or states what it does not record.</t>
        </is>
      </c>
    </row>
    <row r="276">
      <c r="A276" t="inlineStr">
        <is>
          <t>E5a. What the rater records evidence</t>
        </is>
      </c>
      <c r="C276" t="inlineStr">
        <is>
          <t>The fields were specified in Phase 3/ARP_Human_Arm_Instructions and collected by the raters. They were dropped at data entry.</t>
        </is>
      </c>
    </row>
    <row r="277">
      <c r="A277" t="inlineStr">
        <is>
          <t>Measure</t>
        </is>
      </c>
      <c r="B277" t="inlineStr">
        <is>
          <t>Value</t>
        </is>
      </c>
      <c r="C277" t="inlineStr">
        <is>
          <t>Note</t>
        </is>
      </c>
    </row>
    <row r="278">
      <c r="A278" t="inlineStr">
        <is>
          <t>Scored human readings</t>
        </is>
      </c>
      <c r="B278">
        <f>COUNTIFS(Human_Data_Entry!$H$3:$H$524,"Human",Human_Data_Entry!$S$3:$S$524,"?*")</f>
        <v/>
      </c>
      <c r="C278" t="inlineStr">
        <is>
          <t>Text criterion, not "&lt;&gt;", because a formula-blank counts as non-blank - trap 7.</t>
        </is>
      </c>
    </row>
    <row r="279">
      <c r="A279" t="inlineStr">
        <is>
          <t>Readings with a rater record</t>
        </is>
      </c>
      <c r="B279">
        <f>COUNTIFS(Human_Data_Entry!$BJ$3:$BJ$524,"?*")</f>
        <v/>
      </c>
      <c r="C279" t="inlineStr">
        <is>
          <t>64 at build time, from 3 files.</t>
        </is>
      </c>
    </row>
    <row r="280">
      <c r="A280" t="inlineStr">
        <is>
          <t>Peeked = no (the blindness check passed)</t>
        </is>
      </c>
      <c r="B280">
        <f>COUNTIFS(Human_Data_Entry!$BG$3:$BG$524,"no")</f>
        <v/>
      </c>
      <c r="C280" t="inlineStr">
        <is>
          <t>The group's decision of 10 August 2026: the check is recorded as passed on every reading unless something says otherwise. Count the BASIS below, never this row - it is a default, not evidence.</t>
        </is>
      </c>
    </row>
    <row r="281">
      <c r="A281" t="inlineStr">
        <is>
          <t xml:space="preserve">  of which ATTESTED by a rater record</t>
        </is>
      </c>
      <c r="B281">
        <f>COUNTIFS(Human_Data_Entry!$BL$3:$BL$524,"attested*")</f>
        <v/>
      </c>
      <c r="C281" t="inlineStr">
        <is>
          <t>A rater signed a blindness box, or wrote that the score was sealed. This is the only row that is evidence.</t>
        </is>
      </c>
    </row>
    <row r="282">
      <c r="A282" t="inlineStr">
        <is>
          <t xml:space="preserve">  of which ASSUMED, no rater record</t>
        </is>
      </c>
      <c r="B282">
        <f>COUNTIFS(Human_Data_Entry!$BL$3:$BL$524,"assumed - no rater record")</f>
        <v/>
      </c>
      <c r="C282" t="inlineStr">
        <is>
          <t>Not evidence of peeking, and not evidence of blindness.</t>
        </is>
      </c>
    </row>
    <row r="283">
      <c r="A283" t="inlineStr">
        <is>
          <t xml:space="preserve">  of which ASSUMED, record has no blindness field</t>
        </is>
      </c>
      <c r="B283">
        <f>COUNTIFS(Human_Data_Entry!$BL$3:$BL$524,"assumed - rater record carries no*")</f>
        <v/>
      </c>
      <c r="C283" t="inlineStr">
        <is>
          <t>Nigel's notes record the reading but not whether a price was seen first.</t>
        </is>
      </c>
    </row>
    <row r="284">
      <c r="A284" t="inlineStr">
        <is>
          <t xml:space="preserve">  of which flagged for review</t>
        </is>
      </c>
      <c r="B284">
        <f>COUNTIFS(Human_Data_Entry!$BL$3:$BL$524,"assumed - note names*")</f>
        <v/>
      </c>
      <c r="C284" t="inlineStr">
        <is>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is>
      </c>
    </row>
    <row r="285">
      <c r="A285" t="inlineStr">
        <is>
          <t>Peeked = yes</t>
        </is>
      </c>
      <c r="B285">
        <f>COUNTIFS(Human_Data_Entry!$BG$3:$BG$524,"yes")</f>
        <v/>
      </c>
      <c r="C285" t="inlineStr">
        <is>
          <t>An honest peeked flag costs one event; a hidden one costs the result - the instructions' own words.</t>
        </is>
      </c>
    </row>
    <row r="286">
      <c r="A286" t="inlineStr">
        <is>
          <t>Readings that are one of two passes</t>
        </is>
      </c>
      <c r="B286">
        <f>COUNTIFS(Human_Data_Entry!$BB$3:$BB$524,"&gt;1")</f>
        <v/>
      </c>
      <c r="C286" t="inlineStr">
        <is>
          <t>41 at build time.</t>
        </is>
      </c>
    </row>
    <row r="287">
      <c r="A287" t="inlineStr">
        <is>
          <t>Readings hiding an unrecorded first pass</t>
        </is>
      </c>
      <c r="B287" t="n">
        <v>17</v>
      </c>
      <c r="C287" t="inlineStr">
        <is>
          <t>One row holding two passes, with Time (mins) summed and the first pass surviving only in the Notes prose. The other block of the same experiment puts each pass on its own row.</t>
        </is>
      </c>
    </row>
    <row r="288">
      <c r="A288" t="inlineStr">
        <is>
          <t>First-pass minutes not separately recorded</t>
        </is>
      </c>
      <c r="B288" t="n">
        <v>229</v>
      </c>
      <c r="C288" t="inlineStr">
        <is>
          <t>Inside the rows above. Counted once in the human total, attributed to a single read.</t>
        </is>
      </c>
    </row>
    <row r="289">
      <c r="A289" t="inlineStr">
        <is>
          <t>Readings with a written expectation</t>
        </is>
      </c>
      <c r="B289" t="n">
        <v>28</v>
      </c>
      <c r="C289" t="inlineStr">
        <is>
          <t>The instructions ask for one line before opening anything. Human_Data_Entry!BI now carries it where it exists.</t>
        </is>
      </c>
    </row>
    <row r="291">
      <c r="A291" t="inlineStr">
        <is>
          <t>E5b. The headline with each rater-event counted once</t>
        </is>
      </c>
      <c r="C291" t="inlineStr">
        <is>
          <t>Two raters on one event are two observations. One rater twice is one. The published figures pool both; these do not. Published basis and section C's re-priced basis side by side.</t>
        </is>
      </c>
    </row>
    <row r="292">
      <c r="A292" t="inlineStr">
        <is>
          <t>Measure</t>
        </is>
      </c>
      <c r="B292" t="inlineStr">
        <is>
          <t>Pooled (published)</t>
        </is>
      </c>
      <c r="C292" t="inlineStr">
        <is>
          <t>One per rater-event</t>
        </is>
      </c>
      <c r="D292" t="inlineStr">
        <is>
          <t>Pooled (re-priced)</t>
        </is>
      </c>
      <c r="E292" t="inlineStr">
        <is>
          <t>One per rater-event (re-priced)</t>
        </is>
      </c>
    </row>
    <row r="293">
      <c r="A293" t="inlineStr">
        <is>
          <t>Readings</t>
        </is>
      </c>
      <c r="B293">
        <f>COUNTIFS(Human_Data_Entry!$H$3:$H$524,"Human",Human_Data_Entry!$S$3:$S$524,"?*")</f>
        <v/>
      </c>
      <c r="C293">
        <f>COUNTIFS(Human_Data_Entry!$H$3:$H$524,"Human",Human_Data_Entry!$S$3:$S$524,"?*",Human_Data_Entry!$BC$3:$BC$524,1)</f>
        <v/>
      </c>
      <c r="D293">
        <f>COUNTIFS(Human_Data_Entry!$H$3:$H$524,"Human",Human_Data_Entry!$AJ$3:$AJ$524,"?*")</f>
        <v/>
      </c>
      <c r="E293">
        <f>COUNTIFS(Human_Data_Entry!$H$3:$H$524,"Human",Human_Data_Entry!$AJ$3:$AJ$524,"?*",Human_Data_Entry!$BC$3:$BC$524,1)</f>
        <v/>
      </c>
    </row>
    <row r="294">
      <c r="A294" t="inlineStr">
        <is>
          <t>Correct</t>
        </is>
      </c>
      <c r="B294">
        <f>COUNTIFS(Human_Data_Entry!$H$3:$H$524,"Human",Human_Data_Entry!$S$3:$S$524,"YES")</f>
        <v/>
      </c>
      <c r="C294">
        <f>COUNTIFS(Human_Data_Entry!$H$3:$H$524,"Human",Human_Data_Entry!$S$3:$S$524,"YES",Human_Data_Entry!$BC$3:$BC$524,1)</f>
        <v/>
      </c>
      <c r="D294">
        <f>COUNTIFS(Human_Data_Entry!$H$3:$H$524,"Human",Human_Data_Entry!$AJ$3:$AJ$524,"YES")</f>
        <v/>
      </c>
      <c r="E294">
        <f>COUNTIFS(Human_Data_Entry!$H$3:$H$524,"Human",Human_Data_Entry!$AJ$3:$AJ$524,"YES",Human_Data_Entry!$BC$3:$BC$524,1)</f>
        <v/>
      </c>
    </row>
    <row r="295">
      <c r="A295" t="inlineStr">
        <is>
          <t>% Correct</t>
        </is>
      </c>
      <c r="B295">
        <f>IFERROR(COUNTIFS(Human_Data_Entry!$H$3:$H$524,"Human",Human_Data_Entry!$S$3:$S$524,"YES")/COUNTIFS(Human_Data_Entry!$H$3:$H$524,"Human",Human_Data_Entry!$S$3:$S$524,"?*"),"")</f>
        <v/>
      </c>
      <c r="C295">
        <f>IFERROR(COUNTIFS(Human_Data_Entry!$H$3:$H$524,"Human",Human_Data_Entry!$S$3:$S$524,"YES",Human_Data_Entry!$BC$3:$BC$524,1)/COUNTIFS(Human_Data_Entry!$H$3:$H$524,"Human",Human_Data_Entry!$S$3:$S$524,"?*",Human_Data_Entry!$BC$3:$BC$524,1),"")</f>
        <v/>
      </c>
      <c r="D295">
        <f>IFERROR(COUNTIFS(Human_Data_Entry!$H$3:$H$524,"Human",Human_Data_Entry!$AJ$3:$AJ$524,"YES")/COUNTIFS(Human_Data_Entry!$H$3:$H$524,"Human",Human_Data_Entry!$AJ$3:$AJ$524,"?*"),"")</f>
        <v/>
      </c>
      <c r="E295">
        <f>IFERROR(COUNTIFS(Human_Data_Entry!$H$3:$H$524,"Human",Human_Data_Entry!$AJ$3:$AJ$524,"YES",Human_Data_Entry!$BC$3:$BC$524,1)/COUNTIFS(Human_Data_Entry!$H$3:$H$524,"Human",Human_Data_Entry!$AJ$3:$AJ$524,"?*",Human_Data_Entry!$BC$3:$BC$524,1),"")</f>
        <v/>
      </c>
    </row>
    <row r="296">
      <c r="A296" t="inlineStr">
        <is>
          <t># Trades</t>
        </is>
      </c>
      <c r="B296">
        <f>COUNTIFS(Human_Data_Entry!$H$3:$H$524,"Human",Human_Data_Entry!$J$3:$J$524,"&lt;&gt;HOLD",Human_Data_Entry!$S$3:$S$524,"?*")</f>
        <v/>
      </c>
      <c r="C296">
        <f>COUNTIFS(Human_Data_Entry!$H$3:$H$524,"Human",Human_Data_Entry!$J$3:$J$524,"&lt;&gt;HOLD",Human_Data_Entry!$S$3:$S$524,"?*",Human_Data_Entry!$BC$3:$BC$524,1)</f>
        <v/>
      </c>
      <c r="D296">
        <f>COUNTIFS(Human_Data_Entry!$H$3:$H$524,"Human",Human_Data_Entry!$J$3:$J$524,"&lt;&gt;HOLD",Human_Data_Entry!$AJ$3:$AJ$524,"?*")</f>
        <v/>
      </c>
      <c r="E296">
        <f>COUNTIFS(Human_Data_Entry!$H$3:$H$524,"Human",Human_Data_Entry!$J$3:$J$524,"&lt;&gt;HOLD",Human_Data_Entry!$AJ$3:$AJ$524,"?*",Human_Data_Entry!$BC$3:$BC$524,1)</f>
        <v/>
      </c>
    </row>
    <row r="297">
      <c r="A297" t="inlineStr">
        <is>
          <t>Total Return %</t>
        </is>
      </c>
      <c r="B297">
        <f>SUMIFS(Human_Data_Entry!$U$3:$U$524,Human_Data_Entry!$H$3:$H$524,"Human",Human_Data_Entry!$J$3:$J$524,"&lt;&gt;HOLD")</f>
        <v/>
      </c>
      <c r="C297">
        <f>SUMIFS(Human_Data_Entry!$U$3:$U$524,Human_Data_Entry!$H$3:$H$524,"Human",Human_Data_Entry!$J$3:$J$524,"&lt;&gt;HOLD",Human_Data_Entry!$BC$3:$BC$524,1)</f>
        <v/>
      </c>
      <c r="D297">
        <f>SUMIFS(Human_Data_Entry!$AK$3:$AK$524,Human_Data_Entry!$H$3:$H$524,"Human",Human_Data_Entry!$J$3:$J$524,"&lt;&gt;HOLD")</f>
        <v/>
      </c>
      <c r="E297">
        <f>SUMIFS(Human_Data_Entry!$AK$3:$AK$524,Human_Data_Entry!$H$3:$H$524,"Human",Human_Data_Entry!$J$3:$J$524,"&lt;&gt;HOLD",Human_Data_Entry!$BC$3:$BC$524,1)</f>
        <v/>
      </c>
      <c r="F297" t="inlineStr">
        <is>
          <t>The difference is what the repeat readings contribute.</t>
        </is>
      </c>
    </row>
    <row r="299">
      <c r="A299" t="inlineStr">
        <is>
          <t>E5c. Agreement between the arms, against chance</t>
        </is>
      </c>
      <c r="C299" t="inlineStr">
        <is>
          <t>The workbook reports how often the two arms said the same thing. Two arms that both say HOLD often agree often by construction. Cohen's kappa is agreement net of what the marginals would give by chance, and it is the number a reviewer asks for.</t>
        </is>
      </c>
    </row>
    <row r="300">
      <c r="A300" t="inlineStr">
        <is>
          <t>Measure</t>
        </is>
      </c>
      <c r="B300" t="inlineStr">
        <is>
          <t>Value</t>
        </is>
      </c>
      <c r="C300" t="inlineStr">
        <is>
          <t>Note</t>
        </is>
      </c>
    </row>
    <row r="301">
      <c r="A301" t="inlineStr">
        <is>
          <t>Paired readings</t>
        </is>
      </c>
      <c r="B301">
        <f>COUNTIFS(Human_Data_Entry!$H$3:$H$524,"Human",Human_Data_Entry!$S$3:$S$524,"?*",Human_Data_Entry!$Z$3:$Z$524,"?*")</f>
        <v/>
      </c>
      <c r="C301" t="inlineStr">
        <is>
          <t>A human reading whose event the model also read.</t>
        </is>
      </c>
    </row>
    <row r="302">
      <c r="A302" t="inlineStr">
        <is>
          <t>Same decision</t>
        </is>
      </c>
      <c r="B302">
        <f>SUM(Human_Data_Entry!$BK$3:$BK$524)</f>
        <v/>
      </c>
      <c r="C302" t="inlineStr">
        <is>
          <t>Human_Data_Entry!BK is 1 where the two decisions match.</t>
        </is>
      </c>
    </row>
    <row r="303">
      <c r="A303" t="inlineStr">
        <is>
          <t>Observed agreement</t>
        </is>
      </c>
      <c r="B303">
        <f>IFERROR(SUM(Human_Data_Entry!$BK$3:$BK$524)/COUNTIFS(Human_Data_Entry!$H$3:$H$524,"Human",Human_Data_Entry!$S$3:$S$524,"?*",Human_Data_Entry!$Z$3:$Z$524,"?*"),"")</f>
        <v/>
      </c>
    </row>
    <row r="304">
      <c r="A304" t="inlineStr">
        <is>
          <t>Agreement expected by chance</t>
        </is>
      </c>
      <c r="B304">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4" t="inlineStr">
        <is>
          <t>Sum over BUY/HOLD/SELL of the two arms' marginal shares.</t>
        </is>
      </c>
    </row>
    <row r="305">
      <c r="A305" t="inlineStr">
        <is>
          <t>Cohen's kappa</t>
        </is>
      </c>
      <c r="B305">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5" t="inlineStr">
        <is>
          <t>0 is chance. Below 0.20 is 'slight' on the usual scale.</t>
        </is>
      </c>
    </row>
    <row r="307">
      <c r="A307" t="inlineStr">
        <is>
          <t>E5d. The model arm is a re-run with no record of the first</t>
        </is>
      </c>
      <c r="C307" t="inlineStr">
        <is>
          <t>Phase 2/Master_Data_v1.xlsx is the only surviving output of an earlier model run. Nothing in the live workbook records that it happened, when either ran, or what changed.</t>
        </is>
      </c>
    </row>
    <row r="308">
      <c r="A308" t="inlineStr">
        <is>
          <t>Measure</t>
        </is>
      </c>
      <c r="B308" t="inlineStr">
        <is>
          <t>Value</t>
        </is>
      </c>
      <c r="C308" t="inlineStr">
        <is>
          <t>Note</t>
        </is>
      </c>
    </row>
    <row r="309">
      <c r="A309" t="inlineStr">
        <is>
          <t>Model readings</t>
        </is>
      </c>
      <c r="B309" t="n">
        <v>268</v>
      </c>
    </row>
    <row r="310">
      <c r="A310" t="inlineStr">
        <is>
          <t>Events also in v1</t>
        </is>
      </c>
      <c r="B310" t="n">
        <v>120</v>
      </c>
      <c r="C310" t="inlineStr">
        <is>
          <t>Every v1 event is still on the sheet.</t>
        </is>
      </c>
    </row>
    <row r="311">
      <c r="A311" t="inlineStr">
        <is>
          <t xml:space="preserve">  of those, changed since v1</t>
        </is>
      </c>
      <c r="B311" t="n">
        <v>120</v>
      </c>
      <c r="C311" t="inlineStr">
        <is>
          <t>LLM_Data_Entry!AT classifies every row.</t>
        </is>
      </c>
    </row>
    <row r="312">
      <c r="A312" t="inlineStr">
        <is>
          <t xml:space="preserve">  of those, unchanged</t>
        </is>
      </c>
      <c r="B312" t="n">
        <v>0</v>
      </c>
    </row>
    <row r="313">
      <c r="A313" t="inlineStr">
        <is>
          <t>Readings with no earlier record</t>
        </is>
      </c>
      <c r="B313" t="n">
        <v>148</v>
      </c>
    </row>
    <row r="314">
      <c r="A314" t="inlineStr">
        <is>
          <t xml:space="preserve">  changed sentiment score</t>
        </is>
      </c>
      <c r="B314" t="n">
        <v>113</v>
      </c>
    </row>
    <row r="315">
      <c r="A315" t="inlineStr">
        <is>
          <t xml:space="preserve">  changed decision</t>
        </is>
      </c>
      <c r="B315" t="n">
        <v>42</v>
      </c>
    </row>
    <row r="316">
      <c r="A316" t="inlineStr">
        <is>
          <t xml:space="preserve">  changed token cost</t>
        </is>
      </c>
      <c r="B316" t="n">
        <v>116</v>
      </c>
    </row>
    <row r="317">
      <c r="A317" t="inlineStr">
        <is>
          <t xml:space="preserve">  changed runtime</t>
        </is>
      </c>
      <c r="B317" t="n">
        <v>4</v>
      </c>
      <c r="C317" t="inlineStr">
        <is>
          <t>The four runtimes v1 held are the only model latency ever measured; the live sheet has none.</t>
        </is>
      </c>
    </row>
    <row r="319">
      <c r="A319" t="inlineStr">
        <is>
          <t>SECTION F - THE CORPUS AND ITS DOCUMENTS</t>
        </is>
      </c>
      <c r="C319" t="inlineStr">
        <is>
          <t>Added 10 August 2026. Nothing in this block moves a published figure. Every count is derived from the documents' own text; rows about READINGS are formulas and stay live, rows about DOCUMENTS are values because no formula can open a PDF.</t>
        </is>
      </c>
    </row>
    <row r="321">
      <c r="A321" t="inlineStr">
        <is>
          <t>F5a. What the corpus holds</t>
        </is>
      </c>
      <c r="C321" t="inlineStr">
        <is>
          <t>Read, not listed. The previous content scans in this project opened PDF and DOCX only and reported on 'the corpus'; the corpus is 38% HTML.</t>
        </is>
      </c>
    </row>
    <row r="322">
      <c r="A322" t="inlineStr">
        <is>
          <t>Measure</t>
        </is>
      </c>
      <c r="B322" t="inlineStr">
        <is>
          <t>Value</t>
        </is>
      </c>
      <c r="C322" t="inlineStr">
        <is>
          <t>Note</t>
        </is>
      </c>
    </row>
    <row r="323">
      <c r="A323" t="inlineStr">
        <is>
          <t>Files under Phase 2 and Phase 3</t>
        </is>
      </c>
      <c r="B323" t="n">
        <v>1153</v>
      </c>
      <c r="C323" t="inlineStr">
        <is>
          <t>Everything, including spreadsheets and CSVs.</t>
        </is>
      </c>
    </row>
    <row r="324">
      <c r="A324" t="inlineStr">
        <is>
          <t>Documents opened and read</t>
        </is>
      </c>
      <c r="B324" t="n">
        <v>1074</v>
      </c>
      <c r="C324" t="inlineStr">
        <is>
          <t>PDF, DOCX, HTM and HTML. The remainder are workbooks, manifests and decks; 8 workbooks are cited as sources.</t>
        </is>
      </c>
    </row>
    <row r="325">
      <c r="A325" t="inlineStr">
        <is>
          <t xml:space="preserve">  rater answer sheets</t>
        </is>
      </c>
      <c r="B325" t="n">
        <v>74</v>
      </c>
      <c r="C325" t="inlineStr">
        <is>
          <t>Declared in rb_provenance.WORKSHEET_FILES; no reading cites one.</t>
        </is>
      </c>
    </row>
    <row r="326">
      <c r="A326" t="inlineStr">
        <is>
          <t xml:space="preserve">  cited by at least one reading</t>
        </is>
      </c>
      <c r="B326" t="n">
        <v>704</v>
      </c>
    </row>
    <row r="327">
      <c r="A327" t="inlineStr">
        <is>
          <t xml:space="preserve">  never cited by any reading</t>
        </is>
      </c>
      <c r="B327" t="n">
        <v>370</v>
      </c>
      <c r="C327" t="inlineStr">
        <is>
          <t>296 once the answer sheets are set aside. Gathered and not read is not the same as wasted - several are quarters nobody has scored yet.</t>
        </is>
      </c>
    </row>
    <row r="328">
      <c r="A328" t="inlineStr">
        <is>
          <t>Documents modified in the 7 days to 10 Aug 2026</t>
        </is>
      </c>
      <c r="B328" t="n">
        <v>517</v>
      </c>
      <c r="C328" t="inlineStr">
        <is>
          <t>The window is bounded at BOTH ends. It used to be open at the top, so a document modified AFTER the anchor date counted inside a window whose label says it cannot - and the raters kept adding documents on the 11th. Those are on the row below instead of folded in here.</t>
        </is>
      </c>
    </row>
    <row r="329">
      <c r="A329" t="inlineStr">
        <is>
          <t>Documents modified AFTER 10 Aug 2026</t>
        </is>
      </c>
      <c r="B329" t="n">
        <v>21</v>
      </c>
      <c r="C329" t="inlineStr">
        <is>
          <t>The corpus is still moving. Any count in this block has a shelf life, and this row is how long it has been since it was true.</t>
        </is>
      </c>
    </row>
    <row r="331">
      <c r="A331" t="inlineStr">
        <is>
          <t>F5b. SEC periodic filings, and the exclusion that names them</t>
        </is>
      </c>
      <c r="C331" t="inlineStr">
        <is>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is>
      </c>
    </row>
    <row r="332">
      <c r="A332" t="inlineStr">
        <is>
          <t>Measure</t>
        </is>
      </c>
      <c r="B332" t="inlineStr">
        <is>
          <t>Value</t>
        </is>
      </c>
      <c r="C332" t="inlineStr">
        <is>
          <t>Note</t>
        </is>
      </c>
    </row>
    <row r="333">
      <c r="A333" t="inlineStr">
        <is>
          <t>SEC periodic filings in the corpus</t>
        </is>
      </c>
      <c r="B333" t="n">
        <v>45</v>
      </c>
      <c r="C333" t="inlineStr">
        <is>
          <t>Cover header AND the 'REPORT PURSUANT TO SECTION 13' clause. Two independent signatures, same 45 documents, no disagreement.</t>
        </is>
      </c>
    </row>
    <row r="334">
      <c r="A334" t="inlineStr">
        <is>
          <t xml:space="preserve">  10-K</t>
        </is>
      </c>
      <c r="B334" t="n">
        <v>10</v>
      </c>
    </row>
    <row r="335">
      <c r="A335" t="inlineStr">
        <is>
          <t xml:space="preserve">  10-Q</t>
        </is>
      </c>
      <c r="B335" t="n">
        <v>35</v>
      </c>
    </row>
    <row r="336">
      <c r="A336" t="inlineStr">
        <is>
          <t xml:space="preserve">  under Phase 2</t>
        </is>
      </c>
      <c r="B336" t="n">
        <v>25</v>
      </c>
    </row>
    <row r="337">
      <c r="A337" t="inlineStr">
        <is>
          <t xml:space="preserve">  under Phase 3/Readings</t>
        </is>
      </c>
      <c r="B337" t="n">
        <v>20</v>
      </c>
    </row>
    <row r="338">
      <c r="A338" t="inlineStr">
        <is>
          <t>Human readings whose ONLY source is one</t>
        </is>
      </c>
      <c r="B338">
        <f>COUNTIFS(Human_Data_Entry!$BP$3:$BP$524,"sole source")</f>
        <v/>
      </c>
      <c r="C338" t="inlineStr">
        <is>
          <t>Live, and the number the exclusion question is actually about. 8 of the 17 human readings that touch a filing label the document 'Financial Statement', and for a US issuer the 10-Q IS the quarterly financial statement.</t>
        </is>
      </c>
    </row>
    <row r="339">
      <c r="A339" t="inlineStr">
        <is>
          <t>Human readings citing one among several</t>
        </is>
      </c>
      <c r="B339">
        <f>COUNTIFS(Human_Data_Entry!$BP$3:$BP$524,"one of several")</f>
        <v/>
      </c>
      <c r="C339" t="inlineStr">
        <is>
          <t>Document = All, so the filing is one of a bundle. Counting these as 'read a 10-K' would overstate the finding.</t>
        </is>
      </c>
    </row>
    <row r="340">
      <c r="A340" t="inlineStr">
        <is>
          <t>Model readings whose ONLY source is one</t>
        </is>
      </c>
      <c r="B340">
        <f>COUNTIFS(LLM_Data_Entry!$AY$3:$AY$430,"sole source")</f>
        <v/>
      </c>
      <c r="C340" t="inlineStr">
        <is>
          <t>The one to read carefully: LLM_Data_Entry records no document list, so this is what the matcher attributes, not what the model read. Nothing in the container can settle it.</t>
        </is>
      </c>
    </row>
    <row r="341">
      <c r="A341" t="inlineStr">
        <is>
          <t>Model readings citing one among several</t>
        </is>
      </c>
      <c r="B341">
        <f>COUNTIFS(LLM_Data_Entry!$AY$3:$AY$430,"one of several")</f>
        <v/>
      </c>
    </row>
    <row r="342">
      <c r="A342" t="inlineStr">
        <is>
          <t>Ruling</t>
        </is>
      </c>
      <c r="B342" t="inlineStr">
        <is>
          <t>not made</t>
        </is>
      </c>
      <c r="C342" t="inlineStr">
        <is>
          <t>Query F-a. Recording it unresolved is the group's decision of 10 August 2026, not an oversight.</t>
        </is>
      </c>
    </row>
    <row r="344">
      <c r="A344" t="inlineStr">
        <is>
          <t>F5c. Who published the documents the study reads</t>
        </is>
      </c>
      <c r="C344" t="inlineStr">
        <is>
          <t>By each document's own copyright line, never by a mention: 76 documents name the Motley Fool and 43 of those are rater sheets recording where the rater got the transcript. The study had no record of this at all before section F.</t>
        </is>
      </c>
    </row>
    <row r="345">
      <c r="A345" t="inlineStr">
        <is>
          <t>Publisher</t>
        </is>
      </c>
      <c r="B345" t="inlineStr">
        <is>
          <t>Documents</t>
        </is>
      </c>
      <c r="C345" t="inlineStr">
        <is>
          <t>Licence class</t>
        </is>
      </c>
    </row>
    <row r="346">
      <c r="A346" t="inlineStr">
        <is>
          <t xml:space="preserve">  The Motley Fool</t>
        </is>
      </c>
      <c r="B346" t="n">
        <v>75</v>
      </c>
      <c r="C346" t="inlineStr">
        <is>
          <t>free to read, copyright asserted</t>
        </is>
      </c>
    </row>
    <row r="347">
      <c r="A347" t="inlineStr">
        <is>
          <t xml:space="preserve">  Insider Monkey (Koala Guide LLC)</t>
        </is>
      </c>
      <c r="B347" t="n">
        <v>72</v>
      </c>
      <c r="C347" t="inlineStr">
        <is>
          <t>free to read, copyright asserted</t>
        </is>
      </c>
    </row>
    <row r="348">
      <c r="A348" t="inlineStr">
        <is>
          <t xml:space="preserve">  FactSet CallStreet</t>
        </is>
      </c>
      <c r="B348" t="n">
        <v>38</v>
      </c>
      <c r="C348" t="inlineStr">
        <is>
          <t>licensed vendor</t>
        </is>
      </c>
    </row>
    <row r="349">
      <c r="A349" t="inlineStr">
        <is>
          <t xml:space="preserve">  Refinitiv / LSEG StreetEvents</t>
        </is>
      </c>
      <c r="B349" t="n">
        <v>33</v>
      </c>
      <c r="C349" t="inlineStr">
        <is>
          <t>licensed vendor</t>
        </is>
      </c>
    </row>
    <row r="350">
      <c r="A350" t="inlineStr">
        <is>
          <t xml:space="preserve">  MarketScreener (Surperformance SAS)</t>
        </is>
      </c>
      <c r="B350" t="n">
        <v>16</v>
      </c>
      <c r="C350" t="inlineStr">
        <is>
          <t>licensed vendor</t>
        </is>
      </c>
    </row>
    <row r="351">
      <c r="A351" t="inlineStr">
        <is>
          <t xml:space="preserve">  S&amp;P Global Market Intelligence (Capital IQ)</t>
        </is>
      </c>
      <c r="B351" t="n">
        <v>10</v>
      </c>
      <c r="C351" t="inlineStr">
        <is>
          <t>licensed vendor</t>
        </is>
      </c>
    </row>
    <row r="352">
      <c r="A352" t="inlineStr">
        <is>
          <t>Publisher-identified documents</t>
        </is>
      </c>
      <c r="B352" t="n">
        <v>244</v>
      </c>
      <c r="C352" t="inlineStr">
        <is>
          <t>The audit said 63 across three vendors.</t>
        </is>
      </c>
    </row>
    <row r="353">
      <c r="A353" t="inlineStr">
        <is>
          <t xml:space="preserve">  carrying a redistribution prohibition</t>
        </is>
      </c>
      <c r="B353" t="n">
        <v>30</v>
      </c>
      <c r="C353" t="inlineStr">
        <is>
          <t>Refinitiv / LSEG StreetEvents, which is the only publisher here that prints one. The others assert copyright.</t>
        </is>
      </c>
    </row>
    <row r="354">
      <c r="A354" t="inlineStr">
        <is>
          <t xml:space="preserve">  carrying the ISSUER's own call restriction</t>
        </is>
      </c>
      <c r="B354" t="n">
        <v>13</v>
      </c>
      <c r="C354" t="inlineStr">
        <is>
          <t>Read out by the operator, so it attaches to the call and survives changing transcriber. On no vendor list.</t>
        </is>
      </c>
    </row>
    <row r="355">
      <c r="A355" t="inlineStr">
        <is>
          <t>Documents removed or proposed for removal</t>
        </is>
      </c>
      <c r="B355" t="n">
        <v>0</v>
      </c>
      <c r="C355" t="inlineStr">
        <is>
          <t>Group decision, 10 August 2026: nothing is being redistributed - the share is the team's own working folder - so the finding's premise does not hold. The classification is kept as provenance.</t>
        </is>
      </c>
    </row>
    <row r="356">
      <c r="A356" t="inlineStr">
        <is>
          <t>Human readings citing a licensed-vendor document</t>
        </is>
      </c>
      <c r="B356">
        <f>COUNTIFS(Human_Data_Entry!$BO$3:$BO$524,"licensed vendor")</f>
        <v/>
      </c>
    </row>
    <row r="357">
      <c r="A357" t="inlineStr">
        <is>
          <t>Model readings citing a licensed-vendor document</t>
        </is>
      </c>
      <c r="B357">
        <f>COUNTIFS(LLM_Data_Entry!$AX$3:$AX$430,"licensed vendor")</f>
        <v/>
      </c>
    </row>
    <row r="359">
      <c r="A359" t="inlineStr">
        <is>
          <t>F5d. Byte-identical duplicates</t>
        </is>
      </c>
      <c r="C359" t="inlineStr">
        <is>
          <t>sha256 of the file, not size or name. Size, mtime and checksum are worthless for telling whether a file in this share MOVED, but a hash is exactly right for telling whether two files are the same document.</t>
        </is>
      </c>
    </row>
    <row r="360">
      <c r="A360" t="inlineStr">
        <is>
          <t>Measure</t>
        </is>
      </c>
      <c r="B360" t="inlineStr">
        <is>
          <t>Value</t>
        </is>
      </c>
      <c r="C360" t="inlineStr">
        <is>
          <t>Note</t>
        </is>
      </c>
    </row>
    <row r="361">
      <c r="A361" t="inlineStr">
        <is>
          <t>Duplicate groups</t>
        </is>
      </c>
      <c r="B361" t="n">
        <v>7</v>
      </c>
    </row>
    <row r="362">
      <c r="A362" t="inlineStr">
        <is>
          <t>Files involved</t>
        </is>
      </c>
      <c r="B362" t="n">
        <v>17</v>
      </c>
    </row>
    <row r="363">
      <c r="A363" t="inlineStr">
        <is>
          <t>Groups straddling the two phase trees</t>
        </is>
      </c>
      <c r="B363" t="n">
        <v>4</v>
      </c>
      <c r="C363" t="inlineStr">
        <is>
          <t>All four are Target, which is the whole reason Target is the only company that appears in both arms.</t>
        </is>
      </c>
    </row>
    <row r="364">
      <c r="A364" t="inlineStr">
        <is>
          <t xml:space="preserve">  2 copies</t>
        </is>
      </c>
      <c r="B364" t="inlineStr">
        <is>
          <t>LOW-2026-Q1-earnings-call-transcript-corporate-lowes-com.pdf</t>
        </is>
      </c>
      <c r="C364" t="inlineStr">
        <is>
          <t>Phase 2/Lowe's/2026-Q1/LOW-2026-Q1-earnings-call-transcript-corporate-lowes-com.pdf; Phase 2/Lowe's/low-usq-transcript-2026-05-20-1.pdf</t>
        </is>
      </c>
    </row>
    <row r="365">
      <c r="A365" t="inlineStr">
        <is>
          <t xml:space="preserve">  3 copies</t>
        </is>
      </c>
      <c r="B365" t="inlineStr">
        <is>
          <t>2025-May-21-TGT-Transcript.pdf</t>
        </is>
      </c>
      <c r="C365" t="inlineStr">
        <is>
          <t>Phase 2/Target/2025-May-21-TGT-Transcript.pdf; Phase 2/Target/2025-Q1/TGT-2025-Q1-earnings-call-transcript-corporate-target-com.pdf; Phase 3/Readings/Target/2025-May-21-TGT-Transcript.pdf</t>
        </is>
      </c>
    </row>
    <row r="366">
      <c r="A366" t="inlineStr">
        <is>
          <t xml:space="preserve">  3 copies</t>
        </is>
      </c>
      <c r="B366" t="inlineStr">
        <is>
          <t>TGT-2025-Q2-earnings-call-transcript-corporate-target-com.pdf</t>
        </is>
      </c>
      <c r="C366" t="inlineStr">
        <is>
          <t>Phase 2/Target/2025-Q2/TGT-2025-Q2-earnings-call-transcript-corporate-target-com.pdf; Phase 2/Target/2025-august-20-tgt-transcript.pdf; Phase 3/Readings/Target/2025-august-20-tgt-transcript.pdf</t>
        </is>
      </c>
    </row>
    <row r="367">
      <c r="A367" t="inlineStr">
        <is>
          <t xml:space="preserve">  3 copies</t>
        </is>
      </c>
      <c r="B367" t="inlineStr">
        <is>
          <t>TGT-2025-Q3-earnings-call-transcript-corporate-target-com.pdf</t>
        </is>
      </c>
      <c r="C367" t="inlineStr">
        <is>
          <t>Phase 2/Target/2025-Q3/TGT-2025-Q3-earnings-call-transcript-corporate-target-com.pdf; Phase 2/Target/TGT-Transcript-2025-11-19-2.pdf; Phase 3/Readings/Target/TGT-Transcript-2025-11-19.pdf</t>
        </is>
      </c>
    </row>
    <row r="368">
      <c r="A368" t="inlineStr">
        <is>
          <t xml:space="preserve">  2 copies</t>
        </is>
      </c>
      <c r="B368" t="inlineStr">
        <is>
          <t>TGT-USQ_Transcript_2026-05-20.pdf</t>
        </is>
      </c>
      <c r="C368" t="inlineStr">
        <is>
          <t>Phase 2/Target/TGT-USQ_Transcript_2026-05-20.pdf; Phase 3/Readings/Target/TGT-USQ_Transcript_2026-05-20.pdf</t>
        </is>
      </c>
    </row>
    <row r="369">
      <c r="A369" t="inlineStr">
        <is>
          <t xml:space="preserve">  2 copies</t>
        </is>
      </c>
      <c r="B369" t="inlineStr">
        <is>
          <t>HEINY-2024-Q2-earnings-presentation-HeinekenIR.pdf</t>
        </is>
      </c>
      <c r="C369" t="inlineStr">
        <is>
          <t>Phase 3/Readings/Heineken/2024-Q2/HEINY-2024-Q2-earnings-presentation-HeinekenIR.pdf; Phase 3/Readings/Heineken/hy-24-results-presentation.pdf</t>
        </is>
      </c>
    </row>
    <row r="370">
      <c r="A370" t="inlineStr">
        <is>
          <t xml:space="preserve">  2 copies</t>
        </is>
      </c>
      <c r="B370" t="inlineStr">
        <is>
          <t>Q3 2025 Press Release.pdf</t>
        </is>
      </c>
      <c r="C370" t="inlineStr">
        <is>
          <t>Phase 3/Readings/Shopify/Q3 25/Q3 2025 Press Release.pdf; Phase 3/Readings/Shopify/Q3 25/Q3-2025-Press-Release.pdf</t>
        </is>
      </c>
    </row>
    <row r="372">
      <c r="A372" t="inlineStr">
        <is>
          <t>F5e. Provenance coverage</t>
        </is>
      </c>
      <c r="C372" t="inlineStr">
        <is>
          <t>A manifest carries the fiscal period, the document type and the URL the file came from, and where one exists it beats filename guessing outright. It covers the documents it NAMES, not the folder it sits in.</t>
        </is>
      </c>
    </row>
    <row r="373">
      <c r="A373" t="inlineStr">
        <is>
          <t>Measure</t>
        </is>
      </c>
      <c r="B373" t="inlineStr">
        <is>
          <t>Value</t>
        </is>
      </c>
      <c r="C373" t="inlineStr">
        <is>
          <t>Note</t>
        </is>
      </c>
    </row>
    <row r="374">
      <c r="A374" t="inlineStr">
        <is>
          <t>Original provenance.csv files</t>
        </is>
      </c>
      <c r="B374" t="n">
        <v>7</v>
      </c>
      <c r="C374" t="inlineStr">
        <is>
          <t>All Phase 2.</t>
        </is>
      </c>
    </row>
    <row r="375">
      <c r="A375" t="inlineStr">
        <is>
          <t>Collected collected_provenance.csv files</t>
        </is>
      </c>
      <c r="B375" t="n">
        <v>50</v>
      </c>
      <c r="C375" t="inlineStr">
        <is>
          <t>Written by the D-c and E collections of 10 August 2026.</t>
        </is>
      </c>
    </row>
    <row r="376">
      <c r="A376" t="inlineStr">
        <is>
          <t>Documents named in a manifest</t>
        </is>
      </c>
      <c r="B376" t="n">
        <v>424</v>
      </c>
      <c r="C376" t="inlineStr">
        <is>
          <t>39.5% of the readable corpus.</t>
        </is>
      </c>
    </row>
    <row r="377">
      <c r="A377" t="inlineStr">
        <is>
          <t>Manifest rows recording a FAILED collection</t>
        </is>
      </c>
      <c r="B377" t="n">
        <v>7</v>
      </c>
      <c r="C377" t="inlineStr">
        <is>
          <t>'(not collected)' in the filename column, with a note saying no free source existed. The matcher published that string as a source document in 10 cells until rb_provenance._exists dropped it. No reading rested on one alone.</t>
        </is>
      </c>
    </row>
    <row r="378">
      <c r="A378" t="inlineStr">
        <is>
          <t>Human readings whose sources are all manifest-backed</t>
        </is>
      </c>
      <c r="B378">
        <f>COUNTIFS(Human_Data_Entry!$BQ$3:$BQ$524,"yes")</f>
        <v/>
      </c>
    </row>
    <row r="379">
      <c r="A379" t="inlineStr">
        <is>
          <t>Model readings whose sources are all manifest-backed</t>
        </is>
      </c>
      <c r="B379">
        <f>COUNTIFS(LLM_Data_Entry!$AZ$3:$AZ$430,"yes")</f>
        <v/>
      </c>
    </row>
    <row r="381">
      <c r="A381" t="inlineStr">
        <is>
          <t>F5f. Naming drift, and why the alias table stays</t>
        </is>
      </c>
      <c r="C381" t="inlineStr">
        <is>
          <t>The corpus does not join to the workbook by name. build_mapping's alias table absorbs the difference, which is why anything joins at all. Renaming the folders would touch the group's share; the table does not. Recommendation: keep the table.</t>
        </is>
      </c>
    </row>
    <row r="382">
      <c r="A382" t="inlineStr">
        <is>
          <t>Measure</t>
        </is>
      </c>
      <c r="B382" t="inlineStr">
        <is>
          <t>Value</t>
        </is>
      </c>
      <c r="C382" t="inlineStr">
        <is>
          <t>Note</t>
        </is>
      </c>
    </row>
    <row r="383">
      <c r="A383" t="inlineStr">
        <is>
          <t>Company folders whose name is not the company's</t>
        </is>
      </c>
      <c r="B383" t="n">
        <v>15</v>
      </c>
      <c r="C383" t="inlineStr">
        <is>
          <t>Of 96 company folders across the two trees.</t>
        </is>
      </c>
    </row>
    <row r="384">
      <c r="A384" t="inlineStr">
        <is>
          <t xml:space="preserve">  resolved only by fuzzy match</t>
        </is>
      </c>
      <c r="B384" t="n">
        <v>0</v>
      </c>
      <c r="C384" t="inlineStr">
        <is>
          <t>'Jonson &amp; Jonson' and 'Nestle'. difflib at cutoff 0.84 is one new folder away from resolving either to the wrong company; these two are the ones worth an explicit alias.</t>
        </is>
      </c>
    </row>
    <row r="385">
      <c r="A385" t="inlineStr">
        <is>
          <t xml:space="preserve">  Bank of America</t>
        </is>
      </c>
      <c r="B385" t="inlineStr">
        <is>
          <t>bank of america</t>
        </is>
      </c>
      <c r="C385" t="inlineStr">
        <is>
          <t>P2, alias</t>
        </is>
      </c>
    </row>
    <row r="386">
      <c r="A386" t="inlineStr">
        <is>
          <t xml:space="preserve">  Booking Holdings</t>
        </is>
      </c>
      <c r="B386" t="inlineStr">
        <is>
          <t>Booking</t>
        </is>
      </c>
      <c r="C386" t="inlineStr">
        <is>
          <t>P2, alias</t>
        </is>
      </c>
    </row>
    <row r="387">
      <c r="A387" t="inlineStr">
        <is>
          <t xml:space="preserve">  Coinbase</t>
        </is>
      </c>
      <c r="B387" t="inlineStr">
        <is>
          <t>Coin Base</t>
        </is>
      </c>
      <c r="C387" t="inlineStr">
        <is>
          <t>P2, alias</t>
        </is>
      </c>
    </row>
    <row r="388">
      <c r="A388" t="inlineStr">
        <is>
          <t xml:space="preserve">  Colgate-Palmolive</t>
        </is>
      </c>
      <c r="B388" t="inlineStr">
        <is>
          <t>Colgate Palmolive</t>
        </is>
      </c>
      <c r="C388" t="inlineStr">
        <is>
          <t>P3, alias</t>
        </is>
      </c>
    </row>
    <row r="389">
      <c r="A389" t="inlineStr">
        <is>
          <t xml:space="preserve">  Comcast Corporation</t>
        </is>
      </c>
      <c r="B389" t="inlineStr">
        <is>
          <t>Comcast</t>
        </is>
      </c>
      <c r="C389" t="inlineStr">
        <is>
          <t>P3, alias</t>
        </is>
      </c>
    </row>
    <row r="390">
      <c r="A390" t="inlineStr">
        <is>
          <t xml:space="preserve">  Delta Air Lines</t>
        </is>
      </c>
      <c r="B390" t="inlineStr">
        <is>
          <t>Delta</t>
        </is>
      </c>
      <c r="C390" t="inlineStr">
        <is>
          <t>P3, alias</t>
        </is>
      </c>
    </row>
    <row r="391">
      <c r="A391" t="inlineStr">
        <is>
          <t xml:space="preserve">  JPMorgan</t>
        </is>
      </c>
      <c r="B391" t="inlineStr">
        <is>
          <t>JPMC Documents</t>
        </is>
      </c>
      <c r="C391" t="inlineStr">
        <is>
          <t>P2, alias</t>
        </is>
      </c>
    </row>
    <row r="392">
      <c r="A392" t="inlineStr">
        <is>
          <t xml:space="preserve">  Johnson &amp; Johnson</t>
        </is>
      </c>
      <c r="B392" t="inlineStr">
        <is>
          <t>Jonson &amp; Jonson</t>
        </is>
      </c>
      <c r="C392" t="inlineStr">
        <is>
          <t>P3, alias</t>
        </is>
      </c>
    </row>
    <row r="393">
      <c r="A393" t="inlineStr">
        <is>
          <t xml:space="preserve">  Meta</t>
        </is>
      </c>
      <c r="B393" t="inlineStr">
        <is>
          <t>META</t>
        </is>
      </c>
      <c r="C393" t="inlineStr">
        <is>
          <t>P2, alias</t>
        </is>
      </c>
    </row>
    <row r="394">
      <c r="A394" t="inlineStr">
        <is>
          <t xml:space="preserve">  Metlife</t>
        </is>
      </c>
      <c r="B394" t="inlineStr">
        <is>
          <t>MetLife</t>
        </is>
      </c>
      <c r="C394" t="inlineStr">
        <is>
          <t>P2, exact</t>
        </is>
      </c>
    </row>
    <row r="395">
      <c r="A395" t="inlineStr">
        <is>
          <t xml:space="preserve">  Nestle</t>
        </is>
      </c>
      <c r="B395" t="inlineStr">
        <is>
          <t>Nestlé</t>
        </is>
      </c>
      <c r="C395" t="inlineStr">
        <is>
          <t>P3, alias</t>
        </is>
      </c>
    </row>
    <row r="396">
      <c r="A396" t="inlineStr">
        <is>
          <t xml:space="preserve">  Robinhood Markets</t>
        </is>
      </c>
      <c r="B396" t="inlineStr">
        <is>
          <t>Robinhood</t>
        </is>
      </c>
      <c r="C396" t="inlineStr">
        <is>
          <t>P3, alias</t>
        </is>
      </c>
    </row>
    <row r="397">
      <c r="A397" t="inlineStr">
        <is>
          <t xml:space="preserve">  Salesforce</t>
        </is>
      </c>
      <c r="B397" t="inlineStr">
        <is>
          <t>SalesForce</t>
        </is>
      </c>
      <c r="C397" t="inlineStr">
        <is>
          <t>P2, alias</t>
        </is>
      </c>
    </row>
    <row r="398">
      <c r="A398" t="inlineStr">
        <is>
          <t xml:space="preserve">  Shell</t>
        </is>
      </c>
      <c r="B398" t="inlineStr">
        <is>
          <t>SHELL</t>
        </is>
      </c>
      <c r="C398" t="inlineStr">
        <is>
          <t>P2, exact</t>
        </is>
      </c>
    </row>
    <row r="399">
      <c r="A399" t="inlineStr">
        <is>
          <t xml:space="preserve">  UnitedHealth</t>
        </is>
      </c>
      <c r="B399" t="inlineStr">
        <is>
          <t>Unitedhealth</t>
        </is>
      </c>
      <c r="C399" t="inlineStr">
        <is>
          <t>P2, alias</t>
        </is>
      </c>
    </row>
    <row r="400">
      <c r="A400" t="inlineStr">
        <is>
          <t>Period-folder naming shapes</t>
        </is>
      </c>
      <c r="B400" t="n">
        <v>5</v>
      </c>
      <c r="C400" t="inlineStr">
        <is>
          <t>YYYY-Qn x139; other x91; Qn (no year) x87; YYYY x12; Qn YY x11. 'Q1' alone does not say which year.</t>
        </is>
      </c>
    </row>
    <row r="401">
      <c r="A401" t="inlineStr">
        <is>
          <t>SECTION H - THE ELEVEN DECISIONS OF 10 AUGUST 2026</t>
        </is>
      </c>
      <c r="C401" t="inlineStr">
        <is>
          <t>Sections A-F corrected how figures were DERIVED. Section H changes the figures themselves. Every row below is a before/after pair: 'A-F' is what the workbook published with sections A-F applied, 'A-H' is what it publishes now.</t>
        </is>
      </c>
    </row>
    <row r="403">
      <c r="A403" t="inlineStr">
        <is>
          <t>H1a. THE HEADLINE - one reading per rater-event</t>
        </is>
      </c>
      <c r="C403" t="inlineStr">
        <is>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is>
      </c>
    </row>
    <row r="404">
      <c r="A404" t="inlineStr">
        <is>
          <t>Measure</t>
        </is>
      </c>
      <c r="B404" t="inlineStr">
        <is>
          <t>HEADLINE: one per rater-event</t>
        </is>
      </c>
      <c r="C404" t="inlineStr">
        <is>
          <t>Robustness: pooled</t>
        </is>
      </c>
      <c r="D404" t="inlineStr">
        <is>
          <t>HEADLINE, re-priced (section C)</t>
        </is>
      </c>
      <c r="E404" t="inlineStr">
        <is>
          <t>Note</t>
        </is>
      </c>
    </row>
    <row r="405">
      <c r="A405" t="inlineStr">
        <is>
          <t>Scored human readings</t>
        </is>
      </c>
      <c r="B405">
        <f>COUNTIFS(Human_Data_Entry!$H$3:$H$524,"Human",Human_Data_Entry!$S$3:$S$524,"?*",Human_Data_Entry!$BC$3:$BC$524,1)</f>
        <v/>
      </c>
      <c r="C405">
        <f>COUNTIFS(Human_Data_Entry!$H$3:$H$524,"Human",Human_Data_Entry!$S$3:$S$524,"?*")</f>
        <v/>
      </c>
      <c r="D405">
        <f>COUNTIFS(Human_Data_Entry!$H$3:$H$524,"Human",Human_Data_Entry!$AJ$3:$AJ$524,"?*",Human_Data_Entry!$BC$3:$BC$524,1)</f>
        <v/>
      </c>
      <c r="E405" t="inlineStr">
        <is>
          <t>Text criterion, not "&lt;&gt;", because a formula-blank counts as non-blank - trap 7.</t>
        </is>
      </c>
    </row>
    <row r="406">
      <c r="A406" t="inlineStr">
        <is>
          <t>Correct</t>
        </is>
      </c>
      <c r="B406">
        <f>COUNTIFS(Human_Data_Entry!$H$3:$H$524,"Human",Human_Data_Entry!$S$3:$S$524,"YES",Human_Data_Entry!$BC$3:$BC$524,1)</f>
        <v/>
      </c>
      <c r="C406">
        <f>COUNTIFS(Human_Data_Entry!$H$3:$H$524,"Human",Human_Data_Entry!$S$3:$S$524,"YES")</f>
        <v/>
      </c>
      <c r="D406">
        <f>COUNTIFS(Human_Data_Entry!$H$3:$H$524,"Human",Human_Data_Entry!$AJ$3:$AJ$524,"YES",Human_Data_Entry!$BC$3:$BC$524,1)</f>
        <v/>
      </c>
    </row>
    <row r="407">
      <c r="A407" t="inlineStr">
        <is>
          <t>% Correct</t>
        </is>
      </c>
      <c r="B407">
        <f>IFERROR(COUNTIFS(Human_Data_Entry!$H$3:$H$524,"Human",Human_Data_Entry!$S$3:$S$524,"YES",Human_Data_Entry!$BC$3:$BC$524,1)/COUNTIFS(Human_Data_Entry!$H$3:$H$524,"Human",Human_Data_Entry!$S$3:$S$524,"?*",Human_Data_Entry!$BC$3:$BC$524,1),"")</f>
        <v/>
      </c>
      <c r="C407">
        <f>IFERROR(COUNTIFS(Human_Data_Entry!$H$3:$H$524,"Human",Human_Data_Entry!$S$3:$S$524,"YES")/COUNTIFS(Human_Data_Entry!$H$3:$H$524,"Human",Human_Data_Entry!$S$3:$S$524,"?*"),"")</f>
        <v/>
      </c>
      <c r="D407">
        <f>IFERROR(COUNTIFS(Human_Data_Entry!$H$3:$H$524,"Human",Human_Data_Entry!$AJ$3:$AJ$524,"YES",Human_Data_Entry!$BC$3:$BC$524,1)/COUNTIFS(Human_Data_Entry!$H$3:$H$524,"Human",Human_Data_Entry!$AJ$3:$AJ$524,"?*",Human_Data_Entry!$BC$3:$BC$524,1),"")</f>
        <v/>
      </c>
      <c r="E407" t="inlineStr">
        <is>
          <t>The single figure this study reports. Compare it with the naive floor two rows down before quoting it.</t>
        </is>
      </c>
    </row>
    <row r="408">
      <c r="A408" t="inlineStr">
        <is>
          <t># Trades</t>
        </is>
      </c>
      <c r="B408">
        <f>COUNTIFS(Human_Data_Entry!$H$3:$H$524,"Human",Human_Data_Entry!$J$3:$J$524,"&lt;&gt;HOLD",Human_Data_Entry!$S$3:$S$524,"?*",Human_Data_Entry!$BC$3:$BC$524,1)</f>
        <v/>
      </c>
      <c r="C408">
        <f>COUNTIFS(Human_Data_Entry!$H$3:$H$524,"Human",Human_Data_Entry!$J$3:$J$524,"&lt;&gt;HOLD",Human_Data_Entry!$S$3:$S$524,"?*")</f>
        <v/>
      </c>
      <c r="D408">
        <f>COUNTIFS(Human_Data_Entry!$H$3:$H$524,"Human",Human_Data_Entry!$J$3:$J$524,"&lt;&gt;HOLD",Human_Data_Entry!$AJ$3:$AJ$524,"?*",Human_Data_Entry!$BC$3:$BC$524,1)</f>
        <v/>
      </c>
    </row>
    <row r="409">
      <c r="A409" t="inlineStr">
        <is>
          <t>Total Return %</t>
        </is>
      </c>
      <c r="B409">
        <f>SUMIFS(Human_Data_Entry!$U$3:$U$524,Human_Data_Entry!$H$3:$H$524,"Human",Human_Data_Entry!$J$3:$J$524,"&lt;&gt;HOLD",Human_Data_Entry!$S$3:$S$524,"?*",Human_Data_Entry!$BC$3:$BC$524,1)</f>
        <v/>
      </c>
      <c r="C409">
        <f>SUMIFS(Human_Data_Entry!$U$3:$U$524,Human_Data_Entry!$H$3:$H$524,"Human",Human_Data_Entry!$J$3:$J$524,"&lt;&gt;HOLD",Human_Data_Entry!$S$3:$S$524,"?*")</f>
        <v/>
      </c>
      <c r="D409">
        <f>SUMIFS(Human_Data_Entry!$AK$3:$AK$524,Human_Data_Entry!$H$3:$H$524,"Human",Human_Data_Entry!$J$3:$J$524,"&lt;&gt;HOLD",Human_Data_Entry!$AJ$3:$AJ$524,"?*",Human_Data_Entry!$BC$3:$BC$524,1)</f>
        <v/>
      </c>
      <c r="E409" t="inlineStr">
        <is>
          <t>The difference between the two columns is what the repeat readings contribute, and it is why they cannot be counted as independent.</t>
        </is>
      </c>
    </row>
    <row r="410">
      <c r="A410" t="inlineStr">
        <is>
          <t>Avg % / Trade</t>
        </is>
      </c>
      <c r="B410">
        <f>IFERROR(SUMIFS(Human_Data_Entry!$U$3:$U$524,Human_Data_Entry!$H$3:$H$524,"Human",Human_Data_Entry!$J$3:$J$524,"&lt;&gt;HOLD",Human_Data_Entry!$S$3:$S$524,"?*",Human_Data_Entry!$BC$3:$BC$524,1)/COUNTIFS(Human_Data_Entry!$H$3:$H$524,"Human",Human_Data_Entry!$J$3:$J$524,"&lt;&gt;HOLD",Human_Data_Entry!$S$3:$S$524,"?*",Human_Data_Entry!$BC$3:$BC$524,1),"")</f>
        <v/>
      </c>
      <c r="C410">
        <f>IFERROR(SUMIFS(Human_Data_Entry!$U$3:$U$524,Human_Data_Entry!$H$3:$H$524,"Human",Human_Data_Entry!$J$3:$J$524,"&lt;&gt;HOLD",Human_Data_Entry!$S$3:$S$524,"?*")/COUNTIFS(Human_Data_Entry!$H$3:$H$524,"Human",Human_Data_Entry!$J$3:$J$524,"&lt;&gt;HOLD",Human_Data_Entry!$S$3:$S$524,"?*"),"")</f>
        <v/>
      </c>
      <c r="D410">
        <f>IFERROR(SUMIFS(Human_Data_Entry!$AK$3:$AK$524,Human_Data_Entry!$H$3:$H$524,"Human",Human_Data_Entry!$J$3:$J$524,"&lt;&gt;HOLD",Human_Data_Entry!$AJ$3:$AJ$524,"?*",Human_Data_Entry!$BC$3:$BC$524,1)/COUNTIFS(Human_Data_Entry!$H$3:$H$524,"Human",Human_Data_Entry!$J$3:$J$524,"&lt;&gt;HOLD",Human_Data_Entry!$AJ$3:$AJ$524,"?*",Human_Data_Entry!$BC$3:$BC$524,1),"")</f>
        <v/>
      </c>
    </row>
    <row r="411">
      <c r="A411" t="inlineStr">
        <is>
          <t>Human minutes</t>
        </is>
      </c>
      <c r="B411">
        <f>SUMIFS(Human_Data_Entry!$K$3:$K$524,Human_Data_Entry!$H$3:$H$524,"Human",Human_Data_Entry!$S$3:$S$524,"?*",Human_Data_Entry!$BC$3:$BC$524,1)</f>
        <v/>
      </c>
      <c r="C411">
        <f>SUMIFS(Human_Data_Entry!$K$3:$K$524,Human_Data_Entry!$H$3:$H$524,"Human",Human_Data_Entry!$S$3:$S$524,"?*")</f>
        <v/>
      </c>
      <c r="D411">
        <f>SUMIFS(Human_Data_Entry!$K$3:$K$524,Human_Data_Entry!$H$3:$H$524,"Human",Human_Data_Entry!$AJ$3:$AJ$524,"?*",Human_Data_Entry!$BC$3:$BC$524,1)</f>
        <v/>
      </c>
      <c r="E411" t="inlineStr">
        <is>
          <t>H5 restored 80 unlogged minutes to six of David's readings, so this is larger than it was and the model's speed advantage is larger with it. That is the conservative direction for an unexplained edit.</t>
        </is>
      </c>
    </row>
    <row r="412">
      <c r="A412" t="inlineStr">
        <is>
          <t>Naive floor (biggest single direction)</t>
        </is>
      </c>
      <c r="B412" t="n">
        <v>0.5142857142857142</v>
      </c>
      <c r="C412" t="inlineStr">
        <is>
          <t>Over the 385 de-duplicated readings that carry a price. A value, not a formula: the floor is a max over three counts and writing it as one expression is exactly the SUMPRODUCT/ISNUMBER shape that fails in Excel. Pooled: 0.5200 over 400.</t>
        </is>
      </c>
    </row>
    <row r="413">
      <c r="A413" t="inlineStr">
        <is>
          <t>Human accuracy MINUS the naive floor</t>
        </is>
      </c>
      <c r="B413" t="n">
        <v>-0.1246753246753246</v>
      </c>
      <c r="C413" t="inlineStr">
        <is>
          <t>Negative means a rule that always called the most common direction would have done better than the human arm.</t>
        </is>
      </c>
    </row>
    <row r="415">
      <c r="A415" t="inlineStr">
        <is>
          <t>H1b. What each decision moved</t>
        </is>
      </c>
      <c r="C415" t="inlineStr">
        <is>
          <t>Every figure re-derived from the raw inputs by rb_truth with the corrections applied, never read back off this sheet.</t>
        </is>
      </c>
    </row>
    <row r="416">
      <c r="A416" t="inlineStr">
        <is>
          <t>Figure</t>
        </is>
      </c>
      <c r="B416" t="inlineStr">
        <is>
          <t>A-F (published)</t>
        </is>
      </c>
      <c r="C416" t="inlineStr">
        <is>
          <t>A-H</t>
        </is>
      </c>
      <c r="D416" t="inlineStr">
        <is>
          <t>Change</t>
        </is>
      </c>
      <c r="E416" t="inlineStr">
        <is>
          <t>Note</t>
        </is>
      </c>
    </row>
    <row r="417">
      <c r="A417" t="inlineStr">
        <is>
          <t>Scored human readings</t>
        </is>
      </c>
      <c r="B417" t="n">
        <v>388</v>
      </c>
      <c r="C417" t="n">
        <v>400</v>
      </c>
      <c r="D417" t="n">
        <v>12</v>
      </c>
      <c r="E417" t="inlineStr">
        <is>
          <t>H6 priced 12 readings that counted on no side.</t>
        </is>
      </c>
    </row>
    <row r="418">
      <c r="A418" t="inlineStr">
        <is>
          <t>Human correct</t>
        </is>
      </c>
      <c r="B418" t="n">
        <v>168</v>
      </c>
      <c r="C418" t="n">
        <v>159</v>
      </c>
      <c r="D418" t="n">
        <v>-9</v>
      </c>
    </row>
    <row r="419">
      <c r="A419" t="inlineStr">
        <is>
          <t>Human accuracy</t>
        </is>
      </c>
      <c r="B419" t="n">
        <v>0.4329896907216495</v>
      </c>
      <c r="C419" t="n">
        <v>0.3975</v>
      </c>
      <c r="D419" t="n">
        <v>-0.03548969072164948</v>
      </c>
      <c r="E419" t="inlineStr">
        <is>
          <t>H2 is the whole of this: 24 typed decisions recomputed from the score.</t>
        </is>
      </c>
    </row>
    <row r="420">
      <c r="A420" t="inlineStr">
        <is>
          <t>Human trades</t>
        </is>
      </c>
      <c r="B420" t="n">
        <v>262</v>
      </c>
      <c r="C420" t="n">
        <v>288</v>
      </c>
      <c r="D420" t="n">
        <v>26</v>
      </c>
      <c r="E420" t="inlineStr">
        <is>
          <t>H2 turns HOLDs into BUYs, so the arm trades more.</t>
        </is>
      </c>
    </row>
    <row r="421">
      <c r="A421" t="inlineStr">
        <is>
          <t>Human total return</t>
        </is>
      </c>
      <c r="B421" t="n">
        <v>1.672</v>
      </c>
      <c r="C421" t="n">
        <v>1.0885</v>
      </c>
      <c r="D421" t="n">
        <v>-0.5835000000000001</v>
      </c>
      <c r="E421" t="inlineStr">
        <is>
          <t>H2 is most of it and H6 is the rest; block H1e below takes H2's cost apart. No figure is quoted in this note - a number written into a note is a number nothing can check, and the sentence that used to sit here went stale the moment H1 changed which rows H2 covers.</t>
        </is>
      </c>
    </row>
    <row r="422">
      <c r="A422" t="inlineStr">
        <is>
          <t>Human avg % / trade</t>
        </is>
      </c>
      <c r="B422" t="n">
        <v>0.006381679389312977</v>
      </c>
      <c r="C422" t="n">
        <v>0.003779513888888888</v>
      </c>
      <c r="D422" t="n">
        <v>-0.002602165500424089</v>
      </c>
    </row>
    <row r="423">
      <c r="A423" t="inlineStr">
        <is>
          <t>Naive floor</t>
        </is>
      </c>
      <c r="B423" t="n">
        <v>0.5128865979381443</v>
      </c>
      <c r="C423" t="n">
        <v>0.52</v>
      </c>
      <c r="D423" t="n">
        <v>0.007113402061855734</v>
      </c>
    </row>
    <row r="424">
      <c r="A424" t="inlineStr">
        <is>
          <t>Model accuracy</t>
        </is>
      </c>
      <c r="B424" t="n">
        <v>0.4141791044776119</v>
      </c>
      <c r="C424" t="n">
        <v>0.4141791044776119</v>
      </c>
      <c r="D424" t="n">
        <v>0</v>
      </c>
      <c r="E424" t="inlineStr">
        <is>
          <t>Unchanged. Section H corrects no model raw input; H11's Kraft Heinz relabelling moves both arms and changes neither arm's accuracy.</t>
        </is>
      </c>
    </row>
    <row r="425">
      <c r="A425" t="inlineStr">
        <is>
          <t>Model total return</t>
        </is>
      </c>
      <c r="B425" t="n">
        <v>2.956435812918878</v>
      </c>
      <c r="C425" t="n">
        <v>2.956435812918878</v>
      </c>
      <c r="D425" t="n">
        <v>0</v>
      </c>
    </row>
    <row r="426">
      <c r="A426" t="inlineStr">
        <is>
          <t>Paired readings (head to head)</t>
        </is>
      </c>
      <c r="B426" t="n">
        <v>272</v>
      </c>
      <c r="C426" t="n">
        <v>279</v>
      </c>
      <c r="D426" t="n">
        <v>7</v>
      </c>
      <c r="E426" t="inlineStr">
        <is>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is>
      </c>
    </row>
    <row r="427">
      <c r="A427" t="inlineStr">
        <is>
          <t>Calls the humans got and the model missed</t>
        </is>
      </c>
      <c r="B427" t="n">
        <v>71</v>
      </c>
      <c r="C427" t="n">
        <v>67</v>
      </c>
      <c r="D427" t="n">
        <v>-4</v>
      </c>
    </row>
    <row r="428">
      <c r="A428" t="inlineStr">
        <is>
          <t>Calls the model got and the humans missed</t>
        </is>
      </c>
      <c r="B428" t="n">
        <v>69</v>
      </c>
      <c r="C428" t="n">
        <v>75</v>
      </c>
      <c r="D428" t="n">
        <v>6</v>
      </c>
    </row>
    <row r="429">
      <c r="A429" t="inlineStr">
        <is>
          <t xml:space="preserve">  the same figure on the RE-PRICED basis</t>
        </is>
      </c>
      <c r="C429" t="inlineStr">
        <is>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is>
      </c>
    </row>
    <row r="430">
      <c r="A430" t="inlineStr">
        <is>
          <t>NET calls gained by the humans</t>
        </is>
      </c>
      <c r="B430" t="n">
        <v>2</v>
      </c>
      <c r="C430" t="n">
        <v>-8</v>
      </c>
      <c r="D430" t="n">
        <v>-10</v>
      </c>
      <c r="E430" t="inlineStr">
        <is>
          <t>THE HEADLINE REVERSAL. The published figure is +2 and it is now negative: on the corrected decisions the model wins the head to head. Nothing here was chosen to produce that.</t>
        </is>
      </c>
    </row>
    <row r="432">
      <c r="A432" t="inlineStr">
        <is>
          <t>H1e. Where H2's cost comes from</t>
        </is>
      </c>
      <c r="C432" t="inlineStr">
        <is>
          <t>Published as rows rather than described in a note. The note that used to carry these figures was written against section B's set and went stale when H1 changed which rows H2 covers, and nothing caught it because the checker read the ledger's value columns and not its notes.</t>
        </is>
      </c>
    </row>
    <row r="433">
      <c r="A433" t="inlineStr">
        <is>
          <t>Measure</t>
        </is>
      </c>
      <c r="B433" t="inlineStr">
        <is>
          <t>Value</t>
        </is>
      </c>
      <c r="C433" t="inlineStr">
        <is>
          <t>Note</t>
        </is>
      </c>
    </row>
    <row r="434">
      <c r="A434" t="inlineStr">
        <is>
          <t>Rows the band turns from SELL to BUY</t>
        </is>
      </c>
      <c r="B434" t="n">
        <v>8</v>
      </c>
      <c r="C434" t="inlineStr">
        <is>
          <t>The rows where the rater typed a SELL and their own score says BUY. H1 puts rows 96 and 149 into this set and takes row 159 out of it.</t>
        </is>
      </c>
    </row>
    <row r="435">
      <c r="A435" t="inlineStr">
        <is>
          <t xml:space="preserve">  their return as the raters typed them</t>
        </is>
      </c>
      <c r="B435" t="n">
        <v>0.146</v>
      </c>
      <c r="C435" t="inlineStr">
        <is>
          <t>These are the profitable ones.</t>
        </is>
      </c>
    </row>
    <row r="436">
      <c r="A436" t="inlineStr">
        <is>
          <t xml:space="preserve">  their return under the band</t>
        </is>
      </c>
      <c r="B436" t="n">
        <v>-0.162</v>
      </c>
    </row>
    <row r="437">
      <c r="A437" t="inlineStr">
        <is>
          <t xml:space="preserve">  what applying the band costs</t>
        </is>
      </c>
      <c r="B437" t="n">
        <v>-0.3079999999999999</v>
      </c>
    </row>
    <row r="438">
      <c r="A438" t="inlineStr">
        <is>
          <t>Rows the band turns from HOLD to BUY</t>
        </is>
      </c>
      <c r="B438" t="n">
        <v>16</v>
      </c>
    </row>
    <row r="439">
      <c r="A439" t="inlineStr">
        <is>
          <t xml:space="preserve">  their return as the raters typed them</t>
        </is>
      </c>
      <c r="B439" t="n">
        <v>0</v>
      </c>
      <c r="C439" t="inlineStr">
        <is>
          <t>A HOLD takes no position, so this is 0 by construction.</t>
        </is>
      </c>
    </row>
    <row r="440">
      <c r="A440" t="inlineStr">
        <is>
          <t xml:space="preserve">  their return under the band</t>
        </is>
      </c>
      <c r="B440" t="n">
        <v>-0.196</v>
      </c>
    </row>
    <row r="441">
      <c r="A441" t="inlineStr">
        <is>
          <t xml:space="preserve">  what applying the band costs</t>
        </is>
      </c>
      <c r="B441" t="n">
        <v>-0.196</v>
      </c>
    </row>
    <row r="442">
      <c r="A442" t="inlineStr">
        <is>
          <t>H2's total cost</t>
        </is>
      </c>
      <c r="B442" t="n">
        <v>-0.5039999999999999</v>
      </c>
      <c r="C442" t="inlineStr">
        <is>
          <t>The two lines above. It agrees with H2 measured on its own in the decomposition, which is the cross-check that matters: the same number reached two independent ways.</t>
        </is>
      </c>
    </row>
    <row r="444">
      <c r="A444" t="inlineStr">
        <is>
          <t>H1c. Found and NOT applied</t>
        </is>
      </c>
      <c r="C444" t="inlineStr">
        <is>
          <t>Each of these is a finding section H turned up that no ruling of 10 August 2026 covers. None is applied. Quietly widening a ruling is the same defect as quietly narrowing one.</t>
        </is>
      </c>
    </row>
    <row r="445">
      <c r="A445" t="inlineStr">
        <is>
          <t>Finding</t>
        </is>
      </c>
      <c r="B445" t="inlineStr">
        <is>
          <t>Count</t>
        </is>
      </c>
      <c r="C445" t="inlineStr">
        <is>
          <t>Note</t>
        </is>
      </c>
    </row>
    <row r="446">
      <c r="A446" t="inlineStr">
        <is>
          <t>Anna scores changed against v1 but not ruled on</t>
        </is>
      </c>
      <c r="B446" t="n">
        <v>2</v>
      </c>
      <c r="C446" t="inlineStr">
        <is>
          <t>H1 names five. Re-deriving every reading present in both files finds seven, all Anna's: row 49 Airbnb 2025 Q3 (+0.60 -&gt; +0.40) and row 147 CVS Health 2025 Q3 (-0.30 -&gt; +0.30, a sign flip of exactly H1's class). The group ruled on five.</t>
        </is>
      </c>
    </row>
    <row r="447">
      <c r="A447" t="inlineStr">
        <is>
          <t>Event keys where the two arms read different events</t>
        </is>
      </c>
      <c r="B447" t="n">
        <v>12</v>
      </c>
      <c r="C447" t="inlineStr">
        <is>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is>
      </c>
    </row>
    <row r="448">
      <c r="A448" t="inlineStr">
        <is>
          <t xml:space="preserve">  of those, ALREADY COUNTED in the head to head</t>
        </is>
      </c>
      <c r="B448" t="n">
        <v>8</v>
      </c>
      <c r="C448" t="inlineStr">
        <is>
          <t>These eight are in the published paired set now, and were in it before section H. All seven checks pass over them.</t>
        </is>
      </c>
    </row>
    <row r="449">
      <c r="A449" t="inlineStr">
        <is>
          <t xml:space="preserve">  of those, held unpriced by section H</t>
        </is>
      </c>
      <c r="B449" t="n">
        <v>4</v>
      </c>
      <c r="C449" t="inlineStr">
        <is>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is>
      </c>
    </row>
    <row r="450">
      <c r="A450" t="inlineStr">
        <is>
          <t>Document dates filled from the manifest</t>
        </is>
      </c>
      <c r="B450" t="n">
        <v>21</v>
      </c>
      <c r="C450" t="inlineStr">
        <is>
          <t>H7. Each of these has exactly one manifest entry for its quarter and that entry carries its release date, so there is nothing to choose between. The basis is recorded per row in Human_Data_Entry!BR.</t>
        </is>
      </c>
    </row>
    <row r="451">
      <c r="A451" t="inlineStr">
        <is>
          <t>Readings STILL carrying no document date</t>
        </is>
      </c>
      <c r="B451" t="n">
        <v>16</v>
      </c>
      <c r="C451" t="inlineStr">
        <is>
          <t>After H7. It was 37 before, and the ruling was written against 56 - the raters filled 19 in themselves between 10 and 11 August. The ones left are Nigel's Allianz, Dell, Palantir and Standard Chartered readings, whose manifests carry no dated entry at all.</t>
        </is>
      </c>
    </row>
    <row r="452">
      <c r="A452" t="inlineStr">
        <is>
          <t>De-duplication drops the rater's SECOND pass, 15 times</t>
        </is>
      </c>
      <c r="B452" t="n">
        <v>15</v>
      </c>
      <c r="C452" t="inlineStr">
        <is>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is>
      </c>
    </row>
    <row r="453">
      <c r="A453" t="inlineStr">
        <is>
          <t xml:space="preserve">  the headline if the LAST pass were kept instead</t>
        </is>
      </c>
      <c r="B453" t="n">
        <v>0.3922077922077922</v>
      </c>
      <c r="C453" t="inlineStr">
        <is>
          <t>151/385, 283 trades, +1.0524 return. Against 150/385 as published. Both are far below the naive floor, so nothing about the study's conclusion turns on it - but it is a decision and it should be taken rather than inherited from row order.</t>
        </is>
      </c>
    </row>
    <row r="454">
      <c r="A454" t="inlineStr">
        <is>
          <t>Blindness readings whose query is now settled</t>
        </is>
      </c>
      <c r="B454" t="n">
        <v>2</v>
      </c>
      <c r="C454" t="inlineStr">
        <is>
          <t>H8. Section E's 'flagged for review' row now reads 0. These two readings are assumed blind under the group's rule of 10 August 2026 that a reading is blind unless something states otherwise. Settled is not attested - they are still not evidence.</t>
        </is>
      </c>
    </row>
    <row r="456">
      <c r="A456" t="inlineStr">
        <is>
          <t>H1d. Blindness after H8</t>
        </is>
      </c>
      <c r="C456" t="inlineStr">
        <is>
          <t>Count the BASIS, never the Peeked column. An assumed pass and an attested one are not the same evidence and must not become the same number.</t>
        </is>
      </c>
    </row>
    <row r="457">
      <c r="A457" t="inlineStr">
        <is>
          <t>Attested by a rater record</t>
        </is>
      </c>
      <c r="B457">
        <f>COUNTIFS(Human_Data_Entry!$BL$3:$BL$524,"attested*")</f>
        <v/>
      </c>
    </row>
    <row r="458">
      <c r="A458" t="inlineStr">
        <is>
          <t>Assumed, no rater record</t>
        </is>
      </c>
      <c r="B458">
        <f>COUNTIFS(Human_Data_Entry!$BL$3:$BL$524,"assumed - no rater record")</f>
        <v/>
      </c>
    </row>
    <row r="459">
      <c r="A459" t="inlineStr">
        <is>
          <t>Assumed, record carries no blindness field</t>
        </is>
      </c>
      <c r="B459">
        <f>COUNTIFS(Human_Data_Entry!$BL$3:$BL$524,"assumed - rater record carries no*")</f>
        <v/>
      </c>
    </row>
    <row r="460">
      <c r="A460" t="inlineStr">
        <is>
          <t>Assumed, note names the realised move (E-a, settled)</t>
        </is>
      </c>
      <c r="B460">
        <f>COUNTIFS(Human_Data_Entry!$BL$3:$BL$524,"assumed - blind unless*")</f>
        <v/>
      </c>
    </row>
    <row r="461">
      <c r="A461" t="inlineStr">
        <is>
          <t>Still flagged as an open query</t>
        </is>
      </c>
      <c r="B461">
        <f>COUNTIFS(Human_Data_Entry!$BL$3:$BL$524,"assumed - note names*")</f>
        <v/>
      </c>
      <c r="C461" t="inlineStr">
        <is>
          <t>Zero from 10 August 2026.</t>
        </is>
      </c>
    </row>
  </sheetData>
  <conditionalFormatting sqref="K18:L108 M5:O13 N18:O108">
    <cfRule type="cellIs" priority="2" operator="lessThan" dxfId="8">
      <formula>0</formula>
    </cfRule>
  </conditionalFormatting>
  <pageMargins left="0.75" right="0.75" top="1" bottom="1"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Q36"/>
  <sheetViews>
    <sheetView showGridLines="0" topLeftCell="A12" workbookViewId="0">
      <selection activeCell="C41" sqref="C41"/>
    </sheetView>
  </sheetViews>
  <sheetFormatPr baseColWidth="8" defaultColWidth="8.7109375" defaultRowHeight="15"/>
  <cols>
    <col width="24" customWidth="1" min="1" max="1"/>
    <col width="11" customWidth="1" min="2" max="3"/>
    <col width="12" customWidth="1" min="4" max="4"/>
    <col width="2" customWidth="1" min="5" max="5"/>
    <col width="11" customWidth="1" min="6" max="8"/>
    <col width="12" customWidth="1" min="9" max="9"/>
    <col width="2" customWidth="1" min="10" max="10"/>
    <col width="11" customWidth="1" min="11" max="11"/>
    <col width="10" customWidth="1" min="12" max="13"/>
    <col width="2" customWidth="1" min="14" max="14"/>
    <col width="11" customWidth="1" min="15" max="15"/>
    <col width="10" customWidth="1" min="16" max="17"/>
  </cols>
  <sheetData>
    <row r="1" ht="24" customHeight="1">
      <c r="A1" s="59" t="inlineStr">
        <is>
          <t>Charts — Figures for the Write-up</t>
        </is>
      </c>
    </row>
    <row r="2">
      <c r="A2" s="18" t="inlineStr">
        <is>
          <t>All feeder tables below are live formulas. Add rows to the entry sheets and every chart updates automatically.</t>
        </is>
      </c>
    </row>
    <row r="4">
      <c r="A4" s="10" t="inlineStr">
        <is>
          <t>Figure 1 — Accuracy by Arm vs Naive Floor</t>
        </is>
      </c>
      <c r="F4" s="10" t="inlineStr">
        <is>
          <t>Figure 2 — Accuracy by Decision Type</t>
        </is>
      </c>
      <c r="K4" s="10" t="inlineStr">
        <is>
          <t>Figure 3 — Decision Mix</t>
        </is>
      </c>
      <c r="O4" s="10" t="inlineStr">
        <is>
          <t>Figure 4 — Mean Sentiment by Realised Direction</t>
        </is>
      </c>
    </row>
    <row r="5">
      <c r="A5" s="17" t="inlineStr">
        <is>
          <t>Arm</t>
        </is>
      </c>
      <c r="B5" s="17" t="inlineStr">
        <is>
          <t>n</t>
        </is>
      </c>
      <c r="C5" s="17" t="inlineStr">
        <is>
          <t>% Correct</t>
        </is>
      </c>
      <c r="D5" s="17" t="inlineStr">
        <is>
          <t>Naive Floor</t>
        </is>
      </c>
      <c r="F5" s="17" t="inlineStr">
        <is>
          <t>Decision</t>
        </is>
      </c>
      <c r="G5" s="17" t="inlineStr">
        <is>
          <t>Human %</t>
        </is>
      </c>
      <c r="H5" s="17" t="inlineStr">
        <is>
          <t>LLM %</t>
        </is>
      </c>
      <c r="I5" s="17" t="inlineStr">
        <is>
          <t>n (H / L)</t>
        </is>
      </c>
      <c r="K5" s="17" t="inlineStr">
        <is>
          <t>Decision</t>
        </is>
      </c>
      <c r="L5" s="17" t="inlineStr">
        <is>
          <t>Human</t>
        </is>
      </c>
      <c r="M5" s="17" t="inlineStr">
        <is>
          <t>LLM</t>
        </is>
      </c>
      <c r="O5" s="17" t="inlineStr">
        <is>
          <t>Direction</t>
        </is>
      </c>
      <c r="P5" s="17" t="inlineStr">
        <is>
          <t>Human</t>
        </is>
      </c>
      <c r="Q5" s="17" t="inlineStr">
        <is>
          <t>LLM</t>
        </is>
      </c>
    </row>
    <row r="6">
      <c r="A6" s="60">
        <f>Settings!$A$8</f>
        <v/>
      </c>
      <c r="B6" s="61">
        <f>COUNTIFS(Human_Data_Entry!$G$3:$G$524,$A6,Human_Data_Entry!$S$3:$S$524,"?*")</f>
        <v/>
      </c>
      <c r="C6" s="131">
        <f>IFERROR(COUNTIFS(Human_Data_Entry!$G$3:$G$524,$A6,Human_Data_Entry!$S$3:$S$524,"YES")/COUNTIFS(Human_Data_Entry!$G$3:$G$524,$A6,Human_Data_Entry!$S$3:$S$524,"?*"),"")</f>
        <v/>
      </c>
      <c r="D6" s="63">
        <f>$C$14</f>
        <v/>
      </c>
      <c r="F6" s="60" t="inlineStr">
        <is>
          <t>BUY</t>
        </is>
      </c>
      <c r="G6" s="62">
        <f>IFERROR(COUNTIFS(Human_Data_Entry!$J$3:$J$524,$F6,Human_Data_Entry!$S$3:$S$524,"YES")/COUNTIFS(Human_Data_Entry!$J$3:$J$524,$F6,Human_Data_Entry!$S$3:$S$524,"?*"),"")</f>
        <v/>
      </c>
      <c r="H6" s="62">
        <f>IFERROR(COUNTIFS(LLM_Data_Entry!$H$3:$H$548,$F6,LLM_Data_Entry!$R$3:$R$548,"YES")/COUNTIFS(LLM_Data_Entry!$H$3:$H$548,$F6,LLM_Data_Entry!$R$3:$R$548,"&lt;&gt;"),"")</f>
        <v/>
      </c>
      <c r="I6" s="60">
        <f>COUNTIFS(Human_Data_Entry!$J$3:$J$524,$F6,Human_Data_Entry!$S$3:$S$524,"?*")&amp;" / "&amp;COUNTIFS(LLM_Data_Entry!$H$3:$H$548,$F6,LLM_Data_Entry!$R$3:$R$548,"&lt;&gt;")</f>
        <v/>
      </c>
      <c r="K6" s="60" t="inlineStr">
        <is>
          <t>BUY</t>
        </is>
      </c>
      <c r="L6" s="61">
        <f>COUNTIFS(Human_Data_Entry!$J$3:$J$524,$K6,Human_Data_Entry!$H$3:$H$524,"Human")</f>
        <v/>
      </c>
      <c r="M6" s="61">
        <f>COUNTIFS(LLM_Data_Entry!$H$3:$H$548,$K6,LLM_Data_Entry!$F$3:$F$548,"LLM")</f>
        <v/>
      </c>
      <c r="O6" s="60" t="inlineStr">
        <is>
          <t>DOWN</t>
        </is>
      </c>
      <c r="P6" s="64">
        <f>IFERROR(AVERAGEIFS(Human_Data_Entry!$I$3:$I$524,Human_Data_Entry!$R$3:$R$524,$O6),"")</f>
        <v/>
      </c>
      <c r="Q6" s="64">
        <f>IFERROR(AVERAGEIFS(LLM_Data_Entry!$G$3:$G$548,LLM_Data_Entry!$Q$3:$Q$548,$O6),"")</f>
        <v/>
      </c>
    </row>
    <row r="7">
      <c r="A7" s="60">
        <f>Settings!$A$9</f>
        <v/>
      </c>
      <c r="B7" s="61">
        <f>COUNTIFS(Human_Data_Entry!$G$3:$G$524,$A7,Human_Data_Entry!$S$3:$S$524,"?*")</f>
        <v/>
      </c>
      <c r="C7" s="131">
        <f>IFERROR(COUNTIFS(Human_Data_Entry!$G$3:$G$524,$A7,Human_Data_Entry!$S$3:$S$524,"YES")/COUNTIFS(Human_Data_Entry!$G$3:$G$524,$A7,Human_Data_Entry!$S$3:$S$524,"?*"),"")</f>
        <v/>
      </c>
      <c r="D7" s="63">
        <f>$C$14</f>
        <v/>
      </c>
      <c r="F7" s="60" t="inlineStr">
        <is>
          <t>HOLD</t>
        </is>
      </c>
      <c r="G7" s="62">
        <f>IFERROR(COUNTIFS(Human_Data_Entry!$J$3:$J$524,$F7,Human_Data_Entry!$S$3:$S$524,"YES")/COUNTIFS(Human_Data_Entry!$J$3:$J$524,$F7,Human_Data_Entry!$S$3:$S$524,"?*"),"")</f>
        <v/>
      </c>
      <c r="H7" s="62">
        <f>IFERROR(COUNTIFS(LLM_Data_Entry!$H$3:$H$548,$F7,LLM_Data_Entry!$R$3:$R$548,"YES")/COUNTIFS(LLM_Data_Entry!$H$3:$H$548,$F7,LLM_Data_Entry!$R$3:$R$548,"&lt;&gt;"),"")</f>
        <v/>
      </c>
      <c r="I7" s="60">
        <f>COUNTIFS(Human_Data_Entry!$J$3:$J$524,$F7,Human_Data_Entry!$S$3:$S$524,"?*")&amp;" / "&amp;COUNTIFS(LLM_Data_Entry!$H$3:$H$548,$F7,LLM_Data_Entry!$R$3:$R$548,"&lt;&gt;")</f>
        <v/>
      </c>
      <c r="K7" s="60" t="inlineStr">
        <is>
          <t>HOLD</t>
        </is>
      </c>
      <c r="L7" s="61">
        <f>COUNTIFS(Human_Data_Entry!$J$3:$J$524,$K7,Human_Data_Entry!$H$3:$H$524,"Human")</f>
        <v/>
      </c>
      <c r="M7" s="61">
        <f>COUNTIFS(LLM_Data_Entry!$H$3:$H$548,$K7,LLM_Data_Entry!$F$3:$F$548,"LLM")</f>
        <v/>
      </c>
      <c r="O7" s="60" t="inlineStr">
        <is>
          <t>FLAT</t>
        </is>
      </c>
      <c r="P7" s="64">
        <f>IFERROR(AVERAGEIFS(Human_Data_Entry!$I$3:$I$524,Human_Data_Entry!$R$3:$R$524,$O7),"")</f>
        <v/>
      </c>
      <c r="Q7" s="64">
        <f>IFERROR(AVERAGEIFS(LLM_Data_Entry!$G$3:$G$548,LLM_Data_Entry!$Q$3:$Q$548,$O7),"")</f>
        <v/>
      </c>
    </row>
    <row r="8">
      <c r="A8" s="60">
        <f>Settings!$A$10</f>
        <v/>
      </c>
      <c r="B8" s="61">
        <f>COUNTIFS(Human_Data_Entry!$G$3:$G$524,$A8,Human_Data_Entry!$S$3:$S$524,"?*")</f>
        <v/>
      </c>
      <c r="C8" s="131">
        <f>IFERROR(COUNTIFS(Human_Data_Entry!$G$3:$G$524,$A8,Human_Data_Entry!$S$3:$S$524,"YES")/COUNTIFS(Human_Data_Entry!$G$3:$G$524,$A8,Human_Data_Entry!$S$3:$S$524,"?*"),"")</f>
        <v/>
      </c>
      <c r="D8" s="63">
        <f>$C$14</f>
        <v/>
      </c>
      <c r="F8" s="60" t="inlineStr">
        <is>
          <t>SELL</t>
        </is>
      </c>
      <c r="G8" s="62">
        <f>IFERROR(COUNTIFS(Human_Data_Entry!$J$3:$J$524,$F8,Human_Data_Entry!$S$3:$S$524,"YES")/COUNTIFS(Human_Data_Entry!$J$3:$J$524,$F8,Human_Data_Entry!$S$3:$S$524,"?*"),"")</f>
        <v/>
      </c>
      <c r="H8" s="62">
        <f>IFERROR(COUNTIFS(LLM_Data_Entry!$H$3:$H$548,$F8,LLM_Data_Entry!$R$3:$R$548,"YES")/COUNTIFS(LLM_Data_Entry!$H$3:$H$548,$F8,LLM_Data_Entry!$R$3:$R$548,"&lt;&gt;"),"")</f>
        <v/>
      </c>
      <c r="I8" s="60">
        <f>COUNTIFS(Human_Data_Entry!$J$3:$J$524,$F8,Human_Data_Entry!$S$3:$S$524,"?*")&amp;" / "&amp;COUNTIFS(LLM_Data_Entry!$H$3:$H$548,$F8,LLM_Data_Entry!$R$3:$R$548,"&lt;&gt;")</f>
        <v/>
      </c>
      <c r="K8" s="60" t="inlineStr">
        <is>
          <t>SELL</t>
        </is>
      </c>
      <c r="L8" s="61">
        <f>COUNTIFS(Human_Data_Entry!$J$3:$J$524,$K8,Human_Data_Entry!$H$3:$H$524,"Human")</f>
        <v/>
      </c>
      <c r="M8" s="61">
        <f>COUNTIFS(LLM_Data_Entry!$H$3:$H$548,$K8,LLM_Data_Entry!$F$3:$F$548,"LLM")</f>
        <v/>
      </c>
      <c r="O8" s="60" t="inlineStr">
        <is>
          <t>UP</t>
        </is>
      </c>
      <c r="P8" s="64">
        <f>IFERROR(AVERAGEIFS(Human_Data_Entry!$I$3:$I$524,Human_Data_Entry!$R$3:$R$524,$O8),"")</f>
        <v/>
      </c>
      <c r="Q8" s="64">
        <f>IFERROR(AVERAGEIFS(LLM_Data_Entry!$G$3:$G$548,LLM_Data_Entry!$Q$3:$Q$548,$O8),"")</f>
        <v/>
      </c>
    </row>
    <row r="9">
      <c r="A9" s="60">
        <f>Settings!$A$11</f>
        <v/>
      </c>
      <c r="B9" s="61">
        <f>COUNTIFS(Human_Data_Entry!$G$3:$G$524,$A9,Human_Data_Entry!$S$3:$S$524,"?*")</f>
        <v/>
      </c>
      <c r="C9" s="131">
        <f>IFERROR(COUNTIFS(Human_Data_Entry!$G$3:$G$524,$A9,Human_Data_Entry!$S$3:$S$524,"YES")/COUNTIFS(Human_Data_Entry!$G$3:$G$524,$A9,Human_Data_Entry!$S$3:$S$524,"?*"),"")</f>
        <v/>
      </c>
      <c r="D9" s="63">
        <f>$C$14</f>
        <v/>
      </c>
    </row>
    <row r="10">
      <c r="A10" s="60">
        <f>Settings!$A$12</f>
        <v/>
      </c>
      <c r="B10" s="61">
        <f>COUNTIFS(Human_Data_Entry!$G$3:$G$524,$A10,Human_Data_Entry!$S$3:$S$524,"?*")</f>
        <v/>
      </c>
      <c r="C10" s="131">
        <f>IFERROR(COUNTIFS(Human_Data_Entry!$G$3:$G$524,$A10,Human_Data_Entry!$S$3:$S$524,"YES")/COUNTIFS(Human_Data_Entry!$G$3:$G$524,$A10,Human_Data_Entry!$S$3:$S$524,"?*"),"")</f>
        <v/>
      </c>
      <c r="D10" s="63">
        <f>$C$14</f>
        <v/>
      </c>
    </row>
    <row r="11">
      <c r="A11" s="60">
        <f>Settings!$A$13</f>
        <v/>
      </c>
      <c r="B11" s="61">
        <f>COUNTIFS(Human_Data_Entry!$G$3:$G$524,$A11,Human_Data_Entry!$S$3:$S$524,"?*")</f>
        <v/>
      </c>
      <c r="C11" s="131">
        <f>IFERROR(COUNTIFS(Human_Data_Entry!$G$3:$G$524,$A11,Human_Data_Entry!$S$3:$S$524,"YES")/COUNTIFS(Human_Data_Entry!$G$3:$G$524,$A11,Human_Data_Entry!$S$3:$S$524,"?*"),"")</f>
        <v/>
      </c>
      <c r="D11" s="63">
        <f>$C$14</f>
        <v/>
      </c>
    </row>
    <row r="12">
      <c r="A12" s="60">
        <f>Settings!$A$14</f>
        <v/>
      </c>
      <c r="B12" s="61">
        <f>COUNTIFS(LLM_Data_Entry!$F$3:$F$548,"LLM",LLM_Data_Entry!$R$3:$R$548,"&lt;&gt;")</f>
        <v/>
      </c>
      <c r="C12" s="131">
        <f>IFERROR(COUNTIFS(LLM_Data_Entry!$F$3:$F$548,"LLM",LLM_Data_Entry!$R$3:$R$548,"YES")/COUNTIFS(LLM_Data_Entry!$F$3:$F$548,"LLM",LLM_Data_Entry!$R$3:$R$548,"&lt;&gt;"),"")</f>
        <v/>
      </c>
      <c r="D12" s="63">
        <f>$C$14</f>
        <v/>
      </c>
    </row>
    <row r="13">
      <c r="A13" s="60" t="inlineStr">
        <is>
          <t>All Humans</t>
        </is>
      </c>
      <c r="B13" s="61">
        <f>COUNTIFS(Human_Data_Entry!$H$3:$H$524,"Human",Human_Data_Entry!$S$3:$S$524,"?*")</f>
        <v/>
      </c>
      <c r="C13" s="131">
        <f>IFERROR(COUNTIFS(Human_Data_Entry!$H$3:$H$524,"Human",Human_Data_Entry!$S$3:$S$524,"YES")/COUNTIFS(Human_Data_Entry!$H$3:$H$524,"Human",Human_Data_Entry!$S$3:$S$524,"?*"),"")</f>
        <v/>
      </c>
      <c r="D13" s="63">
        <f>$C$14</f>
        <v/>
      </c>
    </row>
    <row r="14">
      <c r="A14" s="60" t="inlineStr">
        <is>
          <t>Naive floor (most common direction)</t>
        </is>
      </c>
      <c r="B14" s="61">
        <f>COUNTIF(Human_Data_Entry!$R$3:$R$524,"?*")</f>
        <v/>
      </c>
      <c r="C14" s="62">
        <f>IFERROR(MAX(COUNTIF(Human_Data_Entry!$R$3:$R$524,"UP"),COUNTIF(Human_Data_Entry!$R$3:$R$524,"DOWN"),COUNTIF(Human_Data_Entry!$R$3:$R$524,"FLAT"))/COUNTIF(Human_Data_Entry!$R$3:$R$524,"?*"),"")</f>
        <v/>
      </c>
      <c r="D14" s="60" t="inlineStr">
        <is>
          <t>Always predicting the most common outcome</t>
        </is>
      </c>
    </row>
    <row r="17">
      <c r="A17" s="10" t="inlineStr">
        <is>
          <t>Figure 5 — Average Return per Trade by Arm</t>
        </is>
      </c>
    </row>
    <row r="18">
      <c r="A18" s="17" t="inlineStr">
        <is>
          <t>Arm</t>
        </is>
      </c>
      <c r="B18" s="17" t="inlineStr">
        <is>
          <t>Avg %/Trade</t>
        </is>
      </c>
    </row>
    <row r="19">
      <c r="A19" s="60" t="inlineStr">
        <is>
          <t>Anna</t>
        </is>
      </c>
      <c r="B19" s="65">
        <f>IFERROR(AVERAGEIFS(Human_Data_Entry!$U$3:$U$524,Human_Data_Entry!$G$3:$G$524,$A19,Human_Data_Entry!$J$3:$J$524,"&lt;&gt;HOLD",Human_Data_Entry!$U$3:$U$524,"&lt;&gt;"),"")</f>
        <v/>
      </c>
    </row>
    <row r="20">
      <c r="A20" s="60" t="inlineStr">
        <is>
          <t>Abdul</t>
        </is>
      </c>
      <c r="B20" s="65">
        <f>IFERROR(AVERAGEIFS(Human_Data_Entry!$U$3:$U$524,Human_Data_Entry!$G$3:$G$524,$A20,Human_Data_Entry!$J$3:$J$524,"&lt;&gt;HOLD",Human_Data_Entry!$U$3:$U$524,"&lt;&gt;"),"")</f>
        <v/>
      </c>
    </row>
    <row r="21">
      <c r="A21" s="60" t="inlineStr">
        <is>
          <t>Nigel</t>
        </is>
      </c>
      <c r="B21" s="65">
        <f>IFERROR(AVERAGEIFS(Human_Data_Entry!$U$3:$U$524,Human_Data_Entry!$G$3:$G$524,$A21,Human_Data_Entry!$J$3:$J$524,"&lt;&gt;HOLD",Human_Data_Entry!$U$3:$U$524,"&lt;&gt;"),"")</f>
        <v/>
      </c>
    </row>
    <row r="22">
      <c r="A22" s="60" t="inlineStr">
        <is>
          <t>Meriem</t>
        </is>
      </c>
      <c r="B22" s="65">
        <f>IFERROR(AVERAGEIFS(Human_Data_Entry!$U$3:$U$524,Human_Data_Entry!$G$3:$G$524,$A22,Human_Data_Entry!$J$3:$J$524,"&lt;&gt;HOLD",Human_Data_Entry!$U$3:$U$524,"&lt;&gt;"),"")</f>
        <v/>
      </c>
    </row>
    <row r="23">
      <c r="A23" s="60" t="inlineStr">
        <is>
          <t>Dragos</t>
        </is>
      </c>
      <c r="B23" s="65">
        <f>IFERROR(AVERAGEIFS(Human_Data_Entry!$U$3:$U$524,Human_Data_Entry!$G$3:$G$524,$A23,Human_Data_Entry!$J$3:$J$524,"&lt;&gt;HOLD",Human_Data_Entry!$U$3:$U$524,"&lt;&gt;"),"")</f>
        <v/>
      </c>
    </row>
    <row r="24">
      <c r="A24" s="60" t="inlineStr">
        <is>
          <t>David</t>
        </is>
      </c>
      <c r="B24" s="65">
        <f>IFERROR(AVERAGEIFS(Human_Data_Entry!$U$3:$U$524,Human_Data_Entry!$G$3:$G$524,$A24,Human_Data_Entry!$J$3:$J$524,"&lt;&gt;HOLD",Human_Data_Entry!$U$3:$U$524,"&lt;&gt;"),"")</f>
        <v/>
      </c>
    </row>
    <row r="25">
      <c r="A25" s="60" t="inlineStr">
        <is>
          <t>LLM (DeepSeek)</t>
        </is>
      </c>
      <c r="B25" s="65">
        <f>IFERROR(AVERAGEIFS(LLM_Data_Entry!$T$3:$T$548,LLM_Data_Entry!$F$3:$F$548,"LLM",LLM_Data_Entry!$H$3:$H$548,"&lt;&gt;HOLD",LLM_Data_Entry!$T$3:$T$548,"&lt;&gt;"),"")</f>
        <v/>
      </c>
    </row>
    <row r="28">
      <c r="A28" t="inlineStr">
        <is>
          <t>SECTION D - Figure 6: the naive floor computed PER ARM. Figure 1 above compares both arms against a single pooled floor taken over human outcomes, so the model arm is measured against a benchmark built from readings it never made. Nothing above row 26 was changed.</t>
        </is>
      </c>
    </row>
    <row r="30">
      <c r="A30" t="inlineStr">
        <is>
          <t>Arm</t>
        </is>
      </c>
      <c r="B30" t="inlineStr">
        <is>
          <t>Readings</t>
        </is>
      </c>
      <c r="C30" t="inlineStr">
        <is>
          <t>Naive floor</t>
        </is>
      </c>
      <c r="D30" t="inlineStr">
        <is>
          <t>Accuracy</t>
        </is>
      </c>
      <c r="E30" t="inlineStr">
        <is>
          <t>Margin (pp)</t>
        </is>
      </c>
      <c r="F30" t="inlineStr">
        <is>
          <t>Winning rule</t>
        </is>
      </c>
    </row>
    <row r="31">
      <c r="A31" t="inlineStr">
        <is>
          <t>Human, published</t>
        </is>
      </c>
      <c r="B31">
        <f>(COUNTIFS(Human_Data_Entry!$R$3:$R$524,"UP",Human_Data_Entry!$H$3:$H$524,"Human")+COUNTIFS(Human_Data_Entry!$R$3:$R$524,"DOWN",Human_Data_Entry!$H$3:$H$524,"Human")+COUNTIFS(Human_Data_Entry!$R$3:$R$524,"FLAT",Human_Data_Entry!$H$3:$H$524,"Human"))</f>
        <v/>
      </c>
      <c r="C3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
      </c>
      <c r="D31">
        <f>IFERROR(COUNTIFS(Human_Data_Entry!$S$3:$S$524,"YES",Human_Data_Entry!$H$3:$H$524,"Human")/COUNTIFS(Human_Data_Entry!$S$3:$S$524,"?*",Human_Data_Entry!$H$3:$H$524,"Human"),"")</f>
        <v/>
      </c>
      <c r="E31">
        <f>(D31-C31)*100</f>
        <v/>
      </c>
      <c r="F31">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
      </c>
    </row>
    <row r="32">
      <c r="A32" t="inlineStr">
        <is>
          <t>Human, re-priced</t>
        </is>
      </c>
      <c r="B32">
        <f>(COUNTIFS(Human_Data_Entry!$AI$3:$AI$524,"UP",Human_Data_Entry!$H$3:$H$524,"Human")+COUNTIFS(Human_Data_Entry!$AI$3:$AI$524,"DOWN",Human_Data_Entry!$H$3:$H$524,"Human")+COUNTIFS(Human_Data_Entry!$AI$3:$AI$524,"FLAT",Human_Data_Entry!$H$3:$H$524,"Human"))</f>
        <v/>
      </c>
      <c r="C32">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
      </c>
      <c r="D32">
        <f>IFERROR(COUNTIFS(Human_Data_Entry!$AJ$3:$AJ$524,"YES",Human_Data_Entry!$H$3:$H$524,"Human")/COUNTIFS(Human_Data_Entry!$AJ$3:$AJ$524,"?*",Human_Data_Entry!$H$3:$H$524,"Human"),"")</f>
        <v/>
      </c>
      <c r="E32">
        <f>(D32-C32)*100</f>
        <v/>
      </c>
      <c r="F32">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
      </c>
    </row>
    <row r="33">
      <c r="A33" t="inlineStr">
        <is>
          <t>LLM, published</t>
        </is>
      </c>
      <c r="B33">
        <f>(COUNTIFS(LLM_Data_Entry!$Q$3:$Q$430,"UP")+COUNTIFS(LLM_Data_Entry!$Q$3:$Q$430,"DOWN")+COUNTIFS(LLM_Data_Entry!$Q$3:$Q$430,"FLAT"))</f>
        <v/>
      </c>
      <c r="C33">
        <f>IFERROR(MAX(COUNTIFS(LLM_Data_Entry!$Q$3:$Q$430,"UP"),COUNTIFS(LLM_Data_Entry!$Q$3:$Q$430,"DOWN"),COUNTIFS(LLM_Data_Entry!$Q$3:$Q$430,"FLAT"))/(COUNTIFS(LLM_Data_Entry!$Q$3:$Q$430,"UP")+COUNTIFS(LLM_Data_Entry!$Q$3:$Q$430,"DOWN")+COUNTIFS(LLM_Data_Entry!$Q$3:$Q$430,"FLAT")),"")</f>
        <v/>
      </c>
      <c r="D33">
        <f>IFERROR(COUNTIFS(LLM_Data_Entry!$R$3:$R$430,"YES")/COUNTIFS(LLM_Data_Entry!$R$3:$R$430,"?*"),"")</f>
        <v/>
      </c>
      <c r="E33">
        <f>(D33-C33)*100</f>
        <v/>
      </c>
      <c r="F33">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
      </c>
    </row>
    <row r="34">
      <c r="A34" t="inlineStr">
        <is>
          <t>LLM, re-priced</t>
        </is>
      </c>
      <c r="B34">
        <f>(COUNTIFS(LLM_Data_Entry!$AD$3:$AD$430,"UP")+COUNTIFS(LLM_Data_Entry!$AD$3:$AD$430,"DOWN")+COUNTIFS(LLM_Data_Entry!$AD$3:$AD$430,"FLAT"))</f>
        <v/>
      </c>
      <c r="C34">
        <f>IFERROR(MAX(COUNTIFS(LLM_Data_Entry!$AD$3:$AD$430,"UP"),COUNTIFS(LLM_Data_Entry!$AD$3:$AD$430,"DOWN"),COUNTIFS(LLM_Data_Entry!$AD$3:$AD$430,"FLAT"))/(COUNTIFS(LLM_Data_Entry!$AD$3:$AD$430,"UP")+COUNTIFS(LLM_Data_Entry!$AD$3:$AD$430,"DOWN")+COUNTIFS(LLM_Data_Entry!$AD$3:$AD$430,"FLAT")),"")</f>
        <v/>
      </c>
      <c r="D34">
        <f>IFERROR(COUNTIFS(LLM_Data_Entry!$AE$3:$AE$430,"YES")/COUNTIFS(LLM_Data_Entry!$AE$3:$AE$430,"?*"),"")</f>
        <v/>
      </c>
      <c r="E34">
        <f>(D34-C34)*100</f>
        <v/>
      </c>
      <c r="F34">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
      </c>
    </row>
    <row r="36">
      <c r="A36" t="inlineStr">
        <is>
          <t>Figure 1's pooled floor is left exactly as it stands. It is not wrong; it is a different quantity - the share of the most common direction over every reading in the book. These four rows are the comparator each arm should actually be held to.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153"/>
  <sheetViews>
    <sheetView showGridLines="0" workbookViewId="0">
      <pane ySplit="2" topLeftCell="A33" activePane="bottomLeft" state="frozen"/>
      <selection pane="bottomLeft" activeCell="N62" sqref="N62"/>
    </sheetView>
  </sheetViews>
  <sheetFormatPr baseColWidth="8" defaultColWidth="8.7109375" defaultRowHeight="15"/>
  <cols>
    <col width="30" customWidth="1" min="1" max="1"/>
    <col width="15" customWidth="1" min="2" max="2"/>
    <col width="28.140625" bestFit="1" customWidth="1" min="3" max="3"/>
    <col width="32" customWidth="1" min="4" max="4"/>
    <col width="58" customWidth="1" min="5" max="5"/>
    <col width="26" customWidth="1" min="8" max="8"/>
    <col width="13" customWidth="1" min="9" max="10"/>
  </cols>
  <sheetData>
    <row r="1" ht="24" customHeight="1">
      <c r="A1" s="59" t="inlineStr">
        <is>
          <t>Efficiency — Return per Unit of Analyst Effort</t>
        </is>
      </c>
    </row>
    <row r="2" ht="39" customHeight="1">
      <c r="A2" s="14" t="inlineStr">
        <is>
          <t>Amber cells are assumptions you set. Everything else is live formulas that update as rows are added to the entry sheets.</t>
        </is>
      </c>
    </row>
    <row r="4">
      <c r="A4" s="10" t="inlineStr">
        <is>
          <t>Assumptions</t>
        </is>
      </c>
    </row>
    <row r="5">
      <c r="A5" s="17" t="inlineStr">
        <is>
          <t>Parameter</t>
        </is>
      </c>
      <c r="B5" s="17" t="inlineStr">
        <is>
          <t>Value</t>
        </is>
      </c>
      <c r="C5" s="17" t="n"/>
      <c r="E5" s="66" t="inlineStr">
        <is>
          <t>Notes</t>
        </is>
      </c>
    </row>
    <row r="6" ht="26.1" customHeight="1">
      <c r="A6" s="67" t="inlineStr">
        <is>
          <t>Analyst cost ($/hour)</t>
        </is>
      </c>
      <c r="B6" s="155" t="n">
        <v>45</v>
      </c>
      <c r="C6" s="14" t="n"/>
      <c r="E6" s="14" t="inlineStr">
        <is>
          <t>Fully-loaded hourly cost of a junior analyst. Used for every human cost figure below.</t>
        </is>
      </c>
    </row>
    <row r="7" ht="30" customHeight="1">
      <c r="A7" s="67" t="inlineStr">
        <is>
          <t>LLM cost per document ($)</t>
        </is>
      </c>
      <c r="B7" s="156">
        <f>IF(COUNT(LLM_Data_Entry!$O$3:$O$548)&gt;0,AVERAGEIF(LLM_Data_Entry!$O$3:$O$548,"&gt;0"),$B$10)</f>
        <v/>
      </c>
      <c r="C7" s="70" t="n"/>
      <c r="E7" s="14" t="inlineStr">
        <is>
          <t>LIVE. Reads the average of the Token Cost column on the LLM sheet automatically. Falls back to the manual placeholder in B10 while that column is still empty.</t>
        </is>
      </c>
    </row>
    <row r="8" ht="26.1" customHeight="1">
      <c r="A8" s="67" t="inlineStr">
        <is>
          <t>LLM wall-clock per document (sec)</t>
        </is>
      </c>
      <c r="B8" s="71">
        <f>IF(COUNT(LLM_Data_Entry!$I$3:$I$548)&gt;0,AVERAGEIF(LLM_Data_Entry!$I$3:$I$548,"&gt;0"),$B$11)</f>
        <v/>
      </c>
      <c r="C8" s="14" t="n"/>
      <c r="E8" s="14" t="inlineStr">
        <is>
          <t>LIVE. Reads the average of the Time (seconds) column on the LLM sheet. Falls back to the manual placeholder in B11 while that column is empty.</t>
        </is>
      </c>
    </row>
    <row r="9" ht="26.1" customHeight="1">
      <c r="A9" s="67" t="inlineStr">
        <is>
          <t>Notional position size ($)</t>
        </is>
      </c>
      <c r="B9" s="157" t="n">
        <v>10000</v>
      </c>
      <c r="C9" s="14" t="n"/>
      <c r="E9" s="14" t="inlineStr">
        <is>
          <t>Only used to express returns in cash terms. Does not affect any percentage figure.</t>
        </is>
      </c>
    </row>
    <row r="10" ht="26.1" customHeight="1">
      <c r="A10" s="67" t="inlineStr">
        <is>
          <t>Fallback LLM cost per doc ($)</t>
        </is>
      </c>
      <c r="B10" s="158" t="n">
        <v>0.02</v>
      </c>
      <c r="C10" s="70" t="n"/>
      <c r="E10" s="14" t="inlineStr">
        <is>
          <t>Only used while the Token Cost column is empty. Once Ben populates it, this value is ignored.</t>
        </is>
      </c>
    </row>
    <row r="11" ht="26.1" customHeight="1">
      <c r="A11" s="67" t="inlineStr">
        <is>
          <t>Fallback LLM runtime per doc (sec)</t>
        </is>
      </c>
      <c r="B11" s="74" t="n">
        <v>8</v>
      </c>
      <c r="E11" s="14" t="inlineStr">
        <is>
          <t>Only used while the Time (seconds) column is empty. Once it is populated, this value is ignored.</t>
        </is>
      </c>
    </row>
    <row r="12">
      <c r="A12" s="17" t="inlineStr">
        <is>
          <t>Measure</t>
        </is>
      </c>
      <c r="B12" s="17" t="inlineStr">
        <is>
          <t>Human</t>
        </is>
      </c>
      <c r="C12" s="17" t="inlineStr">
        <is>
          <t>LLM</t>
        </is>
      </c>
      <c r="D12" s="17" t="inlineStr">
        <is>
          <t>Ratio (H:L)</t>
        </is>
      </c>
    </row>
    <row r="13" ht="26.1" customHeight="1">
      <c r="A13" s="67" t="inlineStr">
        <is>
          <t>Documents read</t>
        </is>
      </c>
      <c r="B13" s="159">
        <f>COUNTIFS(Human_Data_Entry!$H$3:$H$524,"Human",Human_Data_Entry!$J$3:$J$524,"?*")</f>
        <v/>
      </c>
      <c r="C13" s="76">
        <f>COUNTIFS(LLM_Data_Entry!$F$3:$F$548,"LLM",LLM_Data_Entry!$H$3:$H$548,"&lt;&gt;")</f>
        <v/>
      </c>
      <c r="D13" s="160">
        <f>IFERROR(B13/C13,"")</f>
        <v/>
      </c>
      <c r="E13" s="14" t="inlineStr">
        <is>
          <t>Ratio shows how many times larger the human figure is. Blank where not meaningful.</t>
        </is>
      </c>
    </row>
    <row r="14">
      <c r="A14" s="67" t="inlineStr">
        <is>
          <t>Total effort (hours)</t>
        </is>
      </c>
      <c r="B14" s="159">
        <f>SUMIFS(Human_Data_Entry!$K$3:$K$524,Human_Data_Entry!$H$3:$H$524,"Human")/60</f>
        <v/>
      </c>
      <c r="C14" s="159">
        <f>IF(COUNT(LLM_Data_Entry!$I$3:$I$548)&gt;0,SUMIFS(LLM_Data_Entry!$I$3:$I$548,LLM_Data_Entry!$F$3:$F$548,"LLM")/3600,C13*$B$8/3600)</f>
        <v/>
      </c>
      <c r="D14" s="160">
        <f>IFERROR(B14/C14,"")</f>
        <v/>
      </c>
    </row>
    <row r="15">
      <c r="A15" s="67" t="inlineStr">
        <is>
          <t>Mean time per document (min)</t>
        </is>
      </c>
      <c r="B15" s="159">
        <f>IFERROR(AVERAGEIFS(Human_Data_Entry!$K$3:$K$524,Human_Data_Entry!$H$3:$H$524,"Human",Human_Data_Entry!$K$3:$K$524,"&gt;0"),"")</f>
        <v/>
      </c>
      <c r="C15" s="64">
        <f>IFERROR(IF(COUNT(LLM_Data_Entry!$I$3:$I$548)&gt;0,AVERAGEIFS(LLM_Data_Entry!$I$3:$I$548,LLM_Data_Entry!$F$3:$F$548,"LLM",LLM_Data_Entry!$I$3:$I$548,"&gt;0")/60,$B$8/60),"")</f>
        <v/>
      </c>
      <c r="D15" s="160">
        <f>IFERROR(B15/C15,"")</f>
        <v/>
      </c>
    </row>
    <row r="16">
      <c r="A16" s="67" t="inlineStr">
        <is>
          <t>Documents per hour</t>
        </is>
      </c>
      <c r="B16" s="159">
        <f>IFERROR(B13/B14,"")</f>
        <v/>
      </c>
      <c r="C16" s="159">
        <f>IFERROR(C13/C14,"")</f>
        <v/>
      </c>
      <c r="D16" s="160">
        <f>IFERROR(B16/C16,"")</f>
        <v/>
      </c>
    </row>
    <row r="17">
      <c r="A17" s="67" t="inlineStr">
        <is>
          <t>Total cost ($)</t>
        </is>
      </c>
      <c r="B17" s="161">
        <f>B14*$B$6</f>
        <v/>
      </c>
      <c r="C17" s="161">
        <f>IF(COUNT(LLM_Data_Entry!$O$3:$O$548)&gt;0,SUMIFS(LLM_Data_Entry!$O$3:$O$548,LLM_Data_Entry!$F$3:$F$548,"LLM"),C13*$B$7)</f>
        <v/>
      </c>
      <c r="D17" s="160">
        <f>IFERROR(B17/C17,"")</f>
        <v/>
      </c>
    </row>
    <row r="18">
      <c r="A18" s="67" t="inlineStr">
        <is>
          <t>Cost per document ($)</t>
        </is>
      </c>
      <c r="B18" s="79">
        <f>IFERROR(B17/B13,"")</f>
        <v/>
      </c>
      <c r="C18" s="79">
        <f>IFERROR(C17/IF($B$83&gt;0,$B$83,C13),"")</f>
        <v/>
      </c>
      <c r="D18" s="160">
        <f>IFERROR(B18/C18,"")</f>
        <v/>
      </c>
    </row>
    <row r="20">
      <c r="A20" s="10" t="inlineStr">
        <is>
          <t>2. Cost per Correct Call</t>
        </is>
      </c>
    </row>
    <row r="21">
      <c r="A21" s="17" t="inlineStr">
        <is>
          <t>Measure</t>
        </is>
      </c>
      <c r="B21" s="17" t="inlineStr">
        <is>
          <t>Human</t>
        </is>
      </c>
      <c r="C21" s="17" t="inlineStr">
        <is>
          <t>LLM</t>
        </is>
      </c>
      <c r="D21" s="17" t="inlineStr">
        <is>
          <t>Ratio (H:L)</t>
        </is>
      </c>
    </row>
    <row r="22">
      <c r="A22" s="67" t="inlineStr">
        <is>
          <t>Correct calls</t>
        </is>
      </c>
      <c r="B22" s="76">
        <f>COUNTIFS(Human_Data_Entry!$H$3:$H$524,"Human",Human_Data_Entry!$S$3:$S$524,"YES")</f>
        <v/>
      </c>
      <c r="C22" s="76">
        <f>COUNTIFS(LLM_Data_Entry!$F$3:$F$548,"LLM",LLM_Data_Entry!$R$3:$R$548,"YES")</f>
        <v/>
      </c>
      <c r="D22" s="160">
        <f>IFERROR(B22/C22,"")</f>
        <v/>
      </c>
    </row>
    <row r="23">
      <c r="A23" s="67" t="inlineStr">
        <is>
          <t>Accuracy</t>
        </is>
      </c>
      <c r="B23" s="62">
        <f>IFERROR(B22/COUNTIFS(Human_Data_Entry!$H$3:$H$524,"Human",Human_Data_Entry!$S$3:$S$524,"?*"),"")</f>
        <v/>
      </c>
      <c r="C23" s="62">
        <f>IFERROR(C22/COUNTIFS(LLM_Data_Entry!$F$3:$F$548,"LLM",LLM_Data_Entry!$R$3:$R$548,"&lt;&gt;"),"")</f>
        <v/>
      </c>
      <c r="D23" s="62">
        <f>IFERROR(B23-C23,"")</f>
        <v/>
      </c>
    </row>
    <row r="24">
      <c r="A24" s="67" t="inlineStr">
        <is>
          <t>Cost per correct call ($)</t>
        </is>
      </c>
      <c r="B24" s="161">
        <f>IFERROR(B17/B22,"")</f>
        <v/>
      </c>
      <c r="C24" s="79">
        <f>IFERROR(C17/C22,"")</f>
        <v/>
      </c>
      <c r="D24" s="160">
        <f>IFERROR(B24/C24,"")</f>
        <v/>
      </c>
    </row>
    <row r="25">
      <c r="A25" s="67" t="inlineStr">
        <is>
          <t>Minutes per correct call</t>
        </is>
      </c>
      <c r="B25" s="159">
        <f>IFERROR(B14*60/B22,"")</f>
        <v/>
      </c>
      <c r="C25" s="64">
        <f>IFERROR(C14*60/C22,"")</f>
        <v/>
      </c>
      <c r="D25" s="160">
        <f>IFERROR(B25/C25,"")</f>
        <v/>
      </c>
    </row>
    <row r="26" ht="26.1" customHeight="1">
      <c r="A26" s="14" t="inlineStr">
        <is>
          <t>Accuracy row shows the gap in percentage points rather than a ratio.</t>
        </is>
      </c>
    </row>
    <row r="28">
      <c r="A28" s="10" t="inlineStr">
        <is>
          <t>3. Return per Unit of Effort</t>
        </is>
      </c>
    </row>
    <row r="29">
      <c r="A29" s="17" t="inlineStr">
        <is>
          <t>Measure</t>
        </is>
      </c>
      <c r="B29" s="17" t="inlineStr">
        <is>
          <t>Human</t>
        </is>
      </c>
      <c r="C29" s="17" t="inlineStr">
        <is>
          <t>LLM</t>
        </is>
      </c>
      <c r="D29" s="17" t="inlineStr">
        <is>
          <t>Ratio (H:L)</t>
        </is>
      </c>
    </row>
    <row r="30">
      <c r="A30" s="67" t="inlineStr">
        <is>
          <t>Trades taken (non-HOLD)</t>
        </is>
      </c>
      <c r="B30" s="76">
        <f>SUMPRODUCT((Human_Data_Entry!$H$3:$H$524="Human")*((Human_Data_Entry!$J$3:$J$524="BUY")+(Human_Data_Entry!$J$3:$J$524="SELL"))*ISNUMBER(Human_Data_Entry!$U$3:$U$524))</f>
        <v/>
      </c>
      <c r="C30" s="76">
        <f>COUNTIFS(LLM_Data_Entry!$F$3:$F$548,"LLM",LLM_Data_Entry!$H$3:$H$548,"&lt;&gt;HOLD",LLM_Data_Entry!$T$3:$T$548,"&lt;&gt;")</f>
        <v/>
      </c>
      <c r="D30" s="160">
        <f>IFERROR(B30/C30,"")</f>
        <v/>
      </c>
    </row>
    <row r="31">
      <c r="A31" s="67" t="inlineStr">
        <is>
          <t>Sum of returns (%)</t>
        </is>
      </c>
      <c r="B31" s="65">
        <f>SUMIFS(Human_Data_Entry!$U$3:$U$524,Human_Data_Entry!$H$3:$H$524,"Human",Human_Data_Entry!$J$3:$J$524,"&lt;&gt;HOLD")</f>
        <v/>
      </c>
      <c r="C31" s="65">
        <f>SUMIFS(LLM_Data_Entry!$T$3:$T$548,LLM_Data_Entry!$F$3:$F$548,"LLM",LLM_Data_Entry!$H$3:$H$548,"&lt;&gt;HOLD")</f>
        <v/>
      </c>
      <c r="D31" s="160">
        <f>IFERROR(B31/C31,"")</f>
        <v/>
      </c>
    </row>
    <row r="32">
      <c r="A32" s="67" t="inlineStr">
        <is>
          <t>Avg return per trade (%)</t>
        </is>
      </c>
      <c r="B32" s="65">
        <f>IFERROR(B31/B30,"")</f>
        <v/>
      </c>
      <c r="C32" s="65">
        <f>IFERROR(C31/C30,"")</f>
        <v/>
      </c>
      <c r="D32" s="160">
        <f>IFERROR(B32/C32,"")</f>
        <v/>
      </c>
    </row>
    <row r="33">
      <c r="A33" s="67" t="inlineStr">
        <is>
          <t>Return per analyst hour (%)</t>
        </is>
      </c>
      <c r="B33" s="65">
        <f>IFERROR(B31/B14,"")</f>
        <v/>
      </c>
      <c r="C33" s="65">
        <f>IFERROR(C31/C14,"")</f>
        <v/>
      </c>
      <c r="D33" s="160">
        <f>IFERROR(B33/C33,"")</f>
        <v/>
      </c>
    </row>
    <row r="34">
      <c r="A34" s="67" t="inlineStr">
        <is>
          <t>Notional P&amp;L per hour ($)</t>
        </is>
      </c>
      <c r="B34" s="162">
        <f>IFERROR(B33*$B$9,"")</f>
        <v/>
      </c>
      <c r="C34" s="162">
        <f>IFERROR(C33*$B$9,"")</f>
        <v/>
      </c>
      <c r="D34" s="160">
        <f>IFERROR(B34/C34,"")</f>
        <v/>
      </c>
    </row>
    <row r="36" ht="52.35" customHeight="1">
      <c r="A36" s="10" t="inlineStr">
        <is>
          <t>4. Head-to-Head on Shared Events</t>
        </is>
      </c>
      <c r="E36" s="14" t="inlineStr">
        <is>
          <t>Each human reading is matched to the LLM reading for the same company, year and quarter. Where several raters covered one event, that event contributes one row per rater, so this counts readings rather than unique events.</t>
        </is>
      </c>
    </row>
    <row r="37">
      <c r="A37" s="17" t="inlineStr">
        <is>
          <t>Outcome</t>
        </is>
      </c>
      <c r="B37" s="17" t="inlineStr">
        <is>
          <t>Events</t>
        </is>
      </c>
      <c r="C37" s="17" t="inlineStr">
        <is>
          <t>Share</t>
        </is>
      </c>
    </row>
    <row r="38">
      <c r="A38" s="67" t="inlineStr">
        <is>
          <t>Both correct</t>
        </is>
      </c>
      <c r="B38" s="76">
        <f>COUNTIFS(Human_Data_Entry!$S$3:$S$524,"YES",Human_Data_Entry!$Z$3:$Z$524,"YES")</f>
        <v/>
      </c>
      <c r="C38" s="62">
        <f>IFERROR(B38/$B$43,"")</f>
        <v/>
      </c>
    </row>
    <row r="39">
      <c r="A39" s="67" t="inlineStr">
        <is>
          <t>Human only correct</t>
        </is>
      </c>
      <c r="B39" s="76">
        <f>COUNTIFS(Human_Data_Entry!$S$3:$S$524,"YES",Human_Data_Entry!$Z$3:$Z$524,"NO")</f>
        <v/>
      </c>
      <c r="C39" s="62">
        <f>IFERROR(B39/$B$43,"")</f>
        <v/>
      </c>
    </row>
    <row r="40">
      <c r="A40" s="67" t="inlineStr">
        <is>
          <t>LLM only correct</t>
        </is>
      </c>
      <c r="B40" s="76">
        <f>COUNTIFS(Human_Data_Entry!$S$3:$S$524,"NO",Human_Data_Entry!$Z$3:$Z$524,"YES")</f>
        <v/>
      </c>
      <c r="C40" s="62">
        <f>IFERROR(B40/$B$43,"")</f>
        <v/>
      </c>
    </row>
    <row r="41">
      <c r="A41" s="67" t="inlineStr">
        <is>
          <t>Neither correct</t>
        </is>
      </c>
      <c r="B41" s="76">
        <f>COUNTIFS(Human_Data_Entry!$S$3:$S$524,"NO",Human_Data_Entry!$Z$3:$Z$524,"NO")</f>
        <v/>
      </c>
      <c r="C41" s="62">
        <f>IFERROR(B41/$B$43,"")</f>
        <v/>
      </c>
    </row>
    <row r="42">
      <c r="A42" s="67" t="inlineStr">
        <is>
          <t>Same decision</t>
        </is>
      </c>
      <c r="B42" s="76">
        <f>SUMPRODUCT((Human_Data_Entry!$H$3:$H$524="Human")*(Human_Data_Entry!$S$3:$S$524&lt;&gt;"")*(Human_Data_Entry!$Z$3:$Z$524&lt;&gt;"")*(Human_Data_Entry!$J$3:$J$524=Human_Data_Entry!$Y$3:$Y$524))</f>
        <v/>
      </c>
      <c r="C42" s="62">
        <f>IFERROR(B42/$B$43,"")</f>
        <v/>
      </c>
    </row>
    <row r="43">
      <c r="A43" s="10" t="inlineStr">
        <is>
          <t>Matched readings (total)</t>
        </is>
      </c>
      <c r="B43" s="81">
        <f>COUNTIFS(Human_Data_Entry!$S$3:$S$524,"?*",Human_Data_Entry!$Z$3:$Z$524,"?*")</f>
        <v/>
      </c>
      <c r="C43" s="82">
        <f>IFERROR(B43/$B$43,"")</f>
        <v/>
      </c>
      <c r="E43" s="18" t="inlineStr">
        <is>
          <t>Currently exceeds the LLM row count because some events were scored by more than one rater.</t>
        </is>
      </c>
    </row>
    <row r="45">
      <c r="A45" s="10" t="inlineStr">
        <is>
          <t>5. Marginal Value of the Human Step</t>
        </is>
      </c>
    </row>
    <row r="46">
      <c r="A46" s="17" t="inlineStr">
        <is>
          <t>Measure</t>
        </is>
      </c>
      <c r="B46" s="17" t="inlineStr">
        <is>
          <t>Value</t>
        </is>
      </c>
      <c r="C46" s="17" t="inlineStr">
        <is>
          <t>Notes</t>
        </is>
      </c>
    </row>
    <row r="47" ht="26.1" customHeight="1">
      <c r="A47" s="67" t="inlineStr">
        <is>
          <t>Net calls gained by humans</t>
        </is>
      </c>
      <c r="B47" s="76">
        <f>B39-B40</f>
        <v/>
      </c>
      <c r="C47" s="14" t="inlineStr">
        <is>
          <t>Correct calls humans added, less the ones the LLM caught and humans missed.</t>
        </is>
      </c>
    </row>
    <row r="48" ht="26.1" customHeight="1">
      <c r="A48" s="67" t="inlineStr">
        <is>
          <t>Human hours on matched events</t>
        </is>
      </c>
      <c r="B48" s="159">
        <f>IFERROR($B$14*B43/$B$13,"")</f>
        <v/>
      </c>
      <c r="C48" s="14" t="inlineStr">
        <is>
          <t>Total human hours scaled to the matched subset only.</t>
        </is>
      </c>
      <c r="E48" s="18" t="inlineStr">
        <is>
          <t>Scales total human hours by the matched share of readings. Approximate, since time per reading varies.</t>
        </is>
      </c>
    </row>
    <row r="49" ht="26.1" customHeight="1">
      <c r="A49" s="67" t="inlineStr">
        <is>
          <t>Hours per net call gained</t>
        </is>
      </c>
      <c r="B49" s="159">
        <f>IFERROR(IF(B47&lt;=0,"n/a",B48/B47),"")</f>
        <v/>
      </c>
      <c r="C49" s="14" t="inlineStr">
        <is>
          <t>Blank or n/a if the human step produced no net gain.</t>
        </is>
      </c>
    </row>
    <row r="50" ht="26.1" customHeight="1">
      <c r="A50" s="67" t="inlineStr">
        <is>
          <t>Cost per net call gained ($)</t>
        </is>
      </c>
      <c r="B50" s="161">
        <f>IFERROR(IF(B47&lt;=0,"n/a",B48*$B$6/B47),"")</f>
        <v/>
      </c>
      <c r="C50" s="14" t="inlineStr">
        <is>
          <t>The honest price of the human-in-the-loop step at current accuracy.</t>
        </is>
      </c>
    </row>
    <row r="53" ht="26.1" customHeight="1">
      <c r="A53" s="10" t="inlineStr">
        <is>
          <t>6. Break-Even Accuracy</t>
        </is>
      </c>
      <c r="E53" s="14" t="inlineStr">
        <is>
          <t>How much more accurate the human must be for the extra time to pay for itself.</t>
        </is>
      </c>
    </row>
    <row r="54">
      <c r="A54" s="17" t="inlineStr">
        <is>
          <t>Measure</t>
        </is>
      </c>
      <c r="B54" s="17" t="inlineStr">
        <is>
          <t>Value</t>
        </is>
      </c>
      <c r="C54" s="17" t="inlineStr">
        <is>
          <t>Notes</t>
        </is>
      </c>
    </row>
    <row r="55" ht="26.1" customHeight="1">
      <c r="A55" s="67" t="inlineStr">
        <is>
          <t>Extra cost per doc, human vs LLM ($)</t>
        </is>
      </c>
      <c r="B55" s="161">
        <f>IFERROR(B18-C18,"")</f>
        <v/>
      </c>
      <c r="C55" s="14" t="inlineStr">
        <is>
          <t>Human cost per document minus LLM cost per document.</t>
        </is>
      </c>
    </row>
    <row r="56" ht="26.1" customHeight="1">
      <c r="A56" s="67" t="inlineStr">
        <is>
          <t>Value of one correct call ($)</t>
        </is>
      </c>
      <c r="B56" s="161">
        <f>IFERROR((SUMIFS(Human_Data_Entry!$U$3:$U$524,Human_Data_Entry!$H$3:$H$524,"Human",Human_Data_Entry!$J$3:$J$524,"&lt;&gt;HOLD",Human_Data_Entry!$U$3:$U$524,"&gt;0")-SUMIFS(Human_Data_Entry!$U$3:$U$524,Human_Data_Entry!$H$3:$H$524,"Human",Human_Data_Entry!$J$3:$J$524,"&lt;&gt;HOLD",Human_Data_Entry!$U$3:$U$524,"&lt;0"))/B30*$B$9,"")</f>
        <v/>
      </c>
      <c r="C56" s="14" t="inlineStr">
        <is>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is>
      </c>
      <c r="E56" s="18" t="inlineStr">
        <is>
          <t>Approximated from the average absolute return per trade. A crude proxy, not a traded P&amp;L figure.</t>
        </is>
      </c>
    </row>
    <row r="57" ht="26.1" customHeight="1">
      <c r="A57" s="67" t="inlineStr">
        <is>
          <t>Break-even accuracy gain needed</t>
        </is>
      </c>
      <c r="B57" s="62">
        <f>IFERROR(B55/B56,"")</f>
        <v/>
      </c>
      <c r="C57" s="14" t="inlineStr">
        <is>
          <t>Extra accuracy the human must deliver to justify the extra cost.</t>
        </is>
      </c>
    </row>
    <row r="58" ht="26.1" customHeight="1">
      <c r="A58" s="67" t="inlineStr">
        <is>
          <t>Observed accuracy gain (H - L)</t>
        </is>
      </c>
      <c r="B58" s="62">
        <f>IFERROR(B23-C23,"")</f>
        <v/>
      </c>
      <c r="C58" s="14" t="inlineStr">
        <is>
          <t>Negative means the LLM is currently more accurate.</t>
        </is>
      </c>
    </row>
    <row r="59" ht="26.1" customHeight="1">
      <c r="A59" s="67" t="inlineStr">
        <is>
          <t>Verdict</t>
        </is>
      </c>
      <c r="B59" s="83">
        <f>IFERROR(IF(B58&gt;=B57,"Human time justified","Human time not justified"),"")</f>
        <v/>
      </c>
      <c r="C59" s="14" t="inlineStr">
        <is>
          <t>Reads directly from the two rows above.</t>
        </is>
      </c>
    </row>
    <row r="61" ht="26.1" customHeight="1">
      <c r="A61" s="10" t="inlineStr">
        <is>
          <t>7. Time Spent vs Accuracy (human only)</t>
        </is>
      </c>
      <c r="E61" s="14" t="inlineStr">
        <is>
          <t>If the slower readings are no more accurate, time spent is not buying accuracy. Buckets are in minutes; the Time (sec) column on the Human sheet is the same data x60.</t>
        </is>
      </c>
    </row>
    <row r="62">
      <c r="A62" s="17" t="inlineStr">
        <is>
          <t>Time bucket (min)</t>
        </is>
      </c>
      <c r="B62" s="17" t="inlineStr">
        <is>
          <t>Readings</t>
        </is>
      </c>
      <c r="C62" s="17" t="inlineStr">
        <is>
          <t>Accuracy</t>
        </is>
      </c>
      <c r="D62" s="17" t="inlineStr">
        <is>
          <t>Avg %/trade</t>
        </is>
      </c>
    </row>
    <row r="63">
      <c r="A63" s="67" t="inlineStr">
        <is>
          <t>Under 20</t>
        </is>
      </c>
      <c r="B63" s="76">
        <f>COUNTIFS(Human_Data_Entry!$K$3:$K$524,"&gt;="&amp;0,Human_Data_Entry!$K$3:$K$524,"&lt;"&amp;20,Human_Data_Entry!$S$3:$S$524,"?*")</f>
        <v/>
      </c>
      <c r="C63" s="62">
        <f>IFERROR(COUNTIFS(Human_Data_Entry!$K$3:$K$524,"&gt;="&amp;0,Human_Data_Entry!$K$3:$K$524,"&lt;"&amp;20,Human_Data_Entry!$S$3:$S$524,"YES")/B63,"")</f>
        <v/>
      </c>
      <c r="D63" s="65">
        <f>IFERROR(AVERAGEIFS(Human_Data_Entry!$U$3:$U$524,Human_Data_Entry!$K$3:$K$524,"&gt;="&amp;0,Human_Data_Entry!$K$3:$K$524,"&lt;"&amp;20,Human_Data_Entry!$J$3:$J$524,"&lt;&gt;HOLD",Human_Data_Entry!$U$3:$U$524,"&lt;&gt;"),"")</f>
        <v/>
      </c>
    </row>
    <row r="64">
      <c r="A64" s="67" t="inlineStr">
        <is>
          <t>20 to 29</t>
        </is>
      </c>
      <c r="B64" s="76">
        <f>COUNTIFS(Human_Data_Entry!$K$3:$K$524,"&gt;="&amp;20,Human_Data_Entry!$K$3:$K$524,"&lt;"&amp;30,Human_Data_Entry!$S$3:$S$524,"?*")</f>
        <v/>
      </c>
      <c r="C64" s="62">
        <f>IFERROR(COUNTIFS(Human_Data_Entry!$K$3:$K$524,"&gt;="&amp;20,Human_Data_Entry!$K$3:$K$524,"&lt;"&amp;30,Human_Data_Entry!$S$3:$S$524,"YES")/B64,"")</f>
        <v/>
      </c>
      <c r="D64" s="65">
        <f>IFERROR(AVERAGEIFS(Human_Data_Entry!$U$3:$U$524,Human_Data_Entry!$K$3:$K$524,"&gt;="&amp;20,Human_Data_Entry!$K$3:$K$524,"&lt;"&amp;30,Human_Data_Entry!$J$3:$J$524,"&lt;&gt;HOLD",Human_Data_Entry!$U$3:$U$524,"&lt;&gt;"),"")</f>
        <v/>
      </c>
    </row>
    <row r="65">
      <c r="A65" s="67" t="inlineStr">
        <is>
          <t>30 to 39</t>
        </is>
      </c>
      <c r="B65" s="76">
        <f>COUNTIFS(Human_Data_Entry!$K$3:$K$524,"&gt;="&amp;30,Human_Data_Entry!$K$3:$K$524,"&lt;"&amp;40,Human_Data_Entry!$S$3:$S$524,"?*")</f>
        <v/>
      </c>
      <c r="C65" s="62">
        <f>IFERROR(COUNTIFS(Human_Data_Entry!$K$3:$K$524,"&gt;="&amp;30,Human_Data_Entry!$K$3:$K$524,"&lt;"&amp;40,Human_Data_Entry!$S$3:$S$524,"YES")/B65,"")</f>
        <v/>
      </c>
      <c r="D65" s="65">
        <f>IFERROR(AVERAGEIFS(Human_Data_Entry!$U$3:$U$524,Human_Data_Entry!$K$3:$K$524,"&gt;="&amp;30,Human_Data_Entry!$K$3:$K$524,"&lt;"&amp;40,Human_Data_Entry!$J$3:$J$524,"&lt;&gt;HOLD",Human_Data_Entry!$U$3:$U$524,"&lt;&gt;"),"")</f>
        <v/>
      </c>
    </row>
    <row r="66">
      <c r="A66" s="67" t="inlineStr">
        <is>
          <t>40 to 49</t>
        </is>
      </c>
      <c r="B66" s="76">
        <f>COUNTIFS(Human_Data_Entry!$K$3:$K$524,"&gt;="&amp;40,Human_Data_Entry!$K$3:$K$524,"&lt;"&amp;50,Human_Data_Entry!$S$3:$S$524,"?*")</f>
        <v/>
      </c>
      <c r="C66" s="62">
        <f>IFERROR(COUNTIFS(Human_Data_Entry!$K$3:$K$524,"&gt;="&amp;40,Human_Data_Entry!$K$3:$K$524,"&lt;"&amp;50,Human_Data_Entry!$S$3:$S$524,"YES")/B66,"")</f>
        <v/>
      </c>
      <c r="D66" s="65">
        <f>IFERROR(AVERAGEIFS(Human_Data_Entry!$U$3:$U$524,Human_Data_Entry!$K$3:$K$524,"&gt;="&amp;40,Human_Data_Entry!$K$3:$K$524,"&lt;"&amp;50,Human_Data_Entry!$J$3:$J$524,"&lt;&gt;HOLD",Human_Data_Entry!$U$3:$U$524,"&lt;&gt;"),"")</f>
        <v/>
      </c>
    </row>
    <row r="67">
      <c r="A67" s="67" t="inlineStr">
        <is>
          <t>50 to 59</t>
        </is>
      </c>
      <c r="B67" s="76">
        <f>COUNTIFS(Human_Data_Entry!$K$3:$K$524,"&gt;="&amp;50,Human_Data_Entry!$K$3:$K$524,"&lt;"&amp;60,Human_Data_Entry!$S$3:$S$524,"?*")</f>
        <v/>
      </c>
      <c r="C67" s="62">
        <f>IFERROR(COUNTIFS(Human_Data_Entry!$K$3:$K$524,"&gt;="&amp;50,Human_Data_Entry!$K$3:$K$524,"&lt;"&amp;60,Human_Data_Entry!$S$3:$S$524,"YES")/B67,"")</f>
        <v/>
      </c>
      <c r="D67" s="65">
        <f>IFERROR(AVERAGEIFS(Human_Data_Entry!$U$3:$U$524,Human_Data_Entry!$K$3:$K$524,"&gt;="&amp;50,Human_Data_Entry!$K$3:$K$524,"&lt;"&amp;60,Human_Data_Entry!$J$3:$J$524,"&lt;&gt;HOLD",Human_Data_Entry!$U$3:$U$524,"&lt;&gt;"),"")</f>
        <v/>
      </c>
    </row>
    <row r="68">
      <c r="A68" s="67" t="inlineStr">
        <is>
          <t>60 and over</t>
        </is>
      </c>
      <c r="B68" s="76">
        <f>COUNTIFS(Human_Data_Entry!$K$3:$K$524,"&gt;="&amp;60,Human_Data_Entry!$K$3:$K$524,"&lt;"&amp;999,Human_Data_Entry!$S$3:$S$524,"?*")</f>
        <v/>
      </c>
      <c r="C68" s="62">
        <f>IFERROR(COUNTIFS(Human_Data_Entry!$K$3:$K$524,"&gt;="&amp;60,Human_Data_Entry!$K$3:$K$524,"&lt;"&amp;999,Human_Data_Entry!$S$3:$S$524,"YES")/B68,"")</f>
        <v/>
      </c>
      <c r="D68" s="65">
        <f>IFERROR(AVERAGEIFS(Human_Data_Entry!$U$3:$U$524,Human_Data_Entry!$K$3:$K$524,"&gt;="&amp;60,Human_Data_Entry!$K$3:$K$524,"&lt;"&amp;999,Human_Data_Entry!$J$3:$J$524,"&lt;&gt;HOLD",Human_Data_Entry!$U$3:$U$524,"&lt;&gt;"),"")</f>
        <v/>
      </c>
    </row>
    <row r="71" ht="22.35" customHeight="1">
      <c r="A71" s="10" t="inlineStr">
        <is>
          <t>How to Update This Sheet</t>
        </is>
      </c>
    </row>
    <row r="72" ht="24" customHeight="1">
      <c r="A72" s="17" t="inlineStr">
        <is>
          <t>What to change</t>
        </is>
      </c>
      <c r="B72" s="17" t="n"/>
      <c r="C72" s="17" t="n"/>
      <c r="D72" s="17" t="inlineStr">
        <is>
          <t>Where</t>
        </is>
      </c>
      <c r="E72" s="17" t="inlineStr">
        <is>
          <t>Effect</t>
        </is>
      </c>
      <c r="H72" s="10" t="inlineStr">
        <is>
          <t>Chart feeders</t>
        </is>
      </c>
    </row>
    <row r="73" ht="42" customHeight="1">
      <c r="A73" s="84" t="inlineStr">
        <is>
          <t>Real token cost per document</t>
        </is>
      </c>
      <c r="B73" s="84" t="n"/>
      <c r="C73" s="84" t="n"/>
      <c r="D73" s="85" t="inlineStr">
        <is>
          <t>LLM_Data_Entry column O (Token Cost), one value per row</t>
        </is>
      </c>
      <c r="E73" s="70" t="inlineStr">
        <is>
          <t>Cell B7 reads the live average of that column automatically, and Total cost now sums the actual per-document costs. Every cost figure updates, including cost per document, cost per correct call, break-even accuracy and the verdict. No formula edit needed.</t>
        </is>
      </c>
      <c r="H73" s="17" t="inlineStr">
        <is>
          <t>Measure</t>
        </is>
      </c>
      <c r="I73" s="17" t="inlineStr">
        <is>
          <t>Human</t>
        </is>
      </c>
      <c r="J73" s="17" t="inlineStr">
        <is>
          <t>LLM</t>
        </is>
      </c>
    </row>
    <row r="74" ht="42" customHeight="1">
      <c r="A74" s="84" t="inlineStr">
        <is>
          <t>Analyst hourly cost</t>
        </is>
      </c>
      <c r="B74" s="84" t="n"/>
      <c r="C74" s="84" t="n"/>
      <c r="D74" s="85" t="inlineStr">
        <is>
          <t>Cell B6 on this sheet</t>
        </is>
      </c>
      <c r="E74" s="70" t="inlineStr">
        <is>
          <t>Drives total human cost, cost per document, cost per correct call, cost per net call gained, and the break-even calculation.</t>
        </is>
      </c>
      <c r="H74" s="67" t="inlineStr">
        <is>
          <t>Docs per hour</t>
        </is>
      </c>
      <c r="I74" s="159">
        <f>$B$16</f>
        <v/>
      </c>
      <c r="J74" s="159">
        <f>$C$16</f>
        <v/>
      </c>
    </row>
    <row r="75" ht="42" customHeight="1">
      <c r="A75" s="84" t="inlineStr">
        <is>
          <t>LLM runtime per document</t>
        </is>
      </c>
      <c r="B75" s="84" t="n"/>
      <c r="C75" s="84" t="n"/>
      <c r="D75" s="85" t="inlineStr">
        <is>
          <t>LLM_Data_Entry column I (Time (seconds)), one value per row</t>
        </is>
      </c>
      <c r="E75" s="70" t="inlineStr">
        <is>
          <t>LIVE. Cell B8 reads the measured average, and LLM total effort sums the actual per-document runtimes. Drives documents per hour and return per analyst hour. Cell B11 is the fallback used only while column I is empty.</t>
        </is>
      </c>
      <c r="H75" s="67" t="inlineStr">
        <is>
          <t>Cost per doc ($)</t>
        </is>
      </c>
      <c r="I75" s="79">
        <f>$B$18</f>
        <v/>
      </c>
      <c r="J75" s="79">
        <f>$C$18</f>
        <v/>
      </c>
    </row>
    <row r="76" ht="42" customHeight="1">
      <c r="A76" s="84" t="inlineStr">
        <is>
          <t>Notional position size</t>
        </is>
      </c>
      <c r="B76" s="84" t="n"/>
      <c r="C76" s="84" t="n"/>
      <c r="D76" s="85" t="inlineStr">
        <is>
          <t>Cell B9 on this sheet</t>
        </is>
      </c>
      <c r="E76" s="70" t="inlineStr">
        <is>
          <t>Only converts percentage returns into cash. Affects the value of a correct call in the break-even block. No percentage figure changes.</t>
        </is>
      </c>
      <c r="H76" s="67" t="inlineStr">
        <is>
          <t>Cost per correct call ($)</t>
        </is>
      </c>
      <c r="I76" s="79">
        <f>$B$24</f>
        <v/>
      </c>
      <c r="J76" s="79">
        <f>$C$24</f>
        <v/>
      </c>
    </row>
    <row r="77" ht="42" customHeight="1">
      <c r="A77" s="84" t="inlineStr">
        <is>
          <t>Fallback LLM cost and runtime</t>
        </is>
      </c>
      <c r="B77" s="84" t="n"/>
      <c r="C77" s="84" t="n"/>
      <c r="D77" s="85" t="inlineStr">
        <is>
          <t>Cells B10 and B11 on this sheet</t>
        </is>
      </c>
      <c r="E77" s="70" t="inlineStr">
        <is>
          <t>Placeholders used only while columns O and I are empty. Ignored once real token costs and timings are present.</t>
        </is>
      </c>
    </row>
    <row r="78" ht="42" customHeight="1">
      <c r="A78" s="84" t="inlineStr">
        <is>
          <t>New readings</t>
        </is>
      </c>
      <c r="B78" s="84" t="n"/>
      <c r="C78" s="84" t="n"/>
      <c r="D78" s="85" t="inlineStr">
        <is>
          <t>Add rows to either entry sheet</t>
        </is>
      </c>
      <c r="E78" s="70" t="inlineStr">
        <is>
          <t>Everything on this sheet and both chart sheets recalculates automatically. Formulas span rows 3 to 524 on Human_Data_Entry and rows 3 to 548 on LLM_Data_Entry. No range needs extending until one of those sheets passes its own limit.</t>
        </is>
      </c>
    </row>
    <row r="79" ht="42" customHeight="1">
      <c r="A79" s="84" t="inlineStr">
        <is>
          <t>Beyond row 524 (human) or 548 (LLM)</t>
        </is>
      </c>
      <c r="B79" s="84" t="n"/>
      <c r="C79" s="84" t="n"/>
      <c r="D79" s="85" t="inlineStr">
        <is>
          <t>Replace $524 for the human sheet, or $548 for the LLM sheet, with a larger row number</t>
        </is>
      </c>
      <c r="E79" s="70" t="inlineStr">
        <is>
          <t>Applies to this sheet, the Charts sheet and the Summary sheet. The two sheets have different limits, so replace the right one. Note there is no row 400 anywhere in this workbook - the earlier version of this instruction was wrong.</t>
        </is>
      </c>
      <c r="H79" s="10" t="inlineStr">
        <is>
          <t>Return per analyst hour</t>
        </is>
      </c>
    </row>
    <row r="80">
      <c r="H80" s="17" t="inlineStr">
        <is>
          <t>Arm</t>
        </is>
      </c>
      <c r="I80" s="17" t="inlineStr">
        <is>
          <t>Return per hour</t>
        </is>
      </c>
    </row>
    <row r="81">
      <c r="H81" s="67" t="inlineStr">
        <is>
          <t>Human</t>
        </is>
      </c>
      <c r="I81" s="65">
        <f>$B$33</f>
        <v/>
      </c>
    </row>
    <row r="82">
      <c r="A82" s="10" t="inlineStr">
        <is>
          <t>Live Data Status</t>
        </is>
      </c>
      <c r="H82" s="67" t="inlineStr">
        <is>
          <t>LLM</t>
        </is>
      </c>
      <c r="I82" s="65">
        <f>$C$33</f>
        <v/>
      </c>
    </row>
    <row r="83" ht="20.1" customHeight="1">
      <c r="A83" s="67" t="inlineStr">
        <is>
          <t>Rows with a token cost entered</t>
        </is>
      </c>
      <c r="B83" s="86">
        <f>COUNT(LLM_Data_Entry!$O$3:$O$548)</f>
        <v/>
      </c>
      <c r="C83" s="70" t="n"/>
      <c r="E83" s="14" t="inlineStr">
        <is>
          <t>Counts numeric entries in the Token Cost column on the LLM sheet.</t>
        </is>
      </c>
    </row>
    <row r="84" ht="20.1" customHeight="1">
      <c r="A84" s="67" t="inlineStr">
        <is>
          <t>Cost source currently in use</t>
        </is>
      </c>
      <c r="B84" s="87">
        <f>IF(COUNT(LLM_Data_Entry!$O$3:$O$548)&gt;0,"Live token data","Placeholder (B10)")</f>
        <v/>
      </c>
      <c r="C84" s="70" t="n"/>
      <c r="E84" s="14" t="inlineStr">
        <is>
          <t>Confirms at a glance whether the cost figures are based on real token data or the placeholder.</t>
        </is>
      </c>
    </row>
    <row r="85">
      <c r="A85" s="67" t="inlineStr">
        <is>
          <t>Rows with a runtime entered</t>
        </is>
      </c>
      <c r="B85" s="86">
        <f>COUNT(LLM_Data_Entry!$I$3:$I$548)</f>
        <v/>
      </c>
      <c r="E85" s="14" t="inlineStr">
        <is>
          <t>Counts numeric entries in the Time (seconds) column on the LLM sheet.</t>
        </is>
      </c>
    </row>
    <row r="86">
      <c r="A86" s="67" t="inlineStr">
        <is>
          <t>Timing source currently in use</t>
        </is>
      </c>
      <c r="B86" s="87">
        <f>IF(COUNT(LLM_Data_Entry!$I$3:$I$548)&gt;0,"Live measured latency","Placeholder (B11)")</f>
        <v/>
      </c>
      <c r="E86" s="14" t="inlineStr">
        <is>
          <t>Confirms whether runtime figures come from measured data or the placeholder.</t>
        </is>
      </c>
    </row>
    <row r="89">
      <c r="A89" t="inlineStr">
        <is>
          <t>SECTION D - the two blocks the specification asked for and the sheet never carried. Nothing above row 87 was changed.</t>
        </is>
      </c>
    </row>
    <row r="91">
      <c r="A91" t="inlineStr">
        <is>
          <t>D5i - Like-for-like: only companies BOTH arms read</t>
        </is>
      </c>
    </row>
    <row r="92">
      <c r="A92" t="inlineStr">
        <is>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is>
      </c>
    </row>
    <row r="94">
      <c r="A94" t="inlineStr">
        <is>
          <t>Measure</t>
        </is>
      </c>
      <c r="B94" t="inlineStr">
        <is>
          <t>Human published</t>
        </is>
      </c>
      <c r="C94" t="inlineStr">
        <is>
          <t>Human re-priced</t>
        </is>
      </c>
      <c r="D94" t="inlineStr">
        <is>
          <t>LLM published</t>
        </is>
      </c>
      <c r="E94" t="inlineStr">
        <is>
          <t>LLM re-priced</t>
        </is>
      </c>
    </row>
    <row r="95">
      <c r="A95" t="inlineStr">
        <is>
          <t>Readings in the shared universe</t>
        </is>
      </c>
      <c r="B95">
        <f>COUNTIFS(Human_Data_Entry!$S$3:$S$524,"?*",Human_Data_Entry!$H$3:$H$524,"Human",Human_Data_Entry!$AP$3:$AP$524,"YES")</f>
        <v/>
      </c>
      <c r="C95">
        <f>COUNTIFS(Human_Data_Entry!$AJ$3:$AJ$524,"?*",Human_Data_Entry!$H$3:$H$524,"Human",Human_Data_Entry!$AP$3:$AP$524,"YES")</f>
        <v/>
      </c>
      <c r="D95">
        <f>COUNTIFS(LLM_Data_Entry!$R$3:$R$430,"?*",LLM_Data_Entry!$AK$3:$AK$430,"YES")</f>
        <v/>
      </c>
      <c r="E95">
        <f>COUNTIFS(LLM_Data_Entry!$AE$3:$AE$430,"?*",LLM_Data_Entry!$AK$3:$AK$430,"YES")</f>
        <v/>
      </c>
    </row>
    <row r="96">
      <c r="A96" t="inlineStr">
        <is>
          <t>Correct</t>
        </is>
      </c>
      <c r="B96">
        <f>COUNTIFS(Human_Data_Entry!$S$3:$S$524,"YES",Human_Data_Entry!$H$3:$H$524,"Human",Human_Data_Entry!$AP$3:$AP$524,"YES")</f>
        <v/>
      </c>
      <c r="C96">
        <f>COUNTIFS(Human_Data_Entry!$AJ$3:$AJ$524,"YES",Human_Data_Entry!$H$3:$H$524,"Human",Human_Data_Entry!$AP$3:$AP$524,"YES")</f>
        <v/>
      </c>
      <c r="D96">
        <f>COUNTIFS(LLM_Data_Entry!$R$3:$R$430,"YES",LLM_Data_Entry!$AK$3:$AK$430,"YES")</f>
        <v/>
      </c>
      <c r="E96">
        <f>COUNTIFS(LLM_Data_Entry!$AE$3:$AE$430,"YES",LLM_Data_Entry!$AK$3:$AK$430,"YES")</f>
        <v/>
      </c>
    </row>
    <row r="97">
      <c r="A97" t="inlineStr">
        <is>
          <t>% correct</t>
        </is>
      </c>
      <c r="B97">
        <f>IFERROR(B96/B95,"")</f>
        <v/>
      </c>
      <c r="C97">
        <f>IFERROR(C96/C95,"")</f>
        <v/>
      </c>
      <c r="D97">
        <f>IFERROR(D96/D95,"")</f>
        <v/>
      </c>
      <c r="E97">
        <f>IFERROR(E96/E95,"")</f>
        <v/>
      </c>
    </row>
    <row r="98">
      <c r="A98" t="inlineStr">
        <is>
          <t>Trades</t>
        </is>
      </c>
      <c r="B98">
        <f>COUNTIFS(Human_Data_Entry!$J$3:$J$524,"BUY",Human_Data_Entry!$S$3:$S$524,"?*",Human_Data_Entry!$H$3:$H$524,"Human",Human_Data_Entry!$AP$3:$AP$524,"YES")+COUNTIFS(Human_Data_Entry!$J$3:$J$524,"SELL",Human_Data_Entry!$S$3:$S$524,"?*",Human_Data_Entry!$H$3:$H$524,"Human",Human_Data_Entry!$AP$3:$AP$524,"YES")</f>
        <v/>
      </c>
      <c r="C98">
        <f>COUNTIFS(Human_Data_Entry!$J$3:$J$524,"BUY",Human_Data_Entry!$AJ$3:$AJ$524,"?*",Human_Data_Entry!$H$3:$H$524,"Human",Human_Data_Entry!$AP$3:$AP$524,"YES")+COUNTIFS(Human_Data_Entry!$J$3:$J$524,"SELL",Human_Data_Entry!$AJ$3:$AJ$524,"?*",Human_Data_Entry!$H$3:$H$524,"Human",Human_Data_Entry!$AP$3:$AP$524,"YES")</f>
        <v/>
      </c>
      <c r="D98">
        <f>COUNTIFS(LLM_Data_Entry!$H$3:$H$430,"BUY",LLM_Data_Entry!$R$3:$R$430,"?*",LLM_Data_Entry!$AK$3:$AK$430,"YES")+COUNTIFS(LLM_Data_Entry!$H$3:$H$430,"SELL",LLM_Data_Entry!$R$3:$R$430,"?*",LLM_Data_Entry!$AK$3:$AK$430,"YES")</f>
        <v/>
      </c>
      <c r="E98">
        <f>COUNTIFS(LLM_Data_Entry!$H$3:$H$430,"BUY",LLM_Data_Entry!$AE$3:$AE$430,"?*",LLM_Data_Entry!$AK$3:$AK$430,"YES")+COUNTIFS(LLM_Data_Entry!$H$3:$H$430,"SELL",LLM_Data_Entry!$AE$3:$AE$430,"?*",LLM_Data_Entry!$AK$3:$AK$430,"YES")</f>
        <v/>
      </c>
    </row>
    <row r="99">
      <c r="A99" t="inlineStr">
        <is>
          <t>Total return</t>
        </is>
      </c>
      <c r="B99">
        <f>SUMIFS(Human_Data_Entry!$AT$3:$AT$524,Human_Data_Entry!$AP$3:$AP$524,"YES")</f>
        <v/>
      </c>
      <c r="C99">
        <f>SUMIFS(Human_Data_Entry!$AU$3:$AU$524,Human_Data_Entry!$AP$3:$AP$524,"YES")</f>
        <v/>
      </c>
      <c r="D99">
        <f>SUMIFS(LLM_Data_Entry!$AM$3:$AM$430,LLM_Data_Entry!$AK$3:$AK$430,"YES")</f>
        <v/>
      </c>
      <c r="E99">
        <f>SUMIFS(LLM_Data_Entry!$AN$3:$AN$430,LLM_Data_Entry!$AK$3:$AK$430,"YES")</f>
        <v/>
      </c>
    </row>
    <row r="100">
      <c r="A100" t="inlineStr">
        <is>
          <t>Mean return per trade</t>
        </is>
      </c>
      <c r="B100">
        <f>IFERROR(B99/B98,"")</f>
        <v/>
      </c>
      <c r="C100">
        <f>IFERROR(C99/C98,"")</f>
        <v/>
      </c>
      <c r="D100">
        <f>IFERROR(D99/D98,"")</f>
        <v/>
      </c>
      <c r="E100">
        <f>IFERROR(E99/E98,"")</f>
        <v/>
      </c>
    </row>
    <row r="101">
      <c r="A101" t="inlineStr">
        <is>
          <t>Naive floor on the shared universe</t>
        </is>
      </c>
      <c r="B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
      </c>
      <c r="C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
      </c>
      <c r="D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
      </c>
      <c r="E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
      </c>
    </row>
    <row r="102">
      <c r="A102" t="inlineStr">
        <is>
          <t>Margin over that floor (percentage points)</t>
        </is>
      </c>
      <c r="B102">
        <f>(B97-B101)*100</f>
        <v/>
      </c>
      <c r="C102">
        <f>(C97-C101)*100</f>
        <v/>
      </c>
      <c r="D102">
        <f>(D97-D101)*100</f>
        <v/>
      </c>
      <c r="E102">
        <f>(E97-E101)*100</f>
        <v/>
      </c>
    </row>
    <row r="103">
      <c r="A103" t="inlineStr">
        <is>
          <t>% correct on the FULL universe, for comparison</t>
        </is>
      </c>
      <c r="B103">
        <f>IFERROR(COUNTIFS(Human_Data_Entry!$S$3:$S$524,"YES",Human_Data_Entry!$H$3:$H$524,"Human")/COUNTIFS(Human_Data_Entry!$S$3:$S$524,"?*",Human_Data_Entry!$H$3:$H$524,"Human"),"")</f>
        <v/>
      </c>
      <c r="C103">
        <f>IFERROR(COUNTIFS(Human_Data_Entry!$AJ$3:$AJ$524,"YES",Human_Data_Entry!$H$3:$H$524,"Human")/COUNTIFS(Human_Data_Entry!$AJ$3:$AJ$524,"?*",Human_Data_Entry!$H$3:$H$524,"Human"),"")</f>
        <v/>
      </c>
      <c r="D103">
        <f>IFERROR(COUNTIFS(LLM_Data_Entry!$R$3:$R$430,"YES")/COUNTIFS(LLM_Data_Entry!$R$3:$R$430,"?*"),"")</f>
        <v/>
      </c>
      <c r="E103">
        <f>IFERROR(COUNTIFS(LLM_Data_Entry!$AE$3:$AE$430,"YES")/COUNTIFS(LLM_Data_Entry!$AE$3:$AE$430,"?*"),"")</f>
        <v/>
      </c>
    </row>
    <row r="105">
      <c r="A105" t="inlineStr">
        <is>
          <t>D5j - Extension 9: total return against round-trip friction</t>
        </is>
      </c>
    </row>
    <row r="106">
      <c r="A106" t="inlineStr">
        <is>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is>
      </c>
    </row>
    <row r="108">
      <c r="A108" t="inlineStr">
        <is>
          <t>Round-trip cost (bps)</t>
        </is>
      </c>
      <c r="B108" t="inlineStr">
        <is>
          <t>Human published</t>
        </is>
      </c>
      <c r="C108" t="inlineStr">
        <is>
          <t>Human re-priced</t>
        </is>
      </c>
      <c r="D108" t="inlineStr">
        <is>
          <t>LLM published</t>
        </is>
      </c>
      <c r="E108" t="inlineStr">
        <is>
          <t>LLM re-priced</t>
        </is>
      </c>
    </row>
    <row r="109">
      <c r="A109" t="inlineStr">
        <is>
          <t># Trades</t>
        </is>
      </c>
      <c r="B109">
        <f>COUNT(Human_Data_Entry!$AT$3:$AT$524)</f>
        <v/>
      </c>
      <c r="C109">
        <f>COUNT(Human_Data_Entry!$AU$3:$AU$524)</f>
        <v/>
      </c>
      <c r="D109">
        <f>COUNT(LLM_Data_Entry!$AM$3:$AM$430)</f>
        <v/>
      </c>
      <c r="E109">
        <f>COUNT(LLM_Data_Entry!$AN$3:$AN$430)</f>
        <v/>
      </c>
    </row>
    <row r="110">
      <c r="A110" t="inlineStr">
        <is>
          <t>Total return as published (at Settings!B4)</t>
        </is>
      </c>
      <c r="B110">
        <f>SUM(Human_Data_Entry!$AT$3:$AT$524)</f>
        <v/>
      </c>
      <c r="C110">
        <f>SUM(Human_Data_Entry!$AU$3:$AU$524)</f>
        <v/>
      </c>
      <c r="D110">
        <f>SUM(LLM_Data_Entry!$AM$3:$AM$430)</f>
        <v/>
      </c>
      <c r="E110">
        <f>SUM(LLM_Data_Entry!$AN$3:$AN$430)</f>
        <v/>
      </c>
    </row>
    <row r="111">
      <c r="A111" t="n">
        <v>0</v>
      </c>
      <c r="B111">
        <f>B110+B109*(Settings!$B$4-0)/10000</f>
        <v/>
      </c>
      <c r="C111">
        <f>C110+C109*(Settings!$B$4-0)/10000</f>
        <v/>
      </c>
      <c r="D111">
        <f>D110+D109*(Settings!$B$4-0)/10000</f>
        <v/>
      </c>
      <c r="E111">
        <f>E110+E109*(Settings!$B$4-0)/10000</f>
        <v/>
      </c>
    </row>
    <row r="112">
      <c r="A112" t="n">
        <v>5</v>
      </c>
      <c r="B112">
        <f>B110+B109*(Settings!$B$4-5)/10000</f>
        <v/>
      </c>
      <c r="C112">
        <f>C110+C109*(Settings!$B$4-5)/10000</f>
        <v/>
      </c>
      <c r="D112">
        <f>D110+D109*(Settings!$B$4-5)/10000</f>
        <v/>
      </c>
      <c r="E112">
        <f>E110+E109*(Settings!$B$4-5)/10000</f>
        <v/>
      </c>
    </row>
    <row r="113">
      <c r="A113" t="n">
        <v>10</v>
      </c>
      <c r="B113">
        <f>B110+B109*(Settings!$B$4-10)/10000</f>
        <v/>
      </c>
      <c r="C113">
        <f>C110+C109*(Settings!$B$4-10)/10000</f>
        <v/>
      </c>
      <c r="D113">
        <f>D110+D109*(Settings!$B$4-10)/10000</f>
        <v/>
      </c>
      <c r="E113">
        <f>E110+E109*(Settings!$B$4-10)/10000</f>
        <v/>
      </c>
    </row>
    <row r="114">
      <c r="A114" t="n">
        <v>20</v>
      </c>
      <c r="B114">
        <f>B110+B109*(Settings!$B$4-20)/10000</f>
        <v/>
      </c>
      <c r="C114">
        <f>C110+C109*(Settings!$B$4-20)/10000</f>
        <v/>
      </c>
      <c r="D114">
        <f>D110+D109*(Settings!$B$4-20)/10000</f>
        <v/>
      </c>
      <c r="E114">
        <f>E110+E109*(Settings!$B$4-20)/10000</f>
        <v/>
      </c>
    </row>
    <row r="115">
      <c r="A115" t="n">
        <v>30</v>
      </c>
      <c r="B115">
        <f>B110+B109*(Settings!$B$4-30)/10000</f>
        <v/>
      </c>
      <c r="C115">
        <f>C110+C109*(Settings!$B$4-30)/10000</f>
        <v/>
      </c>
      <c r="D115">
        <f>D110+D109*(Settings!$B$4-30)/10000</f>
        <v/>
      </c>
      <c r="E115">
        <f>E110+E109*(Settings!$B$4-30)/10000</f>
        <v/>
      </c>
    </row>
    <row r="116">
      <c r="A116" t="n">
        <v>50</v>
      </c>
      <c r="B116">
        <f>B110+B109*(Settings!$B$4-50)/10000</f>
        <v/>
      </c>
      <c r="C116">
        <f>C110+C109*(Settings!$B$4-50)/10000</f>
        <v/>
      </c>
      <c r="D116">
        <f>D110+D109*(Settings!$B$4-50)/10000</f>
        <v/>
      </c>
      <c r="E116">
        <f>E110+E109*(Settings!$B$4-50)/10000</f>
        <v/>
      </c>
    </row>
    <row r="117">
      <c r="A117" t="n">
        <v>100</v>
      </c>
      <c r="B117">
        <f>B110+B109*(Settings!$B$4-100)/10000</f>
        <v/>
      </c>
      <c r="C117">
        <f>C110+C109*(Settings!$B$4-100)/10000</f>
        <v/>
      </c>
      <c r="D117">
        <f>D110+D109*(Settings!$B$4-100)/10000</f>
        <v/>
      </c>
      <c r="E117">
        <f>E110+E109*(Settings!$B$4-100)/10000</f>
        <v/>
      </c>
    </row>
    <row r="118">
      <c r="A118" t="inlineStr">
        <is>
          <t>Break-even round-trip cost (bps)</t>
        </is>
      </c>
      <c r="B118">
        <f>IFERROR((B110/B109)*10000+Settings!$B$4,"")</f>
        <v/>
      </c>
      <c r="C118">
        <f>IFERROR((C110/C109)*10000+Settings!$B$4,"")</f>
        <v/>
      </c>
      <c r="D118">
        <f>IFERROR((D110/D109)*10000+Settings!$B$4,"")</f>
        <v/>
      </c>
      <c r="E118">
        <f>IFERROR((E110/E109)*10000+Settings!$B$4,"")</f>
        <v/>
      </c>
    </row>
    <row r="119">
      <c r="A119" t="inlineStr">
        <is>
          <t>Still positive at 50 bps?</t>
        </is>
      </c>
      <c r="B119">
        <f>IF(B116&gt;0,"YES","NO")</f>
        <v/>
      </c>
      <c r="C119">
        <f>IF(C116&gt;0,"YES","NO")</f>
        <v/>
      </c>
      <c r="D119">
        <f>IF(D116&gt;0,"YES","NO")</f>
        <v/>
      </c>
      <c r="E119">
        <f>IF(E116&gt;0,"YES","NO")</f>
        <v/>
      </c>
    </row>
    <row r="121">
      <c r="A121" t="inlineStr">
        <is>
          <t>SECTION E - WHAT THE SPEED FIGURES REST ON</t>
        </is>
      </c>
      <c r="C121" t="inlineStr">
        <is>
          <t>LLM_Data_Entry column I is empty on every row, so B8 falls through to the B11 placeholder of 8 seconds. Twelve figures on this sheet are a function of that constant: C14, C15, C16, C25, C33, C34 and the five ratios beside them. Nothing below changes any of them.</t>
        </is>
      </c>
    </row>
    <row r="123">
      <c r="A123" t="inlineStr">
        <is>
          <t>E6a. Every model speed figure, priced across the runtime it assumes</t>
        </is>
      </c>
    </row>
    <row r="124">
      <c r="A124" t="inlineStr">
        <is>
          <t>Assumed sec/doc</t>
        </is>
      </c>
      <c r="B124" t="inlineStr">
        <is>
          <t>Total model hours</t>
        </is>
      </c>
      <c r="C124" t="inlineStr">
        <is>
          <t>Docs per hour</t>
        </is>
      </c>
      <c r="D124" t="inlineStr">
        <is>
          <t>Minutes per correct call</t>
        </is>
      </c>
      <c r="E124" t="inlineStr">
        <is>
          <t>Return per hour %</t>
        </is>
      </c>
      <c r="F124" t="inlineStr">
        <is>
          <t>Times faster than the human</t>
        </is>
      </c>
      <c r="G124" t="inlineStr">
        <is>
          <t>Status</t>
        </is>
      </c>
    </row>
    <row r="125">
      <c r="A125" t="n">
        <v>1</v>
      </c>
      <c r="B125">
        <f>$C$13*A125/3600</f>
        <v/>
      </c>
      <c r="C125">
        <f>IFERROR($C$13/B125,"")</f>
        <v/>
      </c>
      <c r="D125">
        <f>IFERROR(B125*60/$C$22,"")</f>
        <v/>
      </c>
      <c r="E125">
        <f>IFERROR($C$31/B125,"")</f>
        <v/>
      </c>
      <c r="F125">
        <f>IFERROR(C125/$B$16,"")</f>
        <v/>
      </c>
    </row>
    <row r="126">
      <c r="A126" t="n">
        <v>2</v>
      </c>
      <c r="B126">
        <f>$C$13*A126/3600</f>
        <v/>
      </c>
      <c r="C126">
        <f>IFERROR($C$13/B126,"")</f>
        <v/>
      </c>
      <c r="D126">
        <f>IFERROR(B126*60/$C$22,"")</f>
        <v/>
      </c>
      <c r="E126">
        <f>IFERROR($C$31/B126,"")</f>
        <v/>
      </c>
      <c r="F126">
        <f>IFERROR(C126/$B$16,"")</f>
        <v/>
      </c>
    </row>
    <row r="127">
      <c r="A127" t="n">
        <v>4</v>
      </c>
      <c r="B127">
        <f>$C$13*A127/3600</f>
        <v/>
      </c>
      <c r="C127">
        <f>IFERROR($C$13/B127,"")</f>
        <v/>
      </c>
      <c r="D127">
        <f>IFERROR(B127*60/$C$22,"")</f>
        <v/>
      </c>
      <c r="E127">
        <f>IFERROR($C$31/B127,"")</f>
        <v/>
      </c>
      <c r="F127">
        <f>IFERROR(C127/$B$16,"")</f>
        <v/>
      </c>
    </row>
    <row r="128">
      <c r="A128" t="n">
        <v>8</v>
      </c>
      <c r="B128">
        <f>$C$13*A128/3600</f>
        <v/>
      </c>
      <c r="C128">
        <f>IFERROR($C$13/B128,"")</f>
        <v/>
      </c>
      <c r="D128">
        <f>IFERROR(B128*60/$C$22,"")</f>
        <v/>
      </c>
      <c r="E128">
        <f>IFERROR($C$31/B128,"")</f>
        <v/>
      </c>
      <c r="F128">
        <f>IFERROR(C128/$B$16,"")</f>
        <v/>
      </c>
      <c r="G128" t="inlineStr">
        <is>
          <t>the placeholder the sheet is using, declared nowhere above row 85</t>
        </is>
      </c>
    </row>
    <row r="129">
      <c r="A129" t="n">
        <v>14.3075</v>
      </c>
      <c r="B129">
        <f>$C$13*A129/3600</f>
        <v/>
      </c>
      <c r="C129">
        <f>IFERROR($C$13/B129,"")</f>
        <v/>
      </c>
      <c r="D129">
        <f>IFERROR(B129*60/$C$22,"")</f>
        <v/>
      </c>
      <c r="E129">
        <f>IFERROR($C$31/B129,"")</f>
        <v/>
      </c>
      <c r="F129">
        <f>IFERROR(C129/$B$16,"")</f>
        <v/>
      </c>
      <c r="G129" t="inlineStr">
        <is>
          <t>the only measurement ever taken (n=4, Airbnb, v1)</t>
        </is>
      </c>
    </row>
    <row r="130">
      <c r="A130" t="n">
        <v>15</v>
      </c>
      <c r="B130">
        <f>$C$13*A130/3600</f>
        <v/>
      </c>
      <c r="C130">
        <f>IFERROR($C$13/B130,"")</f>
        <v/>
      </c>
      <c r="D130">
        <f>IFERROR(B130*60/$C$22,"")</f>
        <v/>
      </c>
      <c r="E130">
        <f>IFERROR($C$31/B130,"")</f>
        <v/>
      </c>
      <c r="F130">
        <f>IFERROR(C130/$B$16,"")</f>
        <v/>
      </c>
    </row>
    <row r="131">
      <c r="A131" t="n">
        <v>30</v>
      </c>
      <c r="B131">
        <f>$C$13*A131/3600</f>
        <v/>
      </c>
      <c r="C131">
        <f>IFERROR($C$13/B131,"")</f>
        <v/>
      </c>
      <c r="D131">
        <f>IFERROR(B131*60/$C$22,"")</f>
        <v/>
      </c>
      <c r="E131">
        <f>IFERROR($C$31/B131,"")</f>
        <v/>
      </c>
      <c r="F131">
        <f>IFERROR(C131/$B$16,"")</f>
        <v/>
      </c>
    </row>
    <row r="132">
      <c r="A132" t="n">
        <v>60</v>
      </c>
      <c r="B132">
        <f>$C$13*A132/3600</f>
        <v/>
      </c>
      <c r="C132">
        <f>IFERROR($C$13/B132,"")</f>
        <v/>
      </c>
      <c r="D132">
        <f>IFERROR(B132*60/$C$22,"")</f>
        <v/>
      </c>
      <c r="E132">
        <f>IFERROR($C$31/B132,"")</f>
        <v/>
      </c>
      <c r="F132">
        <f>IFERROR(C132/$B$16,"")</f>
        <v/>
      </c>
    </row>
    <row r="133">
      <c r="A133" t="n">
        <v>120</v>
      </c>
      <c r="B133">
        <f>$C$13*A133/3600</f>
        <v/>
      </c>
      <c r="C133">
        <f>IFERROR($C$13/B133,"")</f>
        <v/>
      </c>
      <c r="D133">
        <f>IFERROR(B133*60/$C$22,"")</f>
        <v/>
      </c>
      <c r="E133">
        <f>IFERROR($C$31/B133,"")</f>
        <v/>
      </c>
      <c r="F133">
        <f>IFERROR(C133/$B$16,"")</f>
        <v/>
      </c>
    </row>
    <row r="134">
      <c r="A134" t="inlineStr">
        <is>
          <t>Runtime at which the model reads no faster than the human</t>
        </is>
      </c>
      <c r="B134">
        <f>IFERROR(3600/$B$16,"")</f>
        <v/>
      </c>
      <c r="C134" t="inlineStr">
        <is>
          <t>Seconds per document. The advantage is large under every plausible runtime; what the placeholder decides is the size of the number quoted, not the direction.</t>
        </is>
      </c>
    </row>
    <row r="136">
      <c r="A136" t="inlineStr">
        <is>
          <t>E6b. The human side of the same comparison</t>
        </is>
      </c>
      <c r="C136" t="inlineStr">
        <is>
          <t>17 readings record two passes inside one row, with the minutes summed. The document count treats them as one read; the minutes count both.</t>
        </is>
      </c>
    </row>
    <row r="137">
      <c r="A137" t="inlineStr">
        <is>
          <t>Measure</t>
        </is>
      </c>
      <c r="B137" t="inlineStr">
        <is>
          <t>As published</t>
        </is>
      </c>
      <c r="C137" t="inlineStr">
        <is>
          <t>Counting each recorded pass</t>
        </is>
      </c>
    </row>
    <row r="138">
      <c r="A138" t="inlineStr">
        <is>
          <t>Documents read</t>
        </is>
      </c>
      <c r="B138" t="n">
        <v>404</v>
      </c>
      <c r="C138" t="n">
        <v>421</v>
      </c>
    </row>
    <row r="139">
      <c r="A139" t="inlineStr">
        <is>
          <t>Total effort (hours)</t>
        </is>
      </c>
      <c r="B139" t="n">
        <v>190.4333</v>
      </c>
      <c r="C139" t="inlineStr">
        <is>
          <t>Unchanged - the minutes were always the sum of both passes.</t>
        </is>
      </c>
    </row>
    <row r="140">
      <c r="A140" t="inlineStr">
        <is>
          <t>Minutes per document</t>
        </is>
      </c>
      <c r="B140" t="n">
        <v>28.2822</v>
      </c>
      <c r="C140" t="n">
        <v>27.1401</v>
      </c>
    </row>
    <row r="141">
      <c r="A141" t="inlineStr">
        <is>
          <t>Documents per hour</t>
        </is>
      </c>
      <c r="B141" t="n">
        <v>2.1215</v>
      </c>
      <c r="C141" t="n">
        <v>2.2107</v>
      </c>
    </row>
    <row r="142">
      <c r="A142" t="inlineStr">
        <is>
          <t>Model advantage at the 8s placeholder</t>
        </is>
      </c>
      <c r="B142" t="n">
        <v>212.1</v>
      </c>
      <c r="C142" t="n">
        <v>203.6</v>
      </c>
    </row>
    <row r="143">
      <c r="A143" t="inlineStr">
        <is>
          <t>Model advantage at the measured 14.31s</t>
        </is>
      </c>
      <c r="B143" t="n">
        <v>118.6</v>
      </c>
      <c r="C143" t="n">
        <v>113.8</v>
      </c>
    </row>
    <row r="145">
      <c r="A145" t="inlineStr">
        <is>
          <t>SECTION H - EFFICIENCY ON THE DE-DUPLICATED BASIS</t>
        </is>
      </c>
      <c r="C145" t="inlineStr">
        <is>
          <t>The block above counts every reading. From 10 August 2026 the headline counts one reading per rater-event, so the human arm's cost and time are restated on that basis here. H5 also restored 80 minutes to six of David's readings.</t>
        </is>
      </c>
    </row>
    <row r="146">
      <c r="A146" t="inlineStr">
        <is>
          <t>Measure</t>
        </is>
      </c>
      <c r="B146" t="inlineStr">
        <is>
          <t>HEADLINE: one per rater-event</t>
        </is>
      </c>
      <c r="C146" t="inlineStr">
        <is>
          <t>Robustness: pooled</t>
        </is>
      </c>
      <c r="D146" t="inlineStr">
        <is>
          <t>Note</t>
        </is>
      </c>
    </row>
    <row r="147">
      <c r="A147" t="inlineStr">
        <is>
          <t>Scored human readings</t>
        </is>
      </c>
      <c r="B147">
        <f>COUNTIFS(Human_Data_Entry!$H$3:$H$524,"Human",Human_Data_Entry!$S$3:$S$524,"?*",Human_Data_Entry!$BC$3:$BC$524,1)</f>
        <v/>
      </c>
      <c r="C147">
        <f>COUNTIFS(Human_Data_Entry!$H$3:$H$524,"Human",Human_Data_Entry!$S$3:$S$524,"?*")</f>
        <v/>
      </c>
    </row>
    <row r="148">
      <c r="A148" t="inlineStr">
        <is>
          <t>Human minutes</t>
        </is>
      </c>
      <c r="B148">
        <f>SUMIFS(Human_Data_Entry!$K$3:$K$524,Human_Data_Entry!$H$3:$H$524,"Human",Human_Data_Entry!$S$3:$S$524,"?*",Human_Data_Entry!$BC$3:$BC$524,1)</f>
        <v/>
      </c>
      <c r="C148">
        <f>SUMIFS(Human_Data_Entry!$K$3:$K$524,Human_Data_Entry!$H$3:$H$524,"Human",Human_Data_Entry!$S$3:$S$524,"?*")</f>
        <v/>
      </c>
    </row>
    <row r="149">
      <c r="A149" t="inlineStr">
        <is>
          <t>Minutes per reading</t>
        </is>
      </c>
      <c r="B149">
        <f>IFERROR(SUMIFS(Human_Data_Entry!$K$3:$K$524,Human_Data_Entry!$H$3:$H$524,"Human",Human_Data_Entry!$S$3:$S$524,"?*",Human_Data_Entry!$BC$3:$BC$524,1)/COUNTIFS(Human_Data_Entry!$H$3:$H$524,"Human",Human_Data_Entry!$S$3:$S$524,"?*",Human_Data_Entry!$BC$3:$BC$524,1),"")</f>
        <v/>
      </c>
      <c r="C149">
        <f>IFERROR(SUMIFS(Human_Data_Entry!$K$3:$K$524,Human_Data_Entry!$H$3:$H$524,"Human",Human_Data_Entry!$S$3:$S$524,"?*")/COUNTIFS(Human_Data_Entry!$H$3:$H$524,"Human",Human_Data_Entry!$S$3:$S$524,"?*"),"")</f>
        <v/>
      </c>
    </row>
    <row r="150">
      <c r="A150" t="inlineStr">
        <is>
          <t>Human hours</t>
        </is>
      </c>
      <c r="B150">
        <f>IFERROR(SUMIFS(Human_Data_Entry!$K$3:$K$524,Human_Data_Entry!$H$3:$H$524,"Human",Human_Data_Entry!$S$3:$S$524,"?*",Human_Data_Entry!$BC$3:$BC$524,1)/60,"")</f>
        <v/>
      </c>
      <c r="C150">
        <f>IFERROR(SUMIFS(Human_Data_Entry!$K$3:$K$524,Human_Data_Entry!$H$3:$H$524,"Human",Human_Data_Entry!$S$3:$S$524,"?*")/60,"")</f>
        <v/>
      </c>
    </row>
    <row r="151">
      <c r="A151" t="inlineStr">
        <is>
          <t>Return per human hour</t>
        </is>
      </c>
      <c r="B151">
        <f>IFERROR(SUMIFS(Human_Data_Entry!$U$3:$U$524,Human_Data_Entry!$H$3:$H$524,"Human",Human_Data_Entry!$J$3:$J$524,"&lt;&gt;HOLD",Human_Data_Entry!$S$3:$S$524,"?*",Human_Data_Entry!$BC$3:$BC$524,1)/(SUMIFS(Human_Data_Entry!$K$3:$K$524,Human_Data_Entry!$H$3:$H$524,"Human",Human_Data_Entry!$S$3:$S$524,"?*",Human_Data_Entry!$BC$3:$BC$524,1)/60),"")</f>
        <v/>
      </c>
      <c r="C151">
        <f>IFERROR(SUMIFS(Human_Data_Entry!$U$3:$U$524,Human_Data_Entry!$H$3:$H$524,"Human",Human_Data_Entry!$J$3:$J$524,"&lt;&gt;HOLD",Human_Data_Entry!$S$3:$S$524,"?*")/(SUMIFS(Human_Data_Entry!$K$3:$K$524,Human_Data_Entry!$H$3:$H$524,"Human",Human_Data_Entry!$S$3:$S$524,"?*")/60),"")</f>
        <v/>
      </c>
      <c r="D151" t="inlineStr">
        <is>
          <t>Both columns fall against the published figure: H2 removes return and H5 adds hours.</t>
        </is>
      </c>
    </row>
    <row r="153">
      <c r="A153" t="inlineStr">
        <is>
          <t>Model latency per document</t>
        </is>
      </c>
      <c r="B153" t="n">
        <v>8</v>
      </c>
      <c r="C153" t="inlineStr">
        <is>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207"/>
  <sheetViews>
    <sheetView showGridLines="0" tabSelected="1" workbookViewId="0">
      <pane ySplit="2" topLeftCell="D3" activePane="bottomLeft" state="frozen"/>
      <selection pane="bottomLeft" activeCell="C82" sqref="C82"/>
    </sheetView>
  </sheetViews>
  <sheetFormatPr baseColWidth="8" defaultColWidth="11.42578125" defaultRowHeight="15"/>
  <cols>
    <col width="24" bestFit="1" customWidth="1" min="1" max="1"/>
    <col width="10" customWidth="1" min="2" max="2"/>
    <col width="16" customWidth="1" min="3" max="3"/>
    <col width="15.85546875" bestFit="1" customWidth="1" min="6" max="6"/>
    <col width="16.85546875" customWidth="1" min="9" max="9"/>
  </cols>
  <sheetData>
    <row r="1" ht="22.35" customHeight="1">
      <c r="A1" s="12" t="inlineStr">
        <is>
          <t>Company Reference List</t>
        </is>
      </c>
      <c r="G1" t="inlineStr">
        <is>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is>
      </c>
    </row>
    <row r="2" ht="22.35" customHeight="1">
      <c r="A2" s="66" t="inlineStr">
        <is>
          <t>Company</t>
        </is>
      </c>
      <c r="B2" s="66" t="inlineStr">
        <is>
          <t>Ticker</t>
        </is>
      </c>
      <c r="C2" s="66" t="inlineStr">
        <is>
          <t>Owner</t>
        </is>
      </c>
      <c r="E2" t="inlineStr">
        <is>
          <t>Rater</t>
        </is>
      </c>
      <c r="F2" t="inlineStr">
        <is>
          <t>Company Count</t>
        </is>
      </c>
      <c r="G2" t="inlineStr">
        <is>
          <t>Phase</t>
        </is>
      </c>
      <c r="H2" t="inlineStr">
        <is>
          <t>Sector</t>
        </is>
      </c>
      <c r="I2" t="inlineStr">
        <is>
          <t>Corpus Folder</t>
        </is>
      </c>
      <c r="J2" t="inlineStr">
        <is>
          <t>Corpus Documents</t>
        </is>
      </c>
    </row>
    <row r="3" ht="16.35" customHeight="1">
      <c r="A3" s="19" t="inlineStr">
        <is>
          <t>Netflix</t>
        </is>
      </c>
      <c r="B3" s="20" t="inlineStr">
        <is>
          <t>NFLX</t>
        </is>
      </c>
      <c r="C3" s="19" t="inlineStr">
        <is>
          <t>David</t>
        </is>
      </c>
      <c r="E3" t="inlineStr">
        <is>
          <t>Abdul</t>
        </is>
      </c>
      <c r="F3">
        <f>COUNTIF($C:$C,E3)</f>
        <v/>
      </c>
      <c r="G3" t="inlineStr">
        <is>
          <t>P2</t>
        </is>
      </c>
      <c r="H3" t="inlineStr">
        <is>
          <t>Communication Services</t>
        </is>
      </c>
      <c r="I3" t="inlineStr">
        <is>
          <t>Phase 2/Netflix</t>
        </is>
      </c>
      <c r="J3" t="n">
        <v>14</v>
      </c>
    </row>
    <row r="4" ht="16.35" customHeight="1">
      <c r="A4" s="19" t="inlineStr">
        <is>
          <t>Target</t>
        </is>
      </c>
      <c r="B4" s="20" t="inlineStr">
        <is>
          <t>TGT</t>
        </is>
      </c>
      <c r="C4" s="19" t="inlineStr">
        <is>
          <t>Abdul</t>
        </is>
      </c>
      <c r="E4" t="inlineStr">
        <is>
          <t>Anna</t>
        </is>
      </c>
      <c r="F4">
        <f>COUNTIF($C:$C,E4)</f>
        <v/>
      </c>
      <c r="G4" t="inlineStr">
        <is>
          <t>both</t>
        </is>
      </c>
      <c r="H4" t="inlineStr">
        <is>
          <t>Consumer Staples</t>
        </is>
      </c>
      <c r="I4" t="inlineStr">
        <is>
          <t>Phase 2/Target; Phase 3/Readings/Target</t>
        </is>
      </c>
      <c r="J4" t="n">
        <v>16</v>
      </c>
    </row>
    <row r="5" ht="16.35" customHeight="1">
      <c r="A5" s="19" t="inlineStr">
        <is>
          <t>Boeing</t>
        </is>
      </c>
      <c r="B5" s="20" t="inlineStr">
        <is>
          <t>BA</t>
        </is>
      </c>
      <c r="C5" s="19" t="inlineStr">
        <is>
          <t>Nigel</t>
        </is>
      </c>
      <c r="E5" t="inlineStr">
        <is>
          <t>David</t>
        </is>
      </c>
      <c r="F5">
        <f>COUNTIF($C:$C,E5)</f>
        <v/>
      </c>
      <c r="G5" t="inlineStr">
        <is>
          <t>P2</t>
        </is>
      </c>
      <c r="H5" t="inlineStr">
        <is>
          <t>Industrials</t>
        </is>
      </c>
      <c r="I5" t="inlineStr">
        <is>
          <t>Phase 2/Boeing</t>
        </is>
      </c>
      <c r="J5" t="n">
        <v>20</v>
      </c>
    </row>
    <row r="6" ht="16.35" customHeight="1">
      <c r="A6" s="19" t="inlineStr">
        <is>
          <t>Bank of America</t>
        </is>
      </c>
      <c r="B6" s="20" t="inlineStr">
        <is>
          <t>BAC</t>
        </is>
      </c>
      <c r="C6" s="19" t="inlineStr">
        <is>
          <t>Abdul</t>
        </is>
      </c>
      <c r="E6" t="inlineStr">
        <is>
          <t>Dragos</t>
        </is>
      </c>
      <c r="F6">
        <f>COUNTIF($C:$C,E6)</f>
        <v/>
      </c>
      <c r="G6" t="inlineStr">
        <is>
          <t>P2</t>
        </is>
      </c>
      <c r="H6" t="inlineStr">
        <is>
          <t>Financials</t>
        </is>
      </c>
      <c r="I6" t="inlineStr">
        <is>
          <t>Phase 2/bank of america</t>
        </is>
      </c>
      <c r="J6" t="n">
        <v>25</v>
      </c>
    </row>
    <row r="7" ht="16.35" customHeight="1">
      <c r="A7" s="19" t="inlineStr">
        <is>
          <t>JPMorgan</t>
        </is>
      </c>
      <c r="B7" s="20" t="inlineStr">
        <is>
          <t>JPM</t>
        </is>
      </c>
      <c r="C7" s="19" t="inlineStr">
        <is>
          <t>Nigel</t>
        </is>
      </c>
      <c r="E7" t="inlineStr">
        <is>
          <t>Meriem</t>
        </is>
      </c>
      <c r="F7">
        <f>COUNTIF($C:$C,E7)</f>
        <v/>
      </c>
      <c r="G7" t="inlineStr">
        <is>
          <t>P2</t>
        </is>
      </c>
      <c r="H7" t="inlineStr">
        <is>
          <t>Financials</t>
        </is>
      </c>
      <c r="I7" t="inlineStr">
        <is>
          <t>Phase 2/JPMC Documents</t>
        </is>
      </c>
      <c r="J7" t="n">
        <v>27</v>
      </c>
    </row>
    <row r="8" ht="16.35" customHeight="1">
      <c r="A8" s="19" t="inlineStr">
        <is>
          <t>Apple</t>
        </is>
      </c>
      <c r="B8" s="20" t="inlineStr">
        <is>
          <t>AAPL</t>
        </is>
      </c>
      <c r="C8" s="19" t="inlineStr">
        <is>
          <t>Meriem</t>
        </is>
      </c>
      <c r="E8" t="inlineStr">
        <is>
          <t>Nigel</t>
        </is>
      </c>
      <c r="F8">
        <f>COUNTIF($C:$C,E8)</f>
        <v/>
      </c>
      <c r="G8" t="inlineStr">
        <is>
          <t>P2</t>
        </is>
      </c>
      <c r="H8" t="inlineStr">
        <is>
          <t>Information Technology</t>
        </is>
      </c>
      <c r="I8" t="inlineStr">
        <is>
          <t>Phase 2/Apple</t>
        </is>
      </c>
      <c r="J8" t="n">
        <v>6</v>
      </c>
    </row>
    <row r="9" ht="16.35" customHeight="1">
      <c r="A9" s="19" t="inlineStr">
        <is>
          <t>Microsoft</t>
        </is>
      </c>
      <c r="B9" s="20" t="inlineStr">
        <is>
          <t>MSFT</t>
        </is>
      </c>
      <c r="C9" s="19" t="inlineStr">
        <is>
          <t>Abdul</t>
        </is>
      </c>
      <c r="G9" t="inlineStr">
        <is>
          <t>P2</t>
        </is>
      </c>
      <c r="H9" t="inlineStr">
        <is>
          <t>Information Technology</t>
        </is>
      </c>
      <c r="I9" t="inlineStr">
        <is>
          <t>Phase 2/Microsoft</t>
        </is>
      </c>
      <c r="J9" t="n">
        <v>9</v>
      </c>
    </row>
    <row r="10" ht="16.35" customHeight="1">
      <c r="A10" s="19" t="inlineStr">
        <is>
          <t>Alphabet</t>
        </is>
      </c>
      <c r="B10" s="20" t="inlineStr">
        <is>
          <t>GOOGL</t>
        </is>
      </c>
      <c r="C10" s="19" t="inlineStr">
        <is>
          <t>David</t>
        </is>
      </c>
      <c r="G10" t="inlineStr">
        <is>
          <t>P2</t>
        </is>
      </c>
      <c r="H10" t="inlineStr">
        <is>
          <t>Communication Services</t>
        </is>
      </c>
      <c r="I10" t="inlineStr">
        <is>
          <t>Phase 2/Alphabet</t>
        </is>
      </c>
      <c r="J10" t="n">
        <v>8</v>
      </c>
    </row>
    <row r="11" ht="16.35" customHeight="1">
      <c r="A11" s="19" t="inlineStr">
        <is>
          <t>Amazon</t>
        </is>
      </c>
      <c r="B11" s="20" t="inlineStr">
        <is>
          <t>AMZN</t>
        </is>
      </c>
      <c r="C11" s="19" t="inlineStr">
        <is>
          <t>David</t>
        </is>
      </c>
      <c r="G11" t="inlineStr">
        <is>
          <t>P2</t>
        </is>
      </c>
      <c r="H11" t="inlineStr">
        <is>
          <t>Consumer Discretionary</t>
        </is>
      </c>
      <c r="I11" t="inlineStr">
        <is>
          <t>Phase 2/Amazon</t>
        </is>
      </c>
      <c r="J11" t="n">
        <v>6</v>
      </c>
    </row>
    <row r="12" ht="16.35" customHeight="1">
      <c r="A12" s="19" t="inlineStr">
        <is>
          <t>Meta</t>
        </is>
      </c>
      <c r="B12" s="20" t="inlineStr">
        <is>
          <t>META</t>
        </is>
      </c>
      <c r="C12" s="19" t="inlineStr">
        <is>
          <t>David</t>
        </is>
      </c>
      <c r="G12" t="inlineStr">
        <is>
          <t>P2</t>
        </is>
      </c>
      <c r="H12" t="inlineStr">
        <is>
          <t>Communication Services</t>
        </is>
      </c>
      <c r="I12" t="inlineStr">
        <is>
          <t>Phase 2/META</t>
        </is>
      </c>
      <c r="J12" t="n">
        <v>6</v>
      </c>
    </row>
    <row r="13" ht="16.35" customHeight="1">
      <c r="A13" s="19" t="inlineStr">
        <is>
          <t>Tesla</t>
        </is>
      </c>
      <c r="B13" s="20" t="inlineStr">
        <is>
          <t>TSLA</t>
        </is>
      </c>
      <c r="C13" s="19" t="inlineStr">
        <is>
          <t>David</t>
        </is>
      </c>
      <c r="G13" t="inlineStr">
        <is>
          <t>P2</t>
        </is>
      </c>
      <c r="H13" t="inlineStr">
        <is>
          <t>Consumer Discretionary</t>
        </is>
      </c>
      <c r="I13" t="inlineStr">
        <is>
          <t>Phase 2/Tesla</t>
        </is>
      </c>
      <c r="J13" t="n">
        <v>6</v>
      </c>
    </row>
    <row r="14" ht="16.35" customHeight="1">
      <c r="A14" s="19" t="inlineStr">
        <is>
          <t>AMD</t>
        </is>
      </c>
      <c r="B14" s="20" t="inlineStr">
        <is>
          <t>AMD</t>
        </is>
      </c>
      <c r="C14" s="19" t="inlineStr">
        <is>
          <t>David</t>
        </is>
      </c>
      <c r="G14" t="inlineStr">
        <is>
          <t>P2</t>
        </is>
      </c>
      <c r="H14" t="inlineStr">
        <is>
          <t>Information Technology</t>
        </is>
      </c>
      <c r="I14" t="inlineStr">
        <is>
          <t>Phase 2/AMD</t>
        </is>
      </c>
      <c r="J14" t="n">
        <v>6</v>
      </c>
    </row>
    <row r="15" ht="16.35" customHeight="1">
      <c r="A15" s="19" t="inlineStr">
        <is>
          <t>Intel</t>
        </is>
      </c>
      <c r="B15" s="20" t="inlineStr">
        <is>
          <t>INTC</t>
        </is>
      </c>
      <c r="C15" s="19" t="inlineStr">
        <is>
          <t>David</t>
        </is>
      </c>
      <c r="G15" t="inlineStr">
        <is>
          <t>P2</t>
        </is>
      </c>
      <c r="H15" t="inlineStr">
        <is>
          <t>Information Technology</t>
        </is>
      </c>
      <c r="I15" t="inlineStr">
        <is>
          <t>Phase 2/Intel</t>
        </is>
      </c>
      <c r="J15" t="n">
        <v>11</v>
      </c>
    </row>
    <row r="16" ht="16.35" customHeight="1">
      <c r="A16" s="19" t="inlineStr">
        <is>
          <t>Qualcomm</t>
        </is>
      </c>
      <c r="B16" s="20" t="inlineStr">
        <is>
          <t>QCOM</t>
        </is>
      </c>
      <c r="C16" s="19" t="n"/>
      <c r="G16" t="inlineStr">
        <is>
          <t>unmapped</t>
        </is>
      </c>
      <c r="H16" t="inlineStr">
        <is>
          <t>Information Technology</t>
        </is>
      </c>
      <c r="I16" t="inlineStr">
        <is>
          <t>none</t>
        </is>
      </c>
      <c r="J16" t="n">
        <v>0</v>
      </c>
    </row>
    <row r="17" ht="16.35" customHeight="1">
      <c r="A17" s="19" t="inlineStr">
        <is>
          <t>Broadcom</t>
        </is>
      </c>
      <c r="B17" s="20" t="inlineStr">
        <is>
          <t>AVGO</t>
        </is>
      </c>
      <c r="C17" s="19" t="inlineStr">
        <is>
          <t>David</t>
        </is>
      </c>
      <c r="G17" t="inlineStr">
        <is>
          <t>P2</t>
        </is>
      </c>
      <c r="H17" t="inlineStr">
        <is>
          <t>Information Technology</t>
        </is>
      </c>
      <c r="I17" t="inlineStr">
        <is>
          <t>Phase 2/Broadcom</t>
        </is>
      </c>
      <c r="J17" t="n">
        <v>8</v>
      </c>
    </row>
    <row r="18" ht="16.35" customHeight="1">
      <c r="A18" s="19" t="inlineStr">
        <is>
          <t>Oracle</t>
        </is>
      </c>
      <c r="B18" s="20" t="inlineStr">
        <is>
          <t>ORCL</t>
        </is>
      </c>
      <c r="C18" s="19" t="inlineStr">
        <is>
          <t>David</t>
        </is>
      </c>
      <c r="G18" t="inlineStr">
        <is>
          <t>P2</t>
        </is>
      </c>
      <c r="H18" t="inlineStr">
        <is>
          <t>Information Technology</t>
        </is>
      </c>
      <c r="I18" t="inlineStr">
        <is>
          <t>Phase 2/Oracle</t>
        </is>
      </c>
      <c r="J18" t="n">
        <v>8</v>
      </c>
    </row>
    <row r="19" ht="16.35" customHeight="1">
      <c r="A19" s="19" t="inlineStr">
        <is>
          <t>Salesforce</t>
        </is>
      </c>
      <c r="B19" s="20" t="inlineStr">
        <is>
          <t>CRM</t>
        </is>
      </c>
      <c r="C19" s="19" t="inlineStr">
        <is>
          <t>David</t>
        </is>
      </c>
      <c r="G19" t="inlineStr">
        <is>
          <t>P2</t>
        </is>
      </c>
      <c r="H19" t="inlineStr">
        <is>
          <t>Information Technology</t>
        </is>
      </c>
      <c r="I19" t="inlineStr">
        <is>
          <t>Phase 2/SalesForce</t>
        </is>
      </c>
      <c r="J19" t="n">
        <v>7</v>
      </c>
    </row>
    <row r="20" ht="16.35" customHeight="1">
      <c r="A20" s="19" t="inlineStr">
        <is>
          <t>Adobe</t>
        </is>
      </c>
      <c r="B20" s="20" t="inlineStr">
        <is>
          <t>ADBE</t>
        </is>
      </c>
      <c r="C20" s="19" t="inlineStr">
        <is>
          <t>Dragos</t>
        </is>
      </c>
      <c r="G20" t="inlineStr">
        <is>
          <t>P3</t>
        </is>
      </c>
      <c r="H20" t="inlineStr">
        <is>
          <t>Information Technology</t>
        </is>
      </c>
      <c r="I20" t="inlineStr">
        <is>
          <t>Phase 3/Readings/Adobe</t>
        </is>
      </c>
      <c r="J20" t="n">
        <v>16</v>
      </c>
    </row>
    <row r="21" ht="16.35" customHeight="1">
      <c r="A21" s="19" t="inlineStr">
        <is>
          <t>Cisco</t>
        </is>
      </c>
      <c r="B21" s="20" t="inlineStr">
        <is>
          <t>CSCO</t>
        </is>
      </c>
      <c r="C21" s="19" t="n"/>
      <c r="G21" t="inlineStr">
        <is>
          <t>unmapped</t>
        </is>
      </c>
      <c r="H21" t="inlineStr">
        <is>
          <t>Information Technology</t>
        </is>
      </c>
      <c r="I21" t="inlineStr">
        <is>
          <t>none</t>
        </is>
      </c>
      <c r="J21" t="n">
        <v>0</v>
      </c>
    </row>
    <row r="22" ht="16.35" customHeight="1">
      <c r="A22" s="19" t="inlineStr">
        <is>
          <t>IBM</t>
        </is>
      </c>
      <c r="B22" s="20" t="inlineStr">
        <is>
          <t>IBM</t>
        </is>
      </c>
      <c r="C22" s="19" t="inlineStr">
        <is>
          <t>Meriem</t>
        </is>
      </c>
      <c r="G22" t="inlineStr">
        <is>
          <t>P2</t>
        </is>
      </c>
      <c r="H22" t="inlineStr">
        <is>
          <t>Information Technology</t>
        </is>
      </c>
      <c r="I22" t="inlineStr">
        <is>
          <t>Phase 2/IBM</t>
        </is>
      </c>
      <c r="J22" t="n">
        <v>6</v>
      </c>
    </row>
    <row r="23" ht="16.35" customHeight="1">
      <c r="A23" s="19" t="inlineStr">
        <is>
          <t>Palantir</t>
        </is>
      </c>
      <c r="B23" s="20" t="inlineStr">
        <is>
          <t>PLTR</t>
        </is>
      </c>
      <c r="C23" s="19" t="inlineStr">
        <is>
          <t>Nigel</t>
        </is>
      </c>
      <c r="G23" t="inlineStr">
        <is>
          <t>P3</t>
        </is>
      </c>
      <c r="H23" t="inlineStr">
        <is>
          <t>Information Technology</t>
        </is>
      </c>
      <c r="I23" t="inlineStr">
        <is>
          <t>Phase 3/Readings/Palantir</t>
        </is>
      </c>
      <c r="J23" t="n">
        <v>20</v>
      </c>
    </row>
    <row r="24" ht="16.35" customHeight="1">
      <c r="A24" s="19" t="inlineStr">
        <is>
          <t>ServiceNow</t>
        </is>
      </c>
      <c r="B24" s="20" t="inlineStr">
        <is>
          <t>NOW</t>
        </is>
      </c>
      <c r="C24" s="19" t="n"/>
      <c r="G24" t="inlineStr">
        <is>
          <t>unmapped</t>
        </is>
      </c>
      <c r="H24" t="inlineStr">
        <is>
          <t>Information Technology</t>
        </is>
      </c>
      <c r="I24" t="inlineStr">
        <is>
          <t>none</t>
        </is>
      </c>
      <c r="J24" t="n">
        <v>0</v>
      </c>
    </row>
    <row r="25" ht="16.35" customHeight="1">
      <c r="A25" s="19" t="inlineStr">
        <is>
          <t>Snowflake</t>
        </is>
      </c>
      <c r="B25" s="20" t="inlineStr">
        <is>
          <t>SNOW</t>
        </is>
      </c>
      <c r="C25" s="19" t="n"/>
      <c r="G25" t="inlineStr">
        <is>
          <t>unmapped</t>
        </is>
      </c>
      <c r="H25" t="inlineStr">
        <is>
          <t>Information Technology</t>
        </is>
      </c>
      <c r="I25" t="inlineStr">
        <is>
          <t>none</t>
        </is>
      </c>
      <c r="J25" t="n">
        <v>0</v>
      </c>
    </row>
    <row r="26" ht="16.35" customHeight="1">
      <c r="A26" s="19" t="inlineStr">
        <is>
          <t>Shopify</t>
        </is>
      </c>
      <c r="B26" s="20" t="inlineStr">
        <is>
          <t>SHOP</t>
        </is>
      </c>
      <c r="C26" s="19" t="inlineStr">
        <is>
          <t>Meriem</t>
        </is>
      </c>
      <c r="G26" t="inlineStr">
        <is>
          <t>P3</t>
        </is>
      </c>
      <c r="H26" t="inlineStr">
        <is>
          <t>Information Technology</t>
        </is>
      </c>
      <c r="I26" t="inlineStr">
        <is>
          <t>Phase 3/Readings/Shopify</t>
        </is>
      </c>
      <c r="J26" t="n">
        <v>12</v>
      </c>
    </row>
    <row r="27" ht="16.35" customHeight="1">
      <c r="A27" s="19" t="inlineStr">
        <is>
          <t>SAP</t>
        </is>
      </c>
      <c r="B27" s="20" t="inlineStr">
        <is>
          <t>SAP</t>
        </is>
      </c>
      <c r="C27" s="19" t="n"/>
      <c r="G27" t="inlineStr">
        <is>
          <t>unmapped</t>
        </is>
      </c>
      <c r="H27" t="inlineStr">
        <is>
          <t>Information Technology</t>
        </is>
      </c>
      <c r="I27" t="inlineStr">
        <is>
          <t>none</t>
        </is>
      </c>
      <c r="J27" t="n">
        <v>0</v>
      </c>
    </row>
    <row r="28" ht="16.35" customHeight="1">
      <c r="A28" s="19" t="inlineStr">
        <is>
          <t>ASML</t>
        </is>
      </c>
      <c r="B28" s="20" t="inlineStr">
        <is>
          <t>ASML</t>
        </is>
      </c>
      <c r="C28" s="19" t="n"/>
      <c r="G28" t="inlineStr">
        <is>
          <t>unmapped</t>
        </is>
      </c>
      <c r="H28" t="inlineStr">
        <is>
          <t>Information Technology</t>
        </is>
      </c>
      <c r="I28" t="inlineStr">
        <is>
          <t>none</t>
        </is>
      </c>
      <c r="J28" t="n">
        <v>0</v>
      </c>
    </row>
    <row r="29" ht="16.35" customHeight="1">
      <c r="A29" s="19" t="inlineStr">
        <is>
          <t>TSMC</t>
        </is>
      </c>
      <c r="B29" s="20" t="inlineStr">
        <is>
          <t>TSM</t>
        </is>
      </c>
      <c r="C29" s="19" t="n"/>
      <c r="G29" t="inlineStr">
        <is>
          <t>unmapped</t>
        </is>
      </c>
      <c r="H29" t="inlineStr">
        <is>
          <t>Information Technology</t>
        </is>
      </c>
      <c r="I29" t="inlineStr">
        <is>
          <t>none</t>
        </is>
      </c>
      <c r="J29" t="n">
        <v>0</v>
      </c>
    </row>
    <row r="30" ht="16.35" customHeight="1">
      <c r="A30" s="19" t="inlineStr">
        <is>
          <t>Samsung Electronics</t>
        </is>
      </c>
      <c r="B30" s="20" t="inlineStr">
        <is>
          <t>005930.KS</t>
        </is>
      </c>
      <c r="C30" s="19" t="n"/>
      <c r="G30" t="inlineStr">
        <is>
          <t>unmapped</t>
        </is>
      </c>
      <c r="H30" t="inlineStr">
        <is>
          <t>Information Technology</t>
        </is>
      </c>
      <c r="I30" t="inlineStr">
        <is>
          <t>none</t>
        </is>
      </c>
      <c r="J30" t="n">
        <v>0</v>
      </c>
    </row>
    <row r="31" ht="16.35" customHeight="1">
      <c r="A31" s="19" t="inlineStr">
        <is>
          <t>Sony</t>
        </is>
      </c>
      <c r="B31" s="20" t="inlineStr">
        <is>
          <t>SONY</t>
        </is>
      </c>
      <c r="C31" s="19" t="inlineStr">
        <is>
          <t>Meriem</t>
        </is>
      </c>
      <c r="G31" t="inlineStr">
        <is>
          <t>P3</t>
        </is>
      </c>
      <c r="H31" t="inlineStr">
        <is>
          <t>Consumer Discretionary</t>
        </is>
      </c>
      <c r="I31" t="inlineStr">
        <is>
          <t>Phase 3/Readings/Sony</t>
        </is>
      </c>
      <c r="J31" t="n">
        <v>12</v>
      </c>
    </row>
    <row r="32" ht="16.35" customHeight="1">
      <c r="A32" s="19" t="inlineStr">
        <is>
          <t>Uber</t>
        </is>
      </c>
      <c r="B32" s="20" t="inlineStr">
        <is>
          <t>UBER</t>
        </is>
      </c>
      <c r="C32" s="19" t="inlineStr">
        <is>
          <t>Abdul</t>
        </is>
      </c>
      <c r="G32" t="inlineStr">
        <is>
          <t>P2</t>
        </is>
      </c>
      <c r="H32" t="inlineStr">
        <is>
          <t>Industrials</t>
        </is>
      </c>
      <c r="I32" t="inlineStr">
        <is>
          <t>Phase 2/Uber</t>
        </is>
      </c>
      <c r="J32" t="n">
        <v>8</v>
      </c>
    </row>
    <row r="33" ht="16.35" customHeight="1">
      <c r="A33" s="19" t="inlineStr">
        <is>
          <t>Airbnb</t>
        </is>
      </c>
      <c r="B33" s="20" t="inlineStr">
        <is>
          <t>ABNB</t>
        </is>
      </c>
      <c r="C33" s="19" t="inlineStr">
        <is>
          <t>Anna</t>
        </is>
      </c>
      <c r="G33" t="inlineStr">
        <is>
          <t>P2</t>
        </is>
      </c>
      <c r="H33" t="inlineStr">
        <is>
          <t>Consumer Discretionary</t>
        </is>
      </c>
      <c r="I33" t="inlineStr">
        <is>
          <t>Phase 2/Airbnb</t>
        </is>
      </c>
      <c r="J33" t="n">
        <v>7</v>
      </c>
    </row>
    <row r="34" ht="16.35" customHeight="1">
      <c r="A34" s="19" t="inlineStr">
        <is>
          <t>PayPal</t>
        </is>
      </c>
      <c r="B34" s="20" t="inlineStr">
        <is>
          <t>PYPL</t>
        </is>
      </c>
      <c r="C34" s="19" t="inlineStr">
        <is>
          <t>Abdul</t>
        </is>
      </c>
      <c r="G34" t="inlineStr">
        <is>
          <t>P3</t>
        </is>
      </c>
      <c r="H34" t="inlineStr">
        <is>
          <t>Financials</t>
        </is>
      </c>
      <c r="I34" t="inlineStr">
        <is>
          <t>Phase 3/Readings/PayPal</t>
        </is>
      </c>
      <c r="J34" t="n">
        <v>6</v>
      </c>
    </row>
    <row r="35" ht="16.35" customHeight="1">
      <c r="A35" s="19" t="inlineStr">
        <is>
          <t>Block</t>
        </is>
      </c>
      <c r="B35" s="20" t="inlineStr">
        <is>
          <t>XYZ</t>
        </is>
      </c>
      <c r="C35" s="19" t="n"/>
      <c r="G35" t="inlineStr">
        <is>
          <t>unmapped</t>
        </is>
      </c>
      <c r="H35" t="inlineStr">
        <is>
          <t>Financials</t>
        </is>
      </c>
      <c r="I35" t="inlineStr">
        <is>
          <t>none</t>
        </is>
      </c>
      <c r="J35" t="n">
        <v>0</v>
      </c>
    </row>
    <row r="36" ht="16.35" customHeight="1">
      <c r="A36" s="19" t="inlineStr">
        <is>
          <t>Visa</t>
        </is>
      </c>
      <c r="B36" s="20" t="inlineStr">
        <is>
          <t>V</t>
        </is>
      </c>
      <c r="C36" s="19" t="inlineStr">
        <is>
          <t>Abdul</t>
        </is>
      </c>
      <c r="G36" t="inlineStr">
        <is>
          <t>P3</t>
        </is>
      </c>
      <c r="H36" t="inlineStr">
        <is>
          <t>Financials</t>
        </is>
      </c>
      <c r="I36" t="inlineStr">
        <is>
          <t>Phase 3/Readings/Visa</t>
        </is>
      </c>
      <c r="J36" t="n">
        <v>4</v>
      </c>
    </row>
    <row r="37" ht="16.35" customHeight="1">
      <c r="A37" s="19" t="inlineStr">
        <is>
          <t>Mastercard</t>
        </is>
      </c>
      <c r="B37" s="20" t="inlineStr">
        <is>
          <t>MA</t>
        </is>
      </c>
      <c r="C37" s="19" t="inlineStr">
        <is>
          <t>David</t>
        </is>
      </c>
      <c r="G37" t="inlineStr">
        <is>
          <t>P2</t>
        </is>
      </c>
      <c r="H37" t="inlineStr">
        <is>
          <t>Financials</t>
        </is>
      </c>
      <c r="I37" t="inlineStr">
        <is>
          <t>Phase 2/Mastercard</t>
        </is>
      </c>
      <c r="J37" t="n">
        <v>11</v>
      </c>
    </row>
    <row r="38" ht="16.35" customHeight="1">
      <c r="A38" s="19" t="inlineStr">
        <is>
          <t>American Express</t>
        </is>
      </c>
      <c r="B38" s="20" t="inlineStr">
        <is>
          <t>AXP</t>
        </is>
      </c>
      <c r="C38" s="19" t="inlineStr">
        <is>
          <t>David</t>
        </is>
      </c>
      <c r="G38" t="inlineStr">
        <is>
          <t>P2</t>
        </is>
      </c>
      <c r="H38" t="inlineStr">
        <is>
          <t>Financials</t>
        </is>
      </c>
      <c r="I38" t="inlineStr">
        <is>
          <t>Phase 2/American Express</t>
        </is>
      </c>
      <c r="J38" t="n">
        <v>7</v>
      </c>
    </row>
    <row r="39" ht="16.35" customHeight="1">
      <c r="A39" s="19" t="inlineStr">
        <is>
          <t>Goldman Sachs</t>
        </is>
      </c>
      <c r="B39" s="20" t="inlineStr">
        <is>
          <t>GS</t>
        </is>
      </c>
      <c r="C39" s="19" t="inlineStr">
        <is>
          <t>Dragos</t>
        </is>
      </c>
      <c r="G39" t="inlineStr">
        <is>
          <t>P2</t>
        </is>
      </c>
      <c r="H39" t="inlineStr">
        <is>
          <t>Financials</t>
        </is>
      </c>
      <c r="I39" t="inlineStr">
        <is>
          <t>Phase 2/Goldman Sachs</t>
        </is>
      </c>
      <c r="J39" t="n">
        <v>42</v>
      </c>
    </row>
    <row r="40" ht="16.35" customHeight="1">
      <c r="A40" s="19" t="inlineStr">
        <is>
          <t>Morgan Stanley</t>
        </is>
      </c>
      <c r="B40" s="20" t="inlineStr">
        <is>
          <t>MS</t>
        </is>
      </c>
      <c r="C40" s="19" t="n"/>
      <c r="G40" t="inlineStr">
        <is>
          <t>unmapped</t>
        </is>
      </c>
      <c r="H40" t="inlineStr">
        <is>
          <t>Financials</t>
        </is>
      </c>
      <c r="I40" t="inlineStr">
        <is>
          <t>none</t>
        </is>
      </c>
      <c r="J40" t="n">
        <v>0</v>
      </c>
    </row>
    <row r="41" ht="16.35" customHeight="1">
      <c r="A41" s="19" t="inlineStr">
        <is>
          <t>Citigroup</t>
        </is>
      </c>
      <c r="B41" s="20" t="inlineStr">
        <is>
          <t>C</t>
        </is>
      </c>
      <c r="C41" s="19" t="inlineStr">
        <is>
          <t>Nigel</t>
        </is>
      </c>
      <c r="G41" t="inlineStr">
        <is>
          <t>P2</t>
        </is>
      </c>
      <c r="H41" t="inlineStr">
        <is>
          <t>Financials</t>
        </is>
      </c>
      <c r="I41" t="inlineStr">
        <is>
          <t>Phase 2/Citigroup</t>
        </is>
      </c>
      <c r="J41" t="n">
        <v>18</v>
      </c>
    </row>
    <row r="42" ht="16.35" customHeight="1">
      <c r="A42" s="19" t="inlineStr">
        <is>
          <t>Wells Fargo</t>
        </is>
      </c>
      <c r="B42" s="20" t="inlineStr">
        <is>
          <t>WFC</t>
        </is>
      </c>
      <c r="C42" s="19" t="n"/>
      <c r="G42" t="inlineStr">
        <is>
          <t>unmapped</t>
        </is>
      </c>
      <c r="H42" t="inlineStr">
        <is>
          <t>Financials</t>
        </is>
      </c>
      <c r="I42" t="inlineStr">
        <is>
          <t>none</t>
        </is>
      </c>
      <c r="J42" t="n">
        <v>0</v>
      </c>
    </row>
    <row r="43" ht="16.35" customHeight="1">
      <c r="A43" s="19" t="inlineStr">
        <is>
          <t>Charles Schwab</t>
        </is>
      </c>
      <c r="B43" s="20" t="inlineStr">
        <is>
          <t>SCHW</t>
        </is>
      </c>
      <c r="C43" s="19" t="inlineStr">
        <is>
          <t>Dragos</t>
        </is>
      </c>
      <c r="G43" t="inlineStr">
        <is>
          <t>P2</t>
        </is>
      </c>
      <c r="H43" t="inlineStr">
        <is>
          <t>Financials</t>
        </is>
      </c>
      <c r="I43" t="inlineStr">
        <is>
          <t>Phase 2/Charles Schwab</t>
        </is>
      </c>
      <c r="J43" t="n">
        <v>26</v>
      </c>
    </row>
    <row r="44" ht="16.35" customHeight="1">
      <c r="A44" s="19" t="inlineStr">
        <is>
          <t>BlackRock</t>
        </is>
      </c>
      <c r="B44" s="20" t="inlineStr">
        <is>
          <t>BLK</t>
        </is>
      </c>
      <c r="C44" s="19" t="n"/>
      <c r="G44" t="inlineStr">
        <is>
          <t>unmapped</t>
        </is>
      </c>
      <c r="H44" t="inlineStr">
        <is>
          <t>Financials</t>
        </is>
      </c>
      <c r="I44" t="inlineStr">
        <is>
          <t>none</t>
        </is>
      </c>
      <c r="J44" t="n">
        <v>0</v>
      </c>
    </row>
    <row r="45" ht="16.35" customHeight="1">
      <c r="A45" s="19" t="inlineStr">
        <is>
          <t>KKR</t>
        </is>
      </c>
      <c r="B45" s="20" t="inlineStr">
        <is>
          <t>KKR</t>
        </is>
      </c>
      <c r="C45" s="19" t="n"/>
      <c r="G45" t="inlineStr">
        <is>
          <t>unmapped</t>
        </is>
      </c>
      <c r="H45" t="inlineStr">
        <is>
          <t>Financials</t>
        </is>
      </c>
      <c r="I45" t="inlineStr">
        <is>
          <t>none</t>
        </is>
      </c>
      <c r="J45" t="n">
        <v>0</v>
      </c>
    </row>
    <row r="46" ht="16.35" customHeight="1">
      <c r="A46" s="19" t="inlineStr">
        <is>
          <t>Apollo Global Management</t>
        </is>
      </c>
      <c r="B46" s="20" t="inlineStr">
        <is>
          <t>APO</t>
        </is>
      </c>
      <c r="C46" s="19" t="n"/>
      <c r="G46" t="inlineStr">
        <is>
          <t>unmapped</t>
        </is>
      </c>
      <c r="H46" t="inlineStr">
        <is>
          <t>Financials</t>
        </is>
      </c>
      <c r="I46" t="inlineStr">
        <is>
          <t>none</t>
        </is>
      </c>
      <c r="J46" t="n">
        <v>0</v>
      </c>
    </row>
    <row r="47" ht="16.35" customHeight="1">
      <c r="A47" s="19" t="inlineStr">
        <is>
          <t>Blackstone</t>
        </is>
      </c>
      <c r="B47" s="20" t="inlineStr">
        <is>
          <t>BX</t>
        </is>
      </c>
      <c r="C47" s="19" t="n"/>
      <c r="G47" t="inlineStr">
        <is>
          <t>unmapped</t>
        </is>
      </c>
      <c r="H47" t="inlineStr">
        <is>
          <t>Financials</t>
        </is>
      </c>
      <c r="I47" t="inlineStr">
        <is>
          <t>none</t>
        </is>
      </c>
      <c r="J47" t="n">
        <v>0</v>
      </c>
    </row>
    <row r="48" ht="16.35" customHeight="1">
      <c r="A48" s="19" t="inlineStr">
        <is>
          <t>Coca-Cola</t>
        </is>
      </c>
      <c r="B48" s="20" t="inlineStr">
        <is>
          <t>KO</t>
        </is>
      </c>
      <c r="C48" s="19" t="inlineStr">
        <is>
          <t>Meriem</t>
        </is>
      </c>
      <c r="G48" t="inlineStr">
        <is>
          <t>P2</t>
        </is>
      </c>
      <c r="H48" t="inlineStr">
        <is>
          <t>Consumer Staples</t>
        </is>
      </c>
      <c r="I48" t="inlineStr">
        <is>
          <t>Phase 2/Coca-Cola</t>
        </is>
      </c>
      <c r="J48" t="n">
        <v>3</v>
      </c>
    </row>
    <row r="49" ht="16.35" customHeight="1">
      <c r="A49" s="19" t="inlineStr">
        <is>
          <t>PepsiCo</t>
        </is>
      </c>
      <c r="B49" s="20" t="inlineStr">
        <is>
          <t>PEP</t>
        </is>
      </c>
      <c r="C49" s="19" t="inlineStr">
        <is>
          <t>Dragos</t>
        </is>
      </c>
      <c r="G49" t="inlineStr">
        <is>
          <t>P2</t>
        </is>
      </c>
      <c r="H49" t="inlineStr">
        <is>
          <t>Consumer Staples</t>
        </is>
      </c>
      <c r="I49" t="inlineStr">
        <is>
          <t>Phase 2/PepsiCo</t>
        </is>
      </c>
      <c r="J49" t="n">
        <v>28</v>
      </c>
    </row>
    <row r="50" ht="16.35" customHeight="1">
      <c r="A50" s="19" t="inlineStr">
        <is>
          <t>McDonald's</t>
        </is>
      </c>
      <c r="B50" s="20" t="inlineStr">
        <is>
          <t>MCD</t>
        </is>
      </c>
      <c r="C50" s="19" t="inlineStr">
        <is>
          <t>Meriem</t>
        </is>
      </c>
      <c r="G50" t="inlineStr">
        <is>
          <t>P2</t>
        </is>
      </c>
      <c r="H50" t="inlineStr">
        <is>
          <t>Consumer Discretionary</t>
        </is>
      </c>
      <c r="I50" t="inlineStr">
        <is>
          <t>Phase 2/McDonald's</t>
        </is>
      </c>
      <c r="J50" t="n">
        <v>6</v>
      </c>
    </row>
    <row r="51" ht="16.35" customHeight="1">
      <c r="A51" s="19" t="inlineStr">
        <is>
          <t>Costco</t>
        </is>
      </c>
      <c r="B51" s="20" t="inlineStr">
        <is>
          <t>COST</t>
        </is>
      </c>
      <c r="C51" s="19" t="inlineStr">
        <is>
          <t>Meriem</t>
        </is>
      </c>
      <c r="G51" t="inlineStr">
        <is>
          <t>both</t>
        </is>
      </c>
      <c r="H51" t="inlineStr">
        <is>
          <t>Consumer Staples</t>
        </is>
      </c>
      <c r="I51" t="inlineStr">
        <is>
          <t>Phase 2/Costco; Phase 3/Readings/Costco</t>
        </is>
      </c>
      <c r="J51" t="n">
        <v>12</v>
      </c>
    </row>
    <row r="52" ht="16.35" customHeight="1">
      <c r="A52" s="19" t="inlineStr">
        <is>
          <t>Walmart</t>
        </is>
      </c>
      <c r="B52" s="20" t="inlineStr">
        <is>
          <t>WMT</t>
        </is>
      </c>
      <c r="C52" s="19" t="inlineStr">
        <is>
          <t>Abdul</t>
        </is>
      </c>
      <c r="G52" t="inlineStr">
        <is>
          <t>P2</t>
        </is>
      </c>
      <c r="H52" t="inlineStr">
        <is>
          <t>Consumer Staples</t>
        </is>
      </c>
      <c r="I52" t="inlineStr">
        <is>
          <t>Phase 2/Walmart</t>
        </is>
      </c>
      <c r="J52" t="n">
        <v>15</v>
      </c>
    </row>
    <row r="53" ht="16.35" customHeight="1">
      <c r="A53" s="19" t="inlineStr">
        <is>
          <t>Home Depot</t>
        </is>
      </c>
      <c r="B53" s="20" t="inlineStr">
        <is>
          <t>HD</t>
        </is>
      </c>
      <c r="C53" s="19" t="inlineStr">
        <is>
          <t>Dragos</t>
        </is>
      </c>
      <c r="G53" t="inlineStr">
        <is>
          <t>P3</t>
        </is>
      </c>
      <c r="H53" t="inlineStr">
        <is>
          <t>Consumer Discretionary</t>
        </is>
      </c>
      <c r="I53" t="inlineStr">
        <is>
          <t>Phase 3/Readings/Home Depot</t>
        </is>
      </c>
      <c r="J53" t="n">
        <v>16</v>
      </c>
    </row>
    <row r="54" ht="16.35" customHeight="1">
      <c r="A54" s="19" t="inlineStr">
        <is>
          <t>Lowe's</t>
        </is>
      </c>
      <c r="B54" s="20" t="inlineStr">
        <is>
          <t>LOW</t>
        </is>
      </c>
      <c r="C54" s="19" t="inlineStr">
        <is>
          <t>Anna</t>
        </is>
      </c>
      <c r="G54" t="inlineStr">
        <is>
          <t>P2</t>
        </is>
      </c>
      <c r="H54" t="inlineStr">
        <is>
          <t>Consumer Discretionary</t>
        </is>
      </c>
      <c r="I54" t="inlineStr">
        <is>
          <t>Phase 2/Lowe's</t>
        </is>
      </c>
      <c r="J54" t="n">
        <v>7</v>
      </c>
    </row>
    <row r="55" ht="16.35" customHeight="1">
      <c r="A55" s="19" t="inlineStr">
        <is>
          <t>Procter &amp; Gamble</t>
        </is>
      </c>
      <c r="B55" s="20" t="inlineStr">
        <is>
          <t>PG</t>
        </is>
      </c>
      <c r="C55" s="19" t="n"/>
      <c r="G55" t="inlineStr">
        <is>
          <t>unmapped</t>
        </is>
      </c>
      <c r="H55" t="inlineStr">
        <is>
          <t>Consumer Staples</t>
        </is>
      </c>
      <c r="I55" t="inlineStr">
        <is>
          <t>none</t>
        </is>
      </c>
      <c r="J55" t="n">
        <v>0</v>
      </c>
    </row>
    <row r="56" ht="16.35" customHeight="1">
      <c r="A56" s="19" t="inlineStr">
        <is>
          <t>Unilever</t>
        </is>
      </c>
      <c r="B56" s="20" t="inlineStr">
        <is>
          <t>UL</t>
        </is>
      </c>
      <c r="C56" s="19" t="n"/>
      <c r="G56" t="inlineStr">
        <is>
          <t>unmapped</t>
        </is>
      </c>
      <c r="H56" t="inlineStr">
        <is>
          <t>Consumer Staples</t>
        </is>
      </c>
      <c r="I56" t="inlineStr">
        <is>
          <t>none</t>
        </is>
      </c>
      <c r="J56" t="n">
        <v>0</v>
      </c>
    </row>
    <row r="57" ht="16.35" customHeight="1">
      <c r="A57" s="19" t="inlineStr">
        <is>
          <t>Nestle</t>
        </is>
      </c>
      <c r="B57" s="20" t="inlineStr">
        <is>
          <t>NSRGY</t>
        </is>
      </c>
      <c r="C57" s="19" t="inlineStr">
        <is>
          <t>Meriem</t>
        </is>
      </c>
      <c r="G57" t="inlineStr">
        <is>
          <t>P3</t>
        </is>
      </c>
      <c r="H57" t="inlineStr">
        <is>
          <t>Consumer Staples</t>
        </is>
      </c>
      <c r="I57" t="inlineStr">
        <is>
          <t>Phase 3/Readings/Nestlé</t>
        </is>
      </c>
      <c r="J57" t="n">
        <v>4</v>
      </c>
    </row>
    <row r="58" ht="16.35" customHeight="1">
      <c r="A58" s="19" t="inlineStr">
        <is>
          <t>Mondelez</t>
        </is>
      </c>
      <c r="B58" s="20" t="inlineStr">
        <is>
          <t>MDLZ</t>
        </is>
      </c>
      <c r="C58" s="19" t="n"/>
      <c r="G58" t="inlineStr">
        <is>
          <t>unmapped</t>
        </is>
      </c>
      <c r="H58" t="inlineStr">
        <is>
          <t>Consumer Staples</t>
        </is>
      </c>
      <c r="I58" t="inlineStr">
        <is>
          <t>none</t>
        </is>
      </c>
      <c r="J58" t="n">
        <v>0</v>
      </c>
    </row>
    <row r="59" ht="16.35" customHeight="1">
      <c r="A59" s="19" t="inlineStr">
        <is>
          <t>Colgate-Palmolive</t>
        </is>
      </c>
      <c r="B59" s="20" t="inlineStr">
        <is>
          <t>CL</t>
        </is>
      </c>
      <c r="C59" s="19" t="inlineStr">
        <is>
          <t>Anna</t>
        </is>
      </c>
      <c r="G59" t="inlineStr">
        <is>
          <t>P3</t>
        </is>
      </c>
      <c r="H59" t="inlineStr">
        <is>
          <t>Consumer Staples</t>
        </is>
      </c>
      <c r="I59" t="inlineStr">
        <is>
          <t>Phase 3/Readings/Colgate Palmolive</t>
        </is>
      </c>
      <c r="J59" t="n">
        <v>4</v>
      </c>
    </row>
    <row r="60" ht="16.35" customHeight="1">
      <c r="A60" s="19" t="inlineStr">
        <is>
          <t>Kimberly-Clark</t>
        </is>
      </c>
      <c r="B60" s="20" t="inlineStr">
        <is>
          <t>KMB</t>
        </is>
      </c>
      <c r="C60" s="19" t="n"/>
      <c r="G60" t="inlineStr">
        <is>
          <t>unmapped</t>
        </is>
      </c>
      <c r="H60" t="inlineStr">
        <is>
          <t>Consumer Staples</t>
        </is>
      </c>
      <c r="I60" t="inlineStr">
        <is>
          <t>none</t>
        </is>
      </c>
      <c r="J60" t="n">
        <v>0</v>
      </c>
    </row>
    <row r="61" ht="16.35" customHeight="1">
      <c r="A61" s="19" t="inlineStr">
        <is>
          <t>Nike</t>
        </is>
      </c>
      <c r="B61" s="20" t="inlineStr">
        <is>
          <t>NKE</t>
        </is>
      </c>
      <c r="C61" s="19" t="inlineStr">
        <is>
          <t>Meriem</t>
        </is>
      </c>
      <c r="G61" t="inlineStr">
        <is>
          <t>P2</t>
        </is>
      </c>
      <c r="H61" t="inlineStr">
        <is>
          <t>Consumer Discretionary</t>
        </is>
      </c>
      <c r="I61" t="inlineStr">
        <is>
          <t>Phase 2/Nike</t>
        </is>
      </c>
      <c r="J61" t="n">
        <v>6</v>
      </c>
    </row>
    <row r="62" ht="16.35" customHeight="1">
      <c r="A62" s="19" t="inlineStr">
        <is>
          <t>Lululemon</t>
        </is>
      </c>
      <c r="B62" s="20" t="inlineStr">
        <is>
          <t>LULU</t>
        </is>
      </c>
      <c r="C62" s="19" t="inlineStr">
        <is>
          <t>Meriem</t>
        </is>
      </c>
      <c r="G62" t="inlineStr">
        <is>
          <t>P2</t>
        </is>
      </c>
      <c r="H62" t="inlineStr">
        <is>
          <t>Consumer Discretionary</t>
        </is>
      </c>
      <c r="I62" t="inlineStr">
        <is>
          <t>Phase 2/Lululemon</t>
        </is>
      </c>
      <c r="J62" t="n">
        <v>3</v>
      </c>
    </row>
    <row r="63" ht="16.35" customHeight="1">
      <c r="A63" s="19" t="inlineStr">
        <is>
          <t>Puma</t>
        </is>
      </c>
      <c r="B63" s="20" t="inlineStr">
        <is>
          <t>PUM.DE</t>
        </is>
      </c>
      <c r="C63" s="19" t="inlineStr">
        <is>
          <t>Anna</t>
        </is>
      </c>
      <c r="G63" t="inlineStr">
        <is>
          <t>P3</t>
        </is>
      </c>
      <c r="H63" t="inlineStr">
        <is>
          <t>Consumer Discretionary</t>
        </is>
      </c>
      <c r="I63" t="inlineStr">
        <is>
          <t>Phase 3/Readings/Puma</t>
        </is>
      </c>
      <c r="J63" t="n">
        <v>4</v>
      </c>
    </row>
    <row r="64" ht="16.35" customHeight="1">
      <c r="A64" s="19" t="inlineStr">
        <is>
          <t>Hermes</t>
        </is>
      </c>
      <c r="B64" s="20" t="inlineStr">
        <is>
          <t>RMSP.XC</t>
        </is>
      </c>
      <c r="C64" s="19" t="inlineStr">
        <is>
          <t>Nigel</t>
        </is>
      </c>
      <c r="G64" t="inlineStr">
        <is>
          <t>P3</t>
        </is>
      </c>
      <c r="H64" t="inlineStr">
        <is>
          <t>Consumer Discretionary</t>
        </is>
      </c>
      <c r="I64" t="inlineStr">
        <is>
          <t>Phase 3/Readings/Hermes</t>
        </is>
      </c>
      <c r="J64" t="n">
        <v>13</v>
      </c>
    </row>
    <row r="65" ht="16.35" customHeight="1">
      <c r="A65" s="19" t="inlineStr">
        <is>
          <t>LVMH</t>
        </is>
      </c>
      <c r="B65" s="20" t="inlineStr">
        <is>
          <t>MC.PA</t>
        </is>
      </c>
      <c r="C65" s="19" t="inlineStr">
        <is>
          <t>Nigel</t>
        </is>
      </c>
      <c r="G65" t="inlineStr">
        <is>
          <t>P2</t>
        </is>
      </c>
      <c r="H65" t="inlineStr">
        <is>
          <t>Consumer Discretionary</t>
        </is>
      </c>
      <c r="I65" t="inlineStr">
        <is>
          <t>Phase 2/LVMH</t>
        </is>
      </c>
      <c r="J65" t="n">
        <v>8</v>
      </c>
    </row>
    <row r="66" ht="16.35" customHeight="1">
      <c r="A66" s="19" t="inlineStr">
        <is>
          <t>Richemont</t>
        </is>
      </c>
      <c r="B66" s="20" t="inlineStr">
        <is>
          <t>CFR.SW</t>
        </is>
      </c>
      <c r="C66" s="19" t="n"/>
      <c r="G66" t="inlineStr">
        <is>
          <t>unmapped</t>
        </is>
      </c>
      <c r="H66" t="inlineStr">
        <is>
          <t>Consumer Discretionary</t>
        </is>
      </c>
      <c r="I66" t="inlineStr">
        <is>
          <t>none</t>
        </is>
      </c>
      <c r="J66" t="n">
        <v>0</v>
      </c>
    </row>
    <row r="67" ht="16.35" customHeight="1">
      <c r="A67" s="19" t="inlineStr">
        <is>
          <t>Pfizer</t>
        </is>
      </c>
      <c r="B67" s="20" t="inlineStr">
        <is>
          <t>PFE</t>
        </is>
      </c>
      <c r="C67" s="19" t="inlineStr">
        <is>
          <t>Abdul</t>
        </is>
      </c>
      <c r="G67" t="inlineStr">
        <is>
          <t>P2</t>
        </is>
      </c>
      <c r="H67" t="inlineStr">
        <is>
          <t>Health Care</t>
        </is>
      </c>
      <c r="I67" t="inlineStr">
        <is>
          <t>Phase 2/Pfizer</t>
        </is>
      </c>
      <c r="J67" t="n">
        <v>4</v>
      </c>
    </row>
    <row r="68" ht="16.35" customHeight="1">
      <c r="A68" s="19" t="inlineStr">
        <is>
          <t>Moderna</t>
        </is>
      </c>
      <c r="B68" s="20" t="inlineStr">
        <is>
          <t>MRNA</t>
        </is>
      </c>
      <c r="C68" s="19" t="n"/>
      <c r="G68" t="inlineStr">
        <is>
          <t>unmapped</t>
        </is>
      </c>
      <c r="H68" t="inlineStr">
        <is>
          <t>Health Care</t>
        </is>
      </c>
      <c r="I68" t="inlineStr">
        <is>
          <t>none</t>
        </is>
      </c>
      <c r="J68" t="n">
        <v>0</v>
      </c>
    </row>
    <row r="69" ht="16.35" customHeight="1">
      <c r="A69" s="19" t="inlineStr">
        <is>
          <t>Johnson &amp; Johnson</t>
        </is>
      </c>
      <c r="B69" s="20" t="inlineStr">
        <is>
          <t>JNJ</t>
        </is>
      </c>
      <c r="C69" s="19" t="inlineStr">
        <is>
          <t>Abdul</t>
        </is>
      </c>
      <c r="G69" t="inlineStr">
        <is>
          <t>P3</t>
        </is>
      </c>
      <c r="H69" t="inlineStr">
        <is>
          <t>Health Care</t>
        </is>
      </c>
      <c r="I69" t="inlineStr">
        <is>
          <t>Phase 3/Readings/Jonson &amp; Jonson</t>
        </is>
      </c>
      <c r="J69" t="n">
        <v>8</v>
      </c>
    </row>
    <row r="70" ht="16.35" customHeight="1">
      <c r="A70" s="19" t="inlineStr">
        <is>
          <t>Merck</t>
        </is>
      </c>
      <c r="B70" s="20" t="inlineStr">
        <is>
          <t>MRK</t>
        </is>
      </c>
      <c r="C70" s="19" t="n"/>
      <c r="G70" t="inlineStr">
        <is>
          <t>unmapped</t>
        </is>
      </c>
      <c r="H70" t="inlineStr">
        <is>
          <t>Health Care</t>
        </is>
      </c>
      <c r="I70" t="inlineStr">
        <is>
          <t>none</t>
        </is>
      </c>
      <c r="J70" t="n">
        <v>0</v>
      </c>
    </row>
    <row r="71" ht="16.35" customHeight="1">
      <c r="A71" s="19" t="inlineStr">
        <is>
          <t>AbbVie</t>
        </is>
      </c>
      <c r="B71" s="20" t="inlineStr">
        <is>
          <t>ABBV</t>
        </is>
      </c>
      <c r="C71" s="19" t="n"/>
      <c r="G71" t="inlineStr">
        <is>
          <t>unmapped</t>
        </is>
      </c>
      <c r="H71" t="inlineStr">
        <is>
          <t>Health Care</t>
        </is>
      </c>
      <c r="I71" t="inlineStr">
        <is>
          <t>none</t>
        </is>
      </c>
      <c r="J71" t="n">
        <v>0</v>
      </c>
    </row>
    <row r="72" ht="16.35" customHeight="1">
      <c r="A72" s="19" t="inlineStr">
        <is>
          <t>Eli Lilly</t>
        </is>
      </c>
      <c r="B72" s="20" t="inlineStr">
        <is>
          <t>LLY</t>
        </is>
      </c>
      <c r="C72" s="19" t="inlineStr">
        <is>
          <t>David</t>
        </is>
      </c>
      <c r="G72" t="inlineStr">
        <is>
          <t>P2</t>
        </is>
      </c>
      <c r="H72" t="inlineStr">
        <is>
          <t>Health Care</t>
        </is>
      </c>
      <c r="I72" t="inlineStr">
        <is>
          <t>Phase 2/Eli Lilly</t>
        </is>
      </c>
      <c r="J72" t="n">
        <v>6</v>
      </c>
    </row>
    <row r="73" ht="16.35" customHeight="1">
      <c r="A73" s="19" t="inlineStr">
        <is>
          <t>Novo Nordisk</t>
        </is>
      </c>
      <c r="B73" s="20" t="inlineStr">
        <is>
          <t>NVO</t>
        </is>
      </c>
      <c r="C73" s="19" t="inlineStr">
        <is>
          <t>Nigel</t>
        </is>
      </c>
      <c r="G73" t="inlineStr">
        <is>
          <t>P2</t>
        </is>
      </c>
      <c r="H73" t="inlineStr">
        <is>
          <t>Health Care</t>
        </is>
      </c>
      <c r="I73" t="inlineStr">
        <is>
          <t>Phase 2/Novo Nordisk</t>
        </is>
      </c>
      <c r="J73" t="n">
        <v>14</v>
      </c>
    </row>
    <row r="74" ht="16.35" customHeight="1">
      <c r="A74" s="19" t="inlineStr">
        <is>
          <t>AstraZeneca</t>
        </is>
      </c>
      <c r="B74" s="20" t="inlineStr">
        <is>
          <t>AZN</t>
        </is>
      </c>
      <c r="C74" s="19" t="n"/>
      <c r="G74" t="inlineStr">
        <is>
          <t>unmapped</t>
        </is>
      </c>
      <c r="H74" t="inlineStr">
        <is>
          <t>Health Care</t>
        </is>
      </c>
      <c r="I74" t="inlineStr">
        <is>
          <t>none</t>
        </is>
      </c>
      <c r="J74" t="n">
        <v>0</v>
      </c>
    </row>
    <row r="75" ht="16.35" customHeight="1">
      <c r="A75" s="19" t="inlineStr">
        <is>
          <t>Roche</t>
        </is>
      </c>
      <c r="B75" s="20" t="inlineStr">
        <is>
          <t>RHHBY</t>
        </is>
      </c>
      <c r="C75" s="19" t="n"/>
      <c r="G75" t="inlineStr">
        <is>
          <t>unmapped</t>
        </is>
      </c>
      <c r="H75" t="inlineStr">
        <is>
          <t>Health Care</t>
        </is>
      </c>
      <c r="I75" t="inlineStr">
        <is>
          <t>none</t>
        </is>
      </c>
      <c r="J75" t="n">
        <v>0</v>
      </c>
    </row>
    <row r="76" ht="16.35" customHeight="1">
      <c r="A76" s="19" t="inlineStr">
        <is>
          <t>Novartis</t>
        </is>
      </c>
      <c r="B76" s="20" t="inlineStr">
        <is>
          <t>NVS</t>
        </is>
      </c>
      <c r="C76" s="19" t="n"/>
      <c r="G76" t="inlineStr">
        <is>
          <t>unmapped</t>
        </is>
      </c>
      <c r="H76" t="inlineStr">
        <is>
          <t>Health Care</t>
        </is>
      </c>
      <c r="I76" t="inlineStr">
        <is>
          <t>none</t>
        </is>
      </c>
      <c r="J76" t="n">
        <v>0</v>
      </c>
    </row>
    <row r="77" ht="16.35" customHeight="1">
      <c r="A77" s="19" t="inlineStr">
        <is>
          <t>UnitedHealth</t>
        </is>
      </c>
      <c r="B77" s="20" t="inlineStr">
        <is>
          <t>UNH</t>
        </is>
      </c>
      <c r="C77" s="19" t="inlineStr">
        <is>
          <t>Dragos</t>
        </is>
      </c>
      <c r="G77" t="inlineStr">
        <is>
          <t>both</t>
        </is>
      </c>
      <c r="H77" t="inlineStr">
        <is>
          <t>Health Care</t>
        </is>
      </c>
      <c r="I77" t="inlineStr">
        <is>
          <t>Phase 2/Unitedhealth; Phase 3/Readings/UnitedHealth</t>
        </is>
      </c>
      <c r="J77" t="n">
        <v>20</v>
      </c>
    </row>
    <row r="78" ht="16.35" customHeight="1">
      <c r="A78" s="19" t="inlineStr">
        <is>
          <t>CVS Health</t>
        </is>
      </c>
      <c r="B78" s="20" t="inlineStr">
        <is>
          <t>CVS</t>
        </is>
      </c>
      <c r="C78" s="19" t="inlineStr">
        <is>
          <t>Anna</t>
        </is>
      </c>
      <c r="G78" t="inlineStr">
        <is>
          <t>P2</t>
        </is>
      </c>
      <c r="H78" t="inlineStr">
        <is>
          <t>Health Care</t>
        </is>
      </c>
      <c r="I78" t="inlineStr">
        <is>
          <t>Phase 2/CVS Health</t>
        </is>
      </c>
      <c r="J78" t="n">
        <v>4</v>
      </c>
    </row>
    <row r="79" ht="16.35" customHeight="1">
      <c r="A79" s="19" t="inlineStr">
        <is>
          <t>Cigna</t>
        </is>
      </c>
      <c r="B79" s="20" t="inlineStr">
        <is>
          <t>CI</t>
        </is>
      </c>
      <c r="C79" s="19" t="n"/>
      <c r="G79" t="inlineStr">
        <is>
          <t>unmapped</t>
        </is>
      </c>
      <c r="H79" t="inlineStr">
        <is>
          <t>Health Care</t>
        </is>
      </c>
      <c r="I79" t="inlineStr">
        <is>
          <t>none</t>
        </is>
      </c>
      <c r="J79" t="n">
        <v>0</v>
      </c>
    </row>
    <row r="80" ht="16.35" customHeight="1">
      <c r="A80" s="19" t="inlineStr">
        <is>
          <t>ExxonMobil</t>
        </is>
      </c>
      <c r="B80" s="20" t="inlineStr">
        <is>
          <t>XOM</t>
        </is>
      </c>
      <c r="C80" s="19" t="inlineStr">
        <is>
          <t>Dragos</t>
        </is>
      </c>
      <c r="G80" t="inlineStr">
        <is>
          <t>P2</t>
        </is>
      </c>
      <c r="H80" t="inlineStr">
        <is>
          <t>Energy</t>
        </is>
      </c>
      <c r="I80" t="inlineStr">
        <is>
          <t>Phase 2/ExxonMobil</t>
        </is>
      </c>
      <c r="J80" t="n">
        <v>39</v>
      </c>
    </row>
    <row r="81" ht="16.35" customHeight="1">
      <c r="A81" s="19" t="inlineStr">
        <is>
          <t>Chevron</t>
        </is>
      </c>
      <c r="B81" s="20" t="inlineStr">
        <is>
          <t>CVX</t>
        </is>
      </c>
      <c r="C81" s="19" t="inlineStr">
        <is>
          <t>David</t>
        </is>
      </c>
      <c r="G81" t="inlineStr">
        <is>
          <t>P2</t>
        </is>
      </c>
      <c r="H81" t="inlineStr">
        <is>
          <t>Energy</t>
        </is>
      </c>
      <c r="I81" t="inlineStr">
        <is>
          <t>Phase 2/Chevron</t>
        </is>
      </c>
      <c r="J81" t="n">
        <v>11</v>
      </c>
    </row>
    <row r="82" ht="16.35" customHeight="1">
      <c r="A82" s="19" t="inlineStr">
        <is>
          <t>Shell</t>
        </is>
      </c>
      <c r="B82" s="20" t="inlineStr">
        <is>
          <t>SHEL</t>
        </is>
      </c>
      <c r="C82" s="19" t="inlineStr">
        <is>
          <t>David</t>
        </is>
      </c>
      <c r="G82" t="inlineStr">
        <is>
          <t>P2</t>
        </is>
      </c>
      <c r="H82" t="inlineStr">
        <is>
          <t>Energy</t>
        </is>
      </c>
      <c r="I82" t="inlineStr">
        <is>
          <t>Phase 2/SHELL</t>
        </is>
      </c>
      <c r="J82" t="n">
        <v>11</v>
      </c>
    </row>
    <row r="83" ht="16.35" customHeight="1">
      <c r="A83" s="19" t="inlineStr">
        <is>
          <t>BP</t>
        </is>
      </c>
      <c r="B83" s="20" t="inlineStr">
        <is>
          <t>BP</t>
        </is>
      </c>
      <c r="C83" s="19" t="n"/>
      <c r="G83" t="inlineStr">
        <is>
          <t>unmapped</t>
        </is>
      </c>
      <c r="H83" t="inlineStr">
        <is>
          <t>Energy</t>
        </is>
      </c>
      <c r="I83" t="inlineStr">
        <is>
          <t>none</t>
        </is>
      </c>
      <c r="J83" t="n">
        <v>0</v>
      </c>
    </row>
    <row r="84" ht="16.35" customHeight="1">
      <c r="A84" s="19" t="inlineStr">
        <is>
          <t>TotalEnergies</t>
        </is>
      </c>
      <c r="B84" s="20" t="inlineStr">
        <is>
          <t>TTE</t>
        </is>
      </c>
      <c r="C84" s="19" t="n"/>
      <c r="G84" t="inlineStr">
        <is>
          <t>unmapped</t>
        </is>
      </c>
      <c r="H84" t="inlineStr">
        <is>
          <t>Energy</t>
        </is>
      </c>
      <c r="I84" t="inlineStr">
        <is>
          <t>none</t>
        </is>
      </c>
      <c r="J84" t="n">
        <v>0</v>
      </c>
    </row>
    <row r="85" ht="16.35" customHeight="1">
      <c r="A85" s="19" t="inlineStr">
        <is>
          <t>ConocoPhillips</t>
        </is>
      </c>
      <c r="B85" s="20" t="inlineStr">
        <is>
          <t>COP</t>
        </is>
      </c>
      <c r="C85" s="19" t="n"/>
      <c r="G85" t="inlineStr">
        <is>
          <t>unmapped</t>
        </is>
      </c>
      <c r="H85" t="inlineStr">
        <is>
          <t>Energy</t>
        </is>
      </c>
      <c r="I85" t="inlineStr">
        <is>
          <t>none</t>
        </is>
      </c>
      <c r="J85" t="n">
        <v>0</v>
      </c>
    </row>
    <row r="86" ht="16.35" customHeight="1">
      <c r="A86" s="19" t="inlineStr">
        <is>
          <t>Occidental Petroleum</t>
        </is>
      </c>
      <c r="B86" s="20" t="inlineStr">
        <is>
          <t>OXY</t>
        </is>
      </c>
      <c r="C86" s="19" t="n"/>
      <c r="G86" t="inlineStr">
        <is>
          <t>unmapped</t>
        </is>
      </c>
      <c r="H86" t="inlineStr">
        <is>
          <t>Energy</t>
        </is>
      </c>
      <c r="I86" t="inlineStr">
        <is>
          <t>none</t>
        </is>
      </c>
      <c r="J86" t="n">
        <v>0</v>
      </c>
    </row>
    <row r="87" ht="16.35" customHeight="1">
      <c r="A87" s="19" t="inlineStr">
        <is>
          <t>NextEra Energy</t>
        </is>
      </c>
      <c r="B87" s="20" t="inlineStr">
        <is>
          <t>NEE</t>
        </is>
      </c>
      <c r="C87" s="19" t="n"/>
      <c r="G87" t="inlineStr">
        <is>
          <t>unmapped</t>
        </is>
      </c>
      <c r="H87" t="inlineStr">
        <is>
          <t>Utilities</t>
        </is>
      </c>
      <c r="I87" t="inlineStr">
        <is>
          <t>none</t>
        </is>
      </c>
      <c r="J87" t="n">
        <v>0</v>
      </c>
    </row>
    <row r="88" ht="16.35" customHeight="1">
      <c r="A88" s="19" t="inlineStr">
        <is>
          <t>Duke Energy</t>
        </is>
      </c>
      <c r="B88" s="20" t="inlineStr">
        <is>
          <t>DUK</t>
        </is>
      </c>
      <c r="C88" s="19" t="inlineStr">
        <is>
          <t>Dragos</t>
        </is>
      </c>
      <c r="G88" t="inlineStr">
        <is>
          <t>P2</t>
        </is>
      </c>
      <c r="H88" t="inlineStr">
        <is>
          <t>Utilities</t>
        </is>
      </c>
      <c r="I88" t="inlineStr">
        <is>
          <t>Phase 2/Duke Energy</t>
        </is>
      </c>
      <c r="J88" t="n">
        <v>26</v>
      </c>
    </row>
    <row r="89" ht="16.35" customHeight="1">
      <c r="A89" s="19" t="inlineStr">
        <is>
          <t>Southern Company</t>
        </is>
      </c>
      <c r="B89" s="20" t="inlineStr">
        <is>
          <t>SO</t>
        </is>
      </c>
      <c r="C89" s="19" t="n"/>
      <c r="G89" t="inlineStr">
        <is>
          <t>unmapped</t>
        </is>
      </c>
      <c r="H89" t="inlineStr">
        <is>
          <t>Utilities</t>
        </is>
      </c>
      <c r="I89" t="inlineStr">
        <is>
          <t>none</t>
        </is>
      </c>
      <c r="J89" t="n">
        <v>0</v>
      </c>
    </row>
    <row r="90" ht="16.35" customHeight="1">
      <c r="A90" s="19" t="inlineStr">
        <is>
          <t>Caterpillar</t>
        </is>
      </c>
      <c r="B90" s="20" t="inlineStr">
        <is>
          <t>CAT</t>
        </is>
      </c>
      <c r="C90" s="19" t="inlineStr">
        <is>
          <t>Dragos</t>
        </is>
      </c>
      <c r="G90" t="inlineStr">
        <is>
          <t>both</t>
        </is>
      </c>
      <c r="H90" t="inlineStr">
        <is>
          <t>Industrials</t>
        </is>
      </c>
      <c r="I90" t="inlineStr">
        <is>
          <t>Phase 2/Caterpillar; Phase 3/Readings/Caterpillar</t>
        </is>
      </c>
      <c r="J90" t="n">
        <v>20</v>
      </c>
    </row>
    <row r="91" ht="16.35" customHeight="1">
      <c r="A91" s="19" t="inlineStr">
        <is>
          <t>Deere</t>
        </is>
      </c>
      <c r="B91" s="20" t="inlineStr">
        <is>
          <t>DE</t>
        </is>
      </c>
      <c r="C91" s="19" t="n"/>
      <c r="G91" t="inlineStr">
        <is>
          <t>unmapped</t>
        </is>
      </c>
      <c r="H91" t="inlineStr">
        <is>
          <t>Industrials</t>
        </is>
      </c>
      <c r="I91" t="inlineStr">
        <is>
          <t>none</t>
        </is>
      </c>
      <c r="J91" t="n">
        <v>0</v>
      </c>
    </row>
    <row r="92" ht="16.35" customHeight="1">
      <c r="A92" s="19" t="inlineStr">
        <is>
          <t>General Electric</t>
        </is>
      </c>
      <c r="B92" s="20" t="inlineStr">
        <is>
          <t>GE</t>
        </is>
      </c>
      <c r="C92" s="19" t="n"/>
      <c r="G92" t="inlineStr">
        <is>
          <t>unmapped</t>
        </is>
      </c>
      <c r="H92" t="inlineStr">
        <is>
          <t>Industrials</t>
        </is>
      </c>
      <c r="I92" t="inlineStr">
        <is>
          <t>none</t>
        </is>
      </c>
      <c r="J92" t="n">
        <v>0</v>
      </c>
    </row>
    <row r="93" ht="16.35" customHeight="1">
      <c r="A93" s="19" t="inlineStr">
        <is>
          <t>Honeywell</t>
        </is>
      </c>
      <c r="B93" s="20" t="inlineStr">
        <is>
          <t>HON</t>
        </is>
      </c>
      <c r="C93" s="19" t="n"/>
      <c r="G93" t="inlineStr">
        <is>
          <t>unmapped</t>
        </is>
      </c>
      <c r="H93" t="inlineStr">
        <is>
          <t>Industrials</t>
        </is>
      </c>
      <c r="I93" t="inlineStr">
        <is>
          <t>none</t>
        </is>
      </c>
      <c r="J93" t="n">
        <v>0</v>
      </c>
    </row>
    <row r="94" ht="16.35" customHeight="1">
      <c r="A94" s="19" t="inlineStr">
        <is>
          <t>3M</t>
        </is>
      </c>
      <c r="B94" s="20" t="inlineStr">
        <is>
          <t>MMM</t>
        </is>
      </c>
      <c r="C94" s="19" t="n"/>
      <c r="G94" t="inlineStr">
        <is>
          <t>unmapped</t>
        </is>
      </c>
      <c r="H94" t="inlineStr">
        <is>
          <t>Industrials</t>
        </is>
      </c>
      <c r="I94" t="inlineStr">
        <is>
          <t>none</t>
        </is>
      </c>
      <c r="J94" t="n">
        <v>0</v>
      </c>
    </row>
    <row r="95" ht="16.35" customHeight="1">
      <c r="A95" s="19" t="inlineStr">
        <is>
          <t>Lockheed Martin</t>
        </is>
      </c>
      <c r="B95" s="20" t="inlineStr">
        <is>
          <t>LMT</t>
        </is>
      </c>
      <c r="C95" s="19" t="inlineStr">
        <is>
          <t>Nigel</t>
        </is>
      </c>
      <c r="G95" t="inlineStr">
        <is>
          <t>P2</t>
        </is>
      </c>
      <c r="H95" t="inlineStr">
        <is>
          <t>Industrials</t>
        </is>
      </c>
      <c r="I95" t="inlineStr">
        <is>
          <t>Phase 2/Lockheed Martin</t>
        </is>
      </c>
      <c r="J95" t="n">
        <v>17</v>
      </c>
    </row>
    <row r="96" ht="16.35" customHeight="1">
      <c r="A96" s="19" t="inlineStr">
        <is>
          <t>RTX</t>
        </is>
      </c>
      <c r="B96" s="20" t="inlineStr">
        <is>
          <t>RTX</t>
        </is>
      </c>
      <c r="C96" s="19" t="n"/>
      <c r="G96" t="inlineStr">
        <is>
          <t>unmapped</t>
        </is>
      </c>
      <c r="H96" t="inlineStr">
        <is>
          <t>Industrials</t>
        </is>
      </c>
      <c r="I96" t="inlineStr">
        <is>
          <t>none</t>
        </is>
      </c>
      <c r="J96" t="n">
        <v>0</v>
      </c>
    </row>
    <row r="97" ht="16.35" customHeight="1">
      <c r="A97" s="19" t="inlineStr">
        <is>
          <t>Delta Air Lines</t>
        </is>
      </c>
      <c r="B97" s="20" t="inlineStr">
        <is>
          <t>DAL</t>
        </is>
      </c>
      <c r="C97" s="19" t="inlineStr">
        <is>
          <t>Nigel</t>
        </is>
      </c>
      <c r="G97" t="inlineStr">
        <is>
          <t>P3</t>
        </is>
      </c>
      <c r="H97" t="inlineStr">
        <is>
          <t>Industrials</t>
        </is>
      </c>
      <c r="I97" t="inlineStr">
        <is>
          <t>Phase 3/Readings/Delta</t>
        </is>
      </c>
      <c r="J97" t="n">
        <v>18</v>
      </c>
    </row>
    <row r="98" ht="16.35" customHeight="1">
      <c r="A98" s="19" t="inlineStr">
        <is>
          <t>United Airlines</t>
        </is>
      </c>
      <c r="B98" s="20" t="inlineStr">
        <is>
          <t>UAL</t>
        </is>
      </c>
      <c r="C98" s="19" t="inlineStr">
        <is>
          <t>Nigel</t>
        </is>
      </c>
      <c r="G98" t="inlineStr">
        <is>
          <t>P2</t>
        </is>
      </c>
      <c r="H98" t="inlineStr">
        <is>
          <t>Industrials</t>
        </is>
      </c>
      <c r="I98" t="inlineStr">
        <is>
          <t>Phase 2/United Airlines</t>
        </is>
      </c>
      <c r="J98" t="n">
        <v>17</v>
      </c>
    </row>
    <row r="99" ht="16.35" customHeight="1">
      <c r="A99" s="19" t="inlineStr">
        <is>
          <t>American Airlines</t>
        </is>
      </c>
      <c r="B99" s="20" t="inlineStr">
        <is>
          <t>AAL</t>
        </is>
      </c>
      <c r="C99" s="19" t="n"/>
      <c r="G99" t="inlineStr">
        <is>
          <t>unmapped</t>
        </is>
      </c>
      <c r="H99" t="inlineStr">
        <is>
          <t>Industrials</t>
        </is>
      </c>
      <c r="I99" t="inlineStr">
        <is>
          <t>none</t>
        </is>
      </c>
      <c r="J99" t="n">
        <v>0</v>
      </c>
    </row>
    <row r="100" ht="16.35" customHeight="1">
      <c r="A100" s="19" t="inlineStr">
        <is>
          <t>FedEx</t>
        </is>
      </c>
      <c r="B100" s="20" t="inlineStr">
        <is>
          <t>FDX</t>
        </is>
      </c>
      <c r="C100" s="19" t="inlineStr">
        <is>
          <t>Anna</t>
        </is>
      </c>
      <c r="G100" t="inlineStr">
        <is>
          <t>P2</t>
        </is>
      </c>
      <c r="H100" t="inlineStr">
        <is>
          <t>Industrials</t>
        </is>
      </c>
      <c r="I100" t="inlineStr">
        <is>
          <t>Phase 2/FedEx</t>
        </is>
      </c>
      <c r="J100" t="n">
        <v>4</v>
      </c>
    </row>
    <row r="101" ht="16.35" customHeight="1">
      <c r="A101" s="19" t="inlineStr">
        <is>
          <t>Maersk</t>
        </is>
      </c>
      <c r="B101" s="20" t="inlineStr">
        <is>
          <t>AMKBY</t>
        </is>
      </c>
      <c r="C101" s="19" t="inlineStr">
        <is>
          <t>Nigel</t>
        </is>
      </c>
      <c r="G101" t="inlineStr">
        <is>
          <t>P2</t>
        </is>
      </c>
      <c r="H101" t="inlineStr">
        <is>
          <t>Industrials</t>
        </is>
      </c>
      <c r="I101" t="inlineStr">
        <is>
          <t>Phase 2/Maersk</t>
        </is>
      </c>
      <c r="J101" t="n">
        <v>14</v>
      </c>
    </row>
    <row r="102" ht="16.35" customHeight="1">
      <c r="A102" s="19" t="inlineStr">
        <is>
          <t>Toyota</t>
        </is>
      </c>
      <c r="B102" s="20" t="inlineStr">
        <is>
          <t>TM</t>
        </is>
      </c>
      <c r="C102" s="19" t="n"/>
      <c r="G102" t="inlineStr">
        <is>
          <t>unmapped</t>
        </is>
      </c>
      <c r="H102" t="inlineStr">
        <is>
          <t>Consumer Discretionary</t>
        </is>
      </c>
      <c r="I102" t="inlineStr">
        <is>
          <t>none</t>
        </is>
      </c>
      <c r="J102" t="n">
        <v>0</v>
      </c>
    </row>
    <row r="103" ht="16.35" customHeight="1">
      <c r="A103" s="19" t="inlineStr">
        <is>
          <t>Ford</t>
        </is>
      </c>
      <c r="B103" s="20" t="inlineStr">
        <is>
          <t>F</t>
        </is>
      </c>
      <c r="C103" s="19" t="inlineStr">
        <is>
          <t>Abdul</t>
        </is>
      </c>
      <c r="G103" t="inlineStr">
        <is>
          <t>P2</t>
        </is>
      </c>
      <c r="H103" t="inlineStr">
        <is>
          <t>Consumer Discretionary</t>
        </is>
      </c>
      <c r="I103" t="inlineStr">
        <is>
          <t>Phase 2/Ford</t>
        </is>
      </c>
      <c r="J103" t="n">
        <v>4</v>
      </c>
    </row>
    <row r="104" ht="16.35" customHeight="1">
      <c r="A104" s="19" t="inlineStr">
        <is>
          <t>General Motors</t>
        </is>
      </c>
      <c r="B104" s="20" t="inlineStr">
        <is>
          <t>GM</t>
        </is>
      </c>
      <c r="C104" s="19" t="n"/>
      <c r="G104" t="inlineStr">
        <is>
          <t>unmapped</t>
        </is>
      </c>
      <c r="H104" t="inlineStr">
        <is>
          <t>Consumer Discretionary</t>
        </is>
      </c>
      <c r="I104" t="inlineStr">
        <is>
          <t>none</t>
        </is>
      </c>
      <c r="J104" t="n">
        <v>0</v>
      </c>
    </row>
    <row r="105" ht="16.35" customHeight="1">
      <c r="A105" s="19" t="inlineStr">
        <is>
          <t>Ferrari</t>
        </is>
      </c>
      <c r="B105" s="20" t="inlineStr">
        <is>
          <t>RACE</t>
        </is>
      </c>
      <c r="C105" s="19" t="n"/>
      <c r="G105" t="inlineStr">
        <is>
          <t>unmapped</t>
        </is>
      </c>
      <c r="H105" t="inlineStr">
        <is>
          <t>Consumer Discretionary</t>
        </is>
      </c>
      <c r="I105" t="inlineStr">
        <is>
          <t>none</t>
        </is>
      </c>
      <c r="J105" t="n">
        <v>0</v>
      </c>
    </row>
    <row r="106" ht="16.35" customHeight="1">
      <c r="A106" s="19" t="inlineStr">
        <is>
          <t>Micron</t>
        </is>
      </c>
      <c r="B106" s="20" t="inlineStr">
        <is>
          <t>MU</t>
        </is>
      </c>
      <c r="C106" s="19" t="inlineStr">
        <is>
          <t>David</t>
        </is>
      </c>
      <c r="G106" t="inlineStr">
        <is>
          <t>P2</t>
        </is>
      </c>
      <c r="H106" t="inlineStr">
        <is>
          <t>Information Technology</t>
        </is>
      </c>
      <c r="I106" t="inlineStr">
        <is>
          <t>Phase 2/Micron</t>
        </is>
      </c>
      <c r="J106" t="n">
        <v>7</v>
      </c>
    </row>
    <row r="107" ht="16.35" customHeight="1">
      <c r="A107" s="19" t="inlineStr">
        <is>
          <t>Arm Holdings</t>
        </is>
      </c>
      <c r="B107" s="20" t="inlineStr">
        <is>
          <t>ARM</t>
        </is>
      </c>
      <c r="C107" s="19" t="n"/>
      <c r="G107" t="inlineStr">
        <is>
          <t>unmapped</t>
        </is>
      </c>
      <c r="H107" t="inlineStr">
        <is>
          <t>Information Technology</t>
        </is>
      </c>
      <c r="I107" t="inlineStr">
        <is>
          <t>none</t>
        </is>
      </c>
      <c r="J107" t="n">
        <v>0</v>
      </c>
    </row>
    <row r="108" ht="16.35" customHeight="1">
      <c r="A108" s="19" t="inlineStr">
        <is>
          <t>Synopsys</t>
        </is>
      </c>
      <c r="B108" s="20" t="inlineStr">
        <is>
          <t>SNPS</t>
        </is>
      </c>
      <c r="C108" s="19" t="n"/>
      <c r="G108" t="inlineStr">
        <is>
          <t>unmapped</t>
        </is>
      </c>
      <c r="H108" t="inlineStr">
        <is>
          <t>Information Technology</t>
        </is>
      </c>
      <c r="I108" t="inlineStr">
        <is>
          <t>none</t>
        </is>
      </c>
      <c r="J108" t="n">
        <v>0</v>
      </c>
    </row>
    <row r="109" ht="16.35" customHeight="1">
      <c r="A109" s="19" t="inlineStr">
        <is>
          <t>Cadence</t>
        </is>
      </c>
      <c r="B109" s="20" t="inlineStr">
        <is>
          <t>CDNS</t>
        </is>
      </c>
      <c r="C109" s="19" t="n"/>
      <c r="G109" t="inlineStr">
        <is>
          <t>unmapped</t>
        </is>
      </c>
      <c r="H109" t="inlineStr">
        <is>
          <t>Information Technology</t>
        </is>
      </c>
      <c r="I109" t="inlineStr">
        <is>
          <t>none</t>
        </is>
      </c>
      <c r="J109" t="n">
        <v>0</v>
      </c>
    </row>
    <row r="110" ht="16.35" customHeight="1">
      <c r="A110" s="19" t="inlineStr">
        <is>
          <t>Workday</t>
        </is>
      </c>
      <c r="B110" s="20" t="inlineStr">
        <is>
          <t>WDAY</t>
        </is>
      </c>
      <c r="C110" s="19" t="inlineStr">
        <is>
          <t>Nigel</t>
        </is>
      </c>
      <c r="G110" t="inlineStr">
        <is>
          <t>P3</t>
        </is>
      </c>
      <c r="H110" t="inlineStr">
        <is>
          <t>Information Technology</t>
        </is>
      </c>
      <c r="I110" t="inlineStr">
        <is>
          <t>Phase 3/Readings/Workday</t>
        </is>
      </c>
      <c r="J110" t="n">
        <v>19</v>
      </c>
    </row>
    <row r="111" ht="16.35" customHeight="1">
      <c r="A111" s="19" t="inlineStr">
        <is>
          <t>Intuit</t>
        </is>
      </c>
      <c r="B111" s="20" t="inlineStr">
        <is>
          <t>INTU</t>
        </is>
      </c>
      <c r="C111" s="19" t="n"/>
      <c r="G111" t="inlineStr">
        <is>
          <t>unmapped</t>
        </is>
      </c>
      <c r="H111" t="inlineStr">
        <is>
          <t>Information Technology</t>
        </is>
      </c>
      <c r="I111" t="inlineStr">
        <is>
          <t>none</t>
        </is>
      </c>
      <c r="J111" t="n">
        <v>0</v>
      </c>
    </row>
    <row r="112" ht="16.35" customHeight="1">
      <c r="A112" s="19" t="inlineStr">
        <is>
          <t>Dell</t>
        </is>
      </c>
      <c r="B112" s="20" t="inlineStr">
        <is>
          <t>DELL</t>
        </is>
      </c>
      <c r="C112" s="19" t="inlineStr">
        <is>
          <t>Nigel</t>
        </is>
      </c>
      <c r="G112" t="inlineStr">
        <is>
          <t>P3</t>
        </is>
      </c>
      <c r="H112" t="inlineStr">
        <is>
          <t>Information Technology</t>
        </is>
      </c>
      <c r="I112" t="inlineStr">
        <is>
          <t>Phase 3/Readings/Dell</t>
        </is>
      </c>
      <c r="J112" t="n">
        <v>16</v>
      </c>
    </row>
    <row r="113" ht="16.35" customHeight="1">
      <c r="A113" s="19" t="inlineStr">
        <is>
          <t>HP</t>
        </is>
      </c>
      <c r="B113" s="20" t="inlineStr">
        <is>
          <t>HPQ</t>
        </is>
      </c>
      <c r="C113" s="19" t="n"/>
      <c r="G113" t="inlineStr">
        <is>
          <t>unmapped</t>
        </is>
      </c>
      <c r="H113" t="inlineStr">
        <is>
          <t>Information Technology</t>
        </is>
      </c>
      <c r="I113" t="inlineStr">
        <is>
          <t>none</t>
        </is>
      </c>
      <c r="J113" t="n">
        <v>0</v>
      </c>
    </row>
    <row r="114" ht="16.35" customHeight="1">
      <c r="A114" s="19" t="inlineStr">
        <is>
          <t>Lenovo</t>
        </is>
      </c>
      <c r="B114" s="20" t="inlineStr">
        <is>
          <t>LNVGY</t>
        </is>
      </c>
      <c r="C114" s="19" t="inlineStr">
        <is>
          <t>Anna</t>
        </is>
      </c>
      <c r="G114" t="inlineStr">
        <is>
          <t>P3</t>
        </is>
      </c>
      <c r="H114" t="inlineStr">
        <is>
          <t>Information Technology</t>
        </is>
      </c>
      <c r="I114" t="inlineStr">
        <is>
          <t>Phase 3/Readings/Lenovo</t>
        </is>
      </c>
      <c r="J114" t="n">
        <v>8</v>
      </c>
    </row>
    <row r="115" ht="16.35" customHeight="1">
      <c r="A115" s="19" t="inlineStr">
        <is>
          <t>Seagate</t>
        </is>
      </c>
      <c r="B115" s="20" t="inlineStr">
        <is>
          <t>STX</t>
        </is>
      </c>
      <c r="C115" s="19" t="n"/>
      <c r="G115" t="inlineStr">
        <is>
          <t>unmapped</t>
        </is>
      </c>
      <c r="H115" t="inlineStr">
        <is>
          <t>Information Technology</t>
        </is>
      </c>
      <c r="I115" t="inlineStr">
        <is>
          <t>none</t>
        </is>
      </c>
      <c r="J115" t="n">
        <v>0</v>
      </c>
    </row>
    <row r="116" ht="16.35" customHeight="1">
      <c r="A116" s="19" t="inlineStr">
        <is>
          <t>HSBC</t>
        </is>
      </c>
      <c r="B116" s="20" t="inlineStr">
        <is>
          <t>HSBC</t>
        </is>
      </c>
      <c r="C116" s="19" t="n"/>
      <c r="G116" t="inlineStr">
        <is>
          <t>unmapped</t>
        </is>
      </c>
      <c r="H116" t="inlineStr">
        <is>
          <t>Financials</t>
        </is>
      </c>
      <c r="I116" t="inlineStr">
        <is>
          <t>none</t>
        </is>
      </c>
      <c r="J116" t="n">
        <v>0</v>
      </c>
    </row>
    <row r="117" ht="16.35" customHeight="1">
      <c r="A117" s="19" t="inlineStr">
        <is>
          <t>Barclays</t>
        </is>
      </c>
      <c r="B117" s="20" t="inlineStr">
        <is>
          <t>BCS</t>
        </is>
      </c>
      <c r="C117" s="19" t="inlineStr">
        <is>
          <t>Abdul</t>
        </is>
      </c>
      <c r="G117" t="inlineStr">
        <is>
          <t>P2</t>
        </is>
      </c>
      <c r="H117" t="inlineStr">
        <is>
          <t>Financials</t>
        </is>
      </c>
      <c r="I117" t="inlineStr">
        <is>
          <t>Phase 2/Barclays</t>
        </is>
      </c>
      <c r="J117" t="n">
        <v>10</v>
      </c>
    </row>
    <row r="118" ht="16.35" customHeight="1">
      <c r="A118" s="19" t="inlineStr">
        <is>
          <t>Lloyds</t>
        </is>
      </c>
      <c r="B118" s="20" t="inlineStr">
        <is>
          <t>LYG</t>
        </is>
      </c>
      <c r="C118" s="19" t="n"/>
      <c r="G118" t="inlineStr">
        <is>
          <t>unmapped</t>
        </is>
      </c>
      <c r="H118" t="inlineStr">
        <is>
          <t>Financials</t>
        </is>
      </c>
      <c r="I118" t="inlineStr">
        <is>
          <t>none</t>
        </is>
      </c>
      <c r="J118" t="n">
        <v>0</v>
      </c>
    </row>
    <row r="119" ht="16.35" customHeight="1">
      <c r="A119" s="19" t="inlineStr">
        <is>
          <t>Standard Chartered</t>
        </is>
      </c>
      <c r="B119" s="20" t="inlineStr">
        <is>
          <t>STAN.L</t>
        </is>
      </c>
      <c r="C119" s="19" t="inlineStr">
        <is>
          <t>Nigel</t>
        </is>
      </c>
      <c r="G119" t="inlineStr">
        <is>
          <t>P3</t>
        </is>
      </c>
      <c r="H119" t="inlineStr">
        <is>
          <t>Financials</t>
        </is>
      </c>
      <c r="I119" t="inlineStr">
        <is>
          <t>Phase 3/Readings/Standard Chartered</t>
        </is>
      </c>
      <c r="J119" t="n">
        <v>23</v>
      </c>
    </row>
    <row r="120" ht="16.35" customHeight="1">
      <c r="A120" s="19" t="inlineStr">
        <is>
          <t>BNP Paribas</t>
        </is>
      </c>
      <c r="B120" s="20" t="inlineStr">
        <is>
          <t>BNP.PA</t>
        </is>
      </c>
      <c r="C120" s="19" t="n"/>
      <c r="G120" t="inlineStr">
        <is>
          <t>unmapped</t>
        </is>
      </c>
      <c r="H120" t="inlineStr">
        <is>
          <t>Financials</t>
        </is>
      </c>
      <c r="I120" t="inlineStr">
        <is>
          <t>none</t>
        </is>
      </c>
      <c r="J120" t="n">
        <v>0</v>
      </c>
    </row>
    <row r="121" ht="16.35" customHeight="1">
      <c r="A121" s="19" t="inlineStr">
        <is>
          <t>Societe Generale</t>
        </is>
      </c>
      <c r="B121" s="20" t="inlineStr">
        <is>
          <t>GLE.PA</t>
        </is>
      </c>
      <c r="C121" s="19" t="n"/>
      <c r="G121" t="inlineStr">
        <is>
          <t>unmapped</t>
        </is>
      </c>
      <c r="H121" t="inlineStr">
        <is>
          <t>Financials</t>
        </is>
      </c>
      <c r="I121" t="inlineStr">
        <is>
          <t>none</t>
        </is>
      </c>
      <c r="J121" t="n">
        <v>0</v>
      </c>
    </row>
    <row r="122" ht="16.35" customHeight="1">
      <c r="A122" s="19" t="inlineStr">
        <is>
          <t>Deutsche Bank</t>
        </is>
      </c>
      <c r="B122" s="20" t="inlineStr">
        <is>
          <t>DB</t>
        </is>
      </c>
      <c r="C122" s="19" t="n"/>
      <c r="G122" t="inlineStr">
        <is>
          <t>unmapped</t>
        </is>
      </c>
      <c r="H122" t="inlineStr">
        <is>
          <t>Financials</t>
        </is>
      </c>
      <c r="I122" t="inlineStr">
        <is>
          <t>none</t>
        </is>
      </c>
      <c r="J122" t="n">
        <v>0</v>
      </c>
    </row>
    <row r="123" ht="16.35" customHeight="1">
      <c r="A123" s="19" t="inlineStr">
        <is>
          <t>UBS</t>
        </is>
      </c>
      <c r="B123" s="20" t="inlineStr">
        <is>
          <t>UBS</t>
        </is>
      </c>
      <c r="C123" s="19" t="n"/>
      <c r="G123" t="inlineStr">
        <is>
          <t>unmapped</t>
        </is>
      </c>
      <c r="H123" t="inlineStr">
        <is>
          <t>Financials</t>
        </is>
      </c>
      <c r="I123" t="inlineStr">
        <is>
          <t>none</t>
        </is>
      </c>
      <c r="J123" t="n">
        <v>0</v>
      </c>
    </row>
    <row r="124" ht="16.35" customHeight="1">
      <c r="A124" s="19" t="inlineStr">
        <is>
          <t>ING</t>
        </is>
      </c>
      <c r="B124" s="20" t="inlineStr">
        <is>
          <t>ING</t>
        </is>
      </c>
      <c r="C124" s="19" t="n"/>
      <c r="G124" t="inlineStr">
        <is>
          <t>unmapped</t>
        </is>
      </c>
      <c r="H124" t="inlineStr">
        <is>
          <t>Financials</t>
        </is>
      </c>
      <c r="I124" t="inlineStr">
        <is>
          <t>none</t>
        </is>
      </c>
      <c r="J124" t="n">
        <v>0</v>
      </c>
    </row>
    <row r="125" ht="16.35" customHeight="1">
      <c r="A125" s="19" t="inlineStr">
        <is>
          <t>Santander</t>
        </is>
      </c>
      <c r="B125" s="20" t="inlineStr">
        <is>
          <t>SAN</t>
        </is>
      </c>
      <c r="C125" s="19" t="n"/>
      <c r="G125" t="inlineStr">
        <is>
          <t>unmapped</t>
        </is>
      </c>
      <c r="H125" t="inlineStr">
        <is>
          <t>Financials</t>
        </is>
      </c>
      <c r="I125" t="inlineStr">
        <is>
          <t>none</t>
        </is>
      </c>
      <c r="J125" t="n">
        <v>0</v>
      </c>
    </row>
    <row r="126" ht="16.35" customHeight="1">
      <c r="A126" s="19" t="inlineStr">
        <is>
          <t>Allianz</t>
        </is>
      </c>
      <c r="B126" s="20" t="inlineStr">
        <is>
          <t>ALV.DE</t>
        </is>
      </c>
      <c r="C126" s="19" t="inlineStr">
        <is>
          <t>Nigel</t>
        </is>
      </c>
      <c r="G126" t="inlineStr">
        <is>
          <t>P3</t>
        </is>
      </c>
      <c r="H126" t="inlineStr">
        <is>
          <t>Financials</t>
        </is>
      </c>
      <c r="I126" t="inlineStr">
        <is>
          <t>Phase 3/Readings/Allianz</t>
        </is>
      </c>
      <c r="J126" t="n">
        <v>29</v>
      </c>
    </row>
    <row r="127" ht="16.35" customHeight="1">
      <c r="A127" s="19" t="inlineStr">
        <is>
          <t>AXA</t>
        </is>
      </c>
      <c r="B127" s="20" t="inlineStr">
        <is>
          <t>AXAHY</t>
        </is>
      </c>
      <c r="C127" s="19" t="n"/>
      <c r="G127" t="inlineStr">
        <is>
          <t>unmapped</t>
        </is>
      </c>
      <c r="H127" t="inlineStr">
        <is>
          <t>Financials</t>
        </is>
      </c>
      <c r="I127" t="inlineStr">
        <is>
          <t>none</t>
        </is>
      </c>
      <c r="J127" t="n">
        <v>0</v>
      </c>
    </row>
    <row r="128" ht="16.35" customHeight="1">
      <c r="A128" s="19" t="inlineStr">
        <is>
          <t>Prudential</t>
        </is>
      </c>
      <c r="B128" s="20" t="inlineStr">
        <is>
          <t>PUK</t>
        </is>
      </c>
      <c r="C128" s="19" t="n"/>
      <c r="G128" t="inlineStr">
        <is>
          <t>unmapped</t>
        </is>
      </c>
      <c r="H128" t="inlineStr">
        <is>
          <t>Financials</t>
        </is>
      </c>
      <c r="I128" t="inlineStr">
        <is>
          <t>none</t>
        </is>
      </c>
      <c r="J128" t="n">
        <v>0</v>
      </c>
    </row>
    <row r="129" ht="16.35" customHeight="1">
      <c r="A129" s="19" t="inlineStr">
        <is>
          <t>AIG</t>
        </is>
      </c>
      <c r="B129" s="20" t="inlineStr">
        <is>
          <t>AIG</t>
        </is>
      </c>
      <c r="C129" s="19" t="n"/>
      <c r="G129" t="inlineStr">
        <is>
          <t>unmapped</t>
        </is>
      </c>
      <c r="H129" t="inlineStr">
        <is>
          <t>Financials</t>
        </is>
      </c>
      <c r="I129" t="inlineStr">
        <is>
          <t>none</t>
        </is>
      </c>
      <c r="J129" t="n">
        <v>0</v>
      </c>
    </row>
    <row r="130" ht="16.35" customHeight="1">
      <c r="A130" s="19" t="inlineStr">
        <is>
          <t>MetLife</t>
        </is>
      </c>
      <c r="B130" s="20" t="inlineStr">
        <is>
          <t>MET</t>
        </is>
      </c>
      <c r="C130" s="19" t="inlineStr">
        <is>
          <t>Dragos</t>
        </is>
      </c>
      <c r="G130" t="inlineStr">
        <is>
          <t>P2</t>
        </is>
      </c>
      <c r="H130" t="inlineStr">
        <is>
          <t>Financials</t>
        </is>
      </c>
      <c r="I130" t="inlineStr">
        <is>
          <t>Phase 2/MetLife</t>
        </is>
      </c>
      <c r="J130" t="n">
        <v>39</v>
      </c>
    </row>
    <row r="131" ht="16.35" customHeight="1">
      <c r="A131" s="19" t="inlineStr">
        <is>
          <t>Marsh McLennan</t>
        </is>
      </c>
      <c r="B131" s="20" t="inlineStr">
        <is>
          <t>MMC</t>
        </is>
      </c>
      <c r="C131" s="19" t="n"/>
      <c r="G131" t="inlineStr">
        <is>
          <t>unmapped</t>
        </is>
      </c>
      <c r="H131" t="inlineStr">
        <is>
          <t>Financials</t>
        </is>
      </c>
      <c r="I131" t="inlineStr">
        <is>
          <t>none</t>
        </is>
      </c>
      <c r="J131" t="n">
        <v>0</v>
      </c>
    </row>
    <row r="132" ht="16.35" customHeight="1">
      <c r="A132" s="19" t="inlineStr">
        <is>
          <t>Moody's</t>
        </is>
      </c>
      <c r="B132" s="20" t="inlineStr">
        <is>
          <t>MCO</t>
        </is>
      </c>
      <c r="C132" s="19" t="n"/>
      <c r="G132" t="inlineStr">
        <is>
          <t>unmapped</t>
        </is>
      </c>
      <c r="H132" t="inlineStr">
        <is>
          <t>Financials</t>
        </is>
      </c>
      <c r="I132" t="inlineStr">
        <is>
          <t>none</t>
        </is>
      </c>
      <c r="J132" t="n">
        <v>0</v>
      </c>
    </row>
    <row r="133" ht="16.35" customHeight="1">
      <c r="A133" s="19" t="inlineStr">
        <is>
          <t>S&amp;P Global</t>
        </is>
      </c>
      <c r="B133" s="20" t="inlineStr">
        <is>
          <t>SPGI</t>
        </is>
      </c>
      <c r="C133" s="19" t="n"/>
      <c r="G133" t="inlineStr">
        <is>
          <t>unmapped</t>
        </is>
      </c>
      <c r="H133" t="inlineStr">
        <is>
          <t>Financials</t>
        </is>
      </c>
      <c r="I133" t="inlineStr">
        <is>
          <t>none</t>
        </is>
      </c>
      <c r="J133" t="n">
        <v>0</v>
      </c>
    </row>
    <row r="134" ht="16.35" customHeight="1">
      <c r="A134" s="19" t="inlineStr">
        <is>
          <t>Intercontinental Exchange</t>
        </is>
      </c>
      <c r="B134" s="20" t="inlineStr">
        <is>
          <t>ICE</t>
        </is>
      </c>
      <c r="C134" s="19" t="n"/>
      <c r="G134" t="inlineStr">
        <is>
          <t>unmapped</t>
        </is>
      </c>
      <c r="H134" t="inlineStr">
        <is>
          <t>Financials</t>
        </is>
      </c>
      <c r="I134" t="inlineStr">
        <is>
          <t>none</t>
        </is>
      </c>
      <c r="J134" t="n">
        <v>0</v>
      </c>
    </row>
    <row r="135" ht="16.35" customHeight="1">
      <c r="A135" s="19" t="inlineStr">
        <is>
          <t>CME Group</t>
        </is>
      </c>
      <c r="B135" s="20" t="inlineStr">
        <is>
          <t>CME</t>
        </is>
      </c>
      <c r="C135" s="19" t="n"/>
      <c r="G135" t="inlineStr">
        <is>
          <t>unmapped</t>
        </is>
      </c>
      <c r="H135" t="inlineStr">
        <is>
          <t>Financials</t>
        </is>
      </c>
      <c r="I135" t="inlineStr">
        <is>
          <t>none</t>
        </is>
      </c>
      <c r="J135" t="n">
        <v>0</v>
      </c>
    </row>
    <row r="136" ht="16.35" customHeight="1">
      <c r="A136" s="19" t="inlineStr">
        <is>
          <t>Booking Holdings</t>
        </is>
      </c>
      <c r="B136" s="20" t="inlineStr">
        <is>
          <t>BKNG</t>
        </is>
      </c>
      <c r="C136" s="19" t="inlineStr">
        <is>
          <t>Nigel</t>
        </is>
      </c>
      <c r="G136" t="inlineStr">
        <is>
          <t>both</t>
        </is>
      </c>
      <c r="H136" t="inlineStr">
        <is>
          <t>Consumer Discretionary</t>
        </is>
      </c>
      <c r="I136" t="inlineStr">
        <is>
          <t>Phase 2/Booking; Phase 3/Readings/Booking Holdings</t>
        </is>
      </c>
      <c r="J136" t="n">
        <v>23</v>
      </c>
    </row>
    <row r="137" ht="16.35" customHeight="1">
      <c r="A137" s="19" t="inlineStr">
        <is>
          <t>Expedia</t>
        </is>
      </c>
      <c r="B137" s="20" t="inlineStr">
        <is>
          <t>EXPE</t>
        </is>
      </c>
      <c r="C137" s="19" t="inlineStr">
        <is>
          <t>Abdul</t>
        </is>
      </c>
      <c r="G137" t="inlineStr">
        <is>
          <t>P3</t>
        </is>
      </c>
      <c r="H137" t="inlineStr">
        <is>
          <t>Consumer Discretionary</t>
        </is>
      </c>
      <c r="I137" t="inlineStr">
        <is>
          <t>Phase 3/Readings/Expedia</t>
        </is>
      </c>
      <c r="J137" t="n">
        <v>4</v>
      </c>
    </row>
    <row r="138" ht="16.35" customHeight="1">
      <c r="A138" s="19" t="inlineStr">
        <is>
          <t>Hilton</t>
        </is>
      </c>
      <c r="B138" s="20" t="inlineStr">
        <is>
          <t>HLT</t>
        </is>
      </c>
      <c r="C138" s="19" t="inlineStr">
        <is>
          <t>Anna</t>
        </is>
      </c>
      <c r="G138" t="inlineStr">
        <is>
          <t>P2</t>
        </is>
      </c>
      <c r="H138" t="inlineStr">
        <is>
          <t>Consumer Discretionary</t>
        </is>
      </c>
      <c r="I138" t="inlineStr">
        <is>
          <t>Phase 2/Hilton</t>
        </is>
      </c>
      <c r="J138" t="n">
        <v>5</v>
      </c>
    </row>
    <row r="139" ht="16.35" customHeight="1">
      <c r="A139" s="19" t="inlineStr">
        <is>
          <t>Marriott</t>
        </is>
      </c>
      <c r="B139" s="20" t="inlineStr">
        <is>
          <t>MAR</t>
        </is>
      </c>
      <c r="C139" s="19" t="inlineStr">
        <is>
          <t>Anna</t>
        </is>
      </c>
      <c r="G139" t="inlineStr">
        <is>
          <t>P2</t>
        </is>
      </c>
      <c r="H139" t="inlineStr">
        <is>
          <t>Consumer Discretionary</t>
        </is>
      </c>
      <c r="I139" t="inlineStr">
        <is>
          <t>Phase 2/Marriott</t>
        </is>
      </c>
      <c r="J139" t="n">
        <v>8</v>
      </c>
    </row>
    <row r="140" ht="16.35" customHeight="1">
      <c r="A140" s="19" t="inlineStr">
        <is>
          <t>Hyatt</t>
        </is>
      </c>
      <c r="B140" s="20" t="inlineStr">
        <is>
          <t>H</t>
        </is>
      </c>
      <c r="C140" s="19" t="n"/>
      <c r="G140" t="inlineStr">
        <is>
          <t>unmapped</t>
        </is>
      </c>
      <c r="H140" t="inlineStr">
        <is>
          <t>Consumer Discretionary</t>
        </is>
      </c>
      <c r="I140" t="inlineStr">
        <is>
          <t>none</t>
        </is>
      </c>
      <c r="J140" t="n">
        <v>0</v>
      </c>
    </row>
    <row r="141" ht="16.35" customHeight="1">
      <c r="A141" s="19" t="inlineStr">
        <is>
          <t>Disney</t>
        </is>
      </c>
      <c r="B141" s="20" t="inlineStr">
        <is>
          <t>DIS</t>
        </is>
      </c>
      <c r="C141" s="19" t="n"/>
      <c r="G141" t="inlineStr">
        <is>
          <t>P2</t>
        </is>
      </c>
      <c r="H141" t="inlineStr">
        <is>
          <t>Communication Services</t>
        </is>
      </c>
      <c r="I141" t="inlineStr">
        <is>
          <t>Phase 2/Disney</t>
        </is>
      </c>
      <c r="J141" t="n">
        <v>4</v>
      </c>
    </row>
    <row r="142" ht="16.35" customHeight="1">
      <c r="A142" s="19" t="inlineStr">
        <is>
          <t>Warner Bros. Discovery</t>
        </is>
      </c>
      <c r="B142" s="20" t="inlineStr">
        <is>
          <t>WBD</t>
        </is>
      </c>
      <c r="C142" s="19" t="n"/>
      <c r="G142" t="inlineStr">
        <is>
          <t>unmapped</t>
        </is>
      </c>
      <c r="H142" t="inlineStr">
        <is>
          <t>Communication Services</t>
        </is>
      </c>
      <c r="I142" t="inlineStr">
        <is>
          <t>none</t>
        </is>
      </c>
      <c r="J142" t="n">
        <v>0</v>
      </c>
    </row>
    <row r="143" ht="16.35" customHeight="1">
      <c r="A143" s="19" t="inlineStr">
        <is>
          <t>Comcast Corporation</t>
        </is>
      </c>
      <c r="B143" s="20" t="inlineStr">
        <is>
          <t>CMCSA</t>
        </is>
      </c>
      <c r="C143" s="19" t="inlineStr">
        <is>
          <t>Abdul</t>
        </is>
      </c>
      <c r="G143" t="inlineStr">
        <is>
          <t>P3</t>
        </is>
      </c>
      <c r="H143" t="inlineStr">
        <is>
          <t>Communication Services</t>
        </is>
      </c>
      <c r="I143" t="inlineStr">
        <is>
          <t>Phase 3/Readings/Comcast</t>
        </is>
      </c>
      <c r="J143" t="n">
        <v>6</v>
      </c>
    </row>
    <row r="144" ht="16.35" customHeight="1">
      <c r="A144" s="19" t="inlineStr">
        <is>
          <t>Spotify</t>
        </is>
      </c>
      <c r="B144" s="20" t="inlineStr">
        <is>
          <t>SPOT</t>
        </is>
      </c>
      <c r="C144" s="19" t="inlineStr">
        <is>
          <t>Anna</t>
        </is>
      </c>
      <c r="G144" t="inlineStr">
        <is>
          <t>P3</t>
        </is>
      </c>
      <c r="H144" t="inlineStr">
        <is>
          <t>Communication Services</t>
        </is>
      </c>
      <c r="I144" t="inlineStr">
        <is>
          <t>Phase 3/Readings/Spotify</t>
        </is>
      </c>
      <c r="J144" t="n">
        <v>4</v>
      </c>
    </row>
    <row r="145" ht="16.35" customHeight="1">
      <c r="A145" s="19" t="inlineStr">
        <is>
          <t>Universal Music Group</t>
        </is>
      </c>
      <c r="B145" s="20" t="inlineStr">
        <is>
          <t>UMG.AS</t>
        </is>
      </c>
      <c r="C145" s="19" t="n"/>
      <c r="G145" t="inlineStr">
        <is>
          <t>unmapped</t>
        </is>
      </c>
      <c r="H145" t="inlineStr">
        <is>
          <t>Communication Services</t>
        </is>
      </c>
      <c r="I145" t="inlineStr">
        <is>
          <t>none</t>
        </is>
      </c>
      <c r="J145" t="n">
        <v>0</v>
      </c>
    </row>
    <row r="146" ht="16.35" customHeight="1">
      <c r="A146" s="19" t="inlineStr">
        <is>
          <t>Chipotle</t>
        </is>
      </c>
      <c r="B146" s="20" t="inlineStr">
        <is>
          <t>CMG</t>
        </is>
      </c>
      <c r="C146" s="19" t="inlineStr">
        <is>
          <t>Anna</t>
        </is>
      </c>
      <c r="G146" t="inlineStr">
        <is>
          <t>P3</t>
        </is>
      </c>
      <c r="H146" t="inlineStr">
        <is>
          <t>Consumer Discretionary</t>
        </is>
      </c>
      <c r="I146" t="inlineStr">
        <is>
          <t>Phase 3/Readings/Chipotle</t>
        </is>
      </c>
      <c r="J146" t="n">
        <v>7</v>
      </c>
    </row>
    <row r="147" ht="16.35" customHeight="1">
      <c r="A147" s="19" t="inlineStr">
        <is>
          <t>Yum! Brands</t>
        </is>
      </c>
      <c r="B147" s="20" t="inlineStr">
        <is>
          <t>YUM</t>
        </is>
      </c>
      <c r="C147" s="19" t="n"/>
      <c r="G147" t="inlineStr">
        <is>
          <t>unmapped</t>
        </is>
      </c>
      <c r="H147" t="inlineStr">
        <is>
          <t>Consumer Discretionary</t>
        </is>
      </c>
      <c r="I147" t="inlineStr">
        <is>
          <t>none</t>
        </is>
      </c>
      <c r="J147" t="n">
        <v>0</v>
      </c>
    </row>
    <row r="148" ht="16.35" customHeight="1">
      <c r="A148" s="19" t="inlineStr">
        <is>
          <t>Restaurant Brands</t>
        </is>
      </c>
      <c r="B148" s="20" t="inlineStr">
        <is>
          <t>QSR</t>
        </is>
      </c>
      <c r="C148" s="19" t="n"/>
      <c r="G148" t="inlineStr">
        <is>
          <t>unmapped</t>
        </is>
      </c>
      <c r="H148" t="inlineStr">
        <is>
          <t>Consumer Discretionary</t>
        </is>
      </c>
      <c r="I148" t="inlineStr">
        <is>
          <t>none</t>
        </is>
      </c>
      <c r="J148" t="n">
        <v>0</v>
      </c>
    </row>
    <row r="149" ht="16.35" customHeight="1">
      <c r="A149" s="19" t="inlineStr">
        <is>
          <t>Kraft Heinz</t>
        </is>
      </c>
      <c r="B149" s="20" t="inlineStr">
        <is>
          <t>KHC</t>
        </is>
      </c>
      <c r="C149" s="19" t="inlineStr">
        <is>
          <t>Meriem</t>
        </is>
      </c>
      <c r="G149" t="inlineStr">
        <is>
          <t>P3</t>
        </is>
      </c>
      <c r="H149" t="inlineStr">
        <is>
          <t>Consumer Staples</t>
        </is>
      </c>
      <c r="I149" t="inlineStr">
        <is>
          <t>Phase 3/Readings/Kraft Heinz</t>
        </is>
      </c>
      <c r="J149" t="n">
        <v>4</v>
      </c>
    </row>
    <row r="150" ht="16.35" customHeight="1">
      <c r="A150" s="19" t="inlineStr">
        <is>
          <t>General Mills</t>
        </is>
      </c>
      <c r="B150" s="20" t="inlineStr">
        <is>
          <t>GIS</t>
        </is>
      </c>
      <c r="C150" s="19" t="inlineStr">
        <is>
          <t>Meriem</t>
        </is>
      </c>
      <c r="G150" t="inlineStr">
        <is>
          <t>P3</t>
        </is>
      </c>
      <c r="H150" t="inlineStr">
        <is>
          <t>Consumer Staples</t>
        </is>
      </c>
      <c r="I150" t="inlineStr">
        <is>
          <t>Phase 3/Readings/General Mills</t>
        </is>
      </c>
      <c r="J150" t="n">
        <v>3</v>
      </c>
    </row>
    <row r="151" ht="16.35" customHeight="1">
      <c r="A151" s="19" t="inlineStr">
        <is>
          <t>Kellanova</t>
        </is>
      </c>
      <c r="B151" s="20" t="inlineStr">
        <is>
          <t>K</t>
        </is>
      </c>
      <c r="C151" s="19" t="n"/>
      <c r="G151" t="inlineStr">
        <is>
          <t>unmapped</t>
        </is>
      </c>
      <c r="H151" t="inlineStr">
        <is>
          <t>Consumer Staples</t>
        </is>
      </c>
      <c r="I151" t="inlineStr">
        <is>
          <t>none</t>
        </is>
      </c>
      <c r="J151" t="n">
        <v>0</v>
      </c>
    </row>
    <row r="152" ht="16.35" customHeight="1">
      <c r="A152" s="19" t="inlineStr">
        <is>
          <t>Keurig Dr Pepper</t>
        </is>
      </c>
      <c r="B152" s="20" t="inlineStr">
        <is>
          <t>KDP</t>
        </is>
      </c>
      <c r="C152" s="19" t="n"/>
      <c r="G152" t="inlineStr">
        <is>
          <t>unmapped</t>
        </is>
      </c>
      <c r="H152" t="inlineStr">
        <is>
          <t>Consumer Staples</t>
        </is>
      </c>
      <c r="I152" t="inlineStr">
        <is>
          <t>none</t>
        </is>
      </c>
      <c r="J152" t="n">
        <v>0</v>
      </c>
    </row>
    <row r="153" ht="16.35" customHeight="1">
      <c r="A153" s="19" t="inlineStr">
        <is>
          <t>Danone</t>
        </is>
      </c>
      <c r="B153" s="20" t="inlineStr">
        <is>
          <t>DANOY</t>
        </is>
      </c>
      <c r="C153" s="19" t="inlineStr">
        <is>
          <t>Meriem</t>
        </is>
      </c>
      <c r="G153" t="inlineStr">
        <is>
          <t>unmapped</t>
        </is>
      </c>
      <c r="H153" t="inlineStr">
        <is>
          <t>Consumer Staples</t>
        </is>
      </c>
      <c r="I153" t="inlineStr">
        <is>
          <t>none</t>
        </is>
      </c>
      <c r="J153" t="n">
        <v>0</v>
      </c>
    </row>
    <row r="154" ht="16.35" customHeight="1">
      <c r="A154" s="19" t="inlineStr">
        <is>
          <t>Heineken</t>
        </is>
      </c>
      <c r="B154" s="20" t="inlineStr">
        <is>
          <t>HEINY</t>
        </is>
      </c>
      <c r="C154" s="19" t="inlineStr">
        <is>
          <t>Anna</t>
        </is>
      </c>
      <c r="G154" t="inlineStr">
        <is>
          <t>P3</t>
        </is>
      </c>
      <c r="H154" t="inlineStr">
        <is>
          <t>Consumer Staples</t>
        </is>
      </c>
      <c r="I154" t="inlineStr">
        <is>
          <t>Phase 3/Readings/Heineken</t>
        </is>
      </c>
      <c r="J154" t="n">
        <v>7</v>
      </c>
    </row>
    <row r="155" ht="16.35" customHeight="1">
      <c r="A155" s="19" t="inlineStr">
        <is>
          <t>AB InBev</t>
        </is>
      </c>
      <c r="B155" s="20" t="inlineStr">
        <is>
          <t>BUD</t>
        </is>
      </c>
      <c r="C155" s="19" t="n"/>
      <c r="G155" t="inlineStr">
        <is>
          <t>unmapped</t>
        </is>
      </c>
      <c r="H155" t="inlineStr">
        <is>
          <t>Consumer Staples</t>
        </is>
      </c>
      <c r="I155" t="inlineStr">
        <is>
          <t>none</t>
        </is>
      </c>
      <c r="J155" t="n">
        <v>0</v>
      </c>
    </row>
    <row r="156" ht="16.35" customHeight="1">
      <c r="A156" s="19" t="inlineStr">
        <is>
          <t>Siemens</t>
        </is>
      </c>
      <c r="B156" s="20" t="inlineStr">
        <is>
          <t>SIE.DE</t>
        </is>
      </c>
      <c r="C156" s="19" t="inlineStr">
        <is>
          <t>Meriem</t>
        </is>
      </c>
      <c r="G156" t="inlineStr">
        <is>
          <t>P3</t>
        </is>
      </c>
      <c r="H156" t="inlineStr">
        <is>
          <t>Industrials</t>
        </is>
      </c>
      <c r="I156" t="inlineStr">
        <is>
          <t>Phase 3/Readings/Siemens</t>
        </is>
      </c>
      <c r="J156" t="n">
        <v>3</v>
      </c>
    </row>
    <row r="157" ht="16.35" customHeight="1">
      <c r="A157" s="19" t="inlineStr">
        <is>
          <t>Schneider Electric</t>
        </is>
      </c>
      <c r="B157" s="20" t="inlineStr">
        <is>
          <t>SU.PA</t>
        </is>
      </c>
      <c r="C157" s="19" t="n"/>
      <c r="G157" t="inlineStr">
        <is>
          <t>unmapped</t>
        </is>
      </c>
      <c r="H157" t="inlineStr">
        <is>
          <t>Industrials</t>
        </is>
      </c>
      <c r="I157" t="inlineStr">
        <is>
          <t>none</t>
        </is>
      </c>
      <c r="J157" t="n">
        <v>0</v>
      </c>
    </row>
    <row r="158" ht="16.35" customHeight="1">
      <c r="A158" s="19" t="inlineStr">
        <is>
          <t>ABB</t>
        </is>
      </c>
      <c r="B158" s="20" t="inlineStr">
        <is>
          <t>ABBNY</t>
        </is>
      </c>
      <c r="C158" s="19" t="n"/>
      <c r="G158" t="inlineStr">
        <is>
          <t>unmapped</t>
        </is>
      </c>
      <c r="H158" t="inlineStr">
        <is>
          <t>Industrials</t>
        </is>
      </c>
      <c r="I158" t="inlineStr">
        <is>
          <t>none</t>
        </is>
      </c>
      <c r="J158" t="n">
        <v>0</v>
      </c>
    </row>
    <row r="159" ht="16.35" customHeight="1">
      <c r="A159" s="19" t="inlineStr">
        <is>
          <t>Emerson</t>
        </is>
      </c>
      <c r="B159" s="20" t="inlineStr">
        <is>
          <t>EMR</t>
        </is>
      </c>
      <c r="C159" s="19" t="n"/>
      <c r="G159" t="inlineStr">
        <is>
          <t>unmapped</t>
        </is>
      </c>
      <c r="H159" t="inlineStr">
        <is>
          <t>Industrials</t>
        </is>
      </c>
      <c r="I159" t="inlineStr">
        <is>
          <t>none</t>
        </is>
      </c>
      <c r="J159" t="n">
        <v>0</v>
      </c>
    </row>
    <row r="160" ht="16.35" customHeight="1">
      <c r="A160" s="19" t="inlineStr">
        <is>
          <t>Cummins</t>
        </is>
      </c>
      <c r="B160" s="20" t="inlineStr">
        <is>
          <t>CMI</t>
        </is>
      </c>
      <c r="C160" s="19" t="n"/>
      <c r="G160" t="inlineStr">
        <is>
          <t>unmapped</t>
        </is>
      </c>
      <c r="H160" t="inlineStr">
        <is>
          <t>Industrials</t>
        </is>
      </c>
      <c r="I160" t="inlineStr">
        <is>
          <t>none</t>
        </is>
      </c>
      <c r="J160" t="n">
        <v>0</v>
      </c>
    </row>
    <row r="161" ht="16.35" customHeight="1">
      <c r="A161" s="19" t="inlineStr">
        <is>
          <t>Parker Hannifin</t>
        </is>
      </c>
      <c r="B161" s="20" t="inlineStr">
        <is>
          <t>PH</t>
        </is>
      </c>
      <c r="C161" s="19" t="n"/>
      <c r="G161" t="inlineStr">
        <is>
          <t>unmapped</t>
        </is>
      </c>
      <c r="H161" t="inlineStr">
        <is>
          <t>Industrials</t>
        </is>
      </c>
      <c r="I161" t="inlineStr">
        <is>
          <t>none</t>
        </is>
      </c>
      <c r="J161" t="n">
        <v>0</v>
      </c>
    </row>
    <row r="162" ht="16.35" customHeight="1">
      <c r="A162" s="19" t="inlineStr">
        <is>
          <t>Eaton</t>
        </is>
      </c>
      <c r="B162" s="20" t="inlineStr">
        <is>
          <t>ETN</t>
        </is>
      </c>
      <c r="C162" s="19" t="n"/>
      <c r="G162" t="inlineStr">
        <is>
          <t>unmapped</t>
        </is>
      </c>
      <c r="H162" t="inlineStr">
        <is>
          <t>Industrials</t>
        </is>
      </c>
      <c r="I162" t="inlineStr">
        <is>
          <t>none</t>
        </is>
      </c>
      <c r="J162" t="n">
        <v>0</v>
      </c>
    </row>
    <row r="163" ht="16.35" customHeight="1">
      <c r="A163" s="19" t="inlineStr">
        <is>
          <t>Illinois Tool Works</t>
        </is>
      </c>
      <c r="B163" s="20" t="inlineStr">
        <is>
          <t>ITW</t>
        </is>
      </c>
      <c r="C163" s="19" t="n"/>
      <c r="G163" t="inlineStr">
        <is>
          <t>unmapped</t>
        </is>
      </c>
      <c r="H163" t="inlineStr">
        <is>
          <t>Industrials</t>
        </is>
      </c>
      <c r="I163" t="inlineStr">
        <is>
          <t>none</t>
        </is>
      </c>
      <c r="J163" t="n">
        <v>0</v>
      </c>
    </row>
    <row r="164" ht="16.35" customHeight="1">
      <c r="A164" s="19" t="inlineStr">
        <is>
          <t>Carrier</t>
        </is>
      </c>
      <c r="B164" s="20" t="inlineStr">
        <is>
          <t>CARR</t>
        </is>
      </c>
      <c r="C164" s="19" t="n"/>
      <c r="G164" t="inlineStr">
        <is>
          <t>unmapped</t>
        </is>
      </c>
      <c r="H164" t="inlineStr">
        <is>
          <t>Industrials</t>
        </is>
      </c>
      <c r="I164" t="inlineStr">
        <is>
          <t>none</t>
        </is>
      </c>
      <c r="J164" t="n">
        <v>0</v>
      </c>
    </row>
    <row r="165" ht="16.35" customHeight="1">
      <c r="A165" s="19" t="inlineStr">
        <is>
          <t>Trane Technologies</t>
        </is>
      </c>
      <c r="B165" s="20" t="inlineStr">
        <is>
          <t>TT</t>
        </is>
      </c>
      <c r="C165" s="19" t="n"/>
      <c r="G165" t="inlineStr">
        <is>
          <t>unmapped</t>
        </is>
      </c>
      <c r="H165" t="inlineStr">
        <is>
          <t>Industrials</t>
        </is>
      </c>
      <c r="I165" t="inlineStr">
        <is>
          <t>none</t>
        </is>
      </c>
      <c r="J165" t="n">
        <v>0</v>
      </c>
    </row>
    <row r="166" ht="16.35" customHeight="1">
      <c r="A166" s="19" t="inlineStr">
        <is>
          <t>Rio Tinto</t>
        </is>
      </c>
      <c r="B166" s="20" t="inlineStr">
        <is>
          <t>RIO</t>
        </is>
      </c>
      <c r="C166" s="19" t="n"/>
      <c r="G166" t="inlineStr">
        <is>
          <t>unmapped</t>
        </is>
      </c>
      <c r="H166" t="inlineStr">
        <is>
          <t>Materials</t>
        </is>
      </c>
      <c r="I166" t="inlineStr">
        <is>
          <t>none</t>
        </is>
      </c>
      <c r="J166" t="n">
        <v>0</v>
      </c>
    </row>
    <row r="167" ht="16.35" customHeight="1">
      <c r="A167" s="19" t="inlineStr">
        <is>
          <t>BHP</t>
        </is>
      </c>
      <c r="B167" s="20" t="inlineStr">
        <is>
          <t>BHP</t>
        </is>
      </c>
      <c r="C167" s="19" t="n"/>
      <c r="G167" t="inlineStr">
        <is>
          <t>unmapped</t>
        </is>
      </c>
      <c r="H167" t="inlineStr">
        <is>
          <t>Materials</t>
        </is>
      </c>
      <c r="I167" t="inlineStr">
        <is>
          <t>none</t>
        </is>
      </c>
      <c r="J167" t="n">
        <v>0</v>
      </c>
    </row>
    <row r="168" ht="16.35" customHeight="1">
      <c r="A168" s="19" t="inlineStr">
        <is>
          <t>Vale</t>
        </is>
      </c>
      <c r="B168" s="20" t="inlineStr">
        <is>
          <t>VALE</t>
        </is>
      </c>
      <c r="C168" s="19" t="n"/>
      <c r="G168" t="inlineStr">
        <is>
          <t>unmapped</t>
        </is>
      </c>
      <c r="H168" t="inlineStr">
        <is>
          <t>Materials</t>
        </is>
      </c>
      <c r="I168" t="inlineStr">
        <is>
          <t>none</t>
        </is>
      </c>
      <c r="J168" t="n">
        <v>0</v>
      </c>
    </row>
    <row r="169" ht="16.35" customHeight="1">
      <c r="A169" s="19" t="inlineStr">
        <is>
          <t>Freeport-McMoRan</t>
        </is>
      </c>
      <c r="B169" s="20" t="inlineStr">
        <is>
          <t>FCX</t>
        </is>
      </c>
      <c r="C169" s="19" t="inlineStr">
        <is>
          <t>Dragos</t>
        </is>
      </c>
      <c r="G169" t="inlineStr">
        <is>
          <t>P3</t>
        </is>
      </c>
      <c r="H169" t="inlineStr">
        <is>
          <t>Materials</t>
        </is>
      </c>
      <c r="I169" t="inlineStr">
        <is>
          <t>Phase 3/Readings/Freeport-McMoRan</t>
        </is>
      </c>
      <c r="J169" t="n">
        <v>12</v>
      </c>
    </row>
    <row r="170" ht="16.35" customHeight="1">
      <c r="A170" s="19" t="inlineStr">
        <is>
          <t>Newmont</t>
        </is>
      </c>
      <c r="B170" s="20" t="inlineStr">
        <is>
          <t>NEM</t>
        </is>
      </c>
      <c r="C170" s="19" t="n"/>
      <c r="G170" t="inlineStr">
        <is>
          <t>unmapped</t>
        </is>
      </c>
      <c r="H170" t="inlineStr">
        <is>
          <t>Materials</t>
        </is>
      </c>
      <c r="I170" t="inlineStr">
        <is>
          <t>none</t>
        </is>
      </c>
      <c r="J170" t="n">
        <v>0</v>
      </c>
    </row>
    <row r="171" ht="16.35" customHeight="1">
      <c r="A171" s="19" t="inlineStr">
        <is>
          <t>Anglo American</t>
        </is>
      </c>
      <c r="B171" s="20" t="inlineStr">
        <is>
          <t>AAL.L</t>
        </is>
      </c>
      <c r="C171" s="19" t="n"/>
      <c r="G171" t="inlineStr">
        <is>
          <t>unmapped</t>
        </is>
      </c>
      <c r="H171" t="inlineStr">
        <is>
          <t>Materials</t>
        </is>
      </c>
      <c r="I171" t="inlineStr">
        <is>
          <t>none</t>
        </is>
      </c>
      <c r="J171" t="n">
        <v>0</v>
      </c>
    </row>
    <row r="172" ht="16.35" customHeight="1">
      <c r="A172" s="19" t="inlineStr">
        <is>
          <t>Glencore</t>
        </is>
      </c>
      <c r="B172" s="20" t="inlineStr">
        <is>
          <t>GLEN.L</t>
        </is>
      </c>
      <c r="C172" s="19" t="n"/>
      <c r="G172" t="inlineStr">
        <is>
          <t>unmapped</t>
        </is>
      </c>
      <c r="H172" t="inlineStr">
        <is>
          <t>Materials</t>
        </is>
      </c>
      <c r="I172" t="inlineStr">
        <is>
          <t>none</t>
        </is>
      </c>
      <c r="J172" t="n">
        <v>0</v>
      </c>
    </row>
    <row r="173" ht="16.35" customHeight="1">
      <c r="A173" s="19" t="inlineStr">
        <is>
          <t>Nucor</t>
        </is>
      </c>
      <c r="B173" s="20" t="inlineStr">
        <is>
          <t>NUE</t>
        </is>
      </c>
      <c r="C173" s="19" t="n"/>
      <c r="G173" t="inlineStr">
        <is>
          <t>unmapped</t>
        </is>
      </c>
      <c r="H173" t="inlineStr">
        <is>
          <t>Materials</t>
        </is>
      </c>
      <c r="I173" t="inlineStr">
        <is>
          <t>none</t>
        </is>
      </c>
      <c r="J173" t="n">
        <v>0</v>
      </c>
    </row>
    <row r="174" ht="16.35" customHeight="1">
      <c r="A174" s="19" t="inlineStr">
        <is>
          <t>ArcelorMittal</t>
        </is>
      </c>
      <c r="B174" s="20" t="inlineStr">
        <is>
          <t>MT</t>
        </is>
      </c>
      <c r="C174" s="19" t="n"/>
      <c r="G174" t="inlineStr">
        <is>
          <t>unmapped</t>
        </is>
      </c>
      <c r="H174" t="inlineStr">
        <is>
          <t>Materials</t>
        </is>
      </c>
      <c r="I174" t="inlineStr">
        <is>
          <t>none</t>
        </is>
      </c>
      <c r="J174" t="n">
        <v>0</v>
      </c>
    </row>
    <row r="175" ht="16.35" customHeight="1">
      <c r="A175" s="19" t="inlineStr">
        <is>
          <t>Cleveland-Cliffs</t>
        </is>
      </c>
      <c r="B175" s="20" t="inlineStr">
        <is>
          <t>CLF</t>
        </is>
      </c>
      <c r="C175" s="19" t="n"/>
      <c r="G175" t="inlineStr">
        <is>
          <t>unmapped</t>
        </is>
      </c>
      <c r="H175" t="inlineStr">
        <is>
          <t>Materials</t>
        </is>
      </c>
      <c r="I175" t="inlineStr">
        <is>
          <t>none</t>
        </is>
      </c>
      <c r="J175" t="n">
        <v>0</v>
      </c>
    </row>
    <row r="176" ht="16.35" customHeight="1">
      <c r="A176" s="19" t="inlineStr">
        <is>
          <t>Canadian National Railway</t>
        </is>
      </c>
      <c r="B176" s="20" t="inlineStr">
        <is>
          <t>CNI</t>
        </is>
      </c>
      <c r="C176" s="19" t="n"/>
      <c r="G176" t="inlineStr">
        <is>
          <t>unmapped</t>
        </is>
      </c>
      <c r="H176" t="inlineStr">
        <is>
          <t>Industrials</t>
        </is>
      </c>
      <c r="I176" t="inlineStr">
        <is>
          <t>none</t>
        </is>
      </c>
      <c r="J176" t="n">
        <v>0</v>
      </c>
    </row>
    <row r="177" ht="16.35" customHeight="1">
      <c r="A177" s="19" t="inlineStr">
        <is>
          <t>Canadian Pacific Kansas City</t>
        </is>
      </c>
      <c r="B177" s="20" t="inlineStr">
        <is>
          <t>CP</t>
        </is>
      </c>
      <c r="C177" s="19" t="n"/>
      <c r="G177" t="inlineStr">
        <is>
          <t>unmapped</t>
        </is>
      </c>
      <c r="H177" t="inlineStr">
        <is>
          <t>Industrials</t>
        </is>
      </c>
      <c r="I177" t="inlineStr">
        <is>
          <t>none</t>
        </is>
      </c>
      <c r="J177" t="n">
        <v>0</v>
      </c>
    </row>
    <row r="178" ht="16.35" customHeight="1">
      <c r="A178" s="19" t="inlineStr">
        <is>
          <t>Union Pacific</t>
        </is>
      </c>
      <c r="B178" s="20" t="inlineStr">
        <is>
          <t>UNP</t>
        </is>
      </c>
      <c r="C178" s="19" t="inlineStr">
        <is>
          <t>Dragos</t>
        </is>
      </c>
      <c r="G178" t="inlineStr">
        <is>
          <t>P3</t>
        </is>
      </c>
      <c r="H178" t="inlineStr">
        <is>
          <t>Industrials</t>
        </is>
      </c>
      <c r="I178" t="inlineStr">
        <is>
          <t>Phase 3/Readings/Union Pacific</t>
        </is>
      </c>
      <c r="J178" t="n">
        <v>16</v>
      </c>
    </row>
    <row r="179" ht="16.35" customHeight="1">
      <c r="A179" s="19" t="inlineStr">
        <is>
          <t>Norfolk Southern</t>
        </is>
      </c>
      <c r="B179" s="20" t="inlineStr">
        <is>
          <t>NSC</t>
        </is>
      </c>
      <c r="C179" s="19" t="n"/>
      <c r="G179" t="inlineStr">
        <is>
          <t>unmapped</t>
        </is>
      </c>
      <c r="H179" t="inlineStr">
        <is>
          <t>Industrials</t>
        </is>
      </c>
      <c r="I179" t="inlineStr">
        <is>
          <t>none</t>
        </is>
      </c>
      <c r="J179" t="n">
        <v>0</v>
      </c>
    </row>
    <row r="180" ht="16.35" customHeight="1">
      <c r="A180" s="19" t="inlineStr">
        <is>
          <t>CSX</t>
        </is>
      </c>
      <c r="B180" s="20" t="inlineStr">
        <is>
          <t>CSX</t>
        </is>
      </c>
      <c r="C180" s="19" t="n"/>
      <c r="G180" t="inlineStr">
        <is>
          <t>unmapped</t>
        </is>
      </c>
      <c r="H180" t="inlineStr">
        <is>
          <t>Industrials</t>
        </is>
      </c>
      <c r="I180" t="inlineStr">
        <is>
          <t>none</t>
        </is>
      </c>
      <c r="J180" t="n">
        <v>0</v>
      </c>
    </row>
    <row r="181" ht="16.35" customHeight="1">
      <c r="A181" s="19" t="inlineStr">
        <is>
          <t>Waste Management</t>
        </is>
      </c>
      <c r="B181" s="20" t="inlineStr">
        <is>
          <t>WM</t>
        </is>
      </c>
      <c r="C181" s="19" t="n"/>
      <c r="G181" t="inlineStr">
        <is>
          <t>unmapped</t>
        </is>
      </c>
      <c r="H181" t="inlineStr">
        <is>
          <t>Industrials</t>
        </is>
      </c>
      <c r="I181" t="inlineStr">
        <is>
          <t>none</t>
        </is>
      </c>
      <c r="J181" t="n">
        <v>0</v>
      </c>
    </row>
    <row r="182" ht="16.35" customHeight="1">
      <c r="A182" s="19" t="inlineStr">
        <is>
          <t>Republic Services</t>
        </is>
      </c>
      <c r="B182" s="20" t="inlineStr">
        <is>
          <t>RSG</t>
        </is>
      </c>
      <c r="C182" s="19" t="n"/>
      <c r="G182" t="inlineStr">
        <is>
          <t>unmapped</t>
        </is>
      </c>
      <c r="H182" t="inlineStr">
        <is>
          <t>Industrials</t>
        </is>
      </c>
      <c r="I182" t="inlineStr">
        <is>
          <t>none</t>
        </is>
      </c>
      <c r="J182" t="n">
        <v>0</v>
      </c>
    </row>
    <row r="183" ht="16.35" customHeight="1">
      <c r="A183" s="19" t="inlineStr">
        <is>
          <t>Air Products</t>
        </is>
      </c>
      <c r="B183" s="20" t="inlineStr">
        <is>
          <t>APD</t>
        </is>
      </c>
      <c r="C183" s="19" t="n"/>
      <c r="G183" t="inlineStr">
        <is>
          <t>unmapped</t>
        </is>
      </c>
      <c r="H183" t="inlineStr">
        <is>
          <t>Materials</t>
        </is>
      </c>
      <c r="I183" t="inlineStr">
        <is>
          <t>none</t>
        </is>
      </c>
      <c r="J183" t="n">
        <v>0</v>
      </c>
    </row>
    <row r="184" ht="16.35" customHeight="1">
      <c r="A184" s="19" t="inlineStr">
        <is>
          <t>Linde</t>
        </is>
      </c>
      <c r="B184" s="20" t="inlineStr">
        <is>
          <t>LIN</t>
        </is>
      </c>
      <c r="C184" s="19" t="inlineStr">
        <is>
          <t>Meriem</t>
        </is>
      </c>
      <c r="G184" t="inlineStr">
        <is>
          <t>P3</t>
        </is>
      </c>
      <c r="H184" t="inlineStr">
        <is>
          <t>Materials</t>
        </is>
      </c>
      <c r="I184" t="inlineStr">
        <is>
          <t>Phase 3/Readings/Linde</t>
        </is>
      </c>
      <c r="J184" t="n">
        <v>5</v>
      </c>
    </row>
    <row r="185" ht="16.35" customHeight="1">
      <c r="A185" s="19" t="inlineStr">
        <is>
          <t>DuPont</t>
        </is>
      </c>
      <c r="B185" s="20" t="inlineStr">
        <is>
          <t>DD</t>
        </is>
      </c>
      <c r="C185" s="19" t="n"/>
      <c r="G185" t="inlineStr">
        <is>
          <t>unmapped</t>
        </is>
      </c>
      <c r="H185" t="inlineStr">
        <is>
          <t>Materials</t>
        </is>
      </c>
      <c r="I185" t="inlineStr">
        <is>
          <t>none</t>
        </is>
      </c>
      <c r="J185" t="n">
        <v>0</v>
      </c>
    </row>
    <row r="186" ht="16.35" customHeight="1">
      <c r="A186" s="19" t="inlineStr">
        <is>
          <t>Dow</t>
        </is>
      </c>
      <c r="B186" s="20" t="inlineStr">
        <is>
          <t>DOW</t>
        </is>
      </c>
      <c r="C186" s="19" t="n"/>
      <c r="G186" t="inlineStr">
        <is>
          <t>unmapped</t>
        </is>
      </c>
      <c r="H186" t="inlineStr">
        <is>
          <t>Materials</t>
        </is>
      </c>
      <c r="I186" t="inlineStr">
        <is>
          <t>none</t>
        </is>
      </c>
      <c r="J186" t="n">
        <v>0</v>
      </c>
    </row>
    <row r="187" ht="16.35" customHeight="1">
      <c r="A187" s="19" t="inlineStr">
        <is>
          <t>BASF</t>
        </is>
      </c>
      <c r="B187" s="20" t="inlineStr">
        <is>
          <t>BAS.DE</t>
        </is>
      </c>
      <c r="C187" s="19" t="n"/>
      <c r="G187" t="inlineStr">
        <is>
          <t>unmapped</t>
        </is>
      </c>
      <c r="H187" t="inlineStr">
        <is>
          <t>Materials</t>
        </is>
      </c>
      <c r="I187" t="inlineStr">
        <is>
          <t>none</t>
        </is>
      </c>
      <c r="J187" t="n">
        <v>0</v>
      </c>
    </row>
    <row r="188" ht="16.35" customHeight="1">
      <c r="A188" s="19" t="inlineStr">
        <is>
          <t>Bayer</t>
        </is>
      </c>
      <c r="B188" s="20" t="inlineStr">
        <is>
          <t>BAYN.DE</t>
        </is>
      </c>
      <c r="C188" s="19" t="n"/>
      <c r="G188" t="inlineStr">
        <is>
          <t>unmapped</t>
        </is>
      </c>
      <c r="H188" t="inlineStr">
        <is>
          <t>Health Care</t>
        </is>
      </c>
      <c r="I188" t="inlineStr">
        <is>
          <t>none</t>
        </is>
      </c>
      <c r="J188" t="n">
        <v>0</v>
      </c>
    </row>
    <row r="189" ht="16.35" customHeight="1">
      <c r="A189" s="19" t="inlineStr">
        <is>
          <t>Infineon</t>
        </is>
      </c>
      <c r="B189" s="20" t="inlineStr">
        <is>
          <t>IFX.DE</t>
        </is>
      </c>
      <c r="C189" s="19" t="n"/>
      <c r="G189" t="inlineStr">
        <is>
          <t>unmapped</t>
        </is>
      </c>
      <c r="H189" t="inlineStr">
        <is>
          <t>Information Technology</t>
        </is>
      </c>
      <c r="I189" t="inlineStr">
        <is>
          <t>none</t>
        </is>
      </c>
      <c r="J189" t="n">
        <v>0</v>
      </c>
    </row>
    <row r="190" ht="16.35" customHeight="1">
      <c r="A190" s="19" t="inlineStr">
        <is>
          <t>STMicroelectronics</t>
        </is>
      </c>
      <c r="B190" s="20" t="inlineStr">
        <is>
          <t>STM</t>
        </is>
      </c>
      <c r="C190" s="19" t="n"/>
      <c r="G190" t="inlineStr">
        <is>
          <t>unmapped</t>
        </is>
      </c>
      <c r="H190" t="inlineStr">
        <is>
          <t>Information Technology</t>
        </is>
      </c>
      <c r="I190" t="inlineStr">
        <is>
          <t>none</t>
        </is>
      </c>
      <c r="J190" t="n">
        <v>0</v>
      </c>
    </row>
    <row r="191" ht="16.35" customHeight="1">
      <c r="A191" s="19" t="inlineStr">
        <is>
          <t>NXP Semiconductors</t>
        </is>
      </c>
      <c r="B191" s="20" t="inlineStr">
        <is>
          <t>NXPI</t>
        </is>
      </c>
      <c r="C191" s="19" t="n"/>
      <c r="G191" t="inlineStr">
        <is>
          <t>unmapped</t>
        </is>
      </c>
      <c r="H191" t="inlineStr">
        <is>
          <t>Information Technology</t>
        </is>
      </c>
      <c r="I191" t="inlineStr">
        <is>
          <t>none</t>
        </is>
      </c>
      <c r="J191" t="n">
        <v>0</v>
      </c>
    </row>
    <row r="192" ht="16.35" customHeight="1">
      <c r="A192" s="19" t="inlineStr">
        <is>
          <t>Analog Devices</t>
        </is>
      </c>
      <c r="B192" s="20" t="inlineStr">
        <is>
          <t>ADI</t>
        </is>
      </c>
      <c r="C192" s="19" t="n"/>
      <c r="G192" t="inlineStr">
        <is>
          <t>unmapped</t>
        </is>
      </c>
      <c r="H192" t="inlineStr">
        <is>
          <t>Information Technology</t>
        </is>
      </c>
      <c r="I192" t="inlineStr">
        <is>
          <t>none</t>
        </is>
      </c>
      <c r="J192" t="n">
        <v>0</v>
      </c>
    </row>
    <row r="193" ht="16.35" customHeight="1">
      <c r="A193" s="19" t="inlineStr">
        <is>
          <t>Texas Instruments</t>
        </is>
      </c>
      <c r="B193" s="20" t="inlineStr">
        <is>
          <t>TXN</t>
        </is>
      </c>
      <c r="C193" s="19" t="n"/>
      <c r="G193" t="inlineStr">
        <is>
          <t>unmapped</t>
        </is>
      </c>
      <c r="H193" t="inlineStr">
        <is>
          <t>Information Technology</t>
        </is>
      </c>
      <c r="I193" t="inlineStr">
        <is>
          <t>none</t>
        </is>
      </c>
      <c r="J193" t="n">
        <v>0</v>
      </c>
    </row>
    <row r="194" ht="16.35" customHeight="1">
      <c r="A194" s="19" t="inlineStr">
        <is>
          <t>Applied Materials</t>
        </is>
      </c>
      <c r="B194" s="20" t="inlineStr">
        <is>
          <t>AMAT</t>
        </is>
      </c>
      <c r="C194" s="19" t="n"/>
      <c r="G194" t="inlineStr">
        <is>
          <t>unmapped</t>
        </is>
      </c>
      <c r="H194" t="inlineStr">
        <is>
          <t>Information Technology</t>
        </is>
      </c>
      <c r="I194" t="inlineStr">
        <is>
          <t>none</t>
        </is>
      </c>
      <c r="J194" t="n">
        <v>0</v>
      </c>
    </row>
    <row r="195" ht="16.35" customHeight="1">
      <c r="A195" s="19" t="inlineStr">
        <is>
          <t>Lam Research</t>
        </is>
      </c>
      <c r="B195" s="20" t="inlineStr">
        <is>
          <t>LRCX</t>
        </is>
      </c>
      <c r="C195" s="19" t="n"/>
      <c r="G195" t="inlineStr">
        <is>
          <t>unmapped</t>
        </is>
      </c>
      <c r="H195" t="inlineStr">
        <is>
          <t>Information Technology</t>
        </is>
      </c>
      <c r="I195" t="inlineStr">
        <is>
          <t>none</t>
        </is>
      </c>
      <c r="J195" t="n">
        <v>0</v>
      </c>
    </row>
    <row r="196" ht="16.35" customHeight="1">
      <c r="A196" s="19" t="inlineStr">
        <is>
          <t>KLA</t>
        </is>
      </c>
      <c r="B196" s="20" t="inlineStr">
        <is>
          <t>KLAC</t>
        </is>
      </c>
      <c r="C196" s="19" t="n"/>
      <c r="G196" t="inlineStr">
        <is>
          <t>unmapped</t>
        </is>
      </c>
      <c r="H196" t="inlineStr">
        <is>
          <t>Information Technology</t>
        </is>
      </c>
      <c r="I196" t="inlineStr">
        <is>
          <t>none</t>
        </is>
      </c>
      <c r="J196" t="n">
        <v>0</v>
      </c>
    </row>
    <row r="197" ht="16.35" customHeight="1">
      <c r="A197" s="19" t="inlineStr">
        <is>
          <t>Marvell Technology</t>
        </is>
      </c>
      <c r="B197" s="20" t="inlineStr">
        <is>
          <t>MRVL</t>
        </is>
      </c>
      <c r="C197" s="19" t="n"/>
      <c r="G197" t="inlineStr">
        <is>
          <t>unmapped</t>
        </is>
      </c>
      <c r="H197" t="inlineStr">
        <is>
          <t>Information Technology</t>
        </is>
      </c>
      <c r="I197" t="inlineStr">
        <is>
          <t>none</t>
        </is>
      </c>
      <c r="J197" t="n">
        <v>0</v>
      </c>
    </row>
    <row r="198" ht="16.35" customHeight="1">
      <c r="A198" s="19" t="inlineStr">
        <is>
          <t>Cloudflare</t>
        </is>
      </c>
      <c r="B198" s="20" t="inlineStr">
        <is>
          <t>NET</t>
        </is>
      </c>
      <c r="C198" s="19" t="n"/>
      <c r="G198" t="inlineStr">
        <is>
          <t>unmapped</t>
        </is>
      </c>
      <c r="H198" t="inlineStr">
        <is>
          <t>Information Technology</t>
        </is>
      </c>
      <c r="I198" t="inlineStr">
        <is>
          <t>none</t>
        </is>
      </c>
      <c r="J198" t="n">
        <v>0</v>
      </c>
    </row>
    <row r="199" ht="16.35" customHeight="1">
      <c r="A199" s="19" t="inlineStr">
        <is>
          <t>Datadog</t>
        </is>
      </c>
      <c r="B199" s="20" t="inlineStr">
        <is>
          <t>DDOG</t>
        </is>
      </c>
      <c r="C199" s="19" t="inlineStr">
        <is>
          <t>Anna</t>
        </is>
      </c>
      <c r="G199" t="inlineStr">
        <is>
          <t>P3</t>
        </is>
      </c>
      <c r="H199" t="inlineStr">
        <is>
          <t>Information Technology</t>
        </is>
      </c>
      <c r="I199" t="inlineStr">
        <is>
          <t>Phase 3/Readings/Datadog</t>
        </is>
      </c>
      <c r="J199" t="n">
        <v>7</v>
      </c>
    </row>
    <row r="200" ht="16.35" customHeight="1">
      <c r="A200" s="19" t="inlineStr">
        <is>
          <t>CrowdStrike</t>
        </is>
      </c>
      <c r="B200" s="20" t="inlineStr">
        <is>
          <t>CRWD</t>
        </is>
      </c>
      <c r="C200" s="19" t="n"/>
      <c r="G200" t="inlineStr">
        <is>
          <t>unmapped</t>
        </is>
      </c>
      <c r="H200" t="inlineStr">
        <is>
          <t>Information Technology</t>
        </is>
      </c>
      <c r="I200" t="inlineStr">
        <is>
          <t>none</t>
        </is>
      </c>
      <c r="J200" t="n">
        <v>0</v>
      </c>
    </row>
    <row r="201" ht="16.35" customHeight="1">
      <c r="A201" s="19" t="inlineStr">
        <is>
          <t>MongoDB</t>
        </is>
      </c>
      <c r="B201" s="20" t="inlineStr">
        <is>
          <t>MDB</t>
        </is>
      </c>
      <c r="C201" s="19" t="n"/>
      <c r="G201" t="inlineStr">
        <is>
          <t>unmapped</t>
        </is>
      </c>
      <c r="H201" t="inlineStr">
        <is>
          <t>Information Technology</t>
        </is>
      </c>
      <c r="I201" t="inlineStr">
        <is>
          <t>none</t>
        </is>
      </c>
      <c r="J201" t="n">
        <v>0</v>
      </c>
    </row>
    <row r="202" ht="16.35" customHeight="1">
      <c r="A202" s="19" t="inlineStr">
        <is>
          <t>eBay</t>
        </is>
      </c>
      <c r="B202" s="20" t="inlineStr">
        <is>
          <t>EBAY</t>
        </is>
      </c>
      <c r="C202" s="19" t="inlineStr">
        <is>
          <t>Anna</t>
        </is>
      </c>
      <c r="G202" t="inlineStr">
        <is>
          <t>P3</t>
        </is>
      </c>
      <c r="H202" t="inlineStr">
        <is>
          <t>Consumer Discretionary</t>
        </is>
      </c>
      <c r="I202" t="inlineStr">
        <is>
          <t>Phase 3/Readings/eBay</t>
        </is>
      </c>
      <c r="J202" t="n">
        <v>4</v>
      </c>
    </row>
    <row r="203" ht="16.35" customHeight="1">
      <c r="A203" s="19" t="inlineStr">
        <is>
          <t>Pinterest</t>
        </is>
      </c>
      <c r="B203" s="20" t="inlineStr">
        <is>
          <t>PINS</t>
        </is>
      </c>
      <c r="C203" s="19" t="inlineStr">
        <is>
          <t>Anna</t>
        </is>
      </c>
      <c r="G203" t="inlineStr">
        <is>
          <t>P3</t>
        </is>
      </c>
      <c r="H203" t="inlineStr">
        <is>
          <t>Communication Services</t>
        </is>
      </c>
      <c r="I203" t="inlineStr">
        <is>
          <t>Phase 3/Readings/Pinterest</t>
        </is>
      </c>
      <c r="J203" t="n">
        <v>3</v>
      </c>
    </row>
    <row r="204" ht="16.35" customHeight="1">
      <c r="A204" s="19" t="inlineStr">
        <is>
          <t>Robinhood Markets</t>
        </is>
      </c>
      <c r="B204" s="20" t="inlineStr">
        <is>
          <t>HOOD</t>
        </is>
      </c>
      <c r="C204" s="19" t="inlineStr">
        <is>
          <t>Abdul</t>
        </is>
      </c>
      <c r="G204" t="inlineStr">
        <is>
          <t>P3</t>
        </is>
      </c>
      <c r="H204" t="inlineStr">
        <is>
          <t>Financials</t>
        </is>
      </c>
      <c r="I204" t="inlineStr">
        <is>
          <t>Phase 3/Readings/Robinhood</t>
        </is>
      </c>
      <c r="J204" t="n">
        <v>6</v>
      </c>
    </row>
    <row r="205" ht="16.35" customHeight="1">
      <c r="A205" s="19" t="inlineStr">
        <is>
          <t>Coinbase</t>
        </is>
      </c>
      <c r="B205" s="20" t="inlineStr">
        <is>
          <t>COIN</t>
        </is>
      </c>
      <c r="C205" s="19" t="inlineStr">
        <is>
          <t>David</t>
        </is>
      </c>
      <c r="G205" t="inlineStr">
        <is>
          <t>P2</t>
        </is>
      </c>
      <c r="H205" t="inlineStr">
        <is>
          <t>Financials</t>
        </is>
      </c>
      <c r="I205" t="inlineStr">
        <is>
          <t>Phase 2/Coin Base</t>
        </is>
      </c>
      <c r="J205" t="n">
        <v>6</v>
      </c>
    </row>
    <row r="206" ht="16.35" customHeight="1">
      <c r="A206" s="19" t="inlineStr">
        <is>
          <t>Nvidia</t>
        </is>
      </c>
      <c r="B206" s="20" t="inlineStr">
        <is>
          <t>NVDA</t>
        </is>
      </c>
      <c r="C206" s="19" t="inlineStr">
        <is>
          <t>Dragos</t>
        </is>
      </c>
      <c r="G206" t="inlineStr">
        <is>
          <t>P2</t>
        </is>
      </c>
      <c r="H206" t="inlineStr">
        <is>
          <t>Information Technology</t>
        </is>
      </c>
      <c r="I206" t="inlineStr">
        <is>
          <t>Phase 2/Nvidia</t>
        </is>
      </c>
      <c r="J206" t="n">
        <v>16</v>
      </c>
    </row>
    <row r="207">
      <c r="A207" t="inlineStr">
        <is>
          <t>Starbucks</t>
        </is>
      </c>
      <c r="B207" t="inlineStr">
        <is>
          <t>SBUX</t>
        </is>
      </c>
      <c r="C207" t="inlineStr">
        <is>
          <t>Meriem</t>
        </is>
      </c>
      <c r="G207" t="inlineStr">
        <is>
          <t>P2</t>
        </is>
      </c>
      <c r="H207" t="inlineStr">
        <is>
          <t>Consumer Discretionary</t>
        </is>
      </c>
      <c r="I207" t="inlineStr">
        <is>
          <t>Phase 2/Starbucks</t>
        </is>
      </c>
      <c r="J207" t="n">
        <v>8</v>
      </c>
    </row>
  </sheetData>
  <dataValidations count="1">
    <dataValidation sqref="C2:C1048576" showDropDown="0" showInputMessage="1" showErrorMessage="1" allowBlank="1" type="list">
      <formula1>RaterList</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I57"/>
  <sheetViews>
    <sheetView showGridLines="0" zoomScaleNormal="100" workbookViewId="0">
      <selection activeCell="H9" sqref="H9"/>
    </sheetView>
  </sheetViews>
  <sheetFormatPr baseColWidth="8" defaultColWidth="8.7109375" defaultRowHeight="15"/>
  <cols>
    <col width="21.140625" bestFit="1" customWidth="1" min="1" max="1"/>
    <col width="9.42578125" bestFit="1" customWidth="1" min="2" max="2"/>
    <col width="60.28515625" bestFit="1" customWidth="1" min="3" max="3"/>
    <col width="12" customWidth="1" min="4" max="4"/>
    <col width="3" customWidth="1" min="5" max="5"/>
    <col width="8" customWidth="1" min="6" max="6"/>
    <col width="9" customWidth="1" min="7" max="7"/>
    <col width="13.28515625" bestFit="1" customWidth="1" min="8" max="8"/>
    <col width="17.42578125" bestFit="1" customWidth="1" min="9" max="9"/>
  </cols>
  <sheetData>
    <row r="1" ht="22.35" customHeight="1">
      <c r="A1" s="13" t="inlineStr">
        <is>
          <t>Settings</t>
        </is>
      </c>
    </row>
    <row r="2" ht="22.35" customHeight="1">
      <c r="A2" s="66" t="inlineStr">
        <is>
          <t>Parameter</t>
        </is>
      </c>
      <c r="B2" s="66" t="inlineStr">
        <is>
          <t>Value</t>
        </is>
      </c>
      <c r="C2" s="66" t="inlineStr">
        <is>
          <t>Notes</t>
        </is>
      </c>
    </row>
    <row r="3" ht="16.35" customHeight="1">
      <c r="A3" s="10" t="inlineStr">
        <is>
          <t>HOLD Threshold (±%)</t>
        </is>
      </c>
      <c r="B3" s="163" t="n">
        <v>2</v>
      </c>
      <c r="C3" s="14" t="inlineStr">
        <is>
          <t>Enter as a whole number (e.g. 2 = ±2%). A move within this range makes a HOLD call "correct".</t>
        </is>
      </c>
    </row>
    <row r="4" ht="16.35" customHeight="1">
      <c r="A4" s="10" t="inlineStr">
        <is>
          <t>Round-trip Cost (bps)</t>
        </is>
      </c>
      <c r="B4" s="89" t="n">
        <v>10</v>
      </c>
      <c r="C4" s="14" t="inlineStr">
        <is>
          <t>Round-trip transaction cost applied to every non-HOLD position.</t>
        </is>
      </c>
    </row>
    <row r="5" ht="16.35" customHeight="1">
      <c r="A5" s="10" t="inlineStr">
        <is>
          <t>Short Borrow (bps, SELL only)</t>
        </is>
      </c>
      <c r="B5" s="89" t="n">
        <v>0</v>
      </c>
      <c r="C5" s="14" t="inlineStr">
        <is>
          <t>Additional borrow cost applied to SELL positions only.</t>
        </is>
      </c>
      <c r="D5" s="3" t="n"/>
    </row>
    <row r="6">
      <c r="A6" s="1" t="inlineStr">
        <is>
          <t>Score HOLD band (±)</t>
        </is>
      </c>
      <c r="B6" s="1" t="n">
        <v>0.2</v>
      </c>
      <c r="C6" t="inlineStr">
        <is>
          <t>Applies to the Sentiment Score, not to a price move. A score within ±this is HOLD. Pre-registered - do not change after seeing results.</t>
        </is>
      </c>
      <c r="D6" s="3" t="n"/>
      <c r="E6" s="3" t="n"/>
      <c r="F6" s="3" t="n"/>
    </row>
    <row r="7" ht="22.35" customHeight="1">
      <c r="A7" s="66" t="inlineStr">
        <is>
          <t>Rater Name</t>
        </is>
      </c>
      <c r="B7" s="66" t="inlineStr">
        <is>
          <t>Type</t>
        </is>
      </c>
      <c r="D7" s="66" t="inlineStr">
        <is>
          <t>Decision</t>
        </is>
      </c>
      <c r="F7" s="66" t="inlineStr">
        <is>
          <t>Year</t>
        </is>
      </c>
      <c r="G7" s="66" t="inlineStr">
        <is>
          <t>Quarter</t>
        </is>
      </c>
      <c r="H7" s="102" t="inlineStr">
        <is>
          <t>Section</t>
        </is>
      </c>
      <c r="I7" s="102" t="inlineStr">
        <is>
          <t>Document</t>
        </is>
      </c>
    </row>
    <row r="8" ht="16.35" customHeight="1">
      <c r="A8" s="19" t="inlineStr">
        <is>
          <t>Anna</t>
        </is>
      </c>
      <c r="B8" s="20" t="inlineStr">
        <is>
          <t>Human</t>
        </is>
      </c>
      <c r="D8" s="20" t="inlineStr">
        <is>
          <t>BUY</t>
        </is>
      </c>
      <c r="F8" s="21" t="n">
        <v>2020</v>
      </c>
      <c r="G8" s="20" t="inlineStr">
        <is>
          <t>Q1</t>
        </is>
      </c>
      <c r="H8" s="103" t="inlineStr">
        <is>
          <t>Financial Results</t>
        </is>
      </c>
      <c r="I8" s="103" t="inlineStr">
        <is>
          <t>Financial Statement</t>
        </is>
      </c>
    </row>
    <row r="9" ht="16.35" customHeight="1">
      <c r="A9" s="19" t="inlineStr">
        <is>
          <t>Abdul</t>
        </is>
      </c>
      <c r="B9" s="20" t="inlineStr">
        <is>
          <t>Human</t>
        </is>
      </c>
      <c r="D9" s="20" t="inlineStr">
        <is>
          <t>HOLD</t>
        </is>
      </c>
      <c r="F9" s="20" t="n">
        <v>2021</v>
      </c>
      <c r="G9" s="20" t="inlineStr">
        <is>
          <t>Q2</t>
        </is>
      </c>
      <c r="H9" s="103" t="inlineStr">
        <is>
          <t>Outlook/Guidance</t>
        </is>
      </c>
      <c r="I9" s="103" t="inlineStr">
        <is>
          <t>Press Release Document</t>
        </is>
      </c>
    </row>
    <row r="10" ht="16.35" customHeight="1">
      <c r="A10" s="19" t="inlineStr">
        <is>
          <t>Nigel</t>
        </is>
      </c>
      <c r="B10" s="20" t="inlineStr">
        <is>
          <t>Human</t>
        </is>
      </c>
      <c r="D10" s="20" t="inlineStr">
        <is>
          <t>SELL</t>
        </is>
      </c>
      <c r="F10" s="20" t="n">
        <v>2022</v>
      </c>
      <c r="G10" s="20" t="inlineStr">
        <is>
          <t>Q3</t>
        </is>
      </c>
      <c r="H10" s="103" t="inlineStr">
        <is>
          <t>Transcript Q&amp;A</t>
        </is>
      </c>
      <c r="I10" s="103" t="inlineStr">
        <is>
          <t>Presentation</t>
        </is>
      </c>
    </row>
    <row r="11" ht="16.35" customHeight="1">
      <c r="A11" s="19" t="inlineStr">
        <is>
          <t>Meriem</t>
        </is>
      </c>
      <c r="B11" s="20" t="inlineStr">
        <is>
          <t>Human</t>
        </is>
      </c>
      <c r="D11" s="20" t="n"/>
      <c r="F11" s="20" t="n">
        <v>2023</v>
      </c>
      <c r="G11" s="20" t="inlineStr">
        <is>
          <t>Q4</t>
        </is>
      </c>
      <c r="H11" s="103" t="inlineStr">
        <is>
          <t>All</t>
        </is>
      </c>
      <c r="I11" s="103" t="inlineStr">
        <is>
          <t>Transcript</t>
        </is>
      </c>
    </row>
    <row r="12" ht="16.35" customHeight="1">
      <c r="A12" s="19" t="inlineStr">
        <is>
          <t>David</t>
        </is>
      </c>
      <c r="B12" s="20" t="inlineStr">
        <is>
          <t>Human</t>
        </is>
      </c>
      <c r="D12" s="20" t="n"/>
      <c r="F12" s="20" t="n">
        <v>2024</v>
      </c>
      <c r="G12" s="103" t="n"/>
      <c r="H12" s="103" t="n"/>
      <c r="I12" s="103" t="inlineStr">
        <is>
          <t>All</t>
        </is>
      </c>
    </row>
    <row r="13" ht="16.35" customHeight="1">
      <c r="A13" s="19" t="inlineStr">
        <is>
          <t>Dragos</t>
        </is>
      </c>
      <c r="B13" s="20" t="inlineStr">
        <is>
          <t>Human</t>
        </is>
      </c>
      <c r="D13" s="20" t="n"/>
      <c r="F13" s="20" t="n">
        <v>2025</v>
      </c>
      <c r="G13" s="20" t="n"/>
    </row>
    <row r="14" ht="16.35" customHeight="1">
      <c r="A14" s="19" t="inlineStr">
        <is>
          <t>Ben/DeepSeek</t>
        </is>
      </c>
      <c r="B14" s="20" t="inlineStr">
        <is>
          <t>LLM</t>
        </is>
      </c>
      <c r="D14" s="20" t="n"/>
      <c r="F14" s="20" t="n">
        <v>2026</v>
      </c>
      <c r="G14" s="20" t="n"/>
    </row>
    <row r="16">
      <c r="A16" s="93" t="inlineStr">
        <is>
          <t>Stock prices are measured based on Closing Price on date of document release and Opening Price of the next working day.</t>
        </is>
      </c>
    </row>
    <row r="17">
      <c r="A17" t="inlineStr">
        <is>
          <t>SECTION D - parameters the specification requires and the sheet did not carry. Added by the repair; every value is evidenced in the changelog. Nothing above row 17 was changed.</t>
        </is>
      </c>
    </row>
    <row r="18">
      <c r="A18" t="inlineStr">
        <is>
          <t>Slippage (bps, per side)</t>
        </is>
      </c>
      <c r="B18" t="n">
        <v>0</v>
      </c>
      <c r="C18" t="inlineStr">
        <is>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is>
      </c>
    </row>
    <row r="19">
      <c r="A19" t="inlineStr">
        <is>
          <t>Study window start</t>
        </is>
      </c>
      <c r="B19" t="inlineStr">
        <is>
          <t>2023-Q1</t>
        </is>
      </c>
      <c r="C19" t="inlineStr">
        <is>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is>
      </c>
    </row>
    <row r="20">
      <c r="A20" t="inlineStr">
        <is>
          <t>Study window end</t>
        </is>
      </c>
      <c r="B20" t="inlineStr">
        <is>
          <t>2026-Q4</t>
        </is>
      </c>
      <c r="C20" t="inlineStr">
        <is>
          <t>As above. 52 human and 24 model readings fall outside 2025-Q1..2026-Q2; they are inside this window and they count.</t>
        </is>
      </c>
    </row>
    <row r="21">
      <c r="A21" t="inlineStr">
        <is>
          <t>Price adjustment basis</t>
        </is>
      </c>
      <c r="B21" t="inlineStr">
        <is>
          <t>Dividend-adjusted (close and open)</t>
        </is>
      </c>
      <c r="C21" t="inlineStr">
        <is>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is>
      </c>
    </row>
    <row r="22">
      <c r="A22" t="inlineStr">
        <is>
          <t>Reporting-time convention</t>
        </is>
      </c>
      <c r="B22" t="inlineStr">
        <is>
          <t>Reaction window per event: pre-report close to post-report open</t>
        </is>
      </c>
      <c r="C22" t="inlineStr">
        <is>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is>
      </c>
    </row>
    <row r="23">
      <c r="A23" t="inlineStr">
        <is>
          <t>FLAT band basis</t>
        </is>
      </c>
      <c r="B23" t="inlineStr">
        <is>
          <t>The return itself, at +/-B3 %, NOT a rounded copy</t>
        </is>
      </c>
      <c r="C23" t="inlineStr">
        <is>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is>
      </c>
    </row>
    <row r="24">
      <c r="A24" t="inlineStr">
        <is>
          <t>Neutral point (human sentiment score)</t>
        </is>
      </c>
      <c r="B24" t="n">
        <v>0</v>
      </c>
      <c r="C24" t="inlineStr">
        <is>
          <t>Conviction is distance from neutral. Read by the conviction weights in Human_Data_Entry!AV and AX and by block D5f on Summary.</t>
        </is>
      </c>
    </row>
    <row r="25">
      <c r="A25" t="inlineStr">
        <is>
          <t>Neutral point (LLM sentiment score)</t>
        </is>
      </c>
      <c r="B25" t="n">
        <v>0</v>
      </c>
      <c r="C25" t="inlineStr">
        <is>
          <t>Recorded separately: the two arms need not share a scale. Read by LLM_Data_Entry!AO and AQ.</t>
        </is>
      </c>
    </row>
    <row r="26">
      <c r="A26" t="inlineStr">
        <is>
          <t>Listing convention</t>
        </is>
      </c>
      <c r="B26" t="inlineStr">
        <is>
          <t>The issuer's home market (re-priced block); column B as entered (published block)</t>
        </is>
      </c>
      <c r="C26" t="inlineStr">
        <is>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is>
      </c>
    </row>
    <row r="27">
      <c r="A27" t="inlineStr">
        <is>
          <t>Reporting currency</t>
        </is>
      </c>
      <c r="B27" t="inlineStr">
        <is>
          <t>One line per event in the re-priced block; MIXED as published</t>
        </is>
      </c>
      <c r="C27" t="inlineStr">
        <is>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is>
      </c>
    </row>
    <row r="28">
      <c r="A28" t="inlineStr">
        <is>
          <t>Parameters frozen on</t>
        </is>
      </c>
      <c r="B28" t="inlineStr">
        <is>
          <t>2026-08-10</t>
        </is>
      </c>
      <c r="C28" t="inlineStr">
        <is>
          <t>Date the band, the costs, the horizon, the score-to-call mapping and every row above were written down. Events reporting after this date form a genuinely blind set. Held as text so no display format is assumed.</t>
        </is>
      </c>
    </row>
    <row r="30">
      <c r="A30" t="inlineStr">
        <is>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is>
      </c>
    </row>
    <row r="32">
      <c r="A32" t="inlineStr">
        <is>
          <t>Section E - study design and schema (added)</t>
        </is>
      </c>
      <c r="C32" t="inlineStr">
        <is>
          <t>Declared here because the workbook records it nowhere. A value of 'not recorded' is a finding.</t>
        </is>
      </c>
    </row>
    <row r="33">
      <c r="A33" t="inlineStr">
        <is>
          <t>Blindness protocol</t>
        </is>
      </c>
      <c r="B33" t="inlineStr">
        <is>
          <t>prices hidden until the score is sealed</t>
        </is>
      </c>
      <c r="C33" t="inlineStr">
        <is>
          <t>Phase 3/ARP_Human_Arm_Instructions, section 1. A peeked reading is contaminated for every purpose and must be flagged, not dropped.</t>
        </is>
      </c>
    </row>
    <row r="34">
      <c r="A34" t="inlineStr">
        <is>
          <t>Pass split required</t>
        </is>
      </c>
      <c r="B34" t="inlineStr">
        <is>
          <t>yes</t>
        </is>
      </c>
      <c r="C34" t="inlineStr">
        <is>
          <t>The instructions call it the one irreversible detail: pass one and pass two in separate columns. Human_Data_Entry!BA:BF is that split, reconstructed from the rater records for the 51 rows that have one.</t>
        </is>
      </c>
    </row>
    <row r="35">
      <c r="A35" t="inlineStr">
        <is>
          <t>Decision is a formula, not typed</t>
        </is>
      </c>
      <c r="B35" t="inlineStr">
        <is>
          <t>human arm only</t>
        </is>
      </c>
      <c r="C35" t="inlineStr">
        <is>
          <t>True of Human_Data_Entry!J. LLM_Data_Entry holds no formula in any column, so a change here re-scores the human arm alone.</t>
        </is>
      </c>
    </row>
    <row r="36">
      <c r="A36" t="inlineStr">
        <is>
          <t>Model latency per document</t>
        </is>
      </c>
      <c r="B36" t="inlineStr">
        <is>
          <t>8 sec (declared assumption)</t>
        </is>
      </c>
      <c r="C36" t="inlineStr">
        <is>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is>
      </c>
    </row>
    <row r="37">
      <c r="A37" t="inlineStr">
        <is>
          <t>Only measured model latency</t>
        </is>
      </c>
      <c r="B37" t="inlineStr">
        <is>
          <t>14.3075 sec</t>
        </is>
      </c>
      <c r="C37" t="inlineStr">
        <is>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is>
      </c>
    </row>
    <row r="38">
      <c r="A38" t="inlineStr">
        <is>
          <t>Model run identity</t>
        </is>
      </c>
      <c r="B38" t="inlineStr">
        <is>
          <t>not recorded</t>
        </is>
      </c>
      <c r="C38" t="inlineStr">
        <is>
          <t>120 of the 268 model readings are a re-read of events in Phase 2/Master_Data_v1.xlsx and 148 are new. Nothing dates either run. LLM_Data_Entry!AT classifies every row against v1; a real run_id has to be written when the run happens.</t>
        </is>
      </c>
    </row>
    <row r="39">
      <c r="A39" t="inlineStr">
        <is>
          <t>Rater records</t>
        </is>
      </c>
      <c r="B39" t="inlineStr">
        <is>
          <t>3 files, 57 readings</t>
        </is>
      </c>
      <c r="C39" t="inlineStr">
        <is>
          <t>Dragos - Phase 3 scoring_rows.csv (23 events, 40 passes), the 16 Human Arm Reading Sheet PDFs, and Nigel's Notes Phase 3.docx (6 rows). Every figure in Human_Data_Entry!BA:BL is checked against the workbook's own minutes and scores; a mismatch stops the build.</t>
        </is>
      </c>
    </row>
    <row r="40">
      <c r="A40" t="inlineStr">
        <is>
          <t>Blindness default</t>
        </is>
      </c>
      <c r="B40" t="inlineStr">
        <is>
          <t>pass unless stated otherwise</t>
        </is>
      </c>
      <c r="C40" t="inlineStr">
        <is>
          <t>Group decision, 10 August 2026. Human_Data_Entry!BG reads 'no' on every reading; BL records WHY, and only the 'attested' rows are evidence. Never count BG - count BL.</t>
        </is>
      </c>
    </row>
    <row r="41">
      <c r="A41" t="inlineStr">
        <is>
          <t>Schema still absent</t>
        </is>
      </c>
      <c r="B41" t="inlineStr">
        <is>
          <t>model confidence, evidence quote, EPS surprise, benchmark</t>
        </is>
      </c>
      <c r="C41" t="inlineStr">
        <is>
          <t>None has a source anywhere in the container, so no column is written for them. Confidence and quote are a collection task for the model arm; EPS surprise and benchmark are pricing questions and belong with section C, not here.</t>
        </is>
      </c>
    </row>
    <row r="42">
      <c r="A42" t="inlineStr">
        <is>
          <t>Section E frozen on</t>
        </is>
      </c>
      <c r="B42" t="inlineStr">
        <is>
          <t>2026-08-10</t>
        </is>
      </c>
      <c r="C42" t="inlineStr">
        <is>
          <t>Every figure re-derived on the live reading set at this date.</t>
        </is>
      </c>
    </row>
    <row r="44">
      <c r="A44" t="inlineStr">
        <is>
          <t>Section F - the corpus and its documents (added)</t>
        </is>
      </c>
      <c r="C44" t="inlineStr">
        <is>
          <t>Every count below is derived from the documents' own text, not their filenames.</t>
        </is>
      </c>
    </row>
    <row r="45">
      <c r="A45" t="inlineStr">
        <is>
          <t>Corpus files</t>
        </is>
      </c>
      <c r="B45" t="inlineStr">
        <is>
          <t>1153 files, 1074 readable</t>
        </is>
      </c>
      <c r="C45" t="inlineStr">
        <is>
          <t>Everything under Phase 2 and Phase 3. The 78 that are not read here are spreadsheets, CSVs and slide decks; 8 of them are cited as sources and are counted as such.</t>
        </is>
      </c>
    </row>
    <row r="46">
      <c r="A46" t="inlineStr">
        <is>
          <t>Classified by</t>
        </is>
      </c>
      <c r="B46" t="inlineStr">
        <is>
          <t>the document's own text</t>
        </is>
      </c>
      <c r="C46" t="inlineStr">
        <is>
          <t>PDF, DOCX and HTML all opened and read. Until 10 August 2026 every content scan in this project read PDF and DOCX only, which is 62% of the corpus - a scanner's file-type list is a claim about the corpus in the way a filename is a claim about a file.</t>
        </is>
      </c>
    </row>
    <row r="47">
      <c r="A47" t="inlineStr">
        <is>
          <t>Rater answer sheets in the corpus</t>
        </is>
      </c>
      <c r="B47" t="n">
        <v>74</v>
      </c>
      <c r="C47" t="inlineStr">
        <is>
          <t>Declared in rb_provenance.WORKSHEET_FILES and re-tested by rb_check_e. No reading cites one.</t>
        </is>
      </c>
    </row>
    <row r="48">
      <c r="A48" t="inlineStr">
        <is>
          <t>SEC periodic filings held</t>
        </is>
      </c>
      <c r="B48" t="inlineStr">
        <is>
          <t>45 (25 Phase 2, 20 Phase 3)</t>
        </is>
      </c>
      <c r="C48" t="inlineStr">
        <is>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is>
      </c>
    </row>
    <row r="49">
      <c r="A49" t="inlineStr">
        <is>
          <t>Long-filing exclusion</t>
        </is>
      </c>
      <c r="B49" t="inlineStr">
        <is>
          <t>stated, scope unresolved</t>
        </is>
      </c>
      <c r="C49" t="inlineStr">
        <is>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is>
      </c>
    </row>
    <row r="50">
      <c r="A50" t="inlineStr">
        <is>
          <t>Readings citing an SEC periodic filing</t>
        </is>
      </c>
      <c r="C50" t="inlineStr">
        <is>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is>
      </c>
    </row>
    <row r="51">
      <c r="A51" t="inlineStr">
        <is>
          <t>Documents with a publisher identified</t>
        </is>
      </c>
      <c r="B51" t="n">
        <v>244</v>
      </c>
      <c r="C51" t="inlineStr">
        <is>
          <t>By the document's own copyright line, never a mention: 76 documents name the Motley Fool and 43 of those are rater sheets recording where the rater got the transcript.</t>
        </is>
      </c>
    </row>
    <row r="52">
      <c r="A52" t="inlineStr">
        <is>
          <t>Redistribution</t>
        </is>
      </c>
      <c r="B52" t="inlineStr">
        <is>
          <t>not a concern - group decision 10 August 2026</t>
        </is>
      </c>
      <c r="C52" t="inlineStr">
        <is>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is>
      </c>
    </row>
    <row r="53">
      <c r="A53" t="inlineStr">
        <is>
          <t>Byte-identical duplicate documents</t>
        </is>
      </c>
      <c r="B53" t="inlineStr">
        <is>
          <t>7 groups, 17 files</t>
        </is>
      </c>
      <c r="C53" t="inlineStr">
        <is>
          <t>sha256, not size. Four groups straddle the two phase trees and all four are Target, which is why Target is the only company appearing in both arms.</t>
        </is>
      </c>
    </row>
    <row r="54">
      <c r="A54" t="inlineStr">
        <is>
          <t>Provenance manifests</t>
        </is>
      </c>
      <c r="B54" t="inlineStr">
        <is>
          <t>7 original, 50 collected</t>
        </is>
      </c>
      <c r="C54" t="inlineStr">
        <is>
          <t>Across 424 of 1074 readable documents. Seven manifest rows record a collection that failed and carry '(not collected)' as the filename; they are no longer citable.</t>
        </is>
      </c>
    </row>
    <row r="55">
      <c r="A55" t="inlineStr">
        <is>
          <t>Company-folder name drift</t>
        </is>
      </c>
      <c r="B55" t="inlineStr">
        <is>
          <t>15 of 96 folders</t>
        </is>
      </c>
      <c r="C55" t="inlineStr">
        <is>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is>
      </c>
    </row>
    <row r="56">
      <c r="A56" t="inlineStr">
        <is>
          <t>Period-folder naming shapes</t>
        </is>
      </c>
      <c r="B56" t="n">
        <v>5</v>
      </c>
      <c r="C56" t="inlineStr">
        <is>
          <t>YYYY-Qn x139; other x91; Qn (no year) x87; YYYY x12; Qn YY x11. A folder named 'Q1' does not say which year it belongs to.</t>
        </is>
      </c>
    </row>
    <row r="57">
      <c r="A57" t="inlineStr">
        <is>
          <t>Section F frozen on</t>
        </is>
      </c>
      <c r="B57" t="inlineStr">
        <is>
          <t>2026-08-10</t>
        </is>
      </c>
      <c r="C57" t="inlineStr">
        <is>
          <t>Every figure re-derived against the corpus as it stood at this date. The corpus is still moving: see the Summary block.</t>
        </is>
      </c>
    </row>
  </sheetData>
  <pageMargins left="0.75" right="0.75" top="1" bottom="1" header="0.511811023622047" footer="0.511811023622047"/>
  <pageSetup orientation="portrait" paperSize="9"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164" t="inlineStr">
        <is>
          <t>CORRECTIONS TABLE</t>
        </is>
      </c>
    </row>
    <row r="2">
      <c r="A2" s="164" t="n"/>
      <c r="B2" s="164" t="n"/>
      <c r="C2" s="164" t="n"/>
      <c r="D2" s="164" t="n"/>
      <c r="E2" s="164" t="n"/>
      <c r="F2" s="164" t="n"/>
    </row>
    <row r="3">
      <c r="A3" t="inlineStr">
        <is>
          <t>What was claimed</t>
        </is>
      </c>
      <c r="B3" t="inlineStr">
        <is>
          <t>Corrected value</t>
        </is>
      </c>
      <c r="C3" t="inlineStr">
        <is>
          <t>Cause</t>
        </is>
      </c>
      <c r="D3" t="inlineStr">
        <is>
          <t>Date</t>
        </is>
      </c>
      <c r="E3" t="inlineStr">
        <is>
          <t>Affected events</t>
        </is>
      </c>
      <c r="F3" t="inlineStr">
        <is>
          <t>Source file</t>
        </is>
      </c>
    </row>
    <row r="4">
      <c r="A4" t="inlineStr">
        <is>
          <t>report_date close as entry for all events</t>
        </is>
      </c>
      <c r="B4" t="inlineStr">
        <is>
          <t>release_date with timing rule (pre_market: prev close + open on release; after_hours: close on release + open next day)</t>
        </is>
      </c>
      <c r="C4" t="inlineStr">
        <is>
          <t>report_date ≠ release_date for ~50 US events; pre_market close was post-announcement</t>
        </is>
      </c>
      <c r="D4" t="inlineStr">
        <is>
          <t>2026-08-12</t>
        </is>
      </c>
      <c r="E4" t="inlineStr">
        <is>
          <t>~82 pre_market events</t>
        </is>
      </c>
      <c r="F4" t="inlineStr">
        <is>
          <t>retracted_findings_2026-08-12.md</t>
        </is>
      </c>
    </row>
    <row r="5">
      <c r="A5" t="inlineStr">
        <is>
          <t>~39% always-BUY baseline</t>
        </is>
      </c>
      <c r="B5" t="inlineStr">
        <is>
          <t>54.7% always-DOWN (52/95 graded events negative)</t>
        </is>
      </c>
      <c r="C5" t="inlineStr">
        <is>
          <t>Wrong denominator: used all events including HOLDs instead of graded events only</t>
        </is>
      </c>
      <c r="D5" t="inlineStr">
        <is>
          <t>2026-08-13</t>
        </is>
      </c>
      <c r="E5" t="inlineStr">
        <is>
          <t>All accuracy comparisons</t>
        </is>
      </c>
      <c r="F5" t="inlineStr">
        <is>
          <t>baseline_correction_2026-08-13.md</t>
        </is>
      </c>
    </row>
    <row r="6">
      <c r="A6" t="inlineStr">
        <is>
          <t>'Per-direction accuracy equals base rate in subset' claimed as finding</t>
        </is>
      </c>
      <c r="B6" t="inlineStr">
        <is>
          <t>Retracted: tautological (accuracy and subset base rate are the same number by definition)</t>
        </is>
      </c>
      <c r="C6" t="inlineStr">
        <is>
          <t>Definitional error — not a finding</t>
        </is>
      </c>
      <c r="D6" t="inlineStr">
        <is>
          <t>2026-08-13</t>
        </is>
      </c>
      <c r="E6" t="inlineStr">
        <is>
          <t>0 (not a data correction)</t>
        </is>
      </c>
      <c r="F6" t="inlineStr">
        <is>
          <t>direction_accuracy_decomposition.md</t>
        </is>
      </c>
    </row>
    <row r="7">
      <c r="A7" t="inlineStr">
        <is>
          <t>72.7% band capture, 61% sign-correct p=0.064, PM/AH divergence, +17.3pp agreement filter</t>
        </is>
      </c>
      <c r="B7" t="inlineStr">
        <is>
          <t>42.4% band capture, 56% sign-correct p=0.480, no divergence, -0.3pp agreement filter</t>
        </is>
      </c>
      <c r="C7" t="inlineStr">
        <is>
          <t>All four derived from report_date anchor artefact in pre_market events</t>
        </is>
      </c>
      <c r="D7" t="inlineStr">
        <is>
          <t>2026-08-12</t>
        </is>
      </c>
      <c r="E7" t="inlineStr">
        <is>
          <t>82 pre_market events</t>
        </is>
      </c>
      <c r="F7" t="inlineStr">
        <is>
          <t>retracted_findings_2026-08-12.md</t>
        </is>
      </c>
    </row>
    <row r="8">
      <c r="A8" t="inlineStr">
        <is>
          <t>Item C: PR 63.3% at $0.017/correct, full bundle 67.7% at $0.027/correct</t>
        </is>
      </c>
      <c r="B8" t="inlineStr">
        <is>
          <t>Four-arm N=119: PR 64.9% (24/37) at $0.0225; full 68.1% (32/47) at $0.0358. All-events N=200: PR 62.5% (35/56) at $0.029; full 65.7% (46/70) at $0.046</t>
        </is>
      </c>
      <c r="C8" t="inlineStr">
        <is>
          <t>Prose figures existed only in CSV comment headers; not backed by data rows</t>
        </is>
      </c>
      <c r="D8" t="inlineStr">
        <is>
          <t>2026-08-13</t>
        </is>
      </c>
      <c r="E8" t="inlineStr">
        <is>
          <t>All Item C accuracy/cost citations</t>
        </is>
      </c>
      <c r="F8" t="inlineStr">
        <is>
          <t>section_ablation_cost_per_correct.csv</t>
        </is>
      </c>
    </row>
    <row r="9">
      <c r="A9" t="inlineStr">
        <is>
          <t>'31 issuers' for cross-issuer generalisation subset</t>
        </is>
      </c>
      <c r="B9" t="inlineStr">
        <is>
          <t>29 issuers with clean events in N=233 (2 further post-sweep issuers — Allianz, Lenovo — are fully timing-excluded)</t>
        </is>
      </c>
      <c r="C9" t="inlineStr">
        <is>
          <t>Count included timing-excluded issuers</t>
        </is>
      </c>
      <c r="D9" t="inlineStr">
        <is>
          <t>2026-08-13</t>
        </is>
      </c>
      <c r="E9" t="inlineStr">
        <is>
          <t>1 count citation</t>
        </is>
      </c>
      <c r="F9" t="inlineStr">
        <is>
          <t>item_e_walkforward.json</t>
        </is>
      </c>
    </row>
    <row r="11">
      <c r="A11" s="164" t="inlineStr">
        <is>
          <t>BEFORE / AFTER PERFORMANCE</t>
        </is>
      </c>
    </row>
    <row r="12">
      <c r="A12" s="164" t="inlineStr">
        <is>
          <t>Metric</t>
        </is>
      </c>
      <c r="B12" s="164" t="inlineStr">
        <is>
          <t>Basis</t>
        </is>
      </c>
      <c r="C12" s="164" t="inlineStr">
        <is>
          <t>Accuracy</t>
        </is>
      </c>
      <c r="D12" s="164" t="inlineStr">
        <is>
          <t>Mean net per trade</t>
        </is>
      </c>
      <c r="E12" s="164" t="inlineStr">
        <is>
          <t>Total return (order-dep.)</t>
        </is>
      </c>
      <c r="F12" s="164" t="inlineStr">
        <is>
          <t>N</t>
        </is>
      </c>
      <c r="G12" s="164" t="inlineStr">
        <is>
          <t>Source</t>
        </is>
      </c>
    </row>
    <row r="13">
      <c r="A13" t="inlineStr">
        <is>
          <t>Model arm</t>
        </is>
      </c>
      <c r="B13" t="inlineStr">
        <is>
          <t>Original report_date (superseded)</t>
        </is>
      </c>
      <c r="C13" t="inlineStr">
        <is>
          <t>62.6% (N=268, 5-day calibration window, not overnight)</t>
        </is>
      </c>
      <c r="D13" t="inlineStr">
        <is>
          <t>+1.719% overnight</t>
        </is>
      </c>
      <c r="E13" t="inlineStr">
        <is>
          <t>+1243.64% (N=268, 146 trades)</t>
        </is>
      </c>
      <c r="F13" t="inlineStr">
        <is>
          <t>268 total / 171 traded / 92 graded</t>
        </is>
      </c>
      <c r="G13" t="inlineStr">
        <is>
          <t>CLAUDE.md historical, backtest_equity.csv</t>
        </is>
      </c>
    </row>
    <row r="14">
      <c r="A14" t="inlineStr">
        <is>
          <t>Model arm</t>
        </is>
      </c>
      <c r="B14" t="inlineStr">
        <is>
          <t>Corrected release_date (N=233 clean)</t>
        </is>
      </c>
      <c r="C14" t="inlineStr">
        <is>
          <t>65.3% overnight (62/95 graded)</t>
        </is>
      </c>
      <c r="D14" t="inlineStr">
        <is>
          <t>+1.862% overnight</t>
        </is>
      </c>
      <c r="E14" t="inlineStr">
        <is>
          <t>+271.81% (N=233, 146 trades)</t>
        </is>
      </c>
      <c r="F14" t="inlineStr">
        <is>
          <t>233 clean / 146 traded / 95 graded</t>
        </is>
      </c>
      <c r="G14" t="inlineStr">
        <is>
          <t>item_e_handoff.md, ext2_holding_curve.csv</t>
        </is>
      </c>
    </row>
    <row r="15">
      <c r="A15" t="inlineStr">
        <is>
          <t>Human arm</t>
        </is>
      </c>
      <c r="B15" t="inlineStr">
        <is>
          <t>Original report_date (superseded, in LOCKED workbook)</t>
        </is>
      </c>
      <c r="C15" t="inlineStr">
        <is>
          <t>Recalculated by Excel formula from original M/N/O/P prices</t>
        </is>
      </c>
      <c r="D15" t="inlineStr">
        <is>
          <t>Recalculated by Excel formula</t>
        </is>
      </c>
      <c r="E15" t="inlineStr">
        <is>
          <t>Recalculated by Excel formula</t>
        </is>
      </c>
      <c r="F15" t="inlineStr">
        <is>
          <t>420 rows in Human_Data_Entry</t>
        </is>
      </c>
      <c r="G15" t="inlineStr">
        <is>
          <t>Master_Data_LOCKED_2026-08-13.xlsx</t>
        </is>
      </c>
    </row>
    <row r="16">
      <c r="A16" t="inlineStr">
        <is>
          <t>Human arm</t>
        </is>
      </c>
      <c r="B16" t="inlineStr">
        <is>
          <t>Corrected release_date (in CORRECTED workbook)</t>
        </is>
      </c>
      <c r="C16" t="inlineStr">
        <is>
          <t>Recalculated by Excel formula from corrected M/N/O/P prices</t>
        </is>
      </c>
      <c r="D16" t="inlineStr">
        <is>
          <t>Recalculated by Excel formula</t>
        </is>
      </c>
      <c r="E16" t="inlineStr">
        <is>
          <t>Recalculated by Excel formula</t>
        </is>
      </c>
      <c r="F16" t="inlineStr">
        <is>
          <t>294 rows corrected; 126 left on original basis</t>
        </is>
      </c>
      <c r="G16" t="inlineStr">
        <is>
          <t>Master_Data_CORRECTED_2026-08-13.xlsx; workbook_human_prices_corrected.csv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06"/>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27" customWidth="1" min="3" max="3"/>
    <col width="5" customWidth="1" min="4" max="4"/>
    <col width="62" customWidth="1" min="5" max="5"/>
    <col width="62" customWidth="1" min="6" max="6"/>
    <col width="62" customWidth="1" min="7" max="7"/>
    <col width="10" customWidth="1" min="8" max="8"/>
    <col width="9" customWidth="1" min="9" max="9"/>
    <col width="10" customWidth="1" min="10" max="10"/>
    <col width="9" customWidth="1" min="11" max="11"/>
    <col width="9" customWidth="1" min="12" max="12"/>
    <col width="62" customWidth="1" min="13" max="13"/>
    <col width="21" customWidth="1" min="14" max="14"/>
    <col width="42" customWidth="1" min="15" max="15"/>
    <col width="62" customWidth="1" min="16" max="16"/>
  </cols>
  <sheetData>
    <row r="1">
      <c r="A1" s="164" t="inlineStr">
        <is>
          <t>metric_name</t>
        </is>
      </c>
      <c r="B1" s="164" t="inlineStr">
        <is>
          <t>value</t>
        </is>
      </c>
      <c r="C1" s="164" t="inlineStr">
        <is>
          <t>unit</t>
        </is>
      </c>
      <c r="D1" s="164" t="inlineStr">
        <is>
          <t>n</t>
        </is>
      </c>
      <c r="E1" s="164" t="inlineStr">
        <is>
          <t>denominator_definition</t>
        </is>
      </c>
      <c r="F1" s="164" t="inlineStr">
        <is>
          <t>event_set</t>
        </is>
      </c>
      <c r="G1" s="164" t="inlineStr">
        <is>
          <t>convention</t>
        </is>
      </c>
      <c r="H1" s="164" t="inlineStr">
        <is>
          <t>ci_low</t>
        </is>
      </c>
      <c r="I1" s="164" t="inlineStr">
        <is>
          <t>ci_high</t>
        </is>
      </c>
      <c r="J1" s="164" t="inlineStr">
        <is>
          <t>ci_level</t>
        </is>
      </c>
      <c r="K1" s="164" t="inlineStr">
        <is>
          <t>p_value</t>
        </is>
      </c>
      <c r="L1" s="164" t="inlineStr">
        <is>
          <t>mde</t>
        </is>
      </c>
      <c r="M1" s="164" t="inlineStr">
        <is>
          <t>test_used</t>
        </is>
      </c>
      <c r="N1" s="164" t="inlineStr">
        <is>
          <t>threshold_dependent</t>
        </is>
      </c>
      <c r="O1" s="164" t="inlineStr">
        <is>
          <t>source_file</t>
        </is>
      </c>
      <c r="P1" s="164" t="inlineStr">
        <is>
          <t>notes</t>
        </is>
      </c>
    </row>
    <row r="2">
      <c r="A2" t="inlineStr">
        <is>
          <t>total_events_scored</t>
        </is>
      </c>
      <c r="B2" t="inlineStr">
        <is>
          <t>268</t>
        </is>
      </c>
      <c r="C2" t="inlineStr">
        <is>
          <t>events</t>
        </is>
      </c>
      <c r="D2" t="inlineStr">
        <is>
          <t>268</t>
        </is>
      </c>
      <c r="E2" t="inlineStr"/>
      <c r="F2" t="inlineStr">
        <is>
          <t>N=268 phase2 scored events</t>
        </is>
      </c>
      <c r="G2" t="inlineStr"/>
      <c r="H2" t="inlineStr"/>
      <c r="I2" t="inlineStr"/>
      <c r="J2" t="inlineStr"/>
      <c r="K2" t="inlineStr"/>
      <c r="L2" t="inlineStr"/>
      <c r="M2" t="inlineStr"/>
      <c r="N2" t="inlineStr">
        <is>
          <t>FALSE</t>
        </is>
      </c>
      <c r="O2" t="inlineStr">
        <is>
          <t>effective_sample_funnel.md</t>
        </is>
      </c>
      <c r="P2" t="inlineStr"/>
    </row>
    <row r="3">
      <c r="A3" t="inlineStr">
        <is>
          <t>excluded_worksheet</t>
        </is>
      </c>
      <c r="B3" t="inlineStr">
        <is>
          <t>25</t>
        </is>
      </c>
      <c r="C3" t="inlineStr">
        <is>
          <t>events</t>
        </is>
      </c>
      <c r="D3" t="inlineStr">
        <is>
          <t>268</t>
        </is>
      </c>
      <c r="E3" t="inlineStr"/>
      <c r="F3" t="inlineStr">
        <is>
          <t>N=268</t>
        </is>
      </c>
      <c r="G3" t="inlineStr"/>
      <c r="H3" t="inlineStr"/>
      <c r="I3" t="inlineStr"/>
      <c r="J3" t="inlineStr"/>
      <c r="K3" t="inlineStr"/>
      <c r="L3" t="inlineStr"/>
      <c r="M3" t="inlineStr"/>
      <c r="N3" t="inlineStr">
        <is>
          <t>FALSE</t>
        </is>
      </c>
      <c r="O3" t="inlineStr">
        <is>
          <t>worksheet_leak_flags.csv</t>
        </is>
      </c>
      <c r="P3" t="inlineStr">
        <is>
          <t>LLM input included human rater worksheet</t>
        </is>
      </c>
    </row>
    <row r="4">
      <c r="A4" t="inlineStr">
        <is>
          <t>excluded_spot</t>
        </is>
      </c>
      <c r="B4" t="inlineStr">
        <is>
          <t>1</t>
        </is>
      </c>
      <c r="C4" t="inlineStr">
        <is>
          <t>events</t>
        </is>
      </c>
      <c r="D4" t="inlineStr"/>
      <c r="E4" t="inlineStr"/>
      <c r="F4" t="inlineStr"/>
      <c r="G4" t="inlineStr"/>
      <c r="H4" t="inlineStr"/>
      <c r="I4" t="inlineStr"/>
      <c r="J4" t="inlineStr"/>
      <c r="K4" t="inlineStr"/>
      <c r="L4" t="inlineStr"/>
      <c r="M4" t="inlineStr"/>
      <c r="N4" t="inlineStr">
        <is>
          <t>FALSE</t>
        </is>
      </c>
      <c r="O4" t="inlineStr">
        <is>
          <t>effective_sample_funnel.md</t>
        </is>
      </c>
      <c r="P4" t="inlineStr">
        <is>
          <t>SPOT_FQ1_2026 misattribution</t>
        </is>
      </c>
    </row>
    <row r="5">
      <c r="A5" t="inlineStr">
        <is>
          <t>excluded_timing</t>
        </is>
      </c>
      <c r="B5" t="inlineStr">
        <is>
          <t>9</t>
        </is>
      </c>
      <c r="C5" t="inlineStr">
        <is>
          <t>events</t>
        </is>
      </c>
      <c r="D5" t="inlineStr"/>
      <c r="E5" t="inlineStr"/>
      <c r="F5" t="inlineStr"/>
      <c r="G5" t="inlineStr"/>
      <c r="H5" t="inlineStr"/>
      <c r="I5" t="inlineStr"/>
      <c r="J5" t="inlineStr"/>
      <c r="K5" t="inlineStr"/>
      <c r="L5" t="inlineStr"/>
      <c r="M5" t="inlineStr"/>
      <c r="N5" t="inlineStr">
        <is>
          <t>FALSE</t>
        </is>
      </c>
      <c r="O5" t="inlineStr">
        <is>
          <t>effective_sample_funnel.md</t>
        </is>
      </c>
      <c r="P5" t="inlineStr">
        <is>
          <t>9 non-US issuers, timing unresolved</t>
        </is>
      </c>
    </row>
    <row r="6">
      <c r="A6" t="inlineStr">
        <is>
          <t>clean_universe</t>
        </is>
      </c>
      <c r="B6" t="inlineStr">
        <is>
          <t>233</t>
        </is>
      </c>
      <c r="C6" t="inlineStr">
        <is>
          <t>events</t>
        </is>
      </c>
      <c r="D6" t="inlineStr"/>
      <c r="E6" t="inlineStr"/>
      <c r="F6" t="inlineStr">
        <is>
          <t>N=233 clean universe</t>
        </is>
      </c>
      <c r="G6" t="inlineStr"/>
      <c r="H6" t="inlineStr"/>
      <c r="I6" t="inlineStr"/>
      <c r="J6" t="inlineStr"/>
      <c r="K6" t="inlineStr"/>
      <c r="L6" t="inlineStr"/>
      <c r="M6" t="inlineStr"/>
      <c r="N6" t="inlineStr">
        <is>
          <t>FALSE</t>
        </is>
      </c>
      <c r="O6" t="inlineStr">
        <is>
          <t>effective_sample_funnel.md</t>
        </is>
      </c>
      <c r="P6" t="inlineStr"/>
    </row>
    <row r="7">
      <c r="A7" t="inlineStr">
        <is>
          <t>traded_events</t>
        </is>
      </c>
      <c r="B7" t="inlineStr">
        <is>
          <t>146</t>
        </is>
      </c>
      <c r="C7" t="inlineStr">
        <is>
          <t>events</t>
        </is>
      </c>
      <c r="D7" t="inlineStr"/>
      <c r="E7" t="inlineStr">
        <is>
          <t>Model called BUY or SELL</t>
        </is>
      </c>
      <c r="F7" t="inlineStr">
        <is>
          <t>N=233 clean universe</t>
        </is>
      </c>
      <c r="G7" t="inlineStr"/>
      <c r="H7" t="inlineStr"/>
      <c r="I7" t="inlineStr"/>
      <c r="J7" t="inlineStr"/>
      <c r="K7" t="inlineStr"/>
      <c r="L7" t="inlineStr"/>
      <c r="M7" t="inlineStr"/>
      <c r="N7" t="inlineStr">
        <is>
          <t>TRUE</t>
        </is>
      </c>
      <c r="O7" t="inlineStr">
        <is>
          <t>ext2_holding_curve.csv</t>
        </is>
      </c>
      <c r="P7" t="inlineStr"/>
    </row>
    <row r="8">
      <c r="A8" t="inlineStr">
        <is>
          <t>graded_events</t>
        </is>
      </c>
      <c r="B8" t="inlineStr">
        <is>
          <t>95</t>
        </is>
      </c>
      <c r="C8" t="inlineStr">
        <is>
          <t>events</t>
        </is>
      </c>
      <c r="D8" t="inlineStr"/>
      <c r="E8" t="inlineStr">
        <is>
          <t>|ret_overnight| &gt; 2% AND traded</t>
        </is>
      </c>
      <c r="F8" t="inlineStr">
        <is>
          <t>N=233 clean universe</t>
        </is>
      </c>
      <c r="G8" t="inlineStr">
        <is>
          <t>pre-registered ±2% overnight band</t>
        </is>
      </c>
      <c r="H8" t="inlineStr"/>
      <c r="I8" t="inlineStr"/>
      <c r="J8" t="inlineStr"/>
      <c r="K8" t="inlineStr"/>
      <c r="L8" t="inlineStr"/>
      <c r="M8" t="inlineStr"/>
      <c r="N8" t="inlineStr">
        <is>
          <t>TRUE</t>
        </is>
      </c>
      <c r="O8" t="inlineStr">
        <is>
          <t>ext2_holding_curve.csv</t>
        </is>
      </c>
      <c r="P8" t="inlineStr"/>
    </row>
    <row r="9">
      <c r="A9" t="inlineStr">
        <is>
          <t>selectivity_accuracy</t>
        </is>
      </c>
      <c r="B9" t="inlineStr">
        <is>
          <t>65.3%</t>
        </is>
      </c>
      <c r="C9" t="inlineStr">
        <is>
          <t>percent</t>
        </is>
      </c>
      <c r="D9" t="inlineStr">
        <is>
          <t>95</t>
        </is>
      </c>
      <c r="E9" t="inlineStr">
        <is>
          <t>model traded AND |ret_overnight|&gt;2%</t>
        </is>
      </c>
      <c r="F9" t="inlineStr">
        <is>
          <t>N=233 clean universe</t>
        </is>
      </c>
      <c r="G9" t="inlineStr">
        <is>
          <t>HOLD-excluded, pre-registered ±2% band</t>
        </is>
      </c>
      <c r="H9" t="inlineStr"/>
      <c r="I9" t="inlineStr"/>
      <c r="J9" t="inlineStr"/>
      <c r="K9" t="inlineStr">
        <is>
          <t>0.024</t>
        </is>
      </c>
      <c r="L9" t="inlineStr">
        <is>
          <t>±10.8pp</t>
        </is>
      </c>
      <c r="M9" t="inlineStr">
        <is>
          <t>binomial vs always-DOWN floor 54.7%</t>
        </is>
      </c>
      <c r="N9" t="inlineStr">
        <is>
          <t>TRUE</t>
        </is>
      </c>
      <c r="O9" t="inlineStr">
        <is>
          <t>ext2_holding_curve.csv</t>
        </is>
      </c>
      <c r="P9" t="inlineStr">
        <is>
          <t>62/95; margin +10.5pp vs floor 54.7% (52/95 always-DOWN)</t>
        </is>
      </c>
    </row>
    <row r="10">
      <c r="A10" t="inlineStr">
        <is>
          <t>selectivity_accuracy_numerator</t>
        </is>
      </c>
      <c r="B10" t="inlineStr">
        <is>
          <t>62/95</t>
        </is>
      </c>
      <c r="C10" t="inlineStr"/>
      <c r="D10" t="inlineStr">
        <is>
          <t>95</t>
        </is>
      </c>
      <c r="E10" t="inlineStr"/>
      <c r="F10" t="inlineStr">
        <is>
          <t>N=233 clean universe</t>
        </is>
      </c>
      <c r="G10" t="inlineStr"/>
      <c r="H10" t="inlineStr"/>
      <c r="I10" t="inlineStr"/>
      <c r="J10" t="inlineStr"/>
      <c r="K10" t="inlineStr"/>
      <c r="L10" t="inlineStr"/>
      <c r="M10" t="inlineStr"/>
      <c r="N10" t="inlineStr">
        <is>
          <t>TRUE</t>
        </is>
      </c>
      <c r="O10" t="inlineStr">
        <is>
          <t>ext2_holding_curve.csv</t>
        </is>
      </c>
      <c r="P10" t="inlineStr"/>
    </row>
    <row r="11">
      <c r="A11" t="inlineStr">
        <is>
          <t>selectivity_floor_always_down</t>
        </is>
      </c>
      <c r="B11" t="inlineStr">
        <is>
          <t>54.7%</t>
        </is>
      </c>
      <c r="C11" t="inlineStr">
        <is>
          <t>percent</t>
        </is>
      </c>
      <c r="D11" t="inlineStr">
        <is>
          <t>95</t>
        </is>
      </c>
      <c r="E11" t="inlineStr">
        <is>
          <t>always-DOWN (predict SELL every event) on graded set</t>
        </is>
      </c>
      <c r="F11" t="inlineStr">
        <is>
          <t>N=233 clean universe</t>
        </is>
      </c>
      <c r="G11" t="inlineStr">
        <is>
          <t>52/95 graded events have negative return</t>
        </is>
      </c>
      <c r="H11" t="inlineStr"/>
      <c r="I11" t="inlineStr"/>
      <c r="J11" t="inlineStr"/>
      <c r="K11" t="inlineStr"/>
      <c r="L11" t="inlineStr"/>
      <c r="M11" t="inlineStr"/>
      <c r="N11" t="inlineStr">
        <is>
          <t>FALSE</t>
        </is>
      </c>
      <c r="O11" t="inlineStr">
        <is>
          <t>ext2_holding_curve.csv</t>
        </is>
      </c>
      <c r="P11" t="inlineStr"/>
    </row>
    <row r="12">
      <c r="A12" t="inlineStr">
        <is>
          <t>selectivity_margin_vs_floor</t>
        </is>
      </c>
      <c r="B12" t="inlineStr">
        <is>
          <t>+10.5pp</t>
        </is>
      </c>
      <c r="C12" t="inlineStr">
        <is>
          <t>pp</t>
        </is>
      </c>
      <c r="D12" t="inlineStr">
        <is>
          <t>95</t>
        </is>
      </c>
      <c r="E12" t="inlineStr"/>
      <c r="F12" t="inlineStr"/>
      <c r="G12" t="inlineStr"/>
      <c r="H12" t="inlineStr"/>
      <c r="I12" t="inlineStr"/>
      <c r="J12" t="inlineStr"/>
      <c r="K12" t="inlineStr">
        <is>
          <t>0.024</t>
        </is>
      </c>
      <c r="L12" t="inlineStr">
        <is>
          <t>±10.8pp</t>
        </is>
      </c>
      <c r="M12" t="inlineStr">
        <is>
          <t>binomial one-sided greater vs always-DOWN 52/95</t>
        </is>
      </c>
      <c r="N12" t="inlineStr">
        <is>
          <t>TRUE</t>
        </is>
      </c>
      <c r="O12" t="inlineStr">
        <is>
          <t>ext2_holding_curve.csv</t>
        </is>
      </c>
      <c r="P12" t="inlineStr"/>
    </row>
    <row r="13">
      <c r="A13" t="inlineStr">
        <is>
          <t>coverage_accuracy</t>
        </is>
      </c>
      <c r="B13" t="inlineStr">
        <is>
          <t>42.2%</t>
        </is>
      </c>
      <c r="C13" t="inlineStr">
        <is>
          <t>percent</t>
        </is>
      </c>
      <c r="D13" t="inlineStr">
        <is>
          <t>147</t>
        </is>
      </c>
      <c r="E13" t="inlineStr">
        <is>
          <t>all events with |ret_overnight|&gt;2% (model traded or not)</t>
        </is>
      </c>
      <c r="F13" t="inlineStr">
        <is>
          <t>N=233 clean universe</t>
        </is>
      </c>
      <c r="G13" t="inlineStr">
        <is>
          <t>HOLD=wrong, pre-registered ±2% band</t>
        </is>
      </c>
      <c r="H13" t="inlineStr"/>
      <c r="I13" t="inlineStr"/>
      <c r="J13" t="inlineStr"/>
      <c r="K13" t="inlineStr"/>
      <c r="L13" t="inlineStr"/>
      <c r="M13" t="inlineStr"/>
      <c r="N13" t="inlineStr">
        <is>
          <t>FALSE</t>
        </is>
      </c>
      <c r="O13" t="inlineStr">
        <is>
          <t>ext2_holding_curve.csv</t>
        </is>
      </c>
      <c r="P13" t="inlineStr">
        <is>
          <t>62/147; floor=54.4% (80/147 always-DOWN); margin -12.2pp. Model missed 52 events that moved.</t>
        </is>
      </c>
    </row>
    <row r="14">
      <c r="A14" t="inlineStr">
        <is>
          <t>coverage_floor_always_down</t>
        </is>
      </c>
      <c r="B14" t="inlineStr">
        <is>
          <t>54.4%</t>
        </is>
      </c>
      <c r="C14" t="inlineStr">
        <is>
          <t>percent</t>
        </is>
      </c>
      <c r="D14" t="inlineStr">
        <is>
          <t>147</t>
        </is>
      </c>
      <c r="E14" t="inlineStr">
        <is>
          <t>all events with |ret_overnight|&gt;2%</t>
        </is>
      </c>
      <c r="F14" t="inlineStr">
        <is>
          <t>N=233 clean universe</t>
        </is>
      </c>
      <c r="G14" t="inlineStr"/>
      <c r="H14" t="inlineStr"/>
      <c r="I14" t="inlineStr"/>
      <c r="J14" t="inlineStr"/>
      <c r="K14" t="inlineStr"/>
      <c r="L14" t="inlineStr"/>
      <c r="M14" t="inlineStr"/>
      <c r="N14" t="inlineStr">
        <is>
          <t>FALSE</t>
        </is>
      </c>
      <c r="O14" t="inlineStr"/>
      <c r="P14" t="inlineStr">
        <is>
          <t>80/147 events have negative return</t>
        </is>
      </c>
    </row>
    <row r="15">
      <c r="A15" t="inlineStr">
        <is>
          <t>mean_net_per_trade_overnight</t>
        </is>
      </c>
      <c r="B15" t="inlineStr">
        <is>
          <t>1.8617%</t>
        </is>
      </c>
      <c r="C15" t="inlineStr">
        <is>
          <t>percent</t>
        </is>
      </c>
      <c r="D15" t="inlineStr">
        <is>
          <t>146</t>
        </is>
      </c>
      <c r="E15" t="inlineStr">
        <is>
          <t>traded events</t>
        </is>
      </c>
      <c r="F15" t="inlineStr">
        <is>
          <t>N=233 clean universe</t>
        </is>
      </c>
      <c r="G15" t="inlineStr">
        <is>
          <t>overnight, 10bps round-trip cost, 0bps short borrow</t>
        </is>
      </c>
      <c r="H15" t="inlineStr">
        <is>
          <t>0.98%</t>
        </is>
      </c>
      <c r="I15" t="inlineStr">
        <is>
          <t>2.76%</t>
        </is>
      </c>
      <c r="J15" t="inlineStr">
        <is>
          <t>90%</t>
        </is>
      </c>
      <c r="K15" t="inlineStr"/>
      <c r="L15" t="inlineStr"/>
      <c r="M15" t="inlineStr"/>
      <c r="N15" t="inlineStr">
        <is>
          <t>TRUE</t>
        </is>
      </c>
      <c r="O15" t="inlineStr">
        <is>
          <t>ext2_holding_curve.csv</t>
        </is>
      </c>
      <c r="P15" t="inlineStr">
        <is>
          <t>+1.862% per trade</t>
        </is>
      </c>
    </row>
    <row r="16">
      <c r="A16" t="inlineStr">
        <is>
          <t>summed_total_return</t>
        </is>
      </c>
      <c r="B16" t="inlineStr">
        <is>
          <t>+271.81%</t>
        </is>
      </c>
      <c r="C16" t="inlineStr">
        <is>
          <t>percent (order-dependent)</t>
        </is>
      </c>
      <c r="D16" t="inlineStr">
        <is>
          <t>146</t>
        </is>
      </c>
      <c r="E16" t="inlineStr"/>
      <c r="F16" t="inlineStr">
        <is>
          <t>N=233 clean universe — N=268 OLD ANCHOR</t>
        </is>
      </c>
      <c r="G16" t="inlineStr"/>
      <c r="H16" t="inlineStr"/>
      <c r="I16" t="inlineStr"/>
      <c r="J16" t="inlineStr"/>
      <c r="K16" t="inlineStr"/>
      <c r="L16" t="inlineStr"/>
      <c r="M16" t="inlineStr"/>
      <c r="N16" t="inlineStr">
        <is>
          <t>TRUE</t>
        </is>
      </c>
      <c r="O16" t="inlineStr">
        <is>
          <t>item_e_handoff.md</t>
        </is>
      </c>
      <c r="P16" t="inlineStr">
        <is>
          <t>Order-dependent compounded equity curve, not an achievable balance. Mean net per trade is the primary P&amp;L metric. Value from item_e_handoff.md (+271.81% on N=233).</t>
        </is>
      </c>
    </row>
    <row r="17">
      <c r="A17" t="inlineStr">
        <is>
          <t>t_statistic_per_trade</t>
        </is>
      </c>
      <c r="B17" t="inlineStr">
        <is>
          <t>3.43</t>
        </is>
      </c>
      <c r="C17" t="inlineStr"/>
      <c r="D17" t="inlineStr">
        <is>
          <t>146</t>
        </is>
      </c>
      <c r="E17" t="inlineStr">
        <is>
          <t>traded events</t>
        </is>
      </c>
      <c r="F17" t="inlineStr">
        <is>
          <t>N=233 clean universe</t>
        </is>
      </c>
      <c r="G17" t="inlineStr">
        <is>
          <t>mean_net/pstdev(nets)*sqrt(N_traded) — NOT a time-series Sharpe</t>
        </is>
      </c>
      <c r="H17" t="inlineStr"/>
      <c r="I17" t="inlineStr"/>
      <c r="J17" t="inlineStr"/>
      <c r="K17" t="inlineStr"/>
      <c r="L17" t="inlineStr"/>
      <c r="M17" t="inlineStr"/>
      <c r="N17" t="inlineStr">
        <is>
          <t>TRUE</t>
        </is>
      </c>
      <c r="O17" t="inlineStr">
        <is>
          <t>item_e_handoff.md</t>
        </is>
      </c>
      <c r="P17" t="inlineStr">
        <is>
          <t>Grows mechanically with sample size. Do not label as Sharpe.</t>
        </is>
      </c>
    </row>
    <row r="18">
      <c r="A18" t="inlineStr">
        <is>
          <t>info_ratio_per_trade</t>
        </is>
      </c>
      <c r="B18" t="inlineStr">
        <is>
          <t>0.284</t>
        </is>
      </c>
      <c r="C18" t="inlineStr"/>
      <c r="D18" t="inlineStr">
        <is>
          <t>146</t>
        </is>
      </c>
      <c r="E18" t="inlineStr"/>
      <c r="F18" t="inlineStr"/>
      <c r="G18" t="inlineStr"/>
      <c r="H18" t="inlineStr"/>
      <c r="I18" t="inlineStr"/>
      <c r="J18" t="inlineStr"/>
      <c r="K18" t="inlineStr"/>
      <c r="L18" t="inlineStr"/>
      <c r="M18" t="inlineStr"/>
      <c r="N18" t="inlineStr">
        <is>
          <t>TRUE</t>
        </is>
      </c>
      <c r="O18" t="inlineStr">
        <is>
          <t>item_e_handoff.md</t>
        </is>
      </c>
      <c r="P18" t="inlineStr">
        <is>
          <t>mean_net / pstdev(nets), unscaled by sqrt(N)</t>
        </is>
      </c>
    </row>
    <row r="19">
      <c r="A19" t="inlineStr">
        <is>
          <t>spearman_rho_overnight</t>
        </is>
      </c>
      <c r="B19" t="inlineStr">
        <is>
          <t>0.2360</t>
        </is>
      </c>
      <c r="C19" t="inlineStr"/>
      <c r="D19" t="inlineStr">
        <is>
          <t>233</t>
        </is>
      </c>
      <c r="E19" t="inlineStr"/>
      <c r="F19" t="inlineStr">
        <is>
          <t>N=233 clean universe</t>
        </is>
      </c>
      <c r="G19" t="inlineStr">
        <is>
          <t>overnight return, 0.02 band (pre-registered)</t>
        </is>
      </c>
      <c r="H19" t="inlineStr"/>
      <c r="I19" t="inlineStr"/>
      <c r="J19" t="inlineStr"/>
      <c r="K19" t="inlineStr">
        <is>
          <t>0.0003</t>
        </is>
      </c>
      <c r="L19" t="inlineStr"/>
      <c r="M19" t="inlineStr">
        <is>
          <t>Spearman rank correlation, blended score vs ret_overnight</t>
        </is>
      </c>
      <c r="N19" t="inlineStr">
        <is>
          <t>FALSE</t>
        </is>
      </c>
      <c r="O19" t="inlineStr">
        <is>
          <t>ext2_holding_curve.csv</t>
        </is>
      </c>
      <c r="P19" t="inlineStr"/>
    </row>
    <row r="20">
      <c r="A20" t="inlineStr">
        <is>
          <t>mean_net_per_trade_overnight</t>
        </is>
      </c>
      <c r="B20" t="inlineStr">
        <is>
          <t>1.8617%</t>
        </is>
      </c>
      <c r="C20" t="inlineStr">
        <is>
          <t>percent</t>
        </is>
      </c>
      <c r="D20" t="inlineStr">
        <is>
          <t>146</t>
        </is>
      </c>
      <c r="E20" t="inlineStr"/>
      <c r="F20" t="inlineStr">
        <is>
          <t>N=233 clean universe</t>
        </is>
      </c>
      <c r="G20" t="inlineStr"/>
      <c r="H20" t="inlineStr">
        <is>
          <t>0.9832%</t>
        </is>
      </c>
      <c r="I20" t="inlineStr">
        <is>
          <t>2.7558%</t>
        </is>
      </c>
      <c r="J20" t="inlineStr">
        <is>
          <t>90%</t>
        </is>
      </c>
      <c r="K20" t="inlineStr"/>
      <c r="L20" t="inlineStr"/>
      <c r="M20" t="inlineStr"/>
      <c r="N20" t="inlineStr">
        <is>
          <t>FALSE</t>
        </is>
      </c>
      <c r="O20" t="inlineStr">
        <is>
          <t>ext2_holding_curve.csv</t>
        </is>
      </c>
      <c r="P20" t="inlineStr"/>
    </row>
    <row r="21">
      <c r="A21" t="inlineStr">
        <is>
          <t>accuracy_overnight</t>
        </is>
      </c>
      <c r="B21" t="inlineStr">
        <is>
          <t>65.3%</t>
        </is>
      </c>
      <c r="C21" t="inlineStr">
        <is>
          <t>percent</t>
        </is>
      </c>
      <c r="D21" t="inlineStr">
        <is>
          <t>95</t>
        </is>
      </c>
      <c r="E21" t="inlineStr">
        <is>
          <t>|ret_overnight|&gt;band</t>
        </is>
      </c>
      <c r="F21" t="inlineStr"/>
      <c r="G21" t="inlineStr"/>
      <c r="H21" t="inlineStr"/>
      <c r="I21" t="inlineStr"/>
      <c r="J21" t="inlineStr"/>
      <c r="K21" t="inlineStr"/>
      <c r="L21" t="inlineStr"/>
      <c r="M21" t="inlineStr"/>
      <c r="N21" t="inlineStr">
        <is>
          <t>TRUE</t>
        </is>
      </c>
      <c r="O21" t="inlineStr">
        <is>
          <t>ext2_holding_curve.csv</t>
        </is>
      </c>
      <c r="P21" t="inlineStr"/>
    </row>
    <row r="22">
      <c r="A22" t="inlineStr">
        <is>
          <t>spearman_rho_1d</t>
        </is>
      </c>
      <c r="B22" t="inlineStr">
        <is>
          <t>0.1587</t>
        </is>
      </c>
      <c r="C22" t="inlineStr"/>
      <c r="D22" t="inlineStr">
        <is>
          <t>233</t>
        </is>
      </c>
      <c r="E22" t="inlineStr"/>
      <c r="F22" t="inlineStr">
        <is>
          <t>N=233 clean universe</t>
        </is>
      </c>
      <c r="G22" t="inlineStr">
        <is>
          <t>1d return, 0.022462 band (recalibrated)</t>
        </is>
      </c>
      <c r="H22" t="inlineStr"/>
      <c r="I22" t="inlineStr"/>
      <c r="J22" t="inlineStr"/>
      <c r="K22" t="inlineStr">
        <is>
          <t>0.0153</t>
        </is>
      </c>
      <c r="L22" t="inlineStr"/>
      <c r="M22" t="inlineStr">
        <is>
          <t>Spearman rank correlation, blended score vs ret_overnight</t>
        </is>
      </c>
      <c r="N22" t="inlineStr">
        <is>
          <t>FALSE</t>
        </is>
      </c>
      <c r="O22" t="inlineStr">
        <is>
          <t>ext2_holding_curve.csv</t>
        </is>
      </c>
      <c r="P22" t="inlineStr"/>
    </row>
    <row r="23">
      <c r="A23" t="inlineStr">
        <is>
          <t>mean_net_per_trade_1d</t>
        </is>
      </c>
      <c r="B23" t="inlineStr">
        <is>
          <t>1.2505%</t>
        </is>
      </c>
      <c r="C23" t="inlineStr">
        <is>
          <t>percent</t>
        </is>
      </c>
      <c r="D23" t="inlineStr">
        <is>
          <t>146</t>
        </is>
      </c>
      <c r="E23" t="inlineStr"/>
      <c r="F23" t="inlineStr">
        <is>
          <t>N=233 clean universe</t>
        </is>
      </c>
      <c r="G23" t="inlineStr"/>
      <c r="H23" t="inlineStr">
        <is>
          <t>0.3257%</t>
        </is>
      </c>
      <c r="I23" t="inlineStr">
        <is>
          <t>2.2098%</t>
        </is>
      </c>
      <c r="J23" t="inlineStr">
        <is>
          <t>90%</t>
        </is>
      </c>
      <c r="K23" t="inlineStr"/>
      <c r="L23" t="inlineStr"/>
      <c r="M23" t="inlineStr"/>
      <c r="N23" t="inlineStr">
        <is>
          <t>FALSE</t>
        </is>
      </c>
      <c r="O23" t="inlineStr">
        <is>
          <t>ext2_holding_curve.csv</t>
        </is>
      </c>
      <c r="P23" t="inlineStr"/>
    </row>
    <row r="24">
      <c r="A24" t="inlineStr">
        <is>
          <t>accuracy_1d</t>
        </is>
      </c>
      <c r="B24" t="inlineStr">
        <is>
          <t>60.2%</t>
        </is>
      </c>
      <c r="C24" t="inlineStr">
        <is>
          <t>percent</t>
        </is>
      </c>
      <c r="D24" t="inlineStr">
        <is>
          <t>98</t>
        </is>
      </c>
      <c r="E24" t="inlineStr">
        <is>
          <t>|ret_1d|&gt;band</t>
        </is>
      </c>
      <c r="F24" t="inlineStr"/>
      <c r="G24" t="inlineStr"/>
      <c r="H24" t="inlineStr"/>
      <c r="I24" t="inlineStr"/>
      <c r="J24" t="inlineStr"/>
      <c r="K24" t="inlineStr"/>
      <c r="L24" t="inlineStr"/>
      <c r="M24" t="inlineStr"/>
      <c r="N24" t="inlineStr">
        <is>
          <t>TRUE</t>
        </is>
      </c>
      <c r="O24" t="inlineStr">
        <is>
          <t>ext2_holding_curve.csv</t>
        </is>
      </c>
      <c r="P24" t="inlineStr"/>
    </row>
    <row r="25">
      <c r="A25" t="inlineStr">
        <is>
          <t>spearman_rho_3d</t>
        </is>
      </c>
      <c r="B25" t="inlineStr">
        <is>
          <t>0.1115</t>
        </is>
      </c>
      <c r="C25" t="inlineStr"/>
      <c r="D25" t="inlineStr">
        <is>
          <t>233</t>
        </is>
      </c>
      <c r="E25" t="inlineStr"/>
      <c r="F25" t="inlineStr">
        <is>
          <t>N=233 clean universe</t>
        </is>
      </c>
      <c r="G25" t="inlineStr">
        <is>
          <t>3d return, 0.023096 band (recalibrated)</t>
        </is>
      </c>
      <c r="H25" t="inlineStr"/>
      <c r="I25" t="inlineStr"/>
      <c r="J25" t="inlineStr"/>
      <c r="K25" t="inlineStr">
        <is>
          <t>0.0895</t>
        </is>
      </c>
      <c r="L25" t="inlineStr"/>
      <c r="M25" t="inlineStr">
        <is>
          <t>Spearman rank correlation, blended score vs ret_overnight</t>
        </is>
      </c>
      <c r="N25" t="inlineStr">
        <is>
          <t>FALSE</t>
        </is>
      </c>
      <c r="O25" t="inlineStr">
        <is>
          <t>ext2_holding_curve.csv</t>
        </is>
      </c>
      <c r="P25" t="inlineStr"/>
    </row>
    <row r="26">
      <c r="A26" t="inlineStr">
        <is>
          <t>mean_net_per_trade_3d</t>
        </is>
      </c>
      <c r="B26" t="inlineStr">
        <is>
          <t>1.0264%</t>
        </is>
      </c>
      <c r="C26" t="inlineStr">
        <is>
          <t>percent</t>
        </is>
      </c>
      <c r="D26" t="inlineStr">
        <is>
          <t>146</t>
        </is>
      </c>
      <c r="E26" t="inlineStr"/>
      <c r="F26" t="inlineStr">
        <is>
          <t>N=233 clean universe</t>
        </is>
      </c>
      <c r="G26" t="inlineStr"/>
      <c r="H26" t="inlineStr">
        <is>
          <t>0.0293%</t>
        </is>
      </c>
      <c r="I26" t="inlineStr">
        <is>
          <t>2.0508%</t>
        </is>
      </c>
      <c r="J26" t="inlineStr">
        <is>
          <t>90%</t>
        </is>
      </c>
      <c r="K26" t="inlineStr"/>
      <c r="L26" t="inlineStr"/>
      <c r="M26" t="inlineStr"/>
      <c r="N26" t="inlineStr">
        <is>
          <t>FALSE</t>
        </is>
      </c>
      <c r="O26" t="inlineStr">
        <is>
          <t>ext2_holding_curve.csv</t>
        </is>
      </c>
      <c r="P26" t="inlineStr"/>
    </row>
    <row r="27">
      <c r="A27" t="inlineStr">
        <is>
          <t>accuracy_3d</t>
        </is>
      </c>
      <c r="B27" t="inlineStr">
        <is>
          <t>56.2%</t>
        </is>
      </c>
      <c r="C27" t="inlineStr">
        <is>
          <t>percent</t>
        </is>
      </c>
      <c r="D27" t="inlineStr">
        <is>
          <t>96</t>
        </is>
      </c>
      <c r="E27" t="inlineStr">
        <is>
          <t>|ret_3d|&gt;band</t>
        </is>
      </c>
      <c r="F27" t="inlineStr"/>
      <c r="G27" t="inlineStr"/>
      <c r="H27" t="inlineStr"/>
      <c r="I27" t="inlineStr"/>
      <c r="J27" t="inlineStr"/>
      <c r="K27" t="inlineStr"/>
      <c r="L27" t="inlineStr"/>
      <c r="M27" t="inlineStr"/>
      <c r="N27" t="inlineStr">
        <is>
          <t>TRUE</t>
        </is>
      </c>
      <c r="O27" t="inlineStr">
        <is>
          <t>ext2_holding_curve.csv</t>
        </is>
      </c>
      <c r="P27" t="inlineStr"/>
    </row>
    <row r="28">
      <c r="A28" t="inlineStr">
        <is>
          <t>spearman_rho_5d</t>
        </is>
      </c>
      <c r="B28" t="inlineStr">
        <is>
          <t>0.0717</t>
        </is>
      </c>
      <c r="C28" t="inlineStr"/>
      <c r="D28" t="inlineStr">
        <is>
          <t>233</t>
        </is>
      </c>
      <c r="E28" t="inlineStr"/>
      <c r="F28" t="inlineStr">
        <is>
          <t>N=233 clean universe</t>
        </is>
      </c>
      <c r="G28" t="inlineStr">
        <is>
          <t>5d return, 0.026177 band (recalibrated)</t>
        </is>
      </c>
      <c r="H28" t="inlineStr"/>
      <c r="I28" t="inlineStr"/>
      <c r="J28" t="inlineStr"/>
      <c r="K28" t="inlineStr">
        <is>
          <t>0.2760</t>
        </is>
      </c>
      <c r="L28" t="inlineStr"/>
      <c r="M28" t="inlineStr">
        <is>
          <t>Spearman rank correlation, blended score vs ret_overnight</t>
        </is>
      </c>
      <c r="N28" t="inlineStr">
        <is>
          <t>FALSE</t>
        </is>
      </c>
      <c r="O28" t="inlineStr">
        <is>
          <t>ext2_holding_curve.csv</t>
        </is>
      </c>
      <c r="P28" t="inlineStr"/>
    </row>
    <row r="29">
      <c r="A29" t="inlineStr">
        <is>
          <t>mean_net_per_trade_5d</t>
        </is>
      </c>
      <c r="B29" t="inlineStr">
        <is>
          <t>0.8458%</t>
        </is>
      </c>
      <c r="C29" t="inlineStr">
        <is>
          <t>percent</t>
        </is>
      </c>
      <c r="D29" t="inlineStr">
        <is>
          <t>146</t>
        </is>
      </c>
      <c r="E29" t="inlineStr"/>
      <c r="F29" t="inlineStr">
        <is>
          <t>N=233 clean universe</t>
        </is>
      </c>
      <c r="G29" t="inlineStr"/>
      <c r="H29" t="inlineStr">
        <is>
          <t>-0.2701%</t>
        </is>
      </c>
      <c r="I29" t="inlineStr">
        <is>
          <t>1.9507%</t>
        </is>
      </c>
      <c r="J29" t="inlineStr">
        <is>
          <t>90%</t>
        </is>
      </c>
      <c r="K29" t="inlineStr"/>
      <c r="L29" t="inlineStr"/>
      <c r="M29" t="inlineStr"/>
      <c r="N29" t="inlineStr">
        <is>
          <t>FALSE</t>
        </is>
      </c>
      <c r="O29" t="inlineStr">
        <is>
          <t>ext2_holding_curve.csv</t>
        </is>
      </c>
      <c r="P29" t="inlineStr"/>
    </row>
    <row r="30">
      <c r="A30" t="inlineStr">
        <is>
          <t>accuracy_5d</t>
        </is>
      </c>
      <c r="B30" t="inlineStr">
        <is>
          <t>52.1%</t>
        </is>
      </c>
      <c r="C30" t="inlineStr">
        <is>
          <t>percent</t>
        </is>
      </c>
      <c r="D30" t="inlineStr">
        <is>
          <t>94</t>
        </is>
      </c>
      <c r="E30" t="inlineStr">
        <is>
          <t>|ret_5d|&gt;band</t>
        </is>
      </c>
      <c r="F30" t="inlineStr"/>
      <c r="G30" t="inlineStr"/>
      <c r="H30" t="inlineStr"/>
      <c r="I30" t="inlineStr"/>
      <c r="J30" t="inlineStr"/>
      <c r="K30" t="inlineStr"/>
      <c r="L30" t="inlineStr"/>
      <c r="M30" t="inlineStr"/>
      <c r="N30" t="inlineStr">
        <is>
          <t>TRUE</t>
        </is>
      </c>
      <c r="O30" t="inlineStr">
        <is>
          <t>ext2_holding_curve.csv</t>
        </is>
      </c>
      <c r="P30" t="inlineStr"/>
    </row>
    <row r="31">
      <c r="A31" t="inlineStr">
        <is>
          <t>spearman_rho_10d</t>
        </is>
      </c>
      <c r="B31" t="inlineStr">
        <is>
          <t>0.0578</t>
        </is>
      </c>
      <c r="C31" t="inlineStr"/>
      <c r="D31" t="inlineStr">
        <is>
          <t>233</t>
        </is>
      </c>
      <c r="E31" t="inlineStr"/>
      <c r="F31" t="inlineStr">
        <is>
          <t>N=233 clean universe</t>
        </is>
      </c>
      <c r="G31" t="inlineStr">
        <is>
          <t>10d return, 0.035159 band (recalibrated)</t>
        </is>
      </c>
      <c r="H31" t="inlineStr"/>
      <c r="I31" t="inlineStr"/>
      <c r="J31" t="inlineStr"/>
      <c r="K31" t="inlineStr">
        <is>
          <t>0.3799</t>
        </is>
      </c>
      <c r="L31" t="inlineStr"/>
      <c r="M31" t="inlineStr">
        <is>
          <t>Spearman rank correlation, blended score vs ret_overnight</t>
        </is>
      </c>
      <c r="N31" t="inlineStr">
        <is>
          <t>FALSE</t>
        </is>
      </c>
      <c r="O31" t="inlineStr">
        <is>
          <t>ext2_holding_curve.csv</t>
        </is>
      </c>
      <c r="P31" t="inlineStr"/>
    </row>
    <row r="32">
      <c r="A32" t="inlineStr">
        <is>
          <t>mean_net_per_trade_10d</t>
        </is>
      </c>
      <c r="B32" t="inlineStr">
        <is>
          <t>0.6860%</t>
        </is>
      </c>
      <c r="C32" t="inlineStr">
        <is>
          <t>percent</t>
        </is>
      </c>
      <c r="D32" t="inlineStr">
        <is>
          <t>146</t>
        </is>
      </c>
      <c r="E32" t="inlineStr"/>
      <c r="F32" t="inlineStr">
        <is>
          <t>N=233 clean universe</t>
        </is>
      </c>
      <c r="G32" t="inlineStr"/>
      <c r="H32" t="inlineStr">
        <is>
          <t>-0.6347%</t>
        </is>
      </c>
      <c r="I32" t="inlineStr">
        <is>
          <t>2.0263%</t>
        </is>
      </c>
      <c r="J32" t="inlineStr">
        <is>
          <t>90%</t>
        </is>
      </c>
      <c r="K32" t="inlineStr"/>
      <c r="L32" t="inlineStr"/>
      <c r="M32" t="inlineStr"/>
      <c r="N32" t="inlineStr">
        <is>
          <t>FALSE</t>
        </is>
      </c>
      <c r="O32" t="inlineStr">
        <is>
          <t>ext2_holding_curve.csv</t>
        </is>
      </c>
      <c r="P32" t="inlineStr"/>
    </row>
    <row r="33">
      <c r="A33" t="inlineStr">
        <is>
          <t>accuracy_10d</t>
        </is>
      </c>
      <c r="B33" t="inlineStr">
        <is>
          <t>53.4%</t>
        </is>
      </c>
      <c r="C33" t="inlineStr">
        <is>
          <t>percent</t>
        </is>
      </c>
      <c r="D33" t="inlineStr">
        <is>
          <t>103</t>
        </is>
      </c>
      <c r="E33" t="inlineStr">
        <is>
          <t>|ret_10d|&gt;band</t>
        </is>
      </c>
      <c r="F33" t="inlineStr"/>
      <c r="G33" t="inlineStr"/>
      <c r="H33" t="inlineStr"/>
      <c r="I33" t="inlineStr"/>
      <c r="J33" t="inlineStr"/>
      <c r="K33" t="inlineStr"/>
      <c r="L33" t="inlineStr"/>
      <c r="M33" t="inlineStr"/>
      <c r="N33" t="inlineStr">
        <is>
          <t>TRUE</t>
        </is>
      </c>
      <c r="O33" t="inlineStr">
        <is>
          <t>ext2_holding_curve.csv</t>
        </is>
      </c>
      <c r="P33" t="inlineStr"/>
    </row>
    <row r="34">
      <c r="A34" t="inlineStr">
        <is>
          <t>majority_direction_floor_full_sample</t>
        </is>
      </c>
      <c r="B34" t="inlineStr">
        <is>
          <t>54.7%</t>
        </is>
      </c>
      <c r="C34" t="inlineStr">
        <is>
          <t>percent</t>
        </is>
      </c>
      <c r="D34" t="inlineStr">
        <is>
          <t>95</t>
        </is>
      </c>
      <c r="E34" t="inlineStr">
        <is>
          <t>always-DOWN on graded events (|ret_overnight|&gt;2%, traded)</t>
        </is>
      </c>
      <c r="F34" t="inlineStr">
        <is>
          <t>N=233 clean universe, graded events only</t>
        </is>
      </c>
      <c r="G34" t="inlineStr">
        <is>
          <t>52/95 graded events have negative return</t>
        </is>
      </c>
      <c r="H34" t="inlineStr"/>
      <c r="I34" t="inlineStr"/>
      <c r="J34" t="inlineStr"/>
      <c r="K34" t="inlineStr"/>
      <c r="L34" t="inlineStr"/>
      <c r="M34" t="inlineStr"/>
      <c r="N34" t="inlineStr">
        <is>
          <t>FALSE</t>
        </is>
      </c>
      <c r="O34" t="inlineStr">
        <is>
          <t>ext2_holding_curve.csv</t>
        </is>
      </c>
      <c r="P34" t="inlineStr"/>
    </row>
    <row r="35">
      <c r="A35" t="inlineStr">
        <is>
          <t>cohens_kappa_human_vs_llm</t>
        </is>
      </c>
      <c r="B35" t="inlineStr">
        <is>
          <t>0.1092</t>
        </is>
      </c>
      <c r="C35" t="inlineStr"/>
      <c r="D35" t="inlineStr">
        <is>
          <t>171</t>
        </is>
      </c>
      <c r="E35" t="inlineStr">
        <is>
          <t>paired events with both human and LLM BUY/HOLD/SELL call</t>
        </is>
      </c>
      <c r="F35" t="inlineStr">
        <is>
          <t>N=171 paired events (section=All, first_rater=YES, in_llm=YES, exclusions applied)</t>
        </is>
      </c>
      <c r="G35" t="inlineStr">
        <is>
          <t>3x3 BUY/HOLD/SELL vs BUY/HOLD/SELL, no return grading</t>
        </is>
      </c>
      <c r="H35" t="inlineStr">
        <is>
          <t>0.030</t>
        </is>
      </c>
      <c r="I35" t="inlineStr">
        <is>
          <t>0.190</t>
        </is>
      </c>
      <c r="J35" t="inlineStr">
        <is>
          <t>90%</t>
        </is>
      </c>
      <c r="K35" t="inlineStr"/>
      <c r="L35" t="inlineStr"/>
      <c r="M35" t="inlineStr">
        <is>
          <t>bootstrap 10000 resamples, seed 20260709</t>
        </is>
      </c>
      <c r="N35" t="inlineStr">
        <is>
          <t>FALSE</t>
        </is>
      </c>
      <c r="O35" t="inlineStr">
        <is>
          <t>kappa_near_independence.csv</t>
        </is>
      </c>
      <c r="P35" t="inlineStr"/>
    </row>
    <row r="36">
      <c r="A36" t="inlineStr">
        <is>
          <t>call_count_human_buy</t>
        </is>
      </c>
      <c r="B36" t="inlineStr">
        <is>
          <t>96</t>
        </is>
      </c>
      <c r="C36" t="inlineStr">
        <is>
          <t>count</t>
        </is>
      </c>
      <c r="D36" t="inlineStr">
        <is>
          <t>171</t>
        </is>
      </c>
      <c r="E36" t="inlineStr"/>
      <c r="F36" t="inlineStr">
        <is>
          <t>N=171 paired events</t>
        </is>
      </c>
      <c r="G36" t="inlineStr"/>
      <c r="H36" t="inlineStr"/>
      <c r="I36" t="inlineStr"/>
      <c r="J36" t="inlineStr"/>
      <c r="K36" t="inlineStr"/>
      <c r="L36" t="inlineStr"/>
      <c r="M36" t="inlineStr"/>
      <c r="N36" t="inlineStr">
        <is>
          <t>FALSE</t>
        </is>
      </c>
      <c r="O36" t="inlineStr">
        <is>
          <t>human_vs_llm_statistics.csv</t>
        </is>
      </c>
      <c r="P36" t="inlineStr"/>
    </row>
    <row r="37">
      <c r="A37" t="inlineStr">
        <is>
          <t>call_frac_human_buy</t>
        </is>
      </c>
      <c r="B37" t="inlineStr">
        <is>
          <t>0.5614</t>
        </is>
      </c>
      <c r="C37" t="inlineStr">
        <is>
          <t>fraction</t>
        </is>
      </c>
      <c r="D37" t="inlineStr">
        <is>
          <t>171</t>
        </is>
      </c>
      <c r="E37" t="inlineStr"/>
      <c r="F37" t="inlineStr"/>
      <c r="G37" t="inlineStr"/>
      <c r="H37" t="inlineStr"/>
      <c r="I37" t="inlineStr"/>
      <c r="J37" t="inlineStr"/>
      <c r="K37" t="inlineStr"/>
      <c r="L37" t="inlineStr"/>
      <c r="M37" t="inlineStr"/>
      <c r="N37" t="inlineStr">
        <is>
          <t>FALSE</t>
        </is>
      </c>
      <c r="O37" t="inlineStr">
        <is>
          <t>human_vs_llm_statistics.csv</t>
        </is>
      </c>
      <c r="P37" t="inlineStr"/>
    </row>
    <row r="38">
      <c r="A38" t="inlineStr">
        <is>
          <t>call_count_human_hold</t>
        </is>
      </c>
      <c r="B38" t="inlineStr">
        <is>
          <t>40</t>
        </is>
      </c>
      <c r="C38" t="inlineStr">
        <is>
          <t>count</t>
        </is>
      </c>
      <c r="D38" t="inlineStr">
        <is>
          <t>171</t>
        </is>
      </c>
      <c r="E38" t="inlineStr"/>
      <c r="F38" t="inlineStr">
        <is>
          <t>N=171 paired events</t>
        </is>
      </c>
      <c r="G38" t="inlineStr"/>
      <c r="H38" t="inlineStr"/>
      <c r="I38" t="inlineStr"/>
      <c r="J38" t="inlineStr"/>
      <c r="K38" t="inlineStr"/>
      <c r="L38" t="inlineStr"/>
      <c r="M38" t="inlineStr"/>
      <c r="N38" t="inlineStr">
        <is>
          <t>FALSE</t>
        </is>
      </c>
      <c r="O38" t="inlineStr">
        <is>
          <t>human_vs_llm_statistics.csv</t>
        </is>
      </c>
      <c r="P38" t="inlineStr"/>
    </row>
    <row r="39">
      <c r="A39" t="inlineStr">
        <is>
          <t>call_frac_human_hold</t>
        </is>
      </c>
      <c r="B39" t="inlineStr">
        <is>
          <t>0.2339</t>
        </is>
      </c>
      <c r="C39" t="inlineStr">
        <is>
          <t>fraction</t>
        </is>
      </c>
      <c r="D39" t="inlineStr">
        <is>
          <t>171</t>
        </is>
      </c>
      <c r="E39" t="inlineStr"/>
      <c r="F39" t="inlineStr"/>
      <c r="G39" t="inlineStr"/>
      <c r="H39" t="inlineStr"/>
      <c r="I39" t="inlineStr"/>
      <c r="J39" t="inlineStr"/>
      <c r="K39" t="inlineStr"/>
      <c r="L39" t="inlineStr"/>
      <c r="M39" t="inlineStr"/>
      <c r="N39" t="inlineStr">
        <is>
          <t>FALSE</t>
        </is>
      </c>
      <c r="O39" t="inlineStr">
        <is>
          <t>human_vs_llm_statistics.csv</t>
        </is>
      </c>
      <c r="P39" t="inlineStr"/>
    </row>
    <row r="40">
      <c r="A40" t="inlineStr">
        <is>
          <t>call_count_human_sell</t>
        </is>
      </c>
      <c r="B40" t="inlineStr">
        <is>
          <t>35</t>
        </is>
      </c>
      <c r="C40" t="inlineStr">
        <is>
          <t>count</t>
        </is>
      </c>
      <c r="D40" t="inlineStr">
        <is>
          <t>171</t>
        </is>
      </c>
      <c r="E40" t="inlineStr"/>
      <c r="F40" t="inlineStr">
        <is>
          <t>N=171 paired events</t>
        </is>
      </c>
      <c r="G40" t="inlineStr"/>
      <c r="H40" t="inlineStr"/>
      <c r="I40" t="inlineStr"/>
      <c r="J40" t="inlineStr"/>
      <c r="K40" t="inlineStr"/>
      <c r="L40" t="inlineStr"/>
      <c r="M40" t="inlineStr"/>
      <c r="N40" t="inlineStr">
        <is>
          <t>FALSE</t>
        </is>
      </c>
      <c r="O40" t="inlineStr">
        <is>
          <t>human_vs_llm_statistics.csv</t>
        </is>
      </c>
      <c r="P40" t="inlineStr"/>
    </row>
    <row r="41">
      <c r="A41" t="inlineStr">
        <is>
          <t>call_frac_human_sell</t>
        </is>
      </c>
      <c r="B41" t="inlineStr">
        <is>
          <t>0.2047</t>
        </is>
      </c>
      <c r="C41" t="inlineStr">
        <is>
          <t>fraction</t>
        </is>
      </c>
      <c r="D41" t="inlineStr">
        <is>
          <t>171</t>
        </is>
      </c>
      <c r="E41" t="inlineStr"/>
      <c r="F41" t="inlineStr"/>
      <c r="G41" t="inlineStr"/>
      <c r="H41" t="inlineStr"/>
      <c r="I41" t="inlineStr"/>
      <c r="J41" t="inlineStr"/>
      <c r="K41" t="inlineStr"/>
      <c r="L41" t="inlineStr"/>
      <c r="M41" t="inlineStr"/>
      <c r="N41" t="inlineStr">
        <is>
          <t>FALSE</t>
        </is>
      </c>
      <c r="O41" t="inlineStr">
        <is>
          <t>human_vs_llm_statistics.csv</t>
        </is>
      </c>
      <c r="P41" t="inlineStr"/>
    </row>
    <row r="42">
      <c r="A42" t="inlineStr">
        <is>
          <t>call_count_llm_buy</t>
        </is>
      </c>
      <c r="B42" t="inlineStr">
        <is>
          <t>42</t>
        </is>
      </c>
      <c r="C42" t="inlineStr">
        <is>
          <t>count</t>
        </is>
      </c>
      <c r="D42" t="inlineStr">
        <is>
          <t>171</t>
        </is>
      </c>
      <c r="E42" t="inlineStr"/>
      <c r="F42" t="inlineStr">
        <is>
          <t>N=171 paired events</t>
        </is>
      </c>
      <c r="G42" t="inlineStr"/>
      <c r="H42" t="inlineStr"/>
      <c r="I42" t="inlineStr"/>
      <c r="J42" t="inlineStr"/>
      <c r="K42" t="inlineStr"/>
      <c r="L42" t="inlineStr"/>
      <c r="M42" t="inlineStr"/>
      <c r="N42" t="inlineStr">
        <is>
          <t>FALSE</t>
        </is>
      </c>
      <c r="O42" t="inlineStr">
        <is>
          <t>human_vs_llm_statistics.csv</t>
        </is>
      </c>
      <c r="P42" t="inlineStr"/>
    </row>
    <row r="43">
      <c r="A43" t="inlineStr">
        <is>
          <t>call_frac_llm_buy</t>
        </is>
      </c>
      <c r="B43" t="inlineStr">
        <is>
          <t>0.2456</t>
        </is>
      </c>
      <c r="C43" t="inlineStr">
        <is>
          <t>fraction</t>
        </is>
      </c>
      <c r="D43" t="inlineStr">
        <is>
          <t>171</t>
        </is>
      </c>
      <c r="E43" t="inlineStr"/>
      <c r="F43" t="inlineStr"/>
      <c r="G43" t="inlineStr"/>
      <c r="H43" t="inlineStr"/>
      <c r="I43" t="inlineStr"/>
      <c r="J43" t="inlineStr"/>
      <c r="K43" t="inlineStr"/>
      <c r="L43" t="inlineStr"/>
      <c r="M43" t="inlineStr"/>
      <c r="N43" t="inlineStr">
        <is>
          <t>FALSE</t>
        </is>
      </c>
      <c r="O43" t="inlineStr">
        <is>
          <t>human_vs_llm_statistics.csv</t>
        </is>
      </c>
      <c r="P43" t="inlineStr"/>
    </row>
    <row r="44">
      <c r="A44" t="inlineStr">
        <is>
          <t>call_count_llm_hold</t>
        </is>
      </c>
      <c r="B44" t="inlineStr">
        <is>
          <t>69</t>
        </is>
      </c>
      <c r="C44" t="inlineStr">
        <is>
          <t>count</t>
        </is>
      </c>
      <c r="D44" t="inlineStr">
        <is>
          <t>171</t>
        </is>
      </c>
      <c r="E44" t="inlineStr"/>
      <c r="F44" t="inlineStr">
        <is>
          <t>N=171 paired events</t>
        </is>
      </c>
      <c r="G44" t="inlineStr"/>
      <c r="H44" t="inlineStr"/>
      <c r="I44" t="inlineStr"/>
      <c r="J44" t="inlineStr"/>
      <c r="K44" t="inlineStr"/>
      <c r="L44" t="inlineStr"/>
      <c r="M44" t="inlineStr"/>
      <c r="N44" t="inlineStr">
        <is>
          <t>FALSE</t>
        </is>
      </c>
      <c r="O44" t="inlineStr">
        <is>
          <t>human_vs_llm_statistics.csv</t>
        </is>
      </c>
      <c r="P44" t="inlineStr"/>
    </row>
    <row r="45">
      <c r="A45" t="inlineStr">
        <is>
          <t>call_frac_llm_hold</t>
        </is>
      </c>
      <c r="B45" t="inlineStr">
        <is>
          <t>0.4035</t>
        </is>
      </c>
      <c r="C45" t="inlineStr">
        <is>
          <t>fraction</t>
        </is>
      </c>
      <c r="D45" t="inlineStr">
        <is>
          <t>171</t>
        </is>
      </c>
      <c r="E45" t="inlineStr"/>
      <c r="F45" t="inlineStr"/>
      <c r="G45" t="inlineStr"/>
      <c r="H45" t="inlineStr"/>
      <c r="I45" t="inlineStr"/>
      <c r="J45" t="inlineStr"/>
      <c r="K45" t="inlineStr"/>
      <c r="L45" t="inlineStr"/>
      <c r="M45" t="inlineStr"/>
      <c r="N45" t="inlineStr">
        <is>
          <t>FALSE</t>
        </is>
      </c>
      <c r="O45" t="inlineStr">
        <is>
          <t>human_vs_llm_statistics.csv</t>
        </is>
      </c>
      <c r="P45" t="inlineStr"/>
    </row>
    <row r="46">
      <c r="A46" t="inlineStr">
        <is>
          <t>call_count_llm_sell</t>
        </is>
      </c>
      <c r="B46" t="inlineStr">
        <is>
          <t>60</t>
        </is>
      </c>
      <c r="C46" t="inlineStr">
        <is>
          <t>count</t>
        </is>
      </c>
      <c r="D46" t="inlineStr">
        <is>
          <t>171</t>
        </is>
      </c>
      <c r="E46" t="inlineStr"/>
      <c r="F46" t="inlineStr">
        <is>
          <t>N=171 paired events</t>
        </is>
      </c>
      <c r="G46" t="inlineStr"/>
      <c r="H46" t="inlineStr"/>
      <c r="I46" t="inlineStr"/>
      <c r="J46" t="inlineStr"/>
      <c r="K46" t="inlineStr"/>
      <c r="L46" t="inlineStr"/>
      <c r="M46" t="inlineStr"/>
      <c r="N46" t="inlineStr">
        <is>
          <t>FALSE</t>
        </is>
      </c>
      <c r="O46" t="inlineStr">
        <is>
          <t>human_vs_llm_statistics.csv</t>
        </is>
      </c>
      <c r="P46" t="inlineStr"/>
    </row>
    <row r="47">
      <c r="A47" t="inlineStr">
        <is>
          <t>call_frac_llm_sell</t>
        </is>
      </c>
      <c r="B47" t="inlineStr">
        <is>
          <t>0.3509</t>
        </is>
      </c>
      <c r="C47" t="inlineStr">
        <is>
          <t>fraction</t>
        </is>
      </c>
      <c r="D47" t="inlineStr">
        <is>
          <t>171</t>
        </is>
      </c>
      <c r="E47" t="inlineStr"/>
      <c r="F47" t="inlineStr"/>
      <c r="G47" t="inlineStr"/>
      <c r="H47" t="inlineStr"/>
      <c r="I47" t="inlineStr"/>
      <c r="J47" t="inlineStr"/>
      <c r="K47" t="inlineStr"/>
      <c r="L47" t="inlineStr"/>
      <c r="M47" t="inlineStr"/>
      <c r="N47" t="inlineStr">
        <is>
          <t>FALSE</t>
        </is>
      </c>
      <c r="O47" t="inlineStr">
        <is>
          <t>human_vs_llm_statistics.csv</t>
        </is>
      </c>
      <c r="P47" t="inlineStr"/>
    </row>
    <row r="48">
      <c r="A48" t="inlineStr">
        <is>
          <t>direction_only_n</t>
        </is>
      </c>
      <c r="B48" t="inlineStr">
        <is>
          <t>76</t>
        </is>
      </c>
      <c r="C48" t="inlineStr">
        <is>
          <t>events</t>
        </is>
      </c>
      <c r="D48" t="inlineStr"/>
      <c r="E48" t="inlineStr"/>
      <c r="F48" t="inlineStr">
        <is>
          <t>N=76 events where both arms called BUY or SELL</t>
        </is>
      </c>
      <c r="G48" t="inlineStr"/>
      <c r="H48" t="inlineStr"/>
      <c r="I48" t="inlineStr"/>
      <c r="J48" t="inlineStr"/>
      <c r="K48" t="inlineStr"/>
      <c r="L48" t="inlineStr"/>
      <c r="M48" t="inlineStr"/>
      <c r="N48" t="inlineStr">
        <is>
          <t>FALSE</t>
        </is>
      </c>
      <c r="O48" t="inlineStr">
        <is>
          <t>human_vs_llm_statistics.csv</t>
        </is>
      </c>
      <c r="P48" t="inlineStr"/>
    </row>
    <row r="49">
      <c r="A49" t="inlineStr">
        <is>
          <t>direction_human_sign_accuracy</t>
        </is>
      </c>
      <c r="B49" t="inlineStr">
        <is>
          <t>0.5789</t>
        </is>
      </c>
      <c r="C49" t="inlineStr">
        <is>
          <t>fraction</t>
        </is>
      </c>
      <c r="D49" t="inlineStr">
        <is>
          <t>76</t>
        </is>
      </c>
      <c r="E49" t="inlineStr"/>
      <c r="F49" t="inlineStr">
        <is>
          <t>N=76 direction-only</t>
        </is>
      </c>
      <c r="G49" t="inlineStr">
        <is>
          <t>sign accuracy, no band filter</t>
        </is>
      </c>
      <c r="H49" t="inlineStr"/>
      <c r="I49" t="inlineStr"/>
      <c r="J49" t="inlineStr"/>
      <c r="K49" t="inlineStr"/>
      <c r="L49" t="inlineStr"/>
      <c r="M49" t="inlineStr"/>
      <c r="N49" t="inlineStr">
        <is>
          <t>FALSE</t>
        </is>
      </c>
      <c r="O49" t="inlineStr">
        <is>
          <t>human_vs_llm_statistics.csv</t>
        </is>
      </c>
      <c r="P49" t="inlineStr">
        <is>
          <t>44/76</t>
        </is>
      </c>
    </row>
    <row r="50">
      <c r="A50" t="inlineStr">
        <is>
          <t>direction_llm_sign_accuracy</t>
        </is>
      </c>
      <c r="B50" t="inlineStr">
        <is>
          <t>0.6053</t>
        </is>
      </c>
      <c r="C50" t="inlineStr">
        <is>
          <t>fraction</t>
        </is>
      </c>
      <c r="D50" t="inlineStr">
        <is>
          <t>76</t>
        </is>
      </c>
      <c r="E50" t="inlineStr"/>
      <c r="F50" t="inlineStr"/>
      <c r="G50" t="inlineStr"/>
      <c r="H50" t="inlineStr"/>
      <c r="I50" t="inlineStr"/>
      <c r="J50" t="inlineStr"/>
      <c r="K50" t="inlineStr"/>
      <c r="L50" t="inlineStr"/>
      <c r="M50" t="inlineStr"/>
      <c r="N50" t="inlineStr">
        <is>
          <t>FALSE</t>
        </is>
      </c>
      <c r="O50" t="inlineStr">
        <is>
          <t>human_vs_llm_statistics.csv</t>
        </is>
      </c>
      <c r="P50" t="inlineStr">
        <is>
          <t>46/76</t>
        </is>
      </c>
    </row>
    <row r="51">
      <c r="A51" t="inlineStr">
        <is>
          <t>direction_llm_minus_human_pp</t>
        </is>
      </c>
      <c r="B51" t="inlineStr">
        <is>
          <t>2.6</t>
        </is>
      </c>
      <c r="C51" t="inlineStr">
        <is>
          <t>pp</t>
        </is>
      </c>
      <c r="D51" t="inlineStr">
        <is>
          <t>76</t>
        </is>
      </c>
      <c r="E51" t="inlineStr"/>
      <c r="F51" t="inlineStr"/>
      <c r="G51" t="inlineStr"/>
      <c r="H51" t="inlineStr">
        <is>
          <t>-7.9</t>
        </is>
      </c>
      <c r="I51" t="inlineStr">
        <is>
          <t>13.2</t>
        </is>
      </c>
      <c r="J51" t="inlineStr">
        <is>
          <t>90%</t>
        </is>
      </c>
      <c r="K51" t="inlineStr">
        <is>
          <t>0.750</t>
        </is>
      </c>
      <c r="L51" t="inlineStr"/>
      <c r="M51" t="inlineStr">
        <is>
          <t>bootstrap paired 10000 resamples seed 20260709</t>
        </is>
      </c>
      <c r="N51" t="inlineStr">
        <is>
          <t>FALSE</t>
        </is>
      </c>
      <c r="O51" t="inlineStr">
        <is>
          <t>human_vs_llm_statistics.csv</t>
        </is>
      </c>
      <c r="P51" t="inlineStr"/>
    </row>
    <row r="52">
      <c r="A52" t="inlineStr">
        <is>
          <t>direction_floor_always_down_strict</t>
        </is>
      </c>
      <c r="B52" t="inlineStr">
        <is>
          <t>55.3%</t>
        </is>
      </c>
      <c r="C52" t="inlineStr">
        <is>
          <t>percent</t>
        </is>
      </c>
      <c r="D52" t="inlineStr">
        <is>
          <t>76</t>
        </is>
      </c>
      <c r="E52" t="inlineStr">
        <is>
          <t>42/76 events with ret_overnight &lt; 0 (strict negative)</t>
        </is>
      </c>
      <c r="F52" t="inlineStr">
        <is>
          <t>N=76 direction-only</t>
        </is>
      </c>
      <c r="G52" t="inlineStr">
        <is>
          <t>ret &lt; 0 strictly; excludes PUM.DE_FQ4_2025 (ret=0)</t>
        </is>
      </c>
      <c r="H52" t="inlineStr"/>
      <c r="I52" t="inlineStr"/>
      <c r="J52" t="inlineStr"/>
      <c r="K52" t="inlineStr"/>
      <c r="L52" t="inlineStr"/>
      <c r="M52" t="inlineStr"/>
      <c r="N52" t="inlineStr">
        <is>
          <t>FALSE</t>
        </is>
      </c>
      <c r="O52" t="inlineStr">
        <is>
          <t>human_vs_llm_statistics.csv</t>
        </is>
      </c>
      <c r="P52" t="inlineStr"/>
    </row>
    <row r="53">
      <c r="A53" t="inlineStr">
        <is>
          <t>direction_floor_always_down_incl_zero</t>
        </is>
      </c>
      <c r="B53" t="inlineStr">
        <is>
          <t>56.6%</t>
        </is>
      </c>
      <c r="C53" t="inlineStr">
        <is>
          <t>percent</t>
        </is>
      </c>
      <c r="D53" t="inlineStr">
        <is>
          <t>76</t>
        </is>
      </c>
      <c r="E53" t="inlineStr">
        <is>
          <t>43/76 events with ret_overnight &lt;= 0 (includes zero-return PUM.DE_FQ4_2025)</t>
        </is>
      </c>
      <c r="F53" t="inlineStr">
        <is>
          <t>N=76 direction-only</t>
        </is>
      </c>
      <c r="G53" t="inlineStr">
        <is>
          <t>ret &lt;= 0; used for per-direction base-rate in finding #7</t>
        </is>
      </c>
      <c r="H53" t="inlineStr"/>
      <c r="I53" t="inlineStr"/>
      <c r="J53" t="inlineStr"/>
      <c r="K53" t="inlineStr"/>
      <c r="L53" t="inlineStr"/>
      <c r="M53" t="inlineStr"/>
      <c r="N53" t="inlineStr">
        <is>
          <t>FALSE</t>
        </is>
      </c>
      <c r="O53" t="inlineStr">
        <is>
          <t>human_vs_llm_statistics.csv</t>
        </is>
      </c>
      <c r="P53" t="inlineStr">
        <is>
          <t>PUM.DE_FQ4_2025 has ret_overnight=0.0 exactly</t>
        </is>
      </c>
    </row>
    <row r="54">
      <c r="A54" t="inlineStr">
        <is>
          <t>direction_human_vs_always_down_p</t>
        </is>
      </c>
      <c r="B54" t="inlineStr">
        <is>
          <t>0.366</t>
        </is>
      </c>
      <c r="C54" t="inlineStr"/>
      <c r="D54" t="inlineStr">
        <is>
          <t>76</t>
        </is>
      </c>
      <c r="E54" t="inlineStr"/>
      <c r="F54" t="inlineStr"/>
      <c r="G54" t="inlineStr"/>
      <c r="H54" t="inlineStr"/>
      <c r="I54" t="inlineStr"/>
      <c r="J54" t="inlineStr"/>
      <c r="K54" t="inlineStr">
        <is>
          <t>0.366</t>
        </is>
      </c>
      <c r="L54" t="inlineStr"/>
      <c r="M54" t="inlineStr">
        <is>
          <t>binomial one-sided greater vs 42/76=55.3%</t>
        </is>
      </c>
      <c r="N54" t="inlineStr">
        <is>
          <t>FALSE</t>
        </is>
      </c>
      <c r="O54" t="inlineStr">
        <is>
          <t>human_vs_llm_statistics.csv</t>
        </is>
      </c>
      <c r="P54" t="inlineStr"/>
    </row>
    <row r="55">
      <c r="A55" t="inlineStr">
        <is>
          <t>direction_llm_vs_always_down_p</t>
        </is>
      </c>
      <c r="B55" t="inlineStr">
        <is>
          <t>0.210</t>
        </is>
      </c>
      <c r="C55" t="inlineStr"/>
      <c r="D55" t="inlineStr">
        <is>
          <t>76</t>
        </is>
      </c>
      <c r="E55" t="inlineStr"/>
      <c r="F55" t="inlineStr"/>
      <c r="G55" t="inlineStr"/>
      <c r="H55" t="inlineStr"/>
      <c r="I55" t="inlineStr"/>
      <c r="J55" t="inlineStr"/>
      <c r="K55" t="inlineStr">
        <is>
          <t>0.210</t>
        </is>
      </c>
      <c r="L55" t="inlineStr"/>
      <c r="M55" t="inlineStr">
        <is>
          <t>binomial one-sided greater vs 42/76=55.3%</t>
        </is>
      </c>
      <c r="N55" t="inlineStr">
        <is>
          <t>FALSE</t>
        </is>
      </c>
      <c r="O55" t="inlineStr">
        <is>
          <t>human_vs_llm_statistics.csv</t>
        </is>
      </c>
      <c r="P55" t="inlineStr"/>
    </row>
    <row r="56">
      <c r="A56" t="inlineStr">
        <is>
          <t>direction_human_buy_accuracy</t>
        </is>
      </c>
      <c r="B56" t="inlineStr">
        <is>
          <t>50.9%</t>
        </is>
      </c>
      <c r="C56" t="inlineStr">
        <is>
          <t>percent</t>
        </is>
      </c>
      <c r="D56" t="inlineStr">
        <is>
          <t>53</t>
        </is>
      </c>
      <c r="E56" t="inlineStr">
        <is>
          <t>human BUY calls among N=76 direction-only events</t>
        </is>
      </c>
      <c r="F56" t="inlineStr">
        <is>
          <t>N=76 direction-only</t>
        </is>
      </c>
      <c r="G56" t="inlineStr">
        <is>
          <t>sign accuracy, no band</t>
        </is>
      </c>
      <c r="H56" t="inlineStr"/>
      <c r="I56" t="inlineStr"/>
      <c r="J56" t="inlineStr"/>
      <c r="K56" t="inlineStr">
        <is>
          <t>0.5000</t>
        </is>
      </c>
      <c r="L56" t="inlineStr"/>
      <c r="M56" t="inlineStr">
        <is>
          <t>binomial one-sided greater vs 50%; vs base-rate p=0.1669 (base_rate=0.4342)</t>
        </is>
      </c>
      <c r="N56" t="inlineStr">
        <is>
          <t>FALSE</t>
        </is>
      </c>
      <c r="O56" t="inlineStr">
        <is>
          <t>human_vs_llm_direction_decomposition.csv</t>
        </is>
      </c>
      <c r="P56" t="inlineStr">
        <is>
          <t>27/53, vs_50pct_margin=0.9pp</t>
        </is>
      </c>
    </row>
    <row r="57">
      <c r="A57" t="inlineStr">
        <is>
          <t>direction_human_sell_accuracy</t>
        </is>
      </c>
      <c r="B57" t="inlineStr">
        <is>
          <t>73.9%</t>
        </is>
      </c>
      <c r="C57" t="inlineStr">
        <is>
          <t>percent</t>
        </is>
      </c>
      <c r="D57" t="inlineStr">
        <is>
          <t>23</t>
        </is>
      </c>
      <c r="E57" t="inlineStr">
        <is>
          <t>human SELL calls among N=76 direction-only events</t>
        </is>
      </c>
      <c r="F57" t="inlineStr">
        <is>
          <t>N=76 direction-only</t>
        </is>
      </c>
      <c r="G57" t="inlineStr">
        <is>
          <t>sign accuracy, no band</t>
        </is>
      </c>
      <c r="H57" t="inlineStr"/>
      <c r="I57" t="inlineStr"/>
      <c r="J57" t="inlineStr"/>
      <c r="K57" t="inlineStr">
        <is>
          <t>0.0173</t>
        </is>
      </c>
      <c r="L57" t="inlineStr"/>
      <c r="M57" t="inlineStr">
        <is>
          <t>binomial one-sided greater vs 50%; vs base-rate p=0.0688 (base_rate=0.5658)</t>
        </is>
      </c>
      <c r="N57" t="inlineStr">
        <is>
          <t>FALSE</t>
        </is>
      </c>
      <c r="O57" t="inlineStr">
        <is>
          <t>human_vs_llm_direction_decomposition.csv</t>
        </is>
      </c>
      <c r="P57" t="inlineStr">
        <is>
          <t>17/23, vs_50pct_margin=23.9pp</t>
        </is>
      </c>
    </row>
    <row r="58">
      <c r="A58" t="inlineStr">
        <is>
          <t>direction_llm_buy_accuracy</t>
        </is>
      </c>
      <c r="B58" t="inlineStr">
        <is>
          <t>55.6%</t>
        </is>
      </c>
      <c r="C58" t="inlineStr">
        <is>
          <t>percent</t>
        </is>
      </c>
      <c r="D58" t="inlineStr">
        <is>
          <t>36</t>
        </is>
      </c>
      <c r="E58" t="inlineStr">
        <is>
          <t>llm BUY calls among N=76 direction-only events</t>
        </is>
      </c>
      <c r="F58" t="inlineStr">
        <is>
          <t>N=76 direction-only</t>
        </is>
      </c>
      <c r="G58" t="inlineStr">
        <is>
          <t>sign accuracy, no band</t>
        </is>
      </c>
      <c r="H58" t="inlineStr"/>
      <c r="I58" t="inlineStr"/>
      <c r="J58" t="inlineStr"/>
      <c r="K58" t="inlineStr">
        <is>
          <t>0.3089</t>
        </is>
      </c>
      <c r="L58" t="inlineStr"/>
      <c r="M58" t="inlineStr">
        <is>
          <t>binomial one-sided greater vs 50%; vs base-rate p=0.0972 (base_rate=0.4342)</t>
        </is>
      </c>
      <c r="N58" t="inlineStr">
        <is>
          <t>FALSE</t>
        </is>
      </c>
      <c r="O58" t="inlineStr">
        <is>
          <t>human_vs_llm_direction_decomposition.csv</t>
        </is>
      </c>
      <c r="P58" t="inlineStr">
        <is>
          <t>20/36, vs_50pct_margin=5.6pp</t>
        </is>
      </c>
    </row>
    <row r="59">
      <c r="A59" t="inlineStr">
        <is>
          <t>direction_llm_sell_accuracy</t>
        </is>
      </c>
      <c r="B59" t="inlineStr">
        <is>
          <t>65.0%</t>
        </is>
      </c>
      <c r="C59" t="inlineStr">
        <is>
          <t>percent</t>
        </is>
      </c>
      <c r="D59" t="inlineStr">
        <is>
          <t>40</t>
        </is>
      </c>
      <c r="E59" t="inlineStr">
        <is>
          <t>llm SELL calls among N=76 direction-only events</t>
        </is>
      </c>
      <c r="F59" t="inlineStr">
        <is>
          <t>N=76 direction-only</t>
        </is>
      </c>
      <c r="G59" t="inlineStr">
        <is>
          <t>sign accuracy, no band</t>
        </is>
      </c>
      <c r="H59" t="inlineStr"/>
      <c r="I59" t="inlineStr"/>
      <c r="J59" t="inlineStr"/>
      <c r="K59" t="inlineStr">
        <is>
          <t>0.0403</t>
        </is>
      </c>
      <c r="L59" t="inlineStr"/>
      <c r="M59" t="inlineStr">
        <is>
          <t>binomial one-sided greater vs 50%; vs base-rate p=0.1805 (base_rate=0.5658)</t>
        </is>
      </c>
      <c r="N59" t="inlineStr">
        <is>
          <t>FALSE</t>
        </is>
      </c>
      <c r="O59" t="inlineStr">
        <is>
          <t>human_vs_llm_direction_decomposition.csv</t>
        </is>
      </c>
      <c r="P59" t="inlineStr">
        <is>
          <t>26/40, vs_50pct_margin=15.0pp</t>
        </is>
      </c>
    </row>
    <row r="60">
      <c r="A60" t="inlineStr">
        <is>
          <t>item_c_four_arm_n119_full_bundle_accuracy</t>
        </is>
      </c>
      <c r="B60" t="inlineStr">
        <is>
          <t>68.1%</t>
        </is>
      </c>
      <c r="C60" t="inlineStr">
        <is>
          <t>percent</t>
        </is>
      </c>
      <c r="D60" t="inlineStr">
        <is>
          <t>47</t>
        </is>
      </c>
      <c r="E60" t="inlineStr">
        <is>
          <t>graded events (|ret|&gt;2%) in four_arm_n119</t>
        </is>
      </c>
      <c r="F60" t="inlineStr">
        <is>
          <t>four_arm_n119</t>
        </is>
      </c>
      <c r="G60" t="inlineStr">
        <is>
          <t>HOLD-excluded, ±2% overnight band</t>
        </is>
      </c>
      <c r="H60" t="inlineStr"/>
      <c r="I60" t="inlineStr"/>
      <c r="J60" t="inlineStr"/>
      <c r="K60" t="inlineStr"/>
      <c r="L60" t="inlineStr"/>
      <c r="M60" t="inlineStr"/>
      <c r="N60" t="inlineStr">
        <is>
          <t>TRUE</t>
        </is>
      </c>
      <c r="O60" t="inlineStr">
        <is>
          <t>section_ablation_cost_per_correct.csv</t>
        </is>
      </c>
      <c r="P60" t="inlineStr">
        <is>
          <t>32/47; calls=119; mean_tokens=30096</t>
        </is>
      </c>
    </row>
    <row r="61">
      <c r="A61" t="inlineStr">
        <is>
          <t>item_c_four_arm_n119_full_bundle_cost_per_correct</t>
        </is>
      </c>
      <c r="B61" t="inlineStr">
        <is>
          <t>$0.0358</t>
        </is>
      </c>
      <c r="C61" t="inlineStr">
        <is>
          <t>USD per correct call</t>
        </is>
      </c>
      <c r="D61" t="inlineStr">
        <is>
          <t>32</t>
        </is>
      </c>
      <c r="E61" t="inlineStr"/>
      <c r="F61" t="inlineStr">
        <is>
          <t>four_arm_n119</t>
        </is>
      </c>
      <c r="G61" t="inlineStr"/>
      <c r="H61" t="inlineStr"/>
      <c r="I61" t="inlineStr"/>
      <c r="J61" t="inlineStr"/>
      <c r="K61" t="inlineStr"/>
      <c r="L61" t="inlineStr"/>
      <c r="M61" t="inlineStr"/>
      <c r="N61" t="inlineStr">
        <is>
          <t>TRUE</t>
        </is>
      </c>
      <c r="O61" t="inlineStr">
        <is>
          <t>section_ablation_cost_per_correct.csv</t>
        </is>
      </c>
      <c r="P61" t="inlineStr">
        <is>
          <t>total_cost=$1.1441; total_tokens=3581446</t>
        </is>
      </c>
    </row>
    <row r="62">
      <c r="A62" t="inlineStr">
        <is>
          <t>item_c_four_arm_n119_full_bundle_mean_tokens</t>
        </is>
      </c>
      <c r="B62" t="inlineStr">
        <is>
          <t>30096</t>
        </is>
      </c>
      <c r="C62" t="inlineStr">
        <is>
          <t>tokens per call</t>
        </is>
      </c>
      <c r="D62" t="inlineStr"/>
      <c r="E62" t="inlineStr"/>
      <c r="F62" t="inlineStr">
        <is>
          <t>four_arm_n119</t>
        </is>
      </c>
      <c r="G62" t="inlineStr"/>
      <c r="H62" t="inlineStr"/>
      <c r="I62" t="inlineStr"/>
      <c r="J62" t="inlineStr"/>
      <c r="K62" t="inlineStr"/>
      <c r="L62" t="inlineStr"/>
      <c r="M62" t="inlineStr"/>
      <c r="N62" t="inlineStr">
        <is>
          <t>FALSE</t>
        </is>
      </c>
      <c r="O62" t="inlineStr">
        <is>
          <t>section_ablation_cost_per_correct.csv</t>
        </is>
      </c>
      <c r="P62" t="inlineStr"/>
    </row>
    <row r="63">
      <c r="A63" t="inlineStr">
        <is>
          <t>item_c_four_arm_n119_press_release_accuracy</t>
        </is>
      </c>
      <c r="B63" t="inlineStr">
        <is>
          <t>64.9%</t>
        </is>
      </c>
      <c r="C63" t="inlineStr">
        <is>
          <t>percent</t>
        </is>
      </c>
      <c r="D63" t="inlineStr">
        <is>
          <t>37</t>
        </is>
      </c>
      <c r="E63" t="inlineStr">
        <is>
          <t>graded events (|ret|&gt;2%) in four_arm_n119</t>
        </is>
      </c>
      <c r="F63" t="inlineStr">
        <is>
          <t>four_arm_n119</t>
        </is>
      </c>
      <c r="G63" t="inlineStr">
        <is>
          <t>HOLD-excluded, ±2% overnight band</t>
        </is>
      </c>
      <c r="H63" t="inlineStr"/>
      <c r="I63" t="inlineStr"/>
      <c r="J63" t="inlineStr"/>
      <c r="K63" t="inlineStr"/>
      <c r="L63" t="inlineStr"/>
      <c r="M63" t="inlineStr"/>
      <c r="N63" t="inlineStr">
        <is>
          <t>TRUE</t>
        </is>
      </c>
      <c r="O63" t="inlineStr">
        <is>
          <t>section_ablation_cost_per_correct.csv</t>
        </is>
      </c>
      <c r="P63" t="inlineStr">
        <is>
          <t>24/37; calls=119; mean_tokens=13030</t>
        </is>
      </c>
    </row>
    <row r="64">
      <c r="A64" t="inlineStr">
        <is>
          <t>item_c_four_arm_n119_press_release_cost_per_correct</t>
        </is>
      </c>
      <c r="B64" t="inlineStr">
        <is>
          <t>$0.0225</t>
        </is>
      </c>
      <c r="C64" t="inlineStr">
        <is>
          <t>USD per correct call</t>
        </is>
      </c>
      <c r="D64" t="inlineStr">
        <is>
          <t>24</t>
        </is>
      </c>
      <c r="E64" t="inlineStr"/>
      <c r="F64" t="inlineStr">
        <is>
          <t>four_arm_n119</t>
        </is>
      </c>
      <c r="G64" t="inlineStr"/>
      <c r="H64" t="inlineStr"/>
      <c r="I64" t="inlineStr"/>
      <c r="J64" t="inlineStr"/>
      <c r="K64" t="inlineStr"/>
      <c r="L64" t="inlineStr"/>
      <c r="M64" t="inlineStr"/>
      <c r="N64" t="inlineStr">
        <is>
          <t>TRUE</t>
        </is>
      </c>
      <c r="O64" t="inlineStr">
        <is>
          <t>section_ablation_cost_per_correct.csv</t>
        </is>
      </c>
      <c r="P64" t="inlineStr">
        <is>
          <t>total_cost=$0.5394; total_tokens=1550583</t>
        </is>
      </c>
    </row>
    <row r="65">
      <c r="A65" t="inlineStr">
        <is>
          <t>item_c_four_arm_n119_press_release_mean_tokens</t>
        </is>
      </c>
      <c r="B65" t="inlineStr">
        <is>
          <t>13030</t>
        </is>
      </c>
      <c r="C65" t="inlineStr">
        <is>
          <t>tokens per call</t>
        </is>
      </c>
      <c r="D65" t="inlineStr"/>
      <c r="E65" t="inlineStr"/>
      <c r="F65" t="inlineStr">
        <is>
          <t>four_arm_n119</t>
        </is>
      </c>
      <c r="G65" t="inlineStr"/>
      <c r="H65" t="inlineStr"/>
      <c r="I65" t="inlineStr"/>
      <c r="J65" t="inlineStr"/>
      <c r="K65" t="inlineStr"/>
      <c r="L65" t="inlineStr"/>
      <c r="M65" t="inlineStr"/>
      <c r="N65" t="inlineStr">
        <is>
          <t>FALSE</t>
        </is>
      </c>
      <c r="O65" t="inlineStr">
        <is>
          <t>section_ablation_cost_per_correct.csv</t>
        </is>
      </c>
      <c r="P65" t="inlineStr"/>
    </row>
    <row r="66">
      <c r="A66" t="inlineStr">
        <is>
          <t>item_c_four_arm_n119_prepared_remarks_accuracy</t>
        </is>
      </c>
      <c r="B66" t="inlineStr">
        <is>
          <t>63.4%</t>
        </is>
      </c>
      <c r="C66" t="inlineStr">
        <is>
          <t>percent</t>
        </is>
      </c>
      <c r="D66" t="inlineStr">
        <is>
          <t>41</t>
        </is>
      </c>
      <c r="E66" t="inlineStr">
        <is>
          <t>graded events (|ret|&gt;2%) in four_arm_n119</t>
        </is>
      </c>
      <c r="F66" t="inlineStr">
        <is>
          <t>four_arm_n119</t>
        </is>
      </c>
      <c r="G66" t="inlineStr">
        <is>
          <t>HOLD-excluded, ±2% overnight band</t>
        </is>
      </c>
      <c r="H66" t="inlineStr"/>
      <c r="I66" t="inlineStr"/>
      <c r="J66" t="inlineStr"/>
      <c r="K66" t="inlineStr"/>
      <c r="L66" t="inlineStr"/>
      <c r="M66" t="inlineStr"/>
      <c r="N66" t="inlineStr">
        <is>
          <t>TRUE</t>
        </is>
      </c>
      <c r="O66" t="inlineStr">
        <is>
          <t>section_ablation_cost_per_correct.csv</t>
        </is>
      </c>
      <c r="P66" t="inlineStr">
        <is>
          <t>26/41; calls=119; mean_tokens=10287</t>
        </is>
      </c>
    </row>
    <row r="67">
      <c r="A67" t="inlineStr">
        <is>
          <t>item_c_four_arm_n119_prepared_remarks_cost_per_correct</t>
        </is>
      </c>
      <c r="B67" t="inlineStr">
        <is>
          <t>$0.0208</t>
        </is>
      </c>
      <c r="C67" t="inlineStr">
        <is>
          <t>USD per correct call</t>
        </is>
      </c>
      <c r="D67" t="inlineStr">
        <is>
          <t>26</t>
        </is>
      </c>
      <c r="E67" t="inlineStr"/>
      <c r="F67" t="inlineStr">
        <is>
          <t>four_arm_n119</t>
        </is>
      </c>
      <c r="G67" t="inlineStr"/>
      <c r="H67" t="inlineStr"/>
      <c r="I67" t="inlineStr"/>
      <c r="J67" t="inlineStr"/>
      <c r="K67" t="inlineStr"/>
      <c r="L67" t="inlineStr"/>
      <c r="M67" t="inlineStr"/>
      <c r="N67" t="inlineStr">
        <is>
          <t>TRUE</t>
        </is>
      </c>
      <c r="O67" t="inlineStr">
        <is>
          <t>section_ablation_cost_per_correct.csv</t>
        </is>
      </c>
      <c r="P67" t="inlineStr">
        <is>
          <t>total_cost=$0.5412; total_tokens=1224173</t>
        </is>
      </c>
    </row>
    <row r="68">
      <c r="A68" t="inlineStr">
        <is>
          <t>item_c_four_arm_n119_prepared_remarks_mean_tokens</t>
        </is>
      </c>
      <c r="B68" t="inlineStr">
        <is>
          <t>10287</t>
        </is>
      </c>
      <c r="C68" t="inlineStr">
        <is>
          <t>tokens per call</t>
        </is>
      </c>
      <c r="D68" t="inlineStr"/>
      <c r="E68" t="inlineStr"/>
      <c r="F68" t="inlineStr">
        <is>
          <t>four_arm_n119</t>
        </is>
      </c>
      <c r="G68" t="inlineStr"/>
      <c r="H68" t="inlineStr"/>
      <c r="I68" t="inlineStr"/>
      <c r="J68" t="inlineStr"/>
      <c r="K68" t="inlineStr"/>
      <c r="L68" t="inlineStr"/>
      <c r="M68" t="inlineStr"/>
      <c r="N68" t="inlineStr">
        <is>
          <t>FALSE</t>
        </is>
      </c>
      <c r="O68" t="inlineStr">
        <is>
          <t>section_ablation_cost_per_correct.csv</t>
        </is>
      </c>
      <c r="P68" t="inlineStr"/>
    </row>
    <row r="69">
      <c r="A69" t="inlineStr">
        <is>
          <t>item_c_four_arm_n119_qa_only_accuracy</t>
        </is>
      </c>
      <c r="B69" t="inlineStr">
        <is>
          <t>68.4%</t>
        </is>
      </c>
      <c r="C69" t="inlineStr">
        <is>
          <t>percent</t>
        </is>
      </c>
      <c r="D69" t="inlineStr">
        <is>
          <t>38</t>
        </is>
      </c>
      <c r="E69" t="inlineStr">
        <is>
          <t>graded events (|ret|&gt;2%) in four_arm_n119</t>
        </is>
      </c>
      <c r="F69" t="inlineStr">
        <is>
          <t>four_arm_n119</t>
        </is>
      </c>
      <c r="G69" t="inlineStr">
        <is>
          <t>HOLD-excluded, ±2% overnight band</t>
        </is>
      </c>
      <c r="H69" t="inlineStr"/>
      <c r="I69" t="inlineStr"/>
      <c r="J69" t="inlineStr"/>
      <c r="K69" t="inlineStr"/>
      <c r="L69" t="inlineStr"/>
      <c r="M69" t="inlineStr"/>
      <c r="N69" t="inlineStr">
        <is>
          <t>TRUE</t>
        </is>
      </c>
      <c r="O69" t="inlineStr">
        <is>
          <t>section_ablation_cost_per_correct.csv</t>
        </is>
      </c>
      <c r="P69" t="inlineStr">
        <is>
          <t>26/38; calls=119; mean_tokens=13163</t>
        </is>
      </c>
    </row>
    <row r="70">
      <c r="A70" t="inlineStr">
        <is>
          <t>item_c_four_arm_n119_qa_only_cost_per_correct</t>
        </is>
      </c>
      <c r="B70" t="inlineStr">
        <is>
          <t>$0.0229</t>
        </is>
      </c>
      <c r="C70" t="inlineStr">
        <is>
          <t>USD per correct call</t>
        </is>
      </c>
      <c r="D70" t="inlineStr">
        <is>
          <t>26</t>
        </is>
      </c>
      <c r="E70" t="inlineStr"/>
      <c r="F70" t="inlineStr">
        <is>
          <t>four_arm_n119</t>
        </is>
      </c>
      <c r="G70" t="inlineStr"/>
      <c r="H70" t="inlineStr"/>
      <c r="I70" t="inlineStr"/>
      <c r="J70" t="inlineStr"/>
      <c r="K70" t="inlineStr"/>
      <c r="L70" t="inlineStr"/>
      <c r="M70" t="inlineStr"/>
      <c r="N70" t="inlineStr">
        <is>
          <t>TRUE</t>
        </is>
      </c>
      <c r="O70" t="inlineStr">
        <is>
          <t>section_ablation_cost_per_correct.csv</t>
        </is>
      </c>
      <c r="P70" t="inlineStr">
        <is>
          <t>total_cost=$0.5952; total_tokens=1566442</t>
        </is>
      </c>
    </row>
    <row r="71">
      <c r="A71" t="inlineStr">
        <is>
          <t>item_c_four_arm_n119_qa_only_mean_tokens</t>
        </is>
      </c>
      <c r="B71" t="inlineStr">
        <is>
          <t>13163</t>
        </is>
      </c>
      <c r="C71" t="inlineStr">
        <is>
          <t>tokens per call</t>
        </is>
      </c>
      <c r="D71" t="inlineStr"/>
      <c r="E71" t="inlineStr"/>
      <c r="F71" t="inlineStr">
        <is>
          <t>four_arm_n119</t>
        </is>
      </c>
      <c r="G71" t="inlineStr"/>
      <c r="H71" t="inlineStr"/>
      <c r="I71" t="inlineStr"/>
      <c r="J71" t="inlineStr"/>
      <c r="K71" t="inlineStr"/>
      <c r="L71" t="inlineStr"/>
      <c r="M71" t="inlineStr"/>
      <c r="N71" t="inlineStr">
        <is>
          <t>FALSE</t>
        </is>
      </c>
      <c r="O71" t="inlineStr">
        <is>
          <t>section_ablation_cost_per_correct.csv</t>
        </is>
      </c>
      <c r="P71" t="inlineStr"/>
    </row>
    <row r="72">
      <c r="A72" t="inlineStr">
        <is>
          <t>item_c_all_n200_full_bundle_accuracy</t>
        </is>
      </c>
      <c r="B72" t="inlineStr">
        <is>
          <t>65.7%</t>
        </is>
      </c>
      <c r="C72" t="inlineStr">
        <is>
          <t>percent</t>
        </is>
      </c>
      <c r="D72" t="inlineStr">
        <is>
          <t>70</t>
        </is>
      </c>
      <c r="E72" t="inlineStr">
        <is>
          <t>graded events (|ret|&gt;2%) in all_n200</t>
        </is>
      </c>
      <c r="F72" t="inlineStr">
        <is>
          <t>all_n200</t>
        </is>
      </c>
      <c r="G72" t="inlineStr">
        <is>
          <t>HOLD-excluded, ±2% overnight band</t>
        </is>
      </c>
      <c r="H72" t="inlineStr"/>
      <c r="I72" t="inlineStr"/>
      <c r="J72" t="inlineStr"/>
      <c r="K72" t="inlineStr"/>
      <c r="L72" t="inlineStr"/>
      <c r="M72" t="inlineStr"/>
      <c r="N72" t="inlineStr">
        <is>
          <t>TRUE</t>
        </is>
      </c>
      <c r="O72" t="inlineStr">
        <is>
          <t>section_ablation_cost_per_correct.csv</t>
        </is>
      </c>
      <c r="P72" t="inlineStr">
        <is>
          <t>46/70; calls=200; mean_tokens=33130</t>
        </is>
      </c>
    </row>
    <row r="73">
      <c r="A73" t="inlineStr">
        <is>
          <t>item_c_all_n200_full_bundle_cost_per_correct</t>
        </is>
      </c>
      <c r="B73" t="inlineStr">
        <is>
          <t>$0.0460</t>
        </is>
      </c>
      <c r="C73" t="inlineStr">
        <is>
          <t>USD per correct call</t>
        </is>
      </c>
      <c r="D73" t="inlineStr">
        <is>
          <t>46</t>
        </is>
      </c>
      <c r="E73" t="inlineStr"/>
      <c r="F73" t="inlineStr">
        <is>
          <t>all_n200</t>
        </is>
      </c>
      <c r="G73" t="inlineStr"/>
      <c r="H73" t="inlineStr"/>
      <c r="I73" t="inlineStr"/>
      <c r="J73" t="inlineStr"/>
      <c r="K73" t="inlineStr"/>
      <c r="L73" t="inlineStr"/>
      <c r="M73" t="inlineStr"/>
      <c r="N73" t="inlineStr">
        <is>
          <t>TRUE</t>
        </is>
      </c>
      <c r="O73" t="inlineStr">
        <is>
          <t>section_ablation_cost_per_correct.csv</t>
        </is>
      </c>
      <c r="P73" t="inlineStr">
        <is>
          <t>total_cost=$2.1166; total_tokens=6626021</t>
        </is>
      </c>
    </row>
    <row r="74">
      <c r="A74" t="inlineStr">
        <is>
          <t>item_c_all_n200_full_bundle_mean_tokens</t>
        </is>
      </c>
      <c r="B74" t="inlineStr">
        <is>
          <t>33130</t>
        </is>
      </c>
      <c r="C74" t="inlineStr">
        <is>
          <t>tokens per call</t>
        </is>
      </c>
      <c r="D74" t="inlineStr"/>
      <c r="E74" t="inlineStr"/>
      <c r="F74" t="inlineStr">
        <is>
          <t>all_n200</t>
        </is>
      </c>
      <c r="G74" t="inlineStr"/>
      <c r="H74" t="inlineStr"/>
      <c r="I74" t="inlineStr"/>
      <c r="J74" t="inlineStr"/>
      <c r="K74" t="inlineStr"/>
      <c r="L74" t="inlineStr"/>
      <c r="M74" t="inlineStr"/>
      <c r="N74" t="inlineStr">
        <is>
          <t>FALSE</t>
        </is>
      </c>
      <c r="O74" t="inlineStr">
        <is>
          <t>section_ablation_cost_per_correct.csv</t>
        </is>
      </c>
      <c r="P74" t="inlineStr"/>
    </row>
    <row r="75">
      <c r="A75" t="inlineStr">
        <is>
          <t>item_c_all_n200_press_release_accuracy</t>
        </is>
      </c>
      <c r="B75" t="inlineStr">
        <is>
          <t>62.5%</t>
        </is>
      </c>
      <c r="C75" t="inlineStr">
        <is>
          <t>percent</t>
        </is>
      </c>
      <c r="D75" t="inlineStr">
        <is>
          <t>56</t>
        </is>
      </c>
      <c r="E75" t="inlineStr">
        <is>
          <t>graded events (|ret|&gt;2%) in all_n200</t>
        </is>
      </c>
      <c r="F75" t="inlineStr">
        <is>
          <t>all_n200</t>
        </is>
      </c>
      <c r="G75" t="inlineStr">
        <is>
          <t>HOLD-excluded, ±2% overnight band</t>
        </is>
      </c>
      <c r="H75" t="inlineStr"/>
      <c r="I75" t="inlineStr"/>
      <c r="J75" t="inlineStr"/>
      <c r="K75" t="inlineStr"/>
      <c r="L75" t="inlineStr"/>
      <c r="M75" t="inlineStr"/>
      <c r="N75" t="inlineStr">
        <is>
          <t>TRUE</t>
        </is>
      </c>
      <c r="O75" t="inlineStr">
        <is>
          <t>section_ablation_cost_per_correct.csv</t>
        </is>
      </c>
      <c r="P75" t="inlineStr">
        <is>
          <t>35/56; calls=200; mean_tokens=15298</t>
        </is>
      </c>
    </row>
    <row r="76">
      <c r="A76" t="inlineStr">
        <is>
          <t>item_c_all_n200_press_release_cost_per_correct</t>
        </is>
      </c>
      <c r="B76" t="inlineStr">
        <is>
          <t>$0.0290</t>
        </is>
      </c>
      <c r="C76" t="inlineStr">
        <is>
          <t>USD per correct call</t>
        </is>
      </c>
      <c r="D76" t="inlineStr">
        <is>
          <t>35</t>
        </is>
      </c>
      <c r="E76" t="inlineStr"/>
      <c r="F76" t="inlineStr">
        <is>
          <t>all_n200</t>
        </is>
      </c>
      <c r="G76" t="inlineStr"/>
      <c r="H76" t="inlineStr"/>
      <c r="I76" t="inlineStr"/>
      <c r="J76" t="inlineStr"/>
      <c r="K76" t="inlineStr"/>
      <c r="L76" t="inlineStr"/>
      <c r="M76" t="inlineStr"/>
      <c r="N76" t="inlineStr">
        <is>
          <t>TRUE</t>
        </is>
      </c>
      <c r="O76" t="inlineStr">
        <is>
          <t>section_ablation_cost_per_correct.csv</t>
        </is>
      </c>
      <c r="P76" t="inlineStr">
        <is>
          <t>total_cost=$1.0149; total_tokens=3059630</t>
        </is>
      </c>
    </row>
    <row r="77">
      <c r="A77" t="inlineStr">
        <is>
          <t>item_c_all_n200_press_release_mean_tokens</t>
        </is>
      </c>
      <c r="B77" t="inlineStr">
        <is>
          <t>15298</t>
        </is>
      </c>
      <c r="C77" t="inlineStr">
        <is>
          <t>tokens per call</t>
        </is>
      </c>
      <c r="D77" t="inlineStr"/>
      <c r="E77" t="inlineStr"/>
      <c r="F77" t="inlineStr">
        <is>
          <t>all_n200</t>
        </is>
      </c>
      <c r="G77" t="inlineStr"/>
      <c r="H77" t="inlineStr"/>
      <c r="I77" t="inlineStr"/>
      <c r="J77" t="inlineStr"/>
      <c r="K77" t="inlineStr"/>
      <c r="L77" t="inlineStr"/>
      <c r="M77" t="inlineStr"/>
      <c r="N77" t="inlineStr">
        <is>
          <t>FALSE</t>
        </is>
      </c>
      <c r="O77" t="inlineStr">
        <is>
          <t>section_ablation_cost_per_correct.csv</t>
        </is>
      </c>
      <c r="P77" t="inlineStr"/>
    </row>
    <row r="78">
      <c r="A78" t="inlineStr">
        <is>
          <t>item_c_all_n200_prepared_remarks_accuracy</t>
        </is>
      </c>
      <c r="B78" t="inlineStr">
        <is>
          <t>63.4%</t>
        </is>
      </c>
      <c r="C78" t="inlineStr">
        <is>
          <t>percent</t>
        </is>
      </c>
      <c r="D78" t="inlineStr">
        <is>
          <t>41</t>
        </is>
      </c>
      <c r="E78" t="inlineStr">
        <is>
          <t>graded events (|ret|&gt;2%) in all_n200</t>
        </is>
      </c>
      <c r="F78" t="inlineStr">
        <is>
          <t>all_n200</t>
        </is>
      </c>
      <c r="G78" t="inlineStr">
        <is>
          <t>HOLD-excluded, ±2% overnight band</t>
        </is>
      </c>
      <c r="H78" t="inlineStr"/>
      <c r="I78" t="inlineStr"/>
      <c r="J78" t="inlineStr"/>
      <c r="K78" t="inlineStr"/>
      <c r="L78" t="inlineStr"/>
      <c r="M78" t="inlineStr"/>
      <c r="N78" t="inlineStr">
        <is>
          <t>TRUE</t>
        </is>
      </c>
      <c r="O78" t="inlineStr">
        <is>
          <t>section_ablation_cost_per_correct.csv</t>
        </is>
      </c>
      <c r="P78" t="inlineStr">
        <is>
          <t>26/41; calls=119; mean_tokens=10287</t>
        </is>
      </c>
    </row>
    <row r="79">
      <c r="A79" t="inlineStr">
        <is>
          <t>item_c_all_n200_prepared_remarks_cost_per_correct</t>
        </is>
      </c>
      <c r="B79" t="inlineStr">
        <is>
          <t>$0.0208</t>
        </is>
      </c>
      <c r="C79" t="inlineStr">
        <is>
          <t>USD per correct call</t>
        </is>
      </c>
      <c r="D79" t="inlineStr">
        <is>
          <t>26</t>
        </is>
      </c>
      <c r="E79" t="inlineStr"/>
      <c r="F79" t="inlineStr">
        <is>
          <t>all_n200</t>
        </is>
      </c>
      <c r="G79" t="inlineStr"/>
      <c r="H79" t="inlineStr"/>
      <c r="I79" t="inlineStr"/>
      <c r="J79" t="inlineStr"/>
      <c r="K79" t="inlineStr"/>
      <c r="L79" t="inlineStr"/>
      <c r="M79" t="inlineStr"/>
      <c r="N79" t="inlineStr">
        <is>
          <t>TRUE</t>
        </is>
      </c>
      <c r="O79" t="inlineStr">
        <is>
          <t>section_ablation_cost_per_correct.csv</t>
        </is>
      </c>
      <c r="P79" t="inlineStr">
        <is>
          <t>total_cost=$0.5412; total_tokens=1224173</t>
        </is>
      </c>
    </row>
    <row r="80">
      <c r="A80" t="inlineStr">
        <is>
          <t>item_c_all_n200_prepared_remarks_mean_tokens</t>
        </is>
      </c>
      <c r="B80" t="inlineStr">
        <is>
          <t>10287</t>
        </is>
      </c>
      <c r="C80" t="inlineStr">
        <is>
          <t>tokens per call</t>
        </is>
      </c>
      <c r="D80" t="inlineStr"/>
      <c r="E80" t="inlineStr"/>
      <c r="F80" t="inlineStr">
        <is>
          <t>all_n200</t>
        </is>
      </c>
      <c r="G80" t="inlineStr"/>
      <c r="H80" t="inlineStr"/>
      <c r="I80" t="inlineStr"/>
      <c r="J80" t="inlineStr"/>
      <c r="K80" t="inlineStr"/>
      <c r="L80" t="inlineStr"/>
      <c r="M80" t="inlineStr"/>
      <c r="N80" t="inlineStr">
        <is>
          <t>FALSE</t>
        </is>
      </c>
      <c r="O80" t="inlineStr">
        <is>
          <t>section_ablation_cost_per_correct.csv</t>
        </is>
      </c>
      <c r="P80" t="inlineStr"/>
    </row>
    <row r="81">
      <c r="A81" t="inlineStr">
        <is>
          <t>item_c_all_n200_qa_only_accuracy</t>
        </is>
      </c>
      <c r="B81" t="inlineStr">
        <is>
          <t>68.4%</t>
        </is>
      </c>
      <c r="C81" t="inlineStr">
        <is>
          <t>percent</t>
        </is>
      </c>
      <c r="D81" t="inlineStr">
        <is>
          <t>38</t>
        </is>
      </c>
      <c r="E81" t="inlineStr">
        <is>
          <t>graded events (|ret|&gt;2%) in all_n200</t>
        </is>
      </c>
      <c r="F81" t="inlineStr">
        <is>
          <t>all_n200</t>
        </is>
      </c>
      <c r="G81" t="inlineStr">
        <is>
          <t>HOLD-excluded, ±2% overnight band</t>
        </is>
      </c>
      <c r="H81" t="inlineStr"/>
      <c r="I81" t="inlineStr"/>
      <c r="J81" t="inlineStr"/>
      <c r="K81" t="inlineStr"/>
      <c r="L81" t="inlineStr"/>
      <c r="M81" t="inlineStr"/>
      <c r="N81" t="inlineStr">
        <is>
          <t>TRUE</t>
        </is>
      </c>
      <c r="O81" t="inlineStr">
        <is>
          <t>section_ablation_cost_per_correct.csv</t>
        </is>
      </c>
      <c r="P81" t="inlineStr">
        <is>
          <t>26/38; calls=119; mean_tokens=13163</t>
        </is>
      </c>
    </row>
    <row r="82">
      <c r="A82" t="inlineStr">
        <is>
          <t>item_c_all_n200_qa_only_cost_per_correct</t>
        </is>
      </c>
      <c r="B82" t="inlineStr">
        <is>
          <t>$0.0229</t>
        </is>
      </c>
      <c r="C82" t="inlineStr">
        <is>
          <t>USD per correct call</t>
        </is>
      </c>
      <c r="D82" t="inlineStr">
        <is>
          <t>26</t>
        </is>
      </c>
      <c r="E82" t="inlineStr"/>
      <c r="F82" t="inlineStr">
        <is>
          <t>all_n200</t>
        </is>
      </c>
      <c r="G82" t="inlineStr"/>
      <c r="H82" t="inlineStr"/>
      <c r="I82" t="inlineStr"/>
      <c r="J82" t="inlineStr"/>
      <c r="K82" t="inlineStr"/>
      <c r="L82" t="inlineStr"/>
      <c r="M82" t="inlineStr"/>
      <c r="N82" t="inlineStr">
        <is>
          <t>TRUE</t>
        </is>
      </c>
      <c r="O82" t="inlineStr">
        <is>
          <t>section_ablation_cost_per_correct.csv</t>
        </is>
      </c>
      <c r="P82" t="inlineStr">
        <is>
          <t>total_cost=$0.5952; total_tokens=1566442</t>
        </is>
      </c>
    </row>
    <row r="83">
      <c r="A83" t="inlineStr">
        <is>
          <t>item_c_all_n200_qa_only_mean_tokens</t>
        </is>
      </c>
      <c r="B83" t="inlineStr">
        <is>
          <t>13163</t>
        </is>
      </c>
      <c r="C83" t="inlineStr">
        <is>
          <t>tokens per call</t>
        </is>
      </c>
      <c r="D83" t="inlineStr"/>
      <c r="E83" t="inlineStr"/>
      <c r="F83" t="inlineStr">
        <is>
          <t>all_n200</t>
        </is>
      </c>
      <c r="G83" t="inlineStr"/>
      <c r="H83" t="inlineStr"/>
      <c r="I83" t="inlineStr"/>
      <c r="J83" t="inlineStr"/>
      <c r="K83" t="inlineStr"/>
      <c r="L83" t="inlineStr"/>
      <c r="M83" t="inlineStr"/>
      <c r="N83" t="inlineStr">
        <is>
          <t>FALSE</t>
        </is>
      </c>
      <c r="O83" t="inlineStr">
        <is>
          <t>section_ablation_cost_per_correct.csv</t>
        </is>
      </c>
      <c r="P83" t="inlineStr"/>
    </row>
    <row r="84">
      <c r="A84" t="inlineStr">
        <is>
          <t>item_c_paired_press_release_vs_full_bundle_strict_(both_graded)</t>
        </is>
      </c>
      <c r="B84" t="inlineStr">
        <is>
          <t>0.0</t>
        </is>
      </c>
      <c r="C84" t="inlineStr">
        <is>
          <t>fraction diff</t>
        </is>
      </c>
      <c r="D84" t="inlineStr">
        <is>
          <t>45</t>
        </is>
      </c>
      <c r="E84" t="inlineStr"/>
      <c r="F84" t="inlineStr">
        <is>
          <t>four_arm</t>
        </is>
      </c>
      <c r="G84" t="inlineStr">
        <is>
          <t>strict (both graded)</t>
        </is>
      </c>
      <c r="H84" t="inlineStr">
        <is>
          <t>0.0</t>
        </is>
      </c>
      <c r="I84" t="inlineStr">
        <is>
          <t>0.0</t>
        </is>
      </c>
      <c r="J84" t="inlineStr"/>
      <c r="K84" t="inlineStr">
        <is>
          <t>1.0</t>
        </is>
      </c>
      <c r="L84" t="inlineStr"/>
      <c r="M84" t="inlineStr"/>
      <c r="N84" t="inlineStr">
        <is>
          <t>TRUE</t>
        </is>
      </c>
      <c r="O84" t="inlineStr">
        <is>
          <t>section_ablation_paired_diffs.csv</t>
        </is>
      </c>
      <c r="P84" t="inlineStr">
        <is>
          <t>All 45 events where both arms breach ±2% have identical signals — zero information</t>
        </is>
      </c>
    </row>
    <row r="85">
      <c r="A85" t="inlineStr">
        <is>
          <t>item_c_paired_press_release_vs_full_bundle_inclusive_(either_graded_ungraded=0.5)</t>
        </is>
      </c>
      <c r="B85" t="inlineStr">
        <is>
          <t>-0.0682</t>
        </is>
      </c>
      <c r="C85" t="inlineStr">
        <is>
          <t>fraction diff</t>
        </is>
      </c>
      <c r="D85" t="inlineStr">
        <is>
          <t>66</t>
        </is>
      </c>
      <c r="E85" t="inlineStr"/>
      <c r="F85" t="inlineStr">
        <is>
          <t>four_arm</t>
        </is>
      </c>
      <c r="G85" t="inlineStr">
        <is>
          <t>inclusive (either graded, ungraded=0.5)</t>
        </is>
      </c>
      <c r="H85" t="inlineStr">
        <is>
          <t>-0.1212</t>
        </is>
      </c>
      <c r="I85" t="inlineStr">
        <is>
          <t>-0.0152</t>
        </is>
      </c>
      <c r="J85" t="inlineStr"/>
      <c r="K85" t="inlineStr">
        <is>
          <t>0.0548</t>
        </is>
      </c>
      <c r="L85" t="inlineStr"/>
      <c r="M85" t="inlineStr"/>
      <c r="N85" t="inlineStr">
        <is>
          <t>TRUE</t>
        </is>
      </c>
      <c r="O85" t="inlineStr">
        <is>
          <t>section_ablation_paired_diffs.csv</t>
        </is>
      </c>
      <c r="P85" t="inlineStr">
        <is>
          <t>Full bundle outperforms by 6.8pp when ungraded events scored at 0.5</t>
        </is>
      </c>
    </row>
    <row r="86">
      <c r="A86" t="inlineStr">
        <is>
          <t>item_c_paired_prepared_remarks_vs_full_bundle_strict_(both_graded)</t>
        </is>
      </c>
      <c r="B86" t="inlineStr">
        <is>
          <t>-0.0189</t>
        </is>
      </c>
      <c r="C86" t="inlineStr">
        <is>
          <t>fraction diff</t>
        </is>
      </c>
      <c r="D86" t="inlineStr">
        <is>
          <t>53</t>
        </is>
      </c>
      <c r="E86" t="inlineStr"/>
      <c r="F86" t="inlineStr">
        <is>
          <t>four_arm</t>
        </is>
      </c>
      <c r="G86" t="inlineStr">
        <is>
          <t>strict (both graded)</t>
        </is>
      </c>
      <c r="H86" t="inlineStr">
        <is>
          <t>-0.0566</t>
        </is>
      </c>
      <c r="I86" t="inlineStr">
        <is>
          <t>0.0</t>
        </is>
      </c>
      <c r="J86" t="inlineStr"/>
      <c r="K86" t="inlineStr">
        <is>
          <t>0.7284</t>
        </is>
      </c>
      <c r="L86" t="inlineStr"/>
      <c r="M86" t="inlineStr"/>
      <c r="N86" t="inlineStr">
        <is>
          <t>TRUE</t>
        </is>
      </c>
      <c r="O86" t="inlineStr">
        <is>
          <t>section_ablation_paired_diffs.csv</t>
        </is>
      </c>
      <c r="P86" t="inlineStr"/>
    </row>
    <row r="87">
      <c r="A87" t="inlineStr">
        <is>
          <t>item_c_paired_prepared_remarks_vs_full_bundle_inclusive_(either_graded_ungraded=0.5)</t>
        </is>
      </c>
      <c r="B87" t="inlineStr">
        <is>
          <t>-0.0403</t>
        </is>
      </c>
      <c r="C87" t="inlineStr">
        <is>
          <t>fraction diff</t>
        </is>
      </c>
      <c r="D87" t="inlineStr">
        <is>
          <t>62</t>
        </is>
      </c>
      <c r="E87" t="inlineStr"/>
      <c r="F87" t="inlineStr">
        <is>
          <t>four_arm</t>
        </is>
      </c>
      <c r="G87" t="inlineStr">
        <is>
          <t>inclusive (either graded, ungraded=0.5)</t>
        </is>
      </c>
      <c r="H87" t="inlineStr">
        <is>
          <t>-0.0887</t>
        </is>
      </c>
      <c r="I87" t="inlineStr">
        <is>
          <t>0.0081</t>
        </is>
      </c>
      <c r="J87" t="inlineStr"/>
      <c r="K87" t="inlineStr">
        <is>
          <t>0.201</t>
        </is>
      </c>
      <c r="L87" t="inlineStr"/>
      <c r="M87" t="inlineStr"/>
      <c r="N87" t="inlineStr">
        <is>
          <t>TRUE</t>
        </is>
      </c>
      <c r="O87" t="inlineStr">
        <is>
          <t>section_ablation_paired_diffs.csv</t>
        </is>
      </c>
      <c r="P87" t="inlineStr"/>
    </row>
    <row r="88">
      <c r="A88" t="inlineStr">
        <is>
          <t>item_c_paired_qa_only_vs_full_bundle_strict_(both_graded)</t>
        </is>
      </c>
      <c r="B88" t="inlineStr">
        <is>
          <t>-0.0233</t>
        </is>
      </c>
      <c r="C88" t="inlineStr">
        <is>
          <t>fraction diff</t>
        </is>
      </c>
      <c r="D88" t="inlineStr">
        <is>
          <t>43</t>
        </is>
      </c>
      <c r="E88" t="inlineStr"/>
      <c r="F88" t="inlineStr">
        <is>
          <t>four_arm</t>
        </is>
      </c>
      <c r="G88" t="inlineStr">
        <is>
          <t>strict (both graded)</t>
        </is>
      </c>
      <c r="H88" t="inlineStr">
        <is>
          <t>-0.093</t>
        </is>
      </c>
      <c r="I88" t="inlineStr">
        <is>
          <t>0.0465</t>
        </is>
      </c>
      <c r="J88" t="inlineStr"/>
      <c r="K88" t="inlineStr">
        <is>
          <t>0.7934</t>
        </is>
      </c>
      <c r="L88" t="inlineStr"/>
      <c r="M88" t="inlineStr"/>
      <c r="N88" t="inlineStr">
        <is>
          <t>TRUE</t>
        </is>
      </c>
      <c r="O88" t="inlineStr">
        <is>
          <t>section_ablation_paired_diffs.csv</t>
        </is>
      </c>
      <c r="P88" t="inlineStr"/>
    </row>
    <row r="89">
      <c r="A89" t="inlineStr">
        <is>
          <t>item_c_paired_qa_only_vs_full_bundle_inclusive_(either_graded_ungraded=0.5)</t>
        </is>
      </c>
      <c r="B89" t="inlineStr">
        <is>
          <t>-0.053</t>
        </is>
      </c>
      <c r="C89" t="inlineStr">
        <is>
          <t>fraction diff</t>
        </is>
      </c>
      <c r="D89" t="inlineStr">
        <is>
          <t>66</t>
        </is>
      </c>
      <c r="E89" t="inlineStr"/>
      <c r="F89" t="inlineStr">
        <is>
          <t>four_arm</t>
        </is>
      </c>
      <c r="G89" t="inlineStr">
        <is>
          <t>inclusive (either graded, ungraded=0.5)</t>
        </is>
      </c>
      <c r="H89" t="inlineStr">
        <is>
          <t>-0.1288</t>
        </is>
      </c>
      <c r="I89" t="inlineStr">
        <is>
          <t>0.0227</t>
        </is>
      </c>
      <c r="J89" t="inlineStr"/>
      <c r="K89" t="inlineStr">
        <is>
          <t>0.2686</t>
        </is>
      </c>
      <c r="L89" t="inlineStr"/>
      <c r="M89" t="inlineStr"/>
      <c r="N89" t="inlineStr">
        <is>
          <t>TRUE</t>
        </is>
      </c>
      <c r="O89" t="inlineStr">
        <is>
          <t>section_ablation_paired_diffs.csv</t>
        </is>
      </c>
      <c r="P89" t="inlineStr"/>
    </row>
    <row r="90">
      <c r="A90" t="inlineStr">
        <is>
          <t>frontier_Majority-class_HOLD_accuracy_flat_excluded</t>
        </is>
      </c>
      <c r="B90" t="inlineStr">
        <is>
          <t>54.6%</t>
        </is>
      </c>
      <c r="C90" t="inlineStr">
        <is>
          <t>percent</t>
        </is>
      </c>
      <c r="D90" t="inlineStr">
        <is>
          <t>119</t>
        </is>
      </c>
      <c r="E90" t="inlineStr">
        <is>
          <t>graded events, FLAT-excluded</t>
        </is>
      </c>
      <c r="F90" t="inlineStr">
        <is>
          <t>eval split (186 events, 119 graded)</t>
        </is>
      </c>
      <c r="G90" t="inlineStr"/>
      <c r="H90" t="inlineStr">
        <is>
          <t>0.471</t>
        </is>
      </c>
      <c r="I90" t="inlineStr">
        <is>
          <t xml:space="preserve"> 0.622</t>
        </is>
      </c>
      <c r="J90" t="inlineStr">
        <is>
          <t>90%</t>
        </is>
      </c>
      <c r="K90" t="inlineStr"/>
      <c r="L90" t="inlineStr"/>
      <c r="M90" t="inlineStr"/>
      <c r="N90" t="inlineStr">
        <is>
          <t>FALSE</t>
        </is>
      </c>
      <c r="O90" t="inlineStr">
        <is>
          <t>frontier_table.csv</t>
        </is>
      </c>
      <c r="P90" t="inlineStr">
        <is>
          <t>Always predicts HOLD; 0 trades. FLAT-excluded: always-DOWN = 65/119.</t>
        </is>
      </c>
    </row>
    <row r="91">
      <c r="A91" t="inlineStr">
        <is>
          <t>frontier_Majority-class_HOLD_accuracy_flat_wrong</t>
        </is>
      </c>
      <c r="B91" t="inlineStr">
        <is>
          <t>36.0%</t>
        </is>
      </c>
      <c r="C91" t="inlineStr">
        <is>
          <t>percent</t>
        </is>
      </c>
      <c r="D91" t="inlineStr">
        <is>
          <t>186</t>
        </is>
      </c>
      <c r="E91" t="inlineStr">
        <is>
          <t>all eval events, HOLD=wrong</t>
        </is>
      </c>
      <c r="F91" t="inlineStr">
        <is>
          <t>eval split (186 events)</t>
        </is>
      </c>
      <c r="G91" t="inlineStr"/>
      <c r="H91" t="inlineStr"/>
      <c r="I91" t="inlineStr"/>
      <c r="J91" t="inlineStr"/>
      <c r="K91" t="inlineStr"/>
      <c r="L91" t="inlineStr"/>
      <c r="M91" t="inlineStr"/>
      <c r="N91" t="inlineStr">
        <is>
          <t>FALSE</t>
        </is>
      </c>
      <c r="O91" t="inlineStr">
        <is>
          <t>frontier_table.csv</t>
        </is>
      </c>
      <c r="P91" t="inlineStr"/>
    </row>
    <row r="92">
      <c r="A92" t="inlineStr">
        <is>
          <t>frontier_Loughran-McDonald_(LM)_accuracy_flat_excluded</t>
        </is>
      </c>
      <c r="B92" t="inlineStr">
        <is>
          <t>15.1%</t>
        </is>
      </c>
      <c r="C92" t="inlineStr">
        <is>
          <t>percent</t>
        </is>
      </c>
      <c r="D92" t="inlineStr">
        <is>
          <t>119</t>
        </is>
      </c>
      <c r="E92" t="inlineStr">
        <is>
          <t>graded events, FLAT-excluded</t>
        </is>
      </c>
      <c r="F92" t="inlineStr">
        <is>
          <t>eval split (186 events, 119 graded)</t>
        </is>
      </c>
      <c r="G92" t="inlineStr"/>
      <c r="H92" t="inlineStr">
        <is>
          <t>0.101</t>
        </is>
      </c>
      <c r="I92" t="inlineStr">
        <is>
          <t xml:space="preserve"> 0.210</t>
        </is>
      </c>
      <c r="J92" t="inlineStr">
        <is>
          <t>90%</t>
        </is>
      </c>
      <c r="K92" t="inlineStr"/>
      <c r="L92" t="inlineStr"/>
      <c r="M92" t="inlineStr"/>
      <c r="N92" t="inlineStr">
        <is>
          <t>FALSE</t>
        </is>
      </c>
      <c r="O92" t="inlineStr">
        <is>
          <t>frontier_table.csv</t>
        </is>
      </c>
      <c r="P92" t="inlineStr">
        <is>
          <t>pysentiment2 word-count score, no API cost. FLAT-excluded: 18/119.</t>
        </is>
      </c>
    </row>
    <row r="93">
      <c r="A93" t="inlineStr">
        <is>
          <t>frontier_Loughran-McDonald_(LM)_accuracy_flat_wrong</t>
        </is>
      </c>
      <c r="B93" t="inlineStr">
        <is>
          <t>34.9%</t>
        </is>
      </c>
      <c r="C93" t="inlineStr">
        <is>
          <t>percent</t>
        </is>
      </c>
      <c r="D93" t="inlineStr">
        <is>
          <t>186</t>
        </is>
      </c>
      <c r="E93" t="inlineStr">
        <is>
          <t>all eval events, HOLD=wrong</t>
        </is>
      </c>
      <c r="F93" t="inlineStr">
        <is>
          <t>eval split (186 events)</t>
        </is>
      </c>
      <c r="G93" t="inlineStr"/>
      <c r="H93" t="inlineStr"/>
      <c r="I93" t="inlineStr"/>
      <c r="J93" t="inlineStr"/>
      <c r="K93" t="inlineStr"/>
      <c r="L93" t="inlineStr"/>
      <c r="M93" t="inlineStr"/>
      <c r="N93" t="inlineStr">
        <is>
          <t>FALSE</t>
        </is>
      </c>
      <c r="O93" t="inlineStr">
        <is>
          <t>frontier_table.csv</t>
        </is>
      </c>
      <c r="P93" t="inlineStr"/>
    </row>
    <row r="94">
      <c r="A94" t="inlineStr">
        <is>
          <t>frontier_FinBERT_(ProsusAI_finbert)_accuracy_flat_excluded</t>
        </is>
      </c>
      <c r="B94" t="inlineStr">
        <is>
          <t>34.4%</t>
        </is>
      </c>
      <c r="C94" t="inlineStr">
        <is>
          <t>percent</t>
        </is>
      </c>
      <c r="D94" t="inlineStr">
        <is>
          <t>119</t>
        </is>
      </c>
      <c r="E94" t="inlineStr">
        <is>
          <t>graded events, FLAT-excluded</t>
        </is>
      </c>
      <c r="F94" t="inlineStr">
        <is>
          <t>eval split (186 events, 119 graded)</t>
        </is>
      </c>
      <c r="G94" t="inlineStr"/>
      <c r="H94" t="inlineStr">
        <is>
          <t>0.277</t>
        </is>
      </c>
      <c r="I94" t="inlineStr">
        <is>
          <t xml:space="preserve"> 0.420</t>
        </is>
      </c>
      <c r="J94" t="inlineStr">
        <is>
          <t>90%</t>
        </is>
      </c>
      <c r="K94" t="inlineStr"/>
      <c r="L94" t="inlineStr"/>
      <c r="M94" t="inlineStr"/>
      <c r="N94" t="inlineStr">
        <is>
          <t>FALSE</t>
        </is>
      </c>
      <c r="O94" t="inlineStr">
        <is>
          <t>frontier_table.csv</t>
        </is>
      </c>
      <c r="P94" t="inlineStr">
        <is>
          <t>512-token chunks, token-weighted avg; local compute only. FLAT-excluded: 41/119.</t>
        </is>
      </c>
    </row>
    <row r="95">
      <c r="A95" t="inlineStr">
        <is>
          <t>frontier_FinBERT_(ProsusAI_finbert)_accuracy_flat_wrong</t>
        </is>
      </c>
      <c r="B95" t="inlineStr">
        <is>
          <t>32.3%</t>
        </is>
      </c>
      <c r="C95" t="inlineStr">
        <is>
          <t>percent</t>
        </is>
      </c>
      <c r="D95" t="inlineStr">
        <is>
          <t>186</t>
        </is>
      </c>
      <c r="E95" t="inlineStr">
        <is>
          <t>all eval events, HOLD=wrong</t>
        </is>
      </c>
      <c r="F95" t="inlineStr">
        <is>
          <t>eval split (186 events)</t>
        </is>
      </c>
      <c r="G95" t="inlineStr"/>
      <c r="H95" t="inlineStr"/>
      <c r="I95" t="inlineStr"/>
      <c r="J95" t="inlineStr"/>
      <c r="K95" t="inlineStr"/>
      <c r="L95" t="inlineStr"/>
      <c r="M95" t="inlineStr"/>
      <c r="N95" t="inlineStr">
        <is>
          <t>FALSE</t>
        </is>
      </c>
      <c r="O95" t="inlineStr">
        <is>
          <t>frontier_table.csv</t>
        </is>
      </c>
      <c r="P95" t="inlineStr"/>
    </row>
    <row r="96">
      <c r="A96" t="inlineStr">
        <is>
          <t>frontier_Deployed_model_(DeepSeek_0.55_0.45_micro_macro)_accuracy_flat_excluded</t>
        </is>
      </c>
      <c r="B96" t="inlineStr">
        <is>
          <t>42.9%</t>
        </is>
      </c>
      <c r="C96" t="inlineStr">
        <is>
          <t>percent</t>
        </is>
      </c>
      <c r="D96" t="inlineStr">
        <is>
          <t>119</t>
        </is>
      </c>
      <c r="E96" t="inlineStr">
        <is>
          <t>graded events, FLAT-excluded</t>
        </is>
      </c>
      <c r="F96" t="inlineStr">
        <is>
          <t>eval split (186 events, 119 graded)</t>
        </is>
      </c>
      <c r="G96" t="inlineStr"/>
      <c r="H96" t="inlineStr">
        <is>
          <t>0.353</t>
        </is>
      </c>
      <c r="I96" t="inlineStr">
        <is>
          <t xml:space="preserve"> 0.504</t>
        </is>
      </c>
      <c r="J96" t="inlineStr">
        <is>
          <t>90%</t>
        </is>
      </c>
      <c r="K96" t="inlineStr"/>
      <c r="L96" t="inlineStr"/>
      <c r="M96" t="inlineStr"/>
      <c r="N96" t="inlineStr">
        <is>
          <t>FALSE</t>
        </is>
      </c>
      <c r="O96" t="inlineStr">
        <is>
          <t>frontier_table.csv</t>
        </is>
      </c>
      <c r="P96" t="inlineStr">
        <is>
          <t>Structured output with evidence quotes; API cost per document. FLAT-excluded: 51/119.</t>
        </is>
      </c>
    </row>
    <row r="97">
      <c r="A97" t="inlineStr">
        <is>
          <t>frontier_Deployed_model_(DeepSeek_0.55_0.45_micro_macro)_accuracy_flat_wrong</t>
        </is>
      </c>
      <c r="B97" t="inlineStr">
        <is>
          <t>44.1%</t>
        </is>
      </c>
      <c r="C97" t="inlineStr">
        <is>
          <t>percent</t>
        </is>
      </c>
      <c r="D97" t="inlineStr">
        <is>
          <t>186</t>
        </is>
      </c>
      <c r="E97" t="inlineStr">
        <is>
          <t>all eval events, HOLD=wrong</t>
        </is>
      </c>
      <c r="F97" t="inlineStr">
        <is>
          <t>eval split (186 events)</t>
        </is>
      </c>
      <c r="G97" t="inlineStr"/>
      <c r="H97" t="inlineStr"/>
      <c r="I97" t="inlineStr"/>
      <c r="J97" t="inlineStr"/>
      <c r="K97" t="inlineStr"/>
      <c r="L97" t="inlineStr"/>
      <c r="M97" t="inlineStr"/>
      <c r="N97" t="inlineStr">
        <is>
          <t>FALSE</t>
        </is>
      </c>
      <c r="O97" t="inlineStr">
        <is>
          <t>frontier_table.csv</t>
        </is>
      </c>
      <c r="P97" t="inlineStr"/>
    </row>
    <row r="98">
      <c r="A98" t="inlineStr">
        <is>
          <t>walkforward_n_windows</t>
        </is>
      </c>
      <c r="B98" t="inlineStr">
        <is>
          <t>4</t>
        </is>
      </c>
      <c r="C98" t="inlineStr"/>
      <c r="D98" t="inlineStr"/>
      <c r="E98" t="inlineStr"/>
      <c r="F98" t="inlineStr"/>
      <c r="G98" t="inlineStr"/>
      <c r="H98" t="inlineStr"/>
      <c r="I98" t="inlineStr"/>
      <c r="J98" t="inlineStr"/>
      <c r="K98" t="inlineStr"/>
      <c r="L98" t="inlineStr"/>
      <c r="M98" t="inlineStr"/>
      <c r="N98" t="inlineStr">
        <is>
          <t>FALSE</t>
        </is>
      </c>
      <c r="O98" t="inlineStr">
        <is>
          <t>item_e_walkforward.json</t>
        </is>
      </c>
      <c r="P98" t="inlineStr"/>
    </row>
    <row r="99">
      <c r="A99" t="inlineStr">
        <is>
          <t>walkforward_degeneracy_finding</t>
        </is>
      </c>
      <c r="B99" t="inlineStr">
        <is>
          <t>{'mean_net_degenerate': 3, 'accuracy_degenerate': 2, 'total_windows': 4, 'both_degenerate': True}</t>
        </is>
      </c>
      <c r="C99" t="inlineStr"/>
      <c r="D99" t="inlineStr"/>
      <c r="E99" t="inlineStr"/>
      <c r="F99" t="inlineStr"/>
      <c r="G99" t="inlineStr"/>
      <c r="H99" t="inlineStr"/>
      <c r="I99" t="inlineStr"/>
      <c r="J99" t="inlineStr"/>
      <c r="K99" t="inlineStr"/>
      <c r="L99" t="inlineStr"/>
      <c r="M99" t="inlineStr"/>
      <c r="N99" t="inlineStr">
        <is>
          <t>FALSE</t>
        </is>
      </c>
      <c r="O99" t="inlineStr">
        <is>
          <t>item_e_walkforward.json</t>
        </is>
      </c>
      <c r="P99" t="inlineStr">
        <is>
          <t>Both mean-net and accuracy objectives tried; both degenerate</t>
        </is>
      </c>
    </row>
    <row r="100">
      <c r="A100" t="inlineStr">
        <is>
          <t>walkforward_mean_net_objective_degenerate_windows</t>
        </is>
      </c>
      <c r="B100" t="inlineStr"/>
      <c r="C100" t="inlineStr"/>
      <c r="D100" t="inlineStr"/>
      <c r="E100" t="inlineStr"/>
      <c r="F100" t="inlineStr">
        <is>
          <t>walk-forward mean_net_objective</t>
        </is>
      </c>
      <c r="G100" t="inlineStr"/>
      <c r="H100" t="inlineStr"/>
      <c r="I100" t="inlineStr"/>
      <c r="J100" t="inlineStr"/>
      <c r="K100" t="inlineStr"/>
      <c r="L100" t="inlineStr"/>
      <c r="M100" t="inlineStr"/>
      <c r="N100" t="inlineStr">
        <is>
          <t>FALSE</t>
        </is>
      </c>
      <c r="O100" t="inlineStr">
        <is>
          <t>item_e_walkforward.json</t>
        </is>
      </c>
      <c r="P100" t="inlineStr"/>
    </row>
    <row r="101">
      <c r="A101" t="inlineStr">
        <is>
          <t>walkforward_accuracy_objective_degenerate_windows</t>
        </is>
      </c>
      <c r="B101" t="inlineStr"/>
      <c r="C101" t="inlineStr"/>
      <c r="D101" t="inlineStr"/>
      <c r="E101" t="inlineStr"/>
      <c r="F101" t="inlineStr">
        <is>
          <t>walk-forward accuracy_objective</t>
        </is>
      </c>
      <c r="G101" t="inlineStr"/>
      <c r="H101" t="inlineStr"/>
      <c r="I101" t="inlineStr"/>
      <c r="J101" t="inlineStr"/>
      <c r="K101" t="inlineStr"/>
      <c r="L101" t="inlineStr"/>
      <c r="M101" t="inlineStr"/>
      <c r="N101" t="inlineStr">
        <is>
          <t>FALSE</t>
        </is>
      </c>
      <c r="O101" t="inlineStr">
        <is>
          <t>item_e_walkforward.json</t>
        </is>
      </c>
      <c r="P101" t="inlineStr"/>
    </row>
    <row r="102">
      <c r="A102" t="inlineStr">
        <is>
          <t>in_sample_deployed_accuracy</t>
        </is>
      </c>
      <c r="B102" t="inlineStr">
        <is>
          <t>65.3%</t>
        </is>
      </c>
      <c r="C102" t="inlineStr">
        <is>
          <t>percent</t>
        </is>
      </c>
      <c r="D102" t="inlineStr">
        <is>
          <t>95</t>
        </is>
      </c>
      <c r="E102" t="inlineStr">
        <is>
          <t>graded events, deployed thresholds, full N=233</t>
        </is>
      </c>
      <c r="F102" t="inlineStr">
        <is>
          <t>N=233 clean universe</t>
        </is>
      </c>
      <c r="G102" t="inlineStr"/>
      <c r="H102" t="inlineStr"/>
      <c r="I102" t="inlineStr"/>
      <c r="J102" t="inlineStr"/>
      <c r="K102" t="inlineStr"/>
      <c r="L102" t="inlineStr"/>
      <c r="M102" t="inlineStr"/>
      <c r="N102" t="inlineStr">
        <is>
          <t>TRUE</t>
        </is>
      </c>
      <c r="O102" t="inlineStr">
        <is>
          <t>item_e_walkforward.json</t>
        </is>
      </c>
      <c r="P102" t="inlineStr">
        <is>
          <t>62/95; trades=146</t>
        </is>
      </c>
    </row>
    <row r="103">
      <c r="A103" t="inlineStr">
        <is>
          <t>eval_split_always_down_floor</t>
        </is>
      </c>
      <c r="B103" t="inlineStr">
        <is>
          <t>54.6%</t>
        </is>
      </c>
      <c r="C103" t="inlineStr">
        <is>
          <t>percent</t>
        </is>
      </c>
      <c r="D103" t="inlineStr">
        <is>
          <t>119</t>
        </is>
      </c>
      <c r="E103" t="inlineStr">
        <is>
          <t>65/119 graded eval events have negative return</t>
        </is>
      </c>
      <c r="F103" t="inlineStr">
        <is>
          <t>eval split (latest 80% by release_date, 186 events, 119 graded)</t>
        </is>
      </c>
      <c r="G103" t="inlineStr"/>
      <c r="H103" t="inlineStr"/>
      <c r="I103" t="inlineStr"/>
      <c r="J103" t="inlineStr"/>
      <c r="K103" t="inlineStr"/>
      <c r="L103" t="inlineStr"/>
      <c r="M103" t="inlineStr"/>
      <c r="N103" t="inlineStr">
        <is>
          <t>FALSE</t>
        </is>
      </c>
      <c r="O103" t="inlineStr">
        <is>
          <t>frontier_table.csv</t>
        </is>
      </c>
      <c r="P103" t="inlineStr"/>
    </row>
    <row r="104">
      <c r="A104" t="inlineStr">
        <is>
          <t>eval_split_accuracy</t>
        </is>
      </c>
      <c r="B104" t="inlineStr">
        <is>
          <t>68.0%</t>
        </is>
      </c>
      <c r="C104" t="inlineStr">
        <is>
          <t>percent</t>
        </is>
      </c>
      <c r="D104" t="inlineStr">
        <is>
          <t>75</t>
        </is>
      </c>
      <c r="E104" t="inlineStr">
        <is>
          <t>traded+graded events in eval split</t>
        </is>
      </c>
      <c r="F104" t="inlineStr">
        <is>
          <t>eval split, N=186</t>
        </is>
      </c>
      <c r="G104" t="inlineStr"/>
      <c r="H104" t="inlineStr"/>
      <c r="I104" t="inlineStr"/>
      <c r="J104" t="inlineStr"/>
      <c r="K104" t="inlineStr">
        <is>
          <t>0.013</t>
        </is>
      </c>
      <c r="L104" t="inlineStr">
        <is>
          <t>±14.4pp</t>
        </is>
      </c>
      <c r="M104" t="inlineStr">
        <is>
          <t>binomial vs always-DOWN floor 54.6%</t>
        </is>
      </c>
      <c r="N104" t="inlineStr">
        <is>
          <t>TRUE</t>
        </is>
      </c>
      <c r="O104" t="inlineStr">
        <is>
          <t>surviving_findings.md</t>
        </is>
      </c>
      <c r="P104" t="inlineStr">
        <is>
          <t>51/75; margin +13.4pp; sorted by release_date, latest 80%</t>
        </is>
      </c>
    </row>
    <row r="105">
      <c r="A105" t="inlineStr">
        <is>
          <t>dev_split_accuracy</t>
        </is>
      </c>
      <c r="B105" t="inlineStr">
        <is>
          <t>55.0%</t>
        </is>
      </c>
      <c r="C105" t="inlineStr">
        <is>
          <t>percent</t>
        </is>
      </c>
      <c r="D105" t="inlineStr">
        <is>
          <t>20</t>
        </is>
      </c>
      <c r="E105" t="inlineStr">
        <is>
          <t>traded+graded events in dev split</t>
        </is>
      </c>
      <c r="F105" t="inlineStr">
        <is>
          <t>dev split, N=47 (earliest 20% by release_date)</t>
        </is>
      </c>
      <c r="G105" t="inlineStr"/>
      <c r="H105" t="inlineStr"/>
      <c r="I105" t="inlineStr"/>
      <c r="J105" t="inlineStr"/>
      <c r="K105" t="inlineStr"/>
      <c r="L105" t="inlineStr">
        <is>
          <t>±27.8pp</t>
        </is>
      </c>
      <c r="M105" t="inlineStr"/>
      <c r="N105" t="inlineStr">
        <is>
          <t>TRUE</t>
        </is>
      </c>
      <c r="O105" t="inlineStr">
        <is>
          <t>surviving_findings.md</t>
        </is>
      </c>
      <c r="P105" t="inlineStr">
        <is>
          <t>11/20; margin +1.4pp vs floor 53.6% — not significant, underpowered</t>
        </is>
      </c>
    </row>
    <row r="106">
      <c r="A106" t="inlineStr">
        <is>
          <t>cross_issuer_accuracy</t>
        </is>
      </c>
      <c r="B106" t="inlineStr">
        <is>
          <t>63.5%</t>
        </is>
      </c>
      <c r="C106" t="inlineStr">
        <is>
          <t>percent</t>
        </is>
      </c>
      <c r="D106" t="inlineStr">
        <is>
          <t>52</t>
        </is>
      </c>
      <c r="E106" t="inlineStr">
        <is>
          <t>graded events in 29 post-sweep issuers</t>
        </is>
      </c>
      <c r="F106" t="inlineStr">
        <is>
          <t>N=101 post-sweep events, 29 issuers (2 further timing-excluded)</t>
        </is>
      </c>
      <c r="G106" t="inlineStr"/>
      <c r="H106" t="inlineStr"/>
      <c r="I106" t="inlineStr"/>
      <c r="J106" t="inlineStr"/>
      <c r="K106" t="inlineStr">
        <is>
          <t>0.0627</t>
        </is>
      </c>
      <c r="L106" t="inlineStr">
        <is>
          <t>±20.8pp</t>
        </is>
      </c>
      <c r="M106" t="inlineStr">
        <is>
          <t>binomial vs always-DOWN floor</t>
        </is>
      </c>
      <c r="N106" t="inlineStr">
        <is>
          <t>TRUE</t>
        </is>
      </c>
      <c r="O106" t="inlineStr">
        <is>
          <t>item_e_walkforward.json</t>
        </is>
      </c>
      <c r="P106" t="inlineStr">
        <is>
          <t>33/52; floor=51.9%; RECONSTRUCTED subset — sweep membership inferred from issuer order; cross-issuer test only, NOT temporal generalisation; dates overlap with in-sweep events (both span 2023-2026)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164" t="inlineStr">
        <is>
          <t>Finding</t>
        </is>
      </c>
      <c r="B1" s="164" t="inlineStr">
        <is>
          <t>Text</t>
        </is>
      </c>
    </row>
    <row r="2">
      <c r="A2" t="inlineStr">
        <is>
          <t>SURVIVING: 1. Rank correlation with monotonic decay (strongest)</t>
        </is>
      </c>
      <c r="B2" t="inlineStr">
        <is>
          <t>**Statistic**: Spearman rho = 0.236, p = 0.0003, on all 233 clean events.
Decays monotonically: 0.159 (1d, p=0.015), 0.112 (3d, p=0.089), 0.072
(5d, p=0.276), 0.058 (10d, p=0.380). Bootstrap CI on mean net per trade
crosses zero by 3 days.
**Threshold-dependent?** No. Rho uses the continuous blended score and the
continuous return. No band, no BUY/SELL/HOLD split, no grading threshold.
**Why corrections did not touch it**: rho does not depend on the entry
convention (it uses the same returns_matrix as everything else, which was
rebuilt on the corrected anchor) but it was recomputed on the corrected
matrix and improved from 0.221 to 0.236. It is not sensitive to the HOLD
threshold because it uses all 233 events, not just traded ones.</t>
        </is>
      </c>
    </row>
    <row r="3">
      <c r="A3" t="inlineStr">
        <is>
          <t>SURVIVING: 2. Selectivity accuracy (qualified — not verifiable OOS)</t>
        </is>
      </c>
      <c r="B3" t="inlineStr">
        <is>
          <t>**Statistic**: 62/95 = 65.3%, vs 54.7% majority-direction floor (52/95),
margin +10.5pp, p=0.024 (binomial). MDE = ±10.8pp (barely powered to
detect). Source: `ext2_holding_curve.csv` (overnight row, N=233),
`item_e_walkforward.json` (n_graded=95, n_correct=62).
**Must always be paired with the coverage figure**: 62/147 = 42.2% under
HOLD=wrong, 12.2pp below the 54.4% floor (80/147 always-DOWN).
**Threshold-dependent?** Yes. The HOLD thresholds (+0.25/-0.05) determine
which 95 of 233 events are graded. Those thresholds were selected by
optimising compounded total return on the full dataset (in-sample,
PSR=0.0). The 95-event denominator is itself a product of in-sample
threshold selection.
**Item E outcome**: Walk-forward threshold refitting degenerates at N=233.
Two objectives were tried — mean net per trade and directional accuracy
(with a 15% minimum trade fraction). Both degenerate: mean-net refitting
produces extreme thresholds (+0.45/-0.50) selecting 5-7 training trades
and zero OOS trades in 3 of 4 windows; accuracy refitting degenerates in
2 of 4 windows. The threshold selection procedure behind the deployed
65.3% cannot be executed honestly at this sample size. **Significant
in-sample at p=0.024, and not verifiable out of sample because threshold
refitting degenerates at this N.**
**Cross-issuer generalisation** (finding #3): 101 events from 29 issuers
scored after the N=161 threshold sweep, zero issuer overlap with the 40
in-sweep issuers. Under the deployed thresholds: 33/52 graded correct =
63.5%, vs always-DOWN floor 51.9%, margin +11.5pp, p=0.063 (MDE ±20.8pp).
This tests issuer transfer, not temporal generalisation (both subsets span
overlapping dates). Reconstructed subset — see finding #3 for the full
qualification.
**Fragility statement**: the in-sample margin is significant but sits at
the detection limit. The cross-issuer margin is comparable in magnitude
(+11.5pp) but not significant (p=0.063, N=52). A modestly smaller true
effect would have</t>
        </is>
      </c>
    </row>
    <row r="4">
      <c r="A4" t="inlineStr">
        <is>
          <t>SURVIVING: 3. Cross-issuer generalisation (reconstructed subset)</t>
        </is>
      </c>
      <c r="B4" t="inlineStr">
        <is>
          <t>**Statistic**: Thresholds fitted on 40 issuers (132 clean events) transfer
to 29 unseen issuers (101 clean events, `item_e_walkforward.json`): 33/52 graded correct = 63.5%,
vs always-DOWN floor 51.9% (27/52), margin +11.5pp, p=0.063
(MDE ±20.8pp). Mean net per trade: +2.785%.
**This is a cross-issuer test, not a temporal one.** The 101 post-sweep
events are entirely new issuers — zero issuer overlap with the 40
in-sweep issuers. Both subsets span overlapping date ranges (in-sweep:
2023-04-25 to 2026-07-14; post-sweep: 2024-07-31 to 2026-07-01; 37
same-day reports from different issuers). The two subsets are interleaved
in time, not sequential.
**Does not corroborate the temporal findings.** The walk-forward
(finding #2's degeneracy result) and the dev/eval split (finding #9)
test whether thresholds generalise across time. This tests whether they
generalise across issuers. Three results on two different axes should
not be presented as three lines of agreement. The temporal axis
(walk-forward) degenerates; the cross-issuer axis shows a directionally
consistent but non-significant margin.
**Confound**: because the two subsets overlap in time, an issuer-coverage
effect and a temporal effect cannot be separated. The result is consistent
with both "the thresholds transfer to new companies" and "the thresholds
work on later quarters" — the design cannot distinguish these.
**Threshold-dependent?** Yes — the deployed thresholds determine which of
the 101 events are graded. But unlike finding #2, the thresholds were not
selected on these events, so the threshold-dependency is for grading only,
not for selection.
**Qualification — reconstructed, not recorded**: The N=161 sweep
(`experiments/phase2_pnl_weight_threshold_sweep.py`) predates this
repository's git history. No recorded event list or calibration file from
that commit survives. Sweep membership is inferred from: (a) the sweep
JSON records `n_documents=161` but no event list; (b) the first 40
issuers in `PHASE2_IS</t>
        </is>
      </c>
    </row>
    <row r="5">
      <c r="A5" t="inlineStr">
        <is>
          <t>SURVIVING: 4. Item C: section ablation token ratio</t>
        </is>
      </c>
      <c r="B5" t="inlineStr">
        <is>
          <t>**Statistic**: press release at ~13k tokens achieves 62.5% accuracy
(35/56 graded, HOLD-excluded, on its own graded set, N=200) vs full
bundle at ~30k tokens at 65.7% (46/70 graded). Cost per correct call:
$0.029 (PR) vs $0.046 (full). On the four-arm subset (N=119, all arms
scored), per-arm accuracy is 64.9% (PR, 24/37) vs 68.1% (full, 32/47),
cost $0.0225 vs $0.0358. Full bundle wins 6.8pp on the inclusive paired
test (p=0.055, n=66 four-arm events), driven by 17 events the PR passes
on. Prepared remarks agrees with full bundle on 85.7% of signals at ~10k
tokens. Source: `section_ablation_cost_per_correct.csv` (per-arm
accuracy and cost), `section_ablation_paired_diffs.csv` (paired test),
`section_ablation_results.csv` (per-call tokens and costs).
**Threshold-dependent?** The accuracy figures are threshold-dependent
(same qualification as #2, including the Item E walk-forward outcome:
threshold refitting degenerates at this N). The token ratio and cost per
correct call are not — they are properties of the documents, not the
grading convention.
**Why corrections did not touch it**: Item C was scored and graded on the
corrected returns_matrix. The model version (deepseek-v4-flash) matches
the deployed runs.</t>
        </is>
      </c>
    </row>
    <row r="6">
      <c r="A6" t="inlineStr">
        <is>
          <t>SURVIVING: 5. Kappa near-independence (human vs model)</t>
        </is>
      </c>
      <c r="B6" t="inlineStr">
        <is>
          <t>**Statistic**: Cohen's kappa = 0.109, 90% CI [0.030, 0.190], N=171
paired events. Recomputed 2026-08-13 on the N=233 clean universe
(section=All, first_rater_for_event=YES, in_llm_universe=YES; LLM
decision from `blend_predicted_signal_default`). The human and LLM arms
are close to independent — their directional calls share barely more
structure than two independent classifiers with their marginals (human
BUY 56.1%, LLM BUY 24.6%). Observed agreement 38.0%, expected 30.4%.
**Backing**: `kappa_near_independence.csv` (3x3 confusion matrix, both
arms' marginals, observed/expected agreement, kappa, bootstrap CI, subset
definition).
**Prior values**: 0.107 (CI [0.027, 0.188]) reported in
`retracted_findings_2026-08-12.md` — close but console-only, no backing
CSV. 0.113 (CI [0.036, 0.191]) in `worksheet_leak_triage.md` — different
computation on a different N. Both superseded by the CSV-backed 0.109.
**Threshold-dependent?** No. Kappa compares the BUY/HOLD/SELL calls
directly, not graded outcomes.</t>
        </is>
      </c>
    </row>
    <row r="7">
      <c r="A7" t="inlineStr">
        <is>
          <t>SURVIVING: 6. Direction-only comparison (human vs model)</t>
        </is>
      </c>
      <c r="B7" t="inlineStr">
        <is>
          <t>**Statistic**: on 76 events where both arms committed, human 57.9%
(44/76) vs LLM 60.5% (46/76), diff +2.6pp, p=0.754. Neither detectably
better. Source: `human_vs_llm_statistics.csv` (all statistics),
`human_vs_llm_corrected.md` (prose). Computing script:
`experiments/human_vs_llm_backing.py`.
**Against the majority-direction floor**: always-DOWN = 55.3% (42/76).
Human +2.6pp (p=0.366), LLM +5.3pp (p=0.210). **Neither arm beats the
majority-direction floor by a testable margin.** The null stands.
**Threshold-dependent?** No. Uses sign accuracy, no band.</t>
        </is>
      </c>
    </row>
    <row r="8">
      <c r="A8" t="inlineStr">
        <is>
          <t>SURVIVING: 7. SELL-versus-BUY asymmetry (a finding in its own right)</t>
        </is>
      </c>
      <c r="B8" t="inlineStr">
        <is>
          <t>Source: `human_vs_llm_direction_decomposition.csv` (per-direction table),
`human_vs_llm_statistics.csv` (all statistics).
Computing script: `experiments/human_vs_llm_backing.py`.
P-values are one-sided binomial tests (alternative=greater).
Both arms show skill on SELL calls and neither shows skill on BUY calls:
| Arm | Call | Accuracy | N | vs 50% (p) | vs overall base rate (p) |
|---|---|---|---|---|---|
| Human | BUY | 50.9% (27/53) | 53 | +0.9pp (0.500) | +7.5pp vs 43.4% (0.167) |
| Human | SELL | **73.9%** (17/23) | **23** | **+23.9pp (0.017)** | +17.3pp vs 56.6% (0.069) |
| LLM | BUY | 55.6% (20/36) | 36 | +5.6pp (0.309) | +12.1pp vs 43.4% (0.097) |
| LLM | SELL | **65.0%** (26/40) | **40** | **+15.0pp (0.040)** | +8.4pp vs 56.6% (0.181) |
Reading earnings documents supports identifying trouble more reliably than
confirming strength. Both arms clear 50% on SELL calls (human p=0.017,
LLM p=0.040) and neither reliably clears 50% on BUY calls (human p=0.500,
LLM p=0.309).
Against the overall base rate (56.6% negative) rather than 50%, the SELL
margins fall to p=0.069 (human) and p=0.181 (LLM). The defensible
statement is that both arms clear chance on SELL calls and neither
reliably clears the base rate in either direction.
**Caveat on N**: the human SELL cell is 23 events and cannot carry much
weight; the LLM SELL cell at 40 is more credible. The human BUY cell
(53 events) has the most power but shows no signal.
**Connection to earlier observations**: the model was noted to have
"downside blindness" while the human arm is "directionally optimistic"
(56.1% BUY calls). This asymmetry is now measured: the human arm's value
concentrates in its minority SELL calls (73.9%, N=23), not its majority
BUY calls (50.9%, N=53). The LLM distributes skill more evenly but
achieves it on SELL rather than BUY.
**Threshold-dependent?** No. Uses sign accuracy, no band.</t>
        </is>
      </c>
    </row>
    <row r="9">
      <c r="A9" t="inlineStr">
        <is>
          <t>SURVIVING: 8. Supplementary re-score of 25 contaminated events</t>
        </is>
      </c>
      <c r="B9" t="inlineStr">
        <is>
          <t>**Statistic**: 12/25 (48%) changed their directional call once the
worksheet was removed. Re-scored accuracy 66.7% (12/18 graded) resembles
the clean set (65.3%), corroborating the exclusion.
**Threshold-dependent?** Yes (grading uses the HOLD threshold). Same
walk-forward qualification as finding #2.</t>
        </is>
      </c>
    </row>
    <row r="10">
      <c r="A10" t="inlineStr">
        <is>
          <t>SURVIVING: 9. Dev/eval split (subset stability, not a result)</t>
        </is>
      </c>
      <c r="B10" t="inlineStr">
        <is>
          <t>**Statistic**: eval accuracy 68.0% (51/75) clears its always-DOWN floor
of 54.6% by +13.4pp (p=0.013, MDE=±14.4pp). Dev accuracy 55.0% (11/20)
does not clear its own floor of 53.6% (+1.4pp, MDE=±27.8pp — underpowered
to detect any plausible effect). The finding is that the model clears the
floor on later events and cannot be shown to do so on earlier ones, not a
clean comparison between two halves. Split rule: sort 233 clean events by
release_date (`returns_matrix.csv`), earliest 20% (47 events) = dev,
remaining 80% (186 events) = eval. Source: `frontier_table.csv` (eval
graded N=119, of which 75 traded+graded).
**Not a result**: the dev-eval difference is not significant.
**Not out-of-sample**: the dev/eval split was applied post hoc to data
the deployed thresholds were already fitted on. The eval split's 68.0%
is an in-sample figure computed on a subset of the same events the
threshold sweep saw. It shows subset stability (the fitted thresholds
are not concentrated on early events), not generalisation. Finding #3
(33/52 = 63.5%, p=0.063) tests cross-issuer transfer, not temporal
generalisation — both this dev/eval split and finding #3 are suggestive
but neither provides a clean temporal OOS test (the walk-forward
degenerates at this N).</t>
        </is>
      </c>
    </row>
    <row r="11">
      <c r="A11" t="inlineStr">
        <is>
          <t>SURVIVING: What did not survive</t>
        </is>
      </c>
      <c r="B11" t="inlineStr">
        <is>
          <t>1. 72.7% band capture → 42.4% (anchor artefact)
2. 61% sign-correct p=0.064 → 56% p=0.480 (anchor artefact)
3. PM 70.8% vs AH 65.1% accuracy divergence → vanished (anchor artefact)
4. +17.3pp agreement filter → -0.3pp (anchor artefact)
5. ~39% baseline → 54.7% majority-direction (comparator error)
6. "Zero per-direction margin" → tautological (not a finding)</t>
        </is>
      </c>
    </row>
    <row r="12">
      <c r="A12" t="inlineStr">
        <is>
          <t>SURVIVING: The threshold qualification, stated once</t>
        </is>
      </c>
      <c r="B12" t="inlineStr">
        <is>
          <t>The deployed HOLD thresholds were selected by optimising compounded total
return — a metric the study no longer reports — on the full dataset the
study then scores. PSR=0.0, permutation p=0.150. The thresholds are not
pre-registered. The 95-event graded denominator is itself a product of
in-sample threshold selection.
**Every figure that depends on the HOLD threshold** (selectivity accuracy,
mean net per trade, the graded N, Item C per-arm accuracy) carries this
qualification.
**Item E outcome — two-objective degeneracy (structural, not
objective-specific)**:
Walk-forward threshold refitting degenerates at N=233. Two refit
objectives were tried:
1. **Mean net per trade** (the study's headline P&amp;L metric,
   order-independent): selects extreme thresholds (+0.45/-0.50)
   producing 5–7 training trades and zero OOS trades in 3 of 4
   windows.
2. **Directional accuracy** (with a 15% minimum trade fraction
   constraint): degenerates in 2 of 4 windows despite the trade-count
   floor.
Both objectives degenerate. The threshold selection procedure behind the
deployed 65.3% cannot be executed honestly at this sample size. This
means any threshold-dependent figure in this study — selectivity
accuracy, mean net per trade, graded N, Item C per-arm accuracy — rests
on a selection step that does not survive honest replication.
The deployed thresholds' performance on 101 genuinely unseen events
(29 issuers scored after the N=161 sweep, reconstructed cross-issuer
generalisation subset — see finding #3) is 33/52 = 63.5% (p=0.063 vs floor). Directionally
consistent but not significant at 0.05.
**Rho (finding #1) does not depend on the threshold** and is the only
headline that is clean of this qualification. That rho = 0.236 at
p = 0.0003 is why it, not the selectivity accuracy, is the study's
primary result.</t>
        </is>
      </c>
    </row>
    <row r="14">
      <c r="A14" t="inlineStr">
        <is>
          <t>RETRACTED FINDINGS</t>
        </is>
      </c>
      <c r="B14" t="inlineStr"/>
    </row>
    <row r="15">
      <c r="A15" t="inlineStr">
        <is>
          <t>RETRACTED: 1. "72.7% of pre_market events fall inside the ±2% band"</t>
        </is>
      </c>
      <c r="B15" t="inlineStr">
        <is>
          <t>**What was claimed**: 72.7% of pre_market events (96/132) had overnight
returns inside the ±2% HOLD band, against 26.8% (26/97) for after_hours.
This was presented as a 3× structural asymmetry in what the study could
measure, driven by the overnight gap capturing less of the earnings reaction
for BMO reporters.
**Corrected figure**: 42.4% (56/132) for pre_market, 29.9% (29/97) for
after_hours. The asymmetry is real but roughly 1.4×, not 3×.
**Why the artefact arose**: For 82 pre_market events where release_date =
report_date, the old convention used report_date close as entry — which was
already post-announcement for a BMO reporter. The overnight gap from that
close to the next morning's open was residual drift, not the earnings
reaction. The corrected anchor shifts entry to the prior session's close, so
the gap now spans the actual pre-market release and captures most of the
reaction. This moved ~40 events from inside the band to outside it.</t>
        </is>
      </c>
    </row>
    <row r="16">
      <c r="A16" t="inlineStr">
        <is>
          <t>RETRACTED: 2. "61% of ungraded trades were directionally correct (p=0.064)"</t>
        </is>
      </c>
      <c r="B16" t="inlineStr">
        <is>
          <t>**What was claimed**: 46 of 75 ungraded trades (events where the model traded
but the overnight return fell inside ±2%) had their directional sign match the
model's call. This was presented as a measured cost of the pre-registered HOLD
band — the band was discarding events where the model had real signal.
**Corrected figure**: 28 of 50 ungraded trades = 56.0%, p=0.480 (not
significant).
**Why the artefact arose**: The 25 events that moved from "flat traded"
(ungraded) to "graded" were disproportionately the ones with correct signs
and larger magnitudes — they sat just below the ±2% boundary under the old
entry and moved above it under the corrected entry. Removing them from the
ungraded pool dropped the rate from 61% to 56% and eliminated the
significance. The band is not discarding signal; the old entry was compressing
returns below the band.</t>
        </is>
      </c>
    </row>
    <row r="17">
      <c r="A17" t="inlineStr">
        <is>
          <t>RETRACTED: 3. Accuracy-versus-P&amp;L divergence</t>
        </is>
      </c>
      <c r="B17" t="inlineStr">
        <is>
          <t>**What was claimed in earlier project notes**: accuracy and P&amp;L point in
opposite directions because the HOLD metric rewards hedging while P&amp;L rewards
exposure, with pre_market showing higher accuracy (70.8%) and lower mean net
(+0.723%) than after_hours (65.1%, +2.749%).
**Corrected figures**: pre_market accuracy 64.6% vs after_hours 65.9% — nearly
identical. Mean net +1.149% vs +2.817%. The accuracy divergence has vanished.
Pooled: accuracy 65.2% (60/92), mean net +1.877% — both positive, no
directional divergence.
The earlier divergence was an anchor artefact: the old entry inflated
pre_market accuracy by restricting the graded sample to the 24 most extreme
reactions (70.8% on an easy subset) while deflating mean net by including 56
near-zero flat trades. The corrected anchor doubles the pre_market graded
sample to 48 events, diluting the inflated accuracy and increasing mean net.</t>
        </is>
      </c>
    </row>
    <row r="18">
      <c r="A18" t="inlineStr">
        <is>
          <t>RETRACTED: 4. Agreement filter (+17.3pp, p=0.029) — the most consequential retraction</t>
        </is>
      </c>
      <c r="B18" t="inlineStr">
        <is>
          <t xml:space="preserve">### The original claim (never reproducible)
The project's documented headline was that LLM accuracy is 0.561 where both
the human and LLM arms agree, against 0.429 where they disagree. This figure
appears only as prose in `Model_Arm_Implementation_Spec.md` ("Agreement-
conditional accuracy, 0.561 on the 57 events where both arms agree, against
0.429 where they disagree. Already computed."). No script, output file, or
intermediate artefact in this repository produces these numbers. They cannot
be regenerated and should not be presented.
### The interim measured version (stale anchor)
A replacement was computed on the `report_date` anchor: agree 32.7% (18/55)
vs disagree 15.4% (8/52), difference +17.3pp, bootstrap p=0.029. This was
presented as the authoritative figure. It was computed on the stale anchor.
### The corrected figure
On the `release_date` anchor: agree 69.0% (20/29) vs disagree 69.2% (18/26),
difference -0.3pp, p=0.959. **The agreement filter vanishes entirely.**
### </t>
        </is>
      </c>
    </row>
    <row r="19">
      <c r="A19" t="inlineStr">
        <is>
          <t>RETRACTED: 5. Baseline of ~39% (always-BUY on all events including HOLDs)</t>
        </is>
      </c>
      <c r="B19" t="inlineStr">
        <is>
          <t>**What was claimed**: accuracy of 65.3% "against a majority-class baseline of
about 39%", implying a +26pp margin.
**Corrected figure**: the correct naive floor is always-predict-DOWN on graded
events = 54.7% (52/95). The margin is +10.5pp (p=0.024), barely significant
(MDE=±10.8pp at N=95).
**Why the error arose**: the ~39% was always-BUY computed on all events
including HOLDs — the wrong denominator for an accuracy computed with FLAT
events excluded. This is not a stale-anchor artefact but a comparator error
present from the start. The naive floor must be computed on the same
denominator as the accuracy it is compared against.
See `baseline_correction_2026-08-13.md` for the full analysis.</t>
        </is>
      </c>
    </row>
    <row r="20">
      <c r="A20" t="inlineStr">
        <is>
          <t>RETRACTED: Lesson: one convention error plus one comparator error, five retracted findings</t>
        </is>
      </c>
      <c r="B20" t="inlineStr">
        <is>
          <t>All four artefacts trace to one cause: using `report_date` close uniformly
as entry, which was wrong for 82 pre_market events. The corrected anchor
(`release_date` from EDGAR 8-K Item 2.02) resolves the entry to the correct
session.
| Finding | Stale | Corrected | Mechanism |
|---|---|---|---|
| Band capture | 72.7% PM inside | 42.4% | Wrong entry compressed returns below band |
| Sign-correct | 61% p=0.064 | 56% p=0.480 | Best sign-correct events moved to graded |
| Accuracy divergence | PM 70.8% vs AH 65.1% | 64.6% vs 65.9% | Inflated by extreme-only grading |
| Agreement filter | +17.3pp p=0.029 | -0.3pp p=0.959 | Both groups lifted equally |
The methodological lesson: verify entry anchors against documented filing
dates, not price behaviour. The JPM_FQ1_2025 case (tariff-pause rally on
2025-04-09 masking the actual 2025-04-11 release) is the clearest
demonstration — see `jpm_fq1_2025_worked_example.md`.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G3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2">
      <c r="A2" s="164" t="inlineStr">
        <is>
          <t>(a) Model call vs realised outcome — N=233 clean events, pre-registered ±2% overnight band</t>
        </is>
      </c>
    </row>
    <row r="4">
      <c r="A4" s="164" t="inlineStr"/>
      <c r="B4" t="inlineStr">
        <is>
          <t>Outcome UP (ret&gt;2%)</t>
        </is>
      </c>
      <c r="C4" t="inlineStr">
        <is>
          <t>Outcome FLAT (|ret|≤2%)</t>
        </is>
      </c>
      <c r="D4" t="inlineStr">
        <is>
          <t>Outcome DOWN (ret&lt;-2%)</t>
        </is>
      </c>
      <c r="E4" t="inlineStr">
        <is>
          <t>Row total</t>
        </is>
      </c>
      <c r="F4" t="inlineStr">
        <is>
          <t>Precision (correct/called_dir)</t>
        </is>
      </c>
      <c r="G4" t="inlineStr">
        <is>
          <t>Recall (correct/realised_dir)</t>
        </is>
      </c>
    </row>
    <row r="5">
      <c r="A5" t="inlineStr">
        <is>
          <t>Call BUY</t>
        </is>
      </c>
      <c r="B5" t="n">
        <v>30</v>
      </c>
      <c r="C5" t="n">
        <v>22</v>
      </c>
      <c r="D5" t="n">
        <v>20</v>
      </c>
      <c r="E5" t="n">
        <v>72</v>
      </c>
      <c r="F5" t="inlineStr">
        <is>
          <t>30/72</t>
        </is>
      </c>
      <c r="G5" t="inlineStr"/>
    </row>
    <row r="6">
      <c r="A6" t="inlineStr">
        <is>
          <t>Call HOLD</t>
        </is>
      </c>
      <c r="B6" t="n">
        <v>24</v>
      </c>
      <c r="C6" t="n">
        <v>35</v>
      </c>
      <c r="D6" t="n">
        <v>28</v>
      </c>
      <c r="E6" t="n">
        <v>87</v>
      </c>
      <c r="F6" t="inlineStr">
        <is>
          <t>35/87</t>
        </is>
      </c>
      <c r="G6" t="inlineStr"/>
    </row>
    <row r="7">
      <c r="A7" t="inlineStr">
        <is>
          <t>Call SELL</t>
        </is>
      </c>
      <c r="B7" t="n">
        <v>13</v>
      </c>
      <c r="C7" t="n">
        <v>29</v>
      </c>
      <c r="D7" t="n">
        <v>32</v>
      </c>
      <c r="E7" t="n">
        <v>74</v>
      </c>
      <c r="F7" t="inlineStr">
        <is>
          <t>32/74</t>
        </is>
      </c>
      <c r="G7" t="inlineStr"/>
    </row>
    <row r="8">
      <c r="A8" t="inlineStr">
        <is>
          <t>Col total</t>
        </is>
      </c>
      <c r="B8" t="n">
        <v>67</v>
      </c>
      <c r="C8" t="n">
        <v>86</v>
      </c>
      <c r="D8" t="n">
        <v>80</v>
      </c>
      <c r="E8" t="n">
        <v>233</v>
      </c>
      <c r="F8" t="inlineStr"/>
      <c r="G8" t="inlineStr"/>
    </row>
    <row r="9">
      <c r="A9" t="inlineStr">
        <is>
          <t>Recall (correct/total_in_direction)</t>
        </is>
      </c>
      <c r="B9" t="inlineStr">
        <is>
          <t>30/67</t>
        </is>
      </c>
      <c r="C9" t="inlineStr">
        <is>
          <t>35/86</t>
        </is>
      </c>
      <c r="D9" t="inlineStr">
        <is>
          <t>32/80</t>
        </is>
      </c>
      <c r="E9" t="inlineStr"/>
      <c r="F9" t="inlineStr"/>
      <c r="G9" t="inlineStr"/>
    </row>
    <row r="10">
      <c r="A10" t="inlineStr">
        <is>
          <t>Note: BUY-called-DOWN and SELL-called-UP are the costly directional errors. HOLD row against UP and DOWN is the coverage gap (52 events that moved but were passed on).</t>
        </is>
      </c>
      <c r="B10" t="inlineStr"/>
      <c r="C10" t="inlineStr"/>
      <c r="D10" t="inlineStr"/>
      <c r="E10" t="inlineStr"/>
      <c r="F10" t="inlineStr"/>
      <c r="G10" t="inlineStr"/>
    </row>
    <row r="12">
      <c r="A12" s="164" t="inlineStr">
        <is>
          <t>(b) Human arm vs realised outcome — N=171 paired events (section=All, first_rater=YES, in_llm=YES, exclusions applied)</t>
        </is>
      </c>
    </row>
    <row r="14">
      <c r="A14" s="164" t="inlineStr"/>
      <c r="B14" t="inlineStr">
        <is>
          <t>Outcome UP (ret&gt;2%)</t>
        </is>
      </c>
      <c r="C14" t="inlineStr">
        <is>
          <t>Outcome FLAT (|ret|≤2%)</t>
        </is>
      </c>
      <c r="D14" t="inlineStr">
        <is>
          <t>Outcome DOWN (ret&lt;-2%)</t>
        </is>
      </c>
      <c r="E14" t="inlineStr">
        <is>
          <t>Row total</t>
        </is>
      </c>
    </row>
    <row r="15">
      <c r="A15" t="inlineStr">
        <is>
          <t>Call BUY</t>
        </is>
      </c>
      <c r="B15" t="n">
        <v>28</v>
      </c>
      <c r="C15" t="n">
        <v>40</v>
      </c>
      <c r="D15" t="n">
        <v>28</v>
      </c>
      <c r="E15" t="n">
        <v>96</v>
      </c>
    </row>
    <row r="16">
      <c r="A16" t="inlineStr">
        <is>
          <t>Call HOLD</t>
        </is>
      </c>
      <c r="B16" t="n">
        <v>5</v>
      </c>
      <c r="C16" t="n">
        <v>20</v>
      </c>
      <c r="D16" t="n">
        <v>15</v>
      </c>
      <c r="E16" t="n">
        <v>40</v>
      </c>
    </row>
    <row r="17">
      <c r="A17" t="inlineStr">
        <is>
          <t>Call SELL</t>
        </is>
      </c>
      <c r="B17" t="n">
        <v>6</v>
      </c>
      <c r="C17" t="n">
        <v>12</v>
      </c>
      <c r="D17" t="n">
        <v>17</v>
      </c>
      <c r="E17" t="n">
        <v>35</v>
      </c>
    </row>
    <row r="18">
      <c r="A18" t="inlineStr">
        <is>
          <t>Col total</t>
        </is>
      </c>
      <c r="B18" t="n">
        <v>39</v>
      </c>
      <c r="C18" t="n">
        <v>72</v>
      </c>
      <c r="D18" t="n">
        <v>60</v>
      </c>
      <c r="E18" t="n">
        <v>171</v>
      </c>
    </row>
    <row r="19">
      <c r="A19" t="inlineStr">
        <is>
          <t>Source: human_decisions_export_2026-08-12.csv + returns_matrix.csv</t>
        </is>
      </c>
      <c r="B19" t="inlineStr"/>
      <c r="C19" t="inlineStr"/>
      <c r="D19" t="inlineStr"/>
      <c r="E19" t="inlineStr"/>
    </row>
    <row r="21">
      <c r="A21" s="164" t="inlineStr">
        <is>
          <t>(c) Human vs model agreement — N=171 paired events. Source: kappa_near_independence.csv</t>
        </is>
      </c>
    </row>
    <row r="23">
      <c r="A23" s="164" t="inlineStr">
        <is>
          <t>Human call \ LLM call</t>
        </is>
      </c>
      <c r="B23" t="inlineStr">
        <is>
          <t>LLM BUY</t>
        </is>
      </c>
      <c r="C23" t="inlineStr">
        <is>
          <t>LLM HOLD</t>
        </is>
      </c>
      <c r="D23" t="inlineStr">
        <is>
          <t>LLM SELL</t>
        </is>
      </c>
      <c r="E23" t="inlineStr">
        <is>
          <t>Row total</t>
        </is>
      </c>
    </row>
    <row r="24">
      <c r="A24" t="inlineStr">
        <is>
          <t>Human BUY</t>
        </is>
      </c>
      <c r="B24" t="inlineStr"/>
      <c r="C24" t="inlineStr"/>
      <c r="D24" t="inlineStr"/>
      <c r="E24" t="inlineStr"/>
    </row>
    <row r="25">
      <c r="A25" t="inlineStr">
        <is>
          <t>Human HOLD</t>
        </is>
      </c>
      <c r="B25" t="inlineStr"/>
      <c r="C25" t="inlineStr"/>
      <c r="D25" t="inlineStr"/>
      <c r="E25" t="inlineStr"/>
    </row>
    <row r="26">
      <c r="A26" t="inlineStr">
        <is>
          <t>Human SELL</t>
        </is>
      </c>
      <c r="B26" t="inlineStr"/>
      <c r="C26" t="inlineStr"/>
      <c r="D26" t="inlineStr"/>
      <c r="E26" t="inlineStr"/>
    </row>
    <row r="28">
      <c r="A28" t="inlineStr">
        <is>
          <t>Kappa</t>
        </is>
      </c>
      <c r="B28" t="inlineStr">
        <is>
          <t>0.1092</t>
        </is>
      </c>
    </row>
    <row r="29">
      <c r="A29" t="inlineStr">
        <is>
          <t>90% CI</t>
        </is>
      </c>
      <c r="B29" t="inlineStr">
        <is>
          <t>[0.030, 0.190]</t>
        </is>
      </c>
    </row>
    <row r="30">
      <c r="A30" t="inlineStr">
        <is>
          <t>Observed agreement</t>
        </is>
      </c>
      <c r="B30" t="inlineStr">
        <is>
          <t>0.3801</t>
        </is>
      </c>
    </row>
    <row r="31">
      <c r="A31" t="inlineStr">
        <is>
          <t>Expected agreement</t>
        </is>
      </c>
      <c r="B31" t="inlineStr">
        <is>
          <t>0.3041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69"/>
  <sheetViews>
    <sheetView workbookViewId="0">
      <pane ySplit="1" topLeftCell="A2" activePane="bottomLeft" state="frozen"/>
      <selection pane="bottomLeft" activeCell="A1" sqref="A1"/>
    </sheetView>
  </sheetViews>
  <sheetFormatPr baseColWidth="8" defaultRowHeight="15"/>
  <cols>
    <col width="17" customWidth="1" min="1" max="1"/>
    <col width="8" customWidth="1" min="2" max="2"/>
    <col width="14" customWidth="1" min="3" max="3"/>
    <col width="12" customWidth="1" min="4" max="4"/>
    <col width="13" customWidth="1" min="5" max="5"/>
    <col width="15" customWidth="1" min="6" max="6"/>
    <col width="43" customWidth="1" min="7" max="7"/>
    <col width="17" customWidth="1" min="8" max="8"/>
    <col width="7" customWidth="1" min="9" max="9"/>
  </cols>
  <sheetData>
    <row r="1">
      <c r="A1" s="164" t="inlineStr">
        <is>
          <t>document_id</t>
        </is>
      </c>
      <c r="B1" s="164" t="inlineStr">
        <is>
          <t>ticker</t>
        </is>
      </c>
      <c r="C1" s="164" t="inlineStr">
        <is>
          <t>release_date</t>
        </is>
      </c>
      <c r="D1" s="164" t="inlineStr">
        <is>
          <t>entry_date</t>
        </is>
      </c>
      <c r="E1" s="164" t="inlineStr">
        <is>
          <t>timing</t>
        </is>
      </c>
      <c r="F1" s="164" t="inlineStr">
        <is>
          <t>entry_shifted</t>
        </is>
      </c>
      <c r="G1" s="164" t="inlineStr">
        <is>
          <t>verification_method</t>
        </is>
      </c>
      <c r="H1" s="164" t="inlineStr">
        <is>
          <t>timing_excluded</t>
        </is>
      </c>
      <c r="I1" s="164" t="inlineStr">
        <is>
          <t>notes</t>
        </is>
      </c>
    </row>
    <row r="2">
      <c r="A2" t="inlineStr">
        <is>
          <t>AAPL_FQ1_2026</t>
        </is>
      </c>
      <c r="B2" t="inlineStr">
        <is>
          <t>AAPL</t>
        </is>
      </c>
      <c r="C2" t="inlineStr">
        <is>
          <t>2026-01-29</t>
        </is>
      </c>
      <c r="D2" t="inlineStr">
        <is>
          <t>2026-01-29</t>
        </is>
      </c>
      <c r="E2" t="inlineStr">
        <is>
          <t>after_hours</t>
        </is>
      </c>
      <c r="F2" t="inlineStr">
        <is>
          <t>NO</t>
        </is>
      </c>
      <c r="G2" t="inlineStr">
        <is>
          <t>returns_matrix.csv (corrected 2026-08-12)</t>
        </is>
      </c>
      <c r="H2" t="inlineStr">
        <is>
          <t>NO</t>
        </is>
      </c>
      <c r="I2" t="inlineStr"/>
    </row>
    <row r="3">
      <c r="A3" t="inlineStr">
        <is>
          <t>AAPL_FQ3_2025</t>
        </is>
      </c>
      <c r="B3" t="inlineStr">
        <is>
          <t>AAPL</t>
        </is>
      </c>
      <c r="C3" t="inlineStr">
        <is>
          <t>2025-07-31</t>
        </is>
      </c>
      <c r="D3" t="inlineStr">
        <is>
          <t>2025-07-31</t>
        </is>
      </c>
      <c r="E3" t="inlineStr">
        <is>
          <t>after_hours</t>
        </is>
      </c>
      <c r="F3" t="inlineStr">
        <is>
          <t>NO</t>
        </is>
      </c>
      <c r="G3" t="inlineStr">
        <is>
          <t>returns_matrix.csv (corrected 2026-08-12)</t>
        </is>
      </c>
      <c r="H3" t="inlineStr">
        <is>
          <t>NO</t>
        </is>
      </c>
      <c r="I3" t="inlineStr"/>
    </row>
    <row r="4">
      <c r="A4" t="inlineStr">
        <is>
          <t>AAPL_FQ4_2025</t>
        </is>
      </c>
      <c r="B4" t="inlineStr">
        <is>
          <t>AAPL</t>
        </is>
      </c>
      <c r="C4" t="inlineStr">
        <is>
          <t>2025-10-30</t>
        </is>
      </c>
      <c r="D4" t="inlineStr">
        <is>
          <t>2025-10-30</t>
        </is>
      </c>
      <c r="E4" t="inlineStr">
        <is>
          <t>after_hours</t>
        </is>
      </c>
      <c r="F4" t="inlineStr">
        <is>
          <t>NO</t>
        </is>
      </c>
      <c r="G4" t="inlineStr">
        <is>
          <t>returns_matrix.csv (corrected 2026-08-12)</t>
        </is>
      </c>
      <c r="H4" t="inlineStr">
        <is>
          <t>NO</t>
        </is>
      </c>
      <c r="I4" t="inlineStr"/>
    </row>
    <row r="5">
      <c r="A5" t="inlineStr">
        <is>
          <t>ABNB_FQ1_2026</t>
        </is>
      </c>
      <c r="B5" t="inlineStr">
        <is>
          <t>ABNB</t>
        </is>
      </c>
      <c r="C5" t="inlineStr">
        <is>
          <t>2026-05-07</t>
        </is>
      </c>
      <c r="D5" t="inlineStr">
        <is>
          <t>2026-05-07</t>
        </is>
      </c>
      <c r="E5" t="inlineStr">
        <is>
          <t>after_hours</t>
        </is>
      </c>
      <c r="F5" t="inlineStr">
        <is>
          <t>NO</t>
        </is>
      </c>
      <c r="G5" t="inlineStr">
        <is>
          <t>returns_matrix.csv (corrected 2026-08-12)</t>
        </is>
      </c>
      <c r="H5" t="inlineStr">
        <is>
          <t>NO</t>
        </is>
      </c>
      <c r="I5" t="inlineStr"/>
    </row>
    <row r="6">
      <c r="A6" t="inlineStr">
        <is>
          <t>ABNB_FQ2_2025</t>
        </is>
      </c>
      <c r="B6" t="inlineStr">
        <is>
          <t>ABNB</t>
        </is>
      </c>
      <c r="C6" t="inlineStr">
        <is>
          <t>2025-08-06</t>
        </is>
      </c>
      <c r="D6" t="inlineStr">
        <is>
          <t>2025-08-06</t>
        </is>
      </c>
      <c r="E6" t="inlineStr">
        <is>
          <t>after_hours</t>
        </is>
      </c>
      <c r="F6" t="inlineStr">
        <is>
          <t>NO</t>
        </is>
      </c>
      <c r="G6" t="inlineStr">
        <is>
          <t>returns_matrix.csv (corrected 2026-08-12)</t>
        </is>
      </c>
      <c r="H6" t="inlineStr">
        <is>
          <t>NO</t>
        </is>
      </c>
      <c r="I6" t="inlineStr"/>
    </row>
    <row r="7">
      <c r="A7" t="inlineStr">
        <is>
          <t>ABNB_FQ3_2025</t>
        </is>
      </c>
      <c r="B7" t="inlineStr">
        <is>
          <t>ABNB</t>
        </is>
      </c>
      <c r="C7" t="inlineStr">
        <is>
          <t>2025-11-06</t>
        </is>
      </c>
      <c r="D7" t="inlineStr">
        <is>
          <t>2025-11-06</t>
        </is>
      </c>
      <c r="E7" t="inlineStr">
        <is>
          <t>after_hours</t>
        </is>
      </c>
      <c r="F7" t="inlineStr">
        <is>
          <t>NO</t>
        </is>
      </c>
      <c r="G7" t="inlineStr">
        <is>
          <t>returns_matrix.csv (corrected 2026-08-12)</t>
        </is>
      </c>
      <c r="H7" t="inlineStr">
        <is>
          <t>NO</t>
        </is>
      </c>
      <c r="I7" t="inlineStr"/>
    </row>
    <row r="8">
      <c r="A8" t="inlineStr">
        <is>
          <t>ABNB_FQ4_2025</t>
        </is>
      </c>
      <c r="B8" t="inlineStr">
        <is>
          <t>ABNB</t>
        </is>
      </c>
      <c r="C8" t="inlineStr">
        <is>
          <t>2026-02-12</t>
        </is>
      </c>
      <c r="D8" t="inlineStr">
        <is>
          <t>2026-02-12</t>
        </is>
      </c>
      <c r="E8" t="inlineStr">
        <is>
          <t>after_hours</t>
        </is>
      </c>
      <c r="F8" t="inlineStr">
        <is>
          <t>NO</t>
        </is>
      </c>
      <c r="G8" t="inlineStr">
        <is>
          <t>returns_matrix.csv (corrected 2026-08-12)</t>
        </is>
      </c>
      <c r="H8" t="inlineStr">
        <is>
          <t>NO</t>
        </is>
      </c>
      <c r="I8" t="inlineStr"/>
    </row>
    <row r="9">
      <c r="A9" t="inlineStr">
        <is>
          <t>ALV.DE_FQ1_2025</t>
        </is>
      </c>
      <c r="B9" t="inlineStr">
        <is>
          <t>ALV.DE</t>
        </is>
      </c>
      <c r="C9" t="inlineStr">
        <is>
          <t>2025-05-15</t>
        </is>
      </c>
      <c r="D9" t="inlineStr">
        <is>
          <t>2025-05-15</t>
        </is>
      </c>
      <c r="E9" t="inlineStr">
        <is>
          <t>after_hours</t>
        </is>
      </c>
      <c r="F9" t="inlineStr">
        <is>
          <t>NO</t>
        </is>
      </c>
      <c r="G9" t="inlineStr">
        <is>
          <t>returns_matrix.csv (corrected 2026-08-12)</t>
        </is>
      </c>
      <c r="H9" t="inlineStr">
        <is>
          <t>YES</t>
        </is>
      </c>
      <c r="I9" t="inlineStr"/>
    </row>
    <row r="10">
      <c r="A10" t="inlineStr">
        <is>
          <t>AMD_FQ1_2026</t>
        </is>
      </c>
      <c r="B10" t="inlineStr">
        <is>
          <t>AMD</t>
        </is>
      </c>
      <c r="C10" t="inlineStr">
        <is>
          <t>2026-05-05</t>
        </is>
      </c>
      <c r="D10" t="inlineStr">
        <is>
          <t>2026-05-05</t>
        </is>
      </c>
      <c r="E10" t="inlineStr">
        <is>
          <t>after_hours</t>
        </is>
      </c>
      <c r="F10" t="inlineStr">
        <is>
          <t>NO</t>
        </is>
      </c>
      <c r="G10" t="inlineStr">
        <is>
          <t>returns_matrix.csv (corrected 2026-08-12)</t>
        </is>
      </c>
      <c r="H10" t="inlineStr">
        <is>
          <t>NO</t>
        </is>
      </c>
      <c r="I10" t="inlineStr"/>
    </row>
    <row r="11">
      <c r="A11" t="inlineStr">
        <is>
          <t>AMD_FQ2_2025</t>
        </is>
      </c>
      <c r="B11" t="inlineStr">
        <is>
          <t>AMD</t>
        </is>
      </c>
      <c r="C11" t="inlineStr">
        <is>
          <t>2025-08-05</t>
        </is>
      </c>
      <c r="D11" t="inlineStr">
        <is>
          <t>2025-08-05</t>
        </is>
      </c>
      <c r="E11" t="inlineStr">
        <is>
          <t>after_hours</t>
        </is>
      </c>
      <c r="F11" t="inlineStr">
        <is>
          <t>NO</t>
        </is>
      </c>
      <c r="G11" t="inlineStr">
        <is>
          <t>returns_matrix.csv (corrected 2026-08-12)</t>
        </is>
      </c>
      <c r="H11" t="inlineStr">
        <is>
          <t>NO</t>
        </is>
      </c>
      <c r="I11" t="inlineStr"/>
    </row>
    <row r="12">
      <c r="A12" t="inlineStr">
        <is>
          <t>AMD_FQ4_2025</t>
        </is>
      </c>
      <c r="B12" t="inlineStr">
        <is>
          <t>AMD</t>
        </is>
      </c>
      <c r="C12" t="inlineStr">
        <is>
          <t>2026-02-03</t>
        </is>
      </c>
      <c r="D12" t="inlineStr">
        <is>
          <t>2026-02-03</t>
        </is>
      </c>
      <c r="E12" t="inlineStr">
        <is>
          <t>after_hours</t>
        </is>
      </c>
      <c r="F12" t="inlineStr">
        <is>
          <t>NO</t>
        </is>
      </c>
      <c r="G12" t="inlineStr">
        <is>
          <t>returns_matrix.csv (corrected 2026-08-12)</t>
        </is>
      </c>
      <c r="H12" t="inlineStr">
        <is>
          <t>NO</t>
        </is>
      </c>
      <c r="I12" t="inlineStr"/>
    </row>
    <row r="13">
      <c r="A13" t="inlineStr">
        <is>
          <t>AMKBY_FQ1_2025</t>
        </is>
      </c>
      <c r="B13" t="inlineStr">
        <is>
          <t>AMKBY</t>
        </is>
      </c>
      <c r="C13" t="inlineStr">
        <is>
          <t>2025-05-07</t>
        </is>
      </c>
      <c r="D13" t="inlineStr">
        <is>
          <t>2025-05-07</t>
        </is>
      </c>
      <c r="E13" t="inlineStr">
        <is>
          <t>after_hours</t>
        </is>
      </c>
      <c r="F13" t="inlineStr">
        <is>
          <t>NO</t>
        </is>
      </c>
      <c r="G13" t="inlineStr">
        <is>
          <t>returns_matrix.csv (corrected 2026-08-12)</t>
        </is>
      </c>
      <c r="H13" t="inlineStr">
        <is>
          <t>YES</t>
        </is>
      </c>
      <c r="I13" t="inlineStr"/>
    </row>
    <row r="14">
      <c r="A14" t="inlineStr">
        <is>
          <t>AMKBY_FQ2_2025</t>
        </is>
      </c>
      <c r="B14" t="inlineStr">
        <is>
          <t>AMKBY</t>
        </is>
      </c>
      <c r="C14" t="inlineStr">
        <is>
          <t>2025-08-07</t>
        </is>
      </c>
      <c r="D14" t="inlineStr">
        <is>
          <t>2025-08-07</t>
        </is>
      </c>
      <c r="E14" t="inlineStr">
        <is>
          <t>after_hours</t>
        </is>
      </c>
      <c r="F14" t="inlineStr">
        <is>
          <t>NO</t>
        </is>
      </c>
      <c r="G14" t="inlineStr">
        <is>
          <t>returns_matrix.csv (corrected 2026-08-12)</t>
        </is>
      </c>
      <c r="H14" t="inlineStr">
        <is>
          <t>YES</t>
        </is>
      </c>
      <c r="I14" t="inlineStr"/>
    </row>
    <row r="15">
      <c r="A15" t="inlineStr">
        <is>
          <t>AMKBY_FQ3_2025</t>
        </is>
      </c>
      <c r="B15" t="inlineStr">
        <is>
          <t>AMKBY</t>
        </is>
      </c>
      <c r="C15" t="inlineStr">
        <is>
          <t>2025-11-05</t>
        </is>
      </c>
      <c r="D15" t="inlineStr">
        <is>
          <t>2025-11-05</t>
        </is>
      </c>
      <c r="E15" t="inlineStr">
        <is>
          <t>after_hours</t>
        </is>
      </c>
      <c r="F15" t="inlineStr">
        <is>
          <t>NO</t>
        </is>
      </c>
      <c r="G15" t="inlineStr">
        <is>
          <t>returns_matrix.csv (corrected 2026-08-12)</t>
        </is>
      </c>
      <c r="H15" t="inlineStr">
        <is>
          <t>YES</t>
        </is>
      </c>
      <c r="I15" t="inlineStr"/>
    </row>
    <row r="16">
      <c r="A16" t="inlineStr">
        <is>
          <t>AMKBY_FQ4_2025</t>
        </is>
      </c>
      <c r="B16" t="inlineStr">
        <is>
          <t>AMKBY</t>
        </is>
      </c>
      <c r="C16" t="inlineStr">
        <is>
          <t>2026-02-05</t>
        </is>
      </c>
      <c r="D16" t="inlineStr">
        <is>
          <t>2026-02-05</t>
        </is>
      </c>
      <c r="E16" t="inlineStr">
        <is>
          <t>after_hours</t>
        </is>
      </c>
      <c r="F16" t="inlineStr">
        <is>
          <t>NO</t>
        </is>
      </c>
      <c r="G16" t="inlineStr">
        <is>
          <t>returns_matrix.csv (corrected 2026-08-12)</t>
        </is>
      </c>
      <c r="H16" t="inlineStr">
        <is>
          <t>YES</t>
        </is>
      </c>
      <c r="I16" t="inlineStr"/>
    </row>
    <row r="17">
      <c r="A17" t="inlineStr">
        <is>
          <t>AMZN_FQ1_2026</t>
        </is>
      </c>
      <c r="B17" t="inlineStr">
        <is>
          <t>AMZN</t>
        </is>
      </c>
      <c r="C17" t="inlineStr">
        <is>
          <t>2026-04-29</t>
        </is>
      </c>
      <c r="D17" t="inlineStr">
        <is>
          <t>2026-04-29</t>
        </is>
      </c>
      <c r="E17" t="inlineStr">
        <is>
          <t>after_hours</t>
        </is>
      </c>
      <c r="F17" t="inlineStr">
        <is>
          <t>NO</t>
        </is>
      </c>
      <c r="G17" t="inlineStr">
        <is>
          <t>returns_matrix.csv (corrected 2026-08-12)</t>
        </is>
      </c>
      <c r="H17" t="inlineStr">
        <is>
          <t>NO</t>
        </is>
      </c>
      <c r="I17" t="inlineStr"/>
    </row>
    <row r="18">
      <c r="A18" t="inlineStr">
        <is>
          <t>AMZN_FQ3_2025</t>
        </is>
      </c>
      <c r="B18" t="inlineStr">
        <is>
          <t>AMZN</t>
        </is>
      </c>
      <c r="C18" t="inlineStr">
        <is>
          <t>2025-10-30</t>
        </is>
      </c>
      <c r="D18" t="inlineStr">
        <is>
          <t>2025-10-30</t>
        </is>
      </c>
      <c r="E18" t="inlineStr">
        <is>
          <t>after_hours</t>
        </is>
      </c>
      <c r="F18" t="inlineStr">
        <is>
          <t>NO</t>
        </is>
      </c>
      <c r="G18" t="inlineStr">
        <is>
          <t>returns_matrix.csv (corrected 2026-08-12)</t>
        </is>
      </c>
      <c r="H18" t="inlineStr">
        <is>
          <t>NO</t>
        </is>
      </c>
      <c r="I18" t="inlineStr"/>
    </row>
    <row r="19">
      <c r="A19" t="inlineStr">
        <is>
          <t>AMZN_FQ4_2025</t>
        </is>
      </c>
      <c r="B19" t="inlineStr">
        <is>
          <t>AMZN</t>
        </is>
      </c>
      <c r="C19" t="inlineStr">
        <is>
          <t>2026-02-05</t>
        </is>
      </c>
      <c r="D19" t="inlineStr">
        <is>
          <t>2026-02-05</t>
        </is>
      </c>
      <c r="E19" t="inlineStr">
        <is>
          <t>after_hours</t>
        </is>
      </c>
      <c r="F19" t="inlineStr">
        <is>
          <t>NO</t>
        </is>
      </c>
      <c r="G19" t="inlineStr">
        <is>
          <t>returns_matrix.csv (corrected 2026-08-12)</t>
        </is>
      </c>
      <c r="H19" t="inlineStr">
        <is>
          <t>NO</t>
        </is>
      </c>
      <c r="I19" t="inlineStr"/>
    </row>
    <row r="20">
      <c r="A20" t="inlineStr">
        <is>
          <t>AVGO_FQ1_2026</t>
        </is>
      </c>
      <c r="B20" t="inlineStr">
        <is>
          <t>AVGO</t>
        </is>
      </c>
      <c r="C20" t="inlineStr">
        <is>
          <t>2026-03-04</t>
        </is>
      </c>
      <c r="D20" t="inlineStr">
        <is>
          <t>2026-03-04</t>
        </is>
      </c>
      <c r="E20" t="inlineStr">
        <is>
          <t>after_hours</t>
        </is>
      </c>
      <c r="F20" t="inlineStr">
        <is>
          <t>NO</t>
        </is>
      </c>
      <c r="G20" t="inlineStr">
        <is>
          <t>returns_matrix.csv (corrected 2026-08-12)</t>
        </is>
      </c>
      <c r="H20" t="inlineStr">
        <is>
          <t>NO</t>
        </is>
      </c>
      <c r="I20" t="inlineStr"/>
    </row>
    <row r="21">
      <c r="A21" t="inlineStr">
        <is>
          <t>AVGO_FQ3_2025</t>
        </is>
      </c>
      <c r="B21" t="inlineStr">
        <is>
          <t>AVGO</t>
        </is>
      </c>
      <c r="C21" t="inlineStr">
        <is>
          <t>2025-09-04</t>
        </is>
      </c>
      <c r="D21" t="inlineStr">
        <is>
          <t>2025-09-04</t>
        </is>
      </c>
      <c r="E21" t="inlineStr">
        <is>
          <t>after_hours</t>
        </is>
      </c>
      <c r="F21" t="inlineStr">
        <is>
          <t>NO</t>
        </is>
      </c>
      <c r="G21" t="inlineStr">
        <is>
          <t>returns_matrix.csv (corrected 2026-08-12)</t>
        </is>
      </c>
      <c r="H21" t="inlineStr">
        <is>
          <t>NO</t>
        </is>
      </c>
      <c r="I21" t="inlineStr"/>
    </row>
    <row r="22">
      <c r="A22" t="inlineStr">
        <is>
          <t>AVGO_FQ4_2025</t>
        </is>
      </c>
      <c r="B22" t="inlineStr">
        <is>
          <t>AVGO</t>
        </is>
      </c>
      <c r="C22" t="inlineStr">
        <is>
          <t>2025-12-11</t>
        </is>
      </c>
      <c r="D22" t="inlineStr">
        <is>
          <t>2025-12-11</t>
        </is>
      </c>
      <c r="E22" t="inlineStr">
        <is>
          <t>after_hours</t>
        </is>
      </c>
      <c r="F22" t="inlineStr">
        <is>
          <t>NO</t>
        </is>
      </c>
      <c r="G22" t="inlineStr">
        <is>
          <t>returns_matrix.csv (corrected 2026-08-12)</t>
        </is>
      </c>
      <c r="H22" t="inlineStr">
        <is>
          <t>NO</t>
        </is>
      </c>
      <c r="I22" t="inlineStr"/>
    </row>
    <row r="23">
      <c r="A23" t="inlineStr">
        <is>
          <t>BAC_FQ1_2025</t>
        </is>
      </c>
      <c r="B23" t="inlineStr">
        <is>
          <t>BAC</t>
        </is>
      </c>
      <c r="C23" t="inlineStr">
        <is>
          <t>2025-04-15</t>
        </is>
      </c>
      <c r="D23" t="inlineStr">
        <is>
          <t>2025-04-14</t>
        </is>
      </c>
      <c r="E23" t="inlineStr">
        <is>
          <t>pre_market</t>
        </is>
      </c>
      <c r="F23" t="inlineStr">
        <is>
          <t>YES</t>
        </is>
      </c>
      <c r="G23" t="inlineStr">
        <is>
          <t>returns_matrix.csv (corrected 2026-08-12)</t>
        </is>
      </c>
      <c r="H23" t="inlineStr">
        <is>
          <t>NO</t>
        </is>
      </c>
      <c r="I23" t="inlineStr"/>
    </row>
    <row r="24">
      <c r="A24" t="inlineStr">
        <is>
          <t>BAC_FQ2_2025</t>
        </is>
      </c>
      <c r="B24" t="inlineStr">
        <is>
          <t>BAC</t>
        </is>
      </c>
      <c r="C24" t="inlineStr">
        <is>
          <t>2025-07-16</t>
        </is>
      </c>
      <c r="D24" t="inlineStr">
        <is>
          <t>2025-07-15</t>
        </is>
      </c>
      <c r="E24" t="inlineStr">
        <is>
          <t>pre_market</t>
        </is>
      </c>
      <c r="F24" t="inlineStr">
        <is>
          <t>YES</t>
        </is>
      </c>
      <c r="G24" t="inlineStr">
        <is>
          <t>returns_matrix.csv (corrected 2026-08-12)</t>
        </is>
      </c>
      <c r="H24" t="inlineStr">
        <is>
          <t>NO</t>
        </is>
      </c>
      <c r="I24" t="inlineStr"/>
    </row>
    <row r="25">
      <c r="A25" t="inlineStr">
        <is>
          <t>BAC_FQ3_2025</t>
        </is>
      </c>
      <c r="B25" t="inlineStr">
        <is>
          <t>BAC</t>
        </is>
      </c>
      <c r="C25" t="inlineStr">
        <is>
          <t>2025-10-15</t>
        </is>
      </c>
      <c r="D25" t="inlineStr">
        <is>
          <t>2025-10-14</t>
        </is>
      </c>
      <c r="E25" t="inlineStr">
        <is>
          <t>pre_market</t>
        </is>
      </c>
      <c r="F25" t="inlineStr">
        <is>
          <t>YES</t>
        </is>
      </c>
      <c r="G25" t="inlineStr">
        <is>
          <t>returns_matrix.csv (corrected 2026-08-12)</t>
        </is>
      </c>
      <c r="H25" t="inlineStr">
        <is>
          <t>NO</t>
        </is>
      </c>
      <c r="I25" t="inlineStr"/>
    </row>
    <row r="26">
      <c r="A26" t="inlineStr">
        <is>
          <t>BAC_FQ4_2025</t>
        </is>
      </c>
      <c r="B26" t="inlineStr">
        <is>
          <t>BAC</t>
        </is>
      </c>
      <c r="C26" t="inlineStr">
        <is>
          <t>2026-01-14</t>
        </is>
      </c>
      <c r="D26" t="inlineStr">
        <is>
          <t>2026-01-13</t>
        </is>
      </c>
      <c r="E26" t="inlineStr">
        <is>
          <t>pre_market</t>
        </is>
      </c>
      <c r="F26" t="inlineStr">
        <is>
          <t>YES</t>
        </is>
      </c>
      <c r="G26" t="inlineStr">
        <is>
          <t>returns_matrix.csv (corrected 2026-08-12)</t>
        </is>
      </c>
      <c r="H26" t="inlineStr">
        <is>
          <t>NO</t>
        </is>
      </c>
      <c r="I26" t="inlineStr"/>
    </row>
    <row r="27">
      <c r="A27" t="inlineStr">
        <is>
          <t>BA_FQ1_2025</t>
        </is>
      </c>
      <c r="B27" t="inlineStr">
        <is>
          <t>BA</t>
        </is>
      </c>
      <c r="C27" t="inlineStr">
        <is>
          <t>2025-04-23</t>
        </is>
      </c>
      <c r="D27" t="inlineStr">
        <is>
          <t>2025-04-22</t>
        </is>
      </c>
      <c r="E27" t="inlineStr">
        <is>
          <t>pre_market</t>
        </is>
      </c>
      <c r="F27" t="inlineStr">
        <is>
          <t>YES</t>
        </is>
      </c>
      <c r="G27" t="inlineStr">
        <is>
          <t>returns_matrix.csv (corrected 2026-08-12)</t>
        </is>
      </c>
      <c r="H27" t="inlineStr">
        <is>
          <t>NO</t>
        </is>
      </c>
      <c r="I27" t="inlineStr"/>
    </row>
    <row r="28">
      <c r="A28" t="inlineStr">
        <is>
          <t>BA_FQ2_2025</t>
        </is>
      </c>
      <c r="B28" t="inlineStr">
        <is>
          <t>BA</t>
        </is>
      </c>
      <c r="C28" t="inlineStr">
        <is>
          <t>2025-07-29</t>
        </is>
      </c>
      <c r="D28" t="inlineStr">
        <is>
          <t>2025-07-28</t>
        </is>
      </c>
      <c r="E28" t="inlineStr">
        <is>
          <t>pre_market</t>
        </is>
      </c>
      <c r="F28" t="inlineStr">
        <is>
          <t>YES</t>
        </is>
      </c>
      <c r="G28" t="inlineStr">
        <is>
          <t>returns_matrix.csv (corrected 2026-08-12)</t>
        </is>
      </c>
      <c r="H28" t="inlineStr">
        <is>
          <t>NO</t>
        </is>
      </c>
      <c r="I28" t="inlineStr"/>
    </row>
    <row r="29">
      <c r="A29" t="inlineStr">
        <is>
          <t>BA_FQ3_2025</t>
        </is>
      </c>
      <c r="B29" t="inlineStr">
        <is>
          <t>BA</t>
        </is>
      </c>
      <c r="C29" t="inlineStr">
        <is>
          <t>2025-10-29</t>
        </is>
      </c>
      <c r="D29" t="inlineStr">
        <is>
          <t>2025-10-28</t>
        </is>
      </c>
      <c r="E29" t="inlineStr">
        <is>
          <t>pre_market</t>
        </is>
      </c>
      <c r="F29" t="inlineStr">
        <is>
          <t>YES</t>
        </is>
      </c>
      <c r="G29" t="inlineStr">
        <is>
          <t>returns_matrix.csv (corrected 2026-08-12)</t>
        </is>
      </c>
      <c r="H29" t="inlineStr">
        <is>
          <t>NO</t>
        </is>
      </c>
      <c r="I29" t="inlineStr"/>
    </row>
    <row r="30">
      <c r="A30" t="inlineStr">
        <is>
          <t>BA_FQ4_2025</t>
        </is>
      </c>
      <c r="B30" t="inlineStr">
        <is>
          <t>BA</t>
        </is>
      </c>
      <c r="C30" t="inlineStr">
        <is>
          <t>2026-01-27</t>
        </is>
      </c>
      <c r="D30" t="inlineStr">
        <is>
          <t>2026-01-26</t>
        </is>
      </c>
      <c r="E30" t="inlineStr">
        <is>
          <t>pre_market</t>
        </is>
      </c>
      <c r="F30" t="inlineStr">
        <is>
          <t>YES</t>
        </is>
      </c>
      <c r="G30" t="inlineStr">
        <is>
          <t>returns_matrix.csv (corrected 2026-08-12)</t>
        </is>
      </c>
      <c r="H30" t="inlineStr">
        <is>
          <t>NO</t>
        </is>
      </c>
      <c r="I30" t="inlineStr"/>
    </row>
    <row r="31">
      <c r="A31" t="inlineStr">
        <is>
          <t>BCS_FQ1_2026</t>
        </is>
      </c>
      <c r="B31" t="inlineStr">
        <is>
          <t>BCS</t>
        </is>
      </c>
      <c r="C31" t="inlineStr">
        <is>
          <t>2026-04-28</t>
        </is>
      </c>
      <c r="D31" t="inlineStr">
        <is>
          <t>2026-04-27</t>
        </is>
      </c>
      <c r="E31" t="inlineStr">
        <is>
          <t>pre_market</t>
        </is>
      </c>
      <c r="F31" t="inlineStr">
        <is>
          <t>YES</t>
        </is>
      </c>
      <c r="G31" t="inlineStr">
        <is>
          <t>returns_matrix.csv (corrected 2026-08-12)</t>
        </is>
      </c>
      <c r="H31" t="inlineStr">
        <is>
          <t>NO</t>
        </is>
      </c>
      <c r="I31" t="inlineStr"/>
    </row>
    <row r="32">
      <c r="A32" t="inlineStr">
        <is>
          <t>BCS_FQ2_2025</t>
        </is>
      </c>
      <c r="B32" t="inlineStr">
        <is>
          <t>BCS</t>
        </is>
      </c>
      <c r="C32" t="inlineStr">
        <is>
          <t>2025-07-29</t>
        </is>
      </c>
      <c r="D32" t="inlineStr">
        <is>
          <t>2025-07-28</t>
        </is>
      </c>
      <c r="E32" t="inlineStr">
        <is>
          <t>pre_market</t>
        </is>
      </c>
      <c r="F32" t="inlineStr">
        <is>
          <t>YES</t>
        </is>
      </c>
      <c r="G32" t="inlineStr">
        <is>
          <t>returns_matrix.csv (corrected 2026-08-12)</t>
        </is>
      </c>
      <c r="H32" t="inlineStr">
        <is>
          <t>NO</t>
        </is>
      </c>
      <c r="I32" t="inlineStr"/>
    </row>
    <row r="33">
      <c r="A33" t="inlineStr">
        <is>
          <t>BCS_FQ3_2025</t>
        </is>
      </c>
      <c r="B33" t="inlineStr">
        <is>
          <t>BCS</t>
        </is>
      </c>
      <c r="C33" t="inlineStr">
        <is>
          <t>2025-10-22</t>
        </is>
      </c>
      <c r="D33" t="inlineStr">
        <is>
          <t>2025-10-21</t>
        </is>
      </c>
      <c r="E33" t="inlineStr">
        <is>
          <t>pre_market</t>
        </is>
      </c>
      <c r="F33" t="inlineStr">
        <is>
          <t>YES</t>
        </is>
      </c>
      <c r="G33" t="inlineStr">
        <is>
          <t>returns_matrix.csv (corrected 2026-08-12)</t>
        </is>
      </c>
      <c r="H33" t="inlineStr">
        <is>
          <t>NO</t>
        </is>
      </c>
      <c r="I33" t="inlineStr"/>
    </row>
    <row r="34">
      <c r="A34" t="inlineStr">
        <is>
          <t>BKNG_FQ2_2025</t>
        </is>
      </c>
      <c r="B34" t="inlineStr">
        <is>
          <t>BKNG</t>
        </is>
      </c>
      <c r="C34" t="inlineStr">
        <is>
          <t>2025-07-29</t>
        </is>
      </c>
      <c r="D34" t="inlineStr">
        <is>
          <t>2025-07-29</t>
        </is>
      </c>
      <c r="E34" t="inlineStr">
        <is>
          <t>after_hours</t>
        </is>
      </c>
      <c r="F34" t="inlineStr">
        <is>
          <t>NO</t>
        </is>
      </c>
      <c r="G34" t="inlineStr">
        <is>
          <t>returns_matrix.csv (corrected 2026-08-12)</t>
        </is>
      </c>
      <c r="H34" t="inlineStr">
        <is>
          <t>NO</t>
        </is>
      </c>
      <c r="I34" t="inlineStr"/>
    </row>
    <row r="35">
      <c r="A35" t="inlineStr">
        <is>
          <t>BKNG_FQ3_2025</t>
        </is>
      </c>
      <c r="B35" t="inlineStr">
        <is>
          <t>BKNG</t>
        </is>
      </c>
      <c r="C35" t="inlineStr">
        <is>
          <t>2025-10-28</t>
        </is>
      </c>
      <c r="D35" t="inlineStr">
        <is>
          <t>2025-10-28</t>
        </is>
      </c>
      <c r="E35" t="inlineStr">
        <is>
          <t>after_hours</t>
        </is>
      </c>
      <c r="F35" t="inlineStr">
        <is>
          <t>NO</t>
        </is>
      </c>
      <c r="G35" t="inlineStr">
        <is>
          <t>returns_matrix.csv (corrected 2026-08-12)</t>
        </is>
      </c>
      <c r="H35" t="inlineStr">
        <is>
          <t>NO</t>
        </is>
      </c>
      <c r="I35" t="inlineStr"/>
    </row>
    <row r="36">
      <c r="A36" t="inlineStr">
        <is>
          <t>BKNG_FQ4_2025</t>
        </is>
      </c>
      <c r="B36" t="inlineStr">
        <is>
          <t>BKNG</t>
        </is>
      </c>
      <c r="C36" t="inlineStr">
        <is>
          <t>2026-02-18</t>
        </is>
      </c>
      <c r="D36" t="inlineStr">
        <is>
          <t>2026-02-18</t>
        </is>
      </c>
      <c r="E36" t="inlineStr">
        <is>
          <t>after_hours</t>
        </is>
      </c>
      <c r="F36" t="inlineStr">
        <is>
          <t>NO</t>
        </is>
      </c>
      <c r="G36" t="inlineStr">
        <is>
          <t>returns_matrix.csv (corrected 2026-08-12)</t>
        </is>
      </c>
      <c r="H36" t="inlineStr">
        <is>
          <t>NO</t>
        </is>
      </c>
      <c r="I36" t="inlineStr"/>
    </row>
    <row r="37">
      <c r="A37" t="inlineStr">
        <is>
          <t>CAT_FQ2_2025</t>
        </is>
      </c>
      <c r="B37" t="inlineStr">
        <is>
          <t>CAT</t>
        </is>
      </c>
      <c r="C37" t="inlineStr">
        <is>
          <t>2025-08-05</t>
        </is>
      </c>
      <c r="D37" t="inlineStr">
        <is>
          <t>2025-08-04</t>
        </is>
      </c>
      <c r="E37" t="inlineStr">
        <is>
          <t>pre_market</t>
        </is>
      </c>
      <c r="F37" t="inlineStr">
        <is>
          <t>YES</t>
        </is>
      </c>
      <c r="G37" t="inlineStr">
        <is>
          <t>returns_matrix.csv (corrected 2026-08-12)</t>
        </is>
      </c>
      <c r="H37" t="inlineStr">
        <is>
          <t>NO</t>
        </is>
      </c>
      <c r="I37" t="inlineStr"/>
    </row>
    <row r="38">
      <c r="A38" t="inlineStr">
        <is>
          <t>CAT_FQ3_2025</t>
        </is>
      </c>
      <c r="B38" t="inlineStr">
        <is>
          <t>CAT</t>
        </is>
      </c>
      <c r="C38" t="inlineStr">
        <is>
          <t>2025-10-29</t>
        </is>
      </c>
      <c r="D38" t="inlineStr">
        <is>
          <t>2025-10-28</t>
        </is>
      </c>
      <c r="E38" t="inlineStr">
        <is>
          <t>pre_market</t>
        </is>
      </c>
      <c r="F38" t="inlineStr">
        <is>
          <t>YES</t>
        </is>
      </c>
      <c r="G38" t="inlineStr">
        <is>
          <t>returns_matrix.csv (corrected 2026-08-12)</t>
        </is>
      </c>
      <c r="H38" t="inlineStr">
        <is>
          <t>NO</t>
        </is>
      </c>
      <c r="I38" t="inlineStr"/>
    </row>
    <row r="39">
      <c r="A39" t="inlineStr">
        <is>
          <t>CAT_FQ4_2025</t>
        </is>
      </c>
      <c r="B39" t="inlineStr">
        <is>
          <t>CAT</t>
        </is>
      </c>
      <c r="C39" t="inlineStr">
        <is>
          <t>2026-01-29</t>
        </is>
      </c>
      <c r="D39" t="inlineStr">
        <is>
          <t>2026-01-28</t>
        </is>
      </c>
      <c r="E39" t="inlineStr">
        <is>
          <t>pre_market</t>
        </is>
      </c>
      <c r="F39" t="inlineStr">
        <is>
          <t>YES</t>
        </is>
      </c>
      <c r="G39" t="inlineStr">
        <is>
          <t>returns_matrix.csv (corrected 2026-08-12)</t>
        </is>
      </c>
      <c r="H39" t="inlineStr">
        <is>
          <t>NO</t>
        </is>
      </c>
      <c r="I39" t="inlineStr"/>
    </row>
    <row r="40">
      <c r="A40" t="inlineStr">
        <is>
          <t>CMCSA_FQ1_2025</t>
        </is>
      </c>
      <c r="B40" t="inlineStr">
        <is>
          <t>CMCSA</t>
        </is>
      </c>
      <c r="C40" t="inlineStr">
        <is>
          <t>2025-04-24</t>
        </is>
      </c>
      <c r="D40" t="inlineStr">
        <is>
          <t>2025-04-23</t>
        </is>
      </c>
      <c r="E40" t="inlineStr">
        <is>
          <t>pre_market</t>
        </is>
      </c>
      <c r="F40" t="inlineStr">
        <is>
          <t>YES</t>
        </is>
      </c>
      <c r="G40" t="inlineStr">
        <is>
          <t>returns_matrix.csv (corrected 2026-08-12)</t>
        </is>
      </c>
      <c r="H40" t="inlineStr">
        <is>
          <t>NO</t>
        </is>
      </c>
      <c r="I40" t="inlineStr"/>
    </row>
    <row r="41">
      <c r="A41" t="inlineStr">
        <is>
          <t>CMCSA_FQ1_2026</t>
        </is>
      </c>
      <c r="B41" t="inlineStr">
        <is>
          <t>CMCSA</t>
        </is>
      </c>
      <c r="C41" t="inlineStr">
        <is>
          <t>2026-04-23</t>
        </is>
      </c>
      <c r="D41" t="inlineStr">
        <is>
          <t>2026-04-22</t>
        </is>
      </c>
      <c r="E41" t="inlineStr">
        <is>
          <t>pre_market</t>
        </is>
      </c>
      <c r="F41" t="inlineStr">
        <is>
          <t>YES</t>
        </is>
      </c>
      <c r="G41" t="inlineStr">
        <is>
          <t>returns_matrix.csv (corrected 2026-08-12)</t>
        </is>
      </c>
      <c r="H41" t="inlineStr">
        <is>
          <t>NO</t>
        </is>
      </c>
      <c r="I41" t="inlineStr"/>
    </row>
    <row r="42">
      <c r="A42" t="inlineStr">
        <is>
          <t>CMCSA_FQ2_2025</t>
        </is>
      </c>
      <c r="B42" t="inlineStr">
        <is>
          <t>CMCSA</t>
        </is>
      </c>
      <c r="C42" t="inlineStr">
        <is>
          <t>2025-07-31</t>
        </is>
      </c>
      <c r="D42" t="inlineStr">
        <is>
          <t>2025-07-30</t>
        </is>
      </c>
      <c r="E42" t="inlineStr">
        <is>
          <t>pre_market</t>
        </is>
      </c>
      <c r="F42" t="inlineStr">
        <is>
          <t>YES</t>
        </is>
      </c>
      <c r="G42" t="inlineStr">
        <is>
          <t>returns_matrix.csv (corrected 2026-08-12)</t>
        </is>
      </c>
      <c r="H42" t="inlineStr">
        <is>
          <t>NO</t>
        </is>
      </c>
      <c r="I42" t="inlineStr"/>
    </row>
    <row r="43">
      <c r="A43" t="inlineStr">
        <is>
          <t>CMCSA_FQ4_2025</t>
        </is>
      </c>
      <c r="B43" t="inlineStr">
        <is>
          <t>CMCSA</t>
        </is>
      </c>
      <c r="C43" t="inlineStr">
        <is>
          <t>2026-01-29</t>
        </is>
      </c>
      <c r="D43" t="inlineStr">
        <is>
          <t>2026-01-28</t>
        </is>
      </c>
      <c r="E43" t="inlineStr">
        <is>
          <t>pre_market</t>
        </is>
      </c>
      <c r="F43" t="inlineStr">
        <is>
          <t>YES</t>
        </is>
      </c>
      <c r="G43" t="inlineStr">
        <is>
          <t>returns_matrix.csv (corrected 2026-08-12)</t>
        </is>
      </c>
      <c r="H43" t="inlineStr">
        <is>
          <t>NO</t>
        </is>
      </c>
      <c r="I43" t="inlineStr"/>
    </row>
    <row r="44">
      <c r="A44" t="inlineStr">
        <is>
          <t>CMG_FQ1_2025</t>
        </is>
      </c>
      <c r="B44" t="inlineStr">
        <is>
          <t>CMG</t>
        </is>
      </c>
      <c r="C44" t="inlineStr">
        <is>
          <t>2025-04-23</t>
        </is>
      </c>
      <c r="D44" t="inlineStr">
        <is>
          <t>2025-04-23</t>
        </is>
      </c>
      <c r="E44" t="inlineStr">
        <is>
          <t>after_hours</t>
        </is>
      </c>
      <c r="F44" t="inlineStr">
        <is>
          <t>NO</t>
        </is>
      </c>
      <c r="G44" t="inlineStr">
        <is>
          <t>returns_matrix.csv (corrected 2026-08-12)</t>
        </is>
      </c>
      <c r="H44" t="inlineStr">
        <is>
          <t>NO</t>
        </is>
      </c>
      <c r="I44" t="inlineStr"/>
    </row>
    <row r="45">
      <c r="A45" t="inlineStr">
        <is>
          <t>CMG_FQ2_2025</t>
        </is>
      </c>
      <c r="B45" t="inlineStr">
        <is>
          <t>CMG</t>
        </is>
      </c>
      <c r="C45" t="inlineStr">
        <is>
          <t>2025-07-23</t>
        </is>
      </c>
      <c r="D45" t="inlineStr">
        <is>
          <t>2025-07-23</t>
        </is>
      </c>
      <c r="E45" t="inlineStr">
        <is>
          <t>after_hours</t>
        </is>
      </c>
      <c r="F45" t="inlineStr">
        <is>
          <t>NO</t>
        </is>
      </c>
      <c r="G45" t="inlineStr">
        <is>
          <t>returns_matrix.csv (corrected 2026-08-12)</t>
        </is>
      </c>
      <c r="H45" t="inlineStr">
        <is>
          <t>NO</t>
        </is>
      </c>
      <c r="I45" t="inlineStr"/>
    </row>
    <row r="46">
      <c r="A46" t="inlineStr">
        <is>
          <t>CMG_FQ3_2025</t>
        </is>
      </c>
      <c r="B46" t="inlineStr">
        <is>
          <t>CMG</t>
        </is>
      </c>
      <c r="C46" t="inlineStr">
        <is>
          <t>2025-10-29</t>
        </is>
      </c>
      <c r="D46" t="inlineStr">
        <is>
          <t>2025-10-29</t>
        </is>
      </c>
      <c r="E46" t="inlineStr">
        <is>
          <t>after_hours</t>
        </is>
      </c>
      <c r="F46" t="inlineStr">
        <is>
          <t>NO</t>
        </is>
      </c>
      <c r="G46" t="inlineStr">
        <is>
          <t>returns_matrix.csv (corrected 2026-08-12)</t>
        </is>
      </c>
      <c r="H46" t="inlineStr">
        <is>
          <t>NO</t>
        </is>
      </c>
      <c r="I46" t="inlineStr"/>
    </row>
    <row r="47">
      <c r="A47" t="inlineStr">
        <is>
          <t>CMG_FQ4_2025</t>
        </is>
      </c>
      <c r="B47" t="inlineStr">
        <is>
          <t>CMG</t>
        </is>
      </c>
      <c r="C47" t="inlineStr">
        <is>
          <t>2026-02-03</t>
        </is>
      </c>
      <c r="D47" t="inlineStr">
        <is>
          <t>2026-02-03</t>
        </is>
      </c>
      <c r="E47" t="inlineStr">
        <is>
          <t>after_hours</t>
        </is>
      </c>
      <c r="F47" t="inlineStr">
        <is>
          <t>NO</t>
        </is>
      </c>
      <c r="G47" t="inlineStr">
        <is>
          <t>returns_matrix.csv (corrected 2026-08-12)</t>
        </is>
      </c>
      <c r="H47" t="inlineStr">
        <is>
          <t>NO</t>
        </is>
      </c>
      <c r="I47" t="inlineStr"/>
    </row>
    <row r="48">
      <c r="A48" t="inlineStr">
        <is>
          <t>COIN_FQ1_2026</t>
        </is>
      </c>
      <c r="B48" t="inlineStr">
        <is>
          <t>COIN</t>
        </is>
      </c>
      <c r="C48" t="inlineStr">
        <is>
          <t>2026-05-07</t>
        </is>
      </c>
      <c r="D48" t="inlineStr">
        <is>
          <t>2026-05-07</t>
        </is>
      </c>
      <c r="E48" t="inlineStr">
        <is>
          <t>after_hours</t>
        </is>
      </c>
      <c r="F48" t="inlineStr">
        <is>
          <t>NO</t>
        </is>
      </c>
      <c r="G48" t="inlineStr">
        <is>
          <t>returns_matrix.csv (corrected 2026-08-12)</t>
        </is>
      </c>
      <c r="H48" t="inlineStr">
        <is>
          <t>NO</t>
        </is>
      </c>
      <c r="I48" t="inlineStr"/>
    </row>
    <row r="49">
      <c r="A49" t="inlineStr">
        <is>
          <t>COIN_FQ3_2025</t>
        </is>
      </c>
      <c r="B49" t="inlineStr">
        <is>
          <t>COIN</t>
        </is>
      </c>
      <c r="C49" t="inlineStr">
        <is>
          <t>2025-10-30</t>
        </is>
      </c>
      <c r="D49" t="inlineStr">
        <is>
          <t>2025-10-30</t>
        </is>
      </c>
      <c r="E49" t="inlineStr">
        <is>
          <t>after_hours</t>
        </is>
      </c>
      <c r="F49" t="inlineStr">
        <is>
          <t>NO</t>
        </is>
      </c>
      <c r="G49" t="inlineStr">
        <is>
          <t>returns_matrix.csv (corrected 2026-08-12)</t>
        </is>
      </c>
      <c r="H49" t="inlineStr">
        <is>
          <t>NO</t>
        </is>
      </c>
      <c r="I49" t="inlineStr"/>
    </row>
    <row r="50">
      <c r="A50" t="inlineStr">
        <is>
          <t>COIN_FQ4_2025</t>
        </is>
      </c>
      <c r="B50" t="inlineStr">
        <is>
          <t>COIN</t>
        </is>
      </c>
      <c r="C50" t="inlineStr">
        <is>
          <t>2026-02-12</t>
        </is>
      </c>
      <c r="D50" t="inlineStr">
        <is>
          <t>2026-02-12</t>
        </is>
      </c>
      <c r="E50" t="inlineStr">
        <is>
          <t>after_hours</t>
        </is>
      </c>
      <c r="F50" t="inlineStr">
        <is>
          <t>NO</t>
        </is>
      </c>
      <c r="G50" t="inlineStr">
        <is>
          <t>returns_matrix.csv (corrected 2026-08-12)</t>
        </is>
      </c>
      <c r="H50" t="inlineStr">
        <is>
          <t>NO</t>
        </is>
      </c>
      <c r="I50" t="inlineStr"/>
    </row>
    <row r="51">
      <c r="A51" t="inlineStr">
        <is>
          <t>CRM_FQ2_2026</t>
        </is>
      </c>
      <c r="B51" t="inlineStr">
        <is>
          <t>CRM</t>
        </is>
      </c>
      <c r="C51" t="inlineStr">
        <is>
          <t>2025-09-03</t>
        </is>
      </c>
      <c r="D51" t="inlineStr">
        <is>
          <t>2025-09-03</t>
        </is>
      </c>
      <c r="E51" t="inlineStr">
        <is>
          <t>after_hours</t>
        </is>
      </c>
      <c r="F51" t="inlineStr">
        <is>
          <t>NO</t>
        </is>
      </c>
      <c r="G51" t="inlineStr">
        <is>
          <t>returns_matrix.csv (corrected 2026-08-12)</t>
        </is>
      </c>
      <c r="H51" t="inlineStr">
        <is>
          <t>NO</t>
        </is>
      </c>
      <c r="I51" t="inlineStr"/>
    </row>
    <row r="52">
      <c r="A52" t="inlineStr">
        <is>
          <t>CRM_FQ3_2026</t>
        </is>
      </c>
      <c r="B52" t="inlineStr">
        <is>
          <t>CRM</t>
        </is>
      </c>
      <c r="C52" t="inlineStr">
        <is>
          <t>2025-12-03</t>
        </is>
      </c>
      <c r="D52" t="inlineStr">
        <is>
          <t>2025-12-03</t>
        </is>
      </c>
      <c r="E52" t="inlineStr">
        <is>
          <t>after_hours</t>
        </is>
      </c>
      <c r="F52" t="inlineStr">
        <is>
          <t>NO</t>
        </is>
      </c>
      <c r="G52" t="inlineStr">
        <is>
          <t>returns_matrix.csv (corrected 2026-08-12)</t>
        </is>
      </c>
      <c r="H52" t="inlineStr">
        <is>
          <t>NO</t>
        </is>
      </c>
      <c r="I52" t="inlineStr"/>
    </row>
    <row r="53">
      <c r="A53" t="inlineStr">
        <is>
          <t>CRM_FQ4_2026</t>
        </is>
      </c>
      <c r="B53" t="inlineStr">
        <is>
          <t>CRM</t>
        </is>
      </c>
      <c r="C53" t="inlineStr">
        <is>
          <t>2026-02-25</t>
        </is>
      </c>
      <c r="D53" t="inlineStr">
        <is>
          <t>2026-02-25</t>
        </is>
      </c>
      <c r="E53" t="inlineStr">
        <is>
          <t>after_hours</t>
        </is>
      </c>
      <c r="F53" t="inlineStr">
        <is>
          <t>NO</t>
        </is>
      </c>
      <c r="G53" t="inlineStr">
        <is>
          <t>returns_matrix.csv (corrected 2026-08-12)</t>
        </is>
      </c>
      <c r="H53" t="inlineStr">
        <is>
          <t>NO</t>
        </is>
      </c>
      <c r="I53" t="inlineStr"/>
    </row>
    <row r="54">
      <c r="A54" t="inlineStr">
        <is>
          <t>CVS_FQ1_2026</t>
        </is>
      </c>
      <c r="B54" t="inlineStr">
        <is>
          <t>CVS</t>
        </is>
      </c>
      <c r="C54" t="inlineStr">
        <is>
          <t>2026-05-06</t>
        </is>
      </c>
      <c r="D54" t="inlineStr">
        <is>
          <t>2026-05-05</t>
        </is>
      </c>
      <c r="E54" t="inlineStr">
        <is>
          <t>pre_market</t>
        </is>
      </c>
      <c r="F54" t="inlineStr">
        <is>
          <t>YES</t>
        </is>
      </c>
      <c r="G54" t="inlineStr">
        <is>
          <t>returns_matrix.csv (corrected 2026-08-12)</t>
        </is>
      </c>
      <c r="H54" t="inlineStr">
        <is>
          <t>NO</t>
        </is>
      </c>
      <c r="I54" t="inlineStr"/>
    </row>
    <row r="55">
      <c r="A55" t="inlineStr">
        <is>
          <t>CVS_FQ2_2025</t>
        </is>
      </c>
      <c r="B55" t="inlineStr">
        <is>
          <t>CVS</t>
        </is>
      </c>
      <c r="C55" t="inlineStr">
        <is>
          <t>2025-07-31</t>
        </is>
      </c>
      <c r="D55" t="inlineStr">
        <is>
          <t>2025-07-30</t>
        </is>
      </c>
      <c r="E55" t="inlineStr">
        <is>
          <t>pre_market</t>
        </is>
      </c>
      <c r="F55" t="inlineStr">
        <is>
          <t>YES</t>
        </is>
      </c>
      <c r="G55" t="inlineStr">
        <is>
          <t>returns_matrix.csv (corrected 2026-08-12)</t>
        </is>
      </c>
      <c r="H55" t="inlineStr">
        <is>
          <t>NO</t>
        </is>
      </c>
      <c r="I55" t="inlineStr"/>
    </row>
    <row r="56">
      <c r="A56" t="inlineStr">
        <is>
          <t>CVS_FQ3_2025</t>
        </is>
      </c>
      <c r="B56" t="inlineStr">
        <is>
          <t>CVS</t>
        </is>
      </c>
      <c r="C56" t="inlineStr">
        <is>
          <t>2025-10-29</t>
        </is>
      </c>
      <c r="D56" t="inlineStr">
        <is>
          <t>2025-10-28</t>
        </is>
      </c>
      <c r="E56" t="inlineStr">
        <is>
          <t>pre_market</t>
        </is>
      </c>
      <c r="F56" t="inlineStr">
        <is>
          <t>YES</t>
        </is>
      </c>
      <c r="G56" t="inlineStr">
        <is>
          <t>returns_matrix.csv (corrected 2026-08-12)</t>
        </is>
      </c>
      <c r="H56" t="inlineStr">
        <is>
          <t>NO</t>
        </is>
      </c>
      <c r="I56" t="inlineStr"/>
    </row>
    <row r="57">
      <c r="A57" t="inlineStr">
        <is>
          <t>CVS_FQ4_2025</t>
        </is>
      </c>
      <c r="B57" t="inlineStr">
        <is>
          <t>CVS</t>
        </is>
      </c>
      <c r="C57" t="inlineStr">
        <is>
          <t>2026-02-10</t>
        </is>
      </c>
      <c r="D57" t="inlineStr">
        <is>
          <t>2026-02-09</t>
        </is>
      </c>
      <c r="E57" t="inlineStr">
        <is>
          <t>pre_market</t>
        </is>
      </c>
      <c r="F57" t="inlineStr">
        <is>
          <t>YES</t>
        </is>
      </c>
      <c r="G57" t="inlineStr">
        <is>
          <t>returns_matrix.csv (corrected 2026-08-12)</t>
        </is>
      </c>
      <c r="H57" t="inlineStr">
        <is>
          <t>NO</t>
        </is>
      </c>
      <c r="I57" t="inlineStr"/>
    </row>
    <row r="58">
      <c r="A58" t="inlineStr">
        <is>
          <t>C_FQ1_2025</t>
        </is>
      </c>
      <c r="B58" t="inlineStr">
        <is>
          <t>C</t>
        </is>
      </c>
      <c r="C58" t="inlineStr">
        <is>
          <t>2025-04-15</t>
        </is>
      </c>
      <c r="D58" t="inlineStr">
        <is>
          <t>2025-04-14</t>
        </is>
      </c>
      <c r="E58" t="inlineStr">
        <is>
          <t>pre_market</t>
        </is>
      </c>
      <c r="F58" t="inlineStr">
        <is>
          <t>YES</t>
        </is>
      </c>
      <c r="G58" t="inlineStr">
        <is>
          <t>returns_matrix.csv (corrected 2026-08-12)</t>
        </is>
      </c>
      <c r="H58" t="inlineStr">
        <is>
          <t>NO</t>
        </is>
      </c>
      <c r="I58" t="inlineStr"/>
    </row>
    <row r="59">
      <c r="A59" t="inlineStr">
        <is>
          <t>C_FQ2_2025</t>
        </is>
      </c>
      <c r="B59" t="inlineStr">
        <is>
          <t>C</t>
        </is>
      </c>
      <c r="C59" t="inlineStr">
        <is>
          <t>2025-07-15</t>
        </is>
      </c>
      <c r="D59" t="inlineStr">
        <is>
          <t>2025-07-14</t>
        </is>
      </c>
      <c r="E59" t="inlineStr">
        <is>
          <t>pre_market</t>
        </is>
      </c>
      <c r="F59" t="inlineStr">
        <is>
          <t>YES</t>
        </is>
      </c>
      <c r="G59" t="inlineStr">
        <is>
          <t>returns_matrix.csv (corrected 2026-08-12)</t>
        </is>
      </c>
      <c r="H59" t="inlineStr">
        <is>
          <t>NO</t>
        </is>
      </c>
      <c r="I59" t="inlineStr"/>
    </row>
    <row r="60">
      <c r="A60" t="inlineStr">
        <is>
          <t>C_FQ3_2025</t>
        </is>
      </c>
      <c r="B60" t="inlineStr">
        <is>
          <t>C</t>
        </is>
      </c>
      <c r="C60" t="inlineStr">
        <is>
          <t>2025-10-14</t>
        </is>
      </c>
      <c r="D60" t="inlineStr">
        <is>
          <t>2025-10-13</t>
        </is>
      </c>
      <c r="E60" t="inlineStr">
        <is>
          <t>pre_market</t>
        </is>
      </c>
      <c r="F60" t="inlineStr">
        <is>
          <t>YES</t>
        </is>
      </c>
      <c r="G60" t="inlineStr">
        <is>
          <t>returns_matrix.csv (corrected 2026-08-12)</t>
        </is>
      </c>
      <c r="H60" t="inlineStr">
        <is>
          <t>NO</t>
        </is>
      </c>
      <c r="I60" t="inlineStr"/>
    </row>
    <row r="61">
      <c r="A61" t="inlineStr">
        <is>
          <t>C_FQ4_2025</t>
        </is>
      </c>
      <c r="B61" t="inlineStr">
        <is>
          <t>C</t>
        </is>
      </c>
      <c r="C61" t="inlineStr">
        <is>
          <t>2026-01-14</t>
        </is>
      </c>
      <c r="D61" t="inlineStr">
        <is>
          <t>2026-01-13</t>
        </is>
      </c>
      <c r="E61" t="inlineStr">
        <is>
          <t>pre_market</t>
        </is>
      </c>
      <c r="F61" t="inlineStr">
        <is>
          <t>YES</t>
        </is>
      </c>
      <c r="G61" t="inlineStr">
        <is>
          <t>returns_matrix.csv (corrected 2026-08-12)</t>
        </is>
      </c>
      <c r="H61" t="inlineStr">
        <is>
          <t>NO</t>
        </is>
      </c>
      <c r="I61" t="inlineStr"/>
    </row>
    <row r="62">
      <c r="A62" t="inlineStr">
        <is>
          <t>DAL_FQ1_2025</t>
        </is>
      </c>
      <c r="B62" t="inlineStr">
        <is>
          <t>DAL</t>
        </is>
      </c>
      <c r="C62" t="inlineStr">
        <is>
          <t>2025-04-09</t>
        </is>
      </c>
      <c r="D62" t="inlineStr">
        <is>
          <t>2025-04-08</t>
        </is>
      </c>
      <c r="E62" t="inlineStr">
        <is>
          <t>pre_market</t>
        </is>
      </c>
      <c r="F62" t="inlineStr">
        <is>
          <t>YES</t>
        </is>
      </c>
      <c r="G62" t="inlineStr">
        <is>
          <t>returns_matrix.csv (corrected 2026-08-12)</t>
        </is>
      </c>
      <c r="H62" t="inlineStr">
        <is>
          <t>NO</t>
        </is>
      </c>
      <c r="I62" t="inlineStr"/>
    </row>
    <row r="63">
      <c r="A63" t="inlineStr">
        <is>
          <t>DAL_FQ2_2025</t>
        </is>
      </c>
      <c r="B63" t="inlineStr">
        <is>
          <t>DAL</t>
        </is>
      </c>
      <c r="C63" t="inlineStr">
        <is>
          <t>2025-07-10</t>
        </is>
      </c>
      <c r="D63" t="inlineStr">
        <is>
          <t>2025-07-09</t>
        </is>
      </c>
      <c r="E63" t="inlineStr">
        <is>
          <t>pre_market</t>
        </is>
      </c>
      <c r="F63" t="inlineStr">
        <is>
          <t>YES</t>
        </is>
      </c>
      <c r="G63" t="inlineStr">
        <is>
          <t>returns_matrix.csv (corrected 2026-08-12)</t>
        </is>
      </c>
      <c r="H63" t="inlineStr">
        <is>
          <t>NO</t>
        </is>
      </c>
      <c r="I63" t="inlineStr"/>
    </row>
    <row r="64">
      <c r="A64" t="inlineStr">
        <is>
          <t>DAL_FQ3_2025</t>
        </is>
      </c>
      <c r="B64" t="inlineStr">
        <is>
          <t>DAL</t>
        </is>
      </c>
      <c r="C64" t="inlineStr">
        <is>
          <t>2025-10-09</t>
        </is>
      </c>
      <c r="D64" t="inlineStr">
        <is>
          <t>2025-10-08</t>
        </is>
      </c>
      <c r="E64" t="inlineStr">
        <is>
          <t>pre_market</t>
        </is>
      </c>
      <c r="F64" t="inlineStr">
        <is>
          <t>YES</t>
        </is>
      </c>
      <c r="G64" t="inlineStr">
        <is>
          <t>returns_matrix.csv (corrected 2026-08-12)</t>
        </is>
      </c>
      <c r="H64" t="inlineStr">
        <is>
          <t>NO</t>
        </is>
      </c>
      <c r="I64" t="inlineStr"/>
    </row>
    <row r="65">
      <c r="A65" t="inlineStr">
        <is>
          <t>DAL_FQ4_2025</t>
        </is>
      </c>
      <c r="B65" t="inlineStr">
        <is>
          <t>DAL</t>
        </is>
      </c>
      <c r="C65" t="inlineStr">
        <is>
          <t>2026-01-13</t>
        </is>
      </c>
      <c r="D65" t="inlineStr">
        <is>
          <t>2026-01-12</t>
        </is>
      </c>
      <c r="E65" t="inlineStr">
        <is>
          <t>pre_market</t>
        </is>
      </c>
      <c r="F65" t="inlineStr">
        <is>
          <t>YES</t>
        </is>
      </c>
      <c r="G65" t="inlineStr">
        <is>
          <t>returns_matrix.csv (corrected 2026-08-12)</t>
        </is>
      </c>
      <c r="H65" t="inlineStr">
        <is>
          <t>NO</t>
        </is>
      </c>
      <c r="I65" t="inlineStr"/>
    </row>
    <row r="66">
      <c r="A66" t="inlineStr">
        <is>
          <t>DELL_FQ1_2025</t>
        </is>
      </c>
      <c r="B66" t="inlineStr">
        <is>
          <t>DELL</t>
        </is>
      </c>
      <c r="C66" t="inlineStr">
        <is>
          <t>2025-05-29</t>
        </is>
      </c>
      <c r="D66" t="inlineStr">
        <is>
          <t>2025-05-29</t>
        </is>
      </c>
      <c r="E66" t="inlineStr">
        <is>
          <t>after_hours</t>
        </is>
      </c>
      <c r="F66" t="inlineStr">
        <is>
          <t>NO</t>
        </is>
      </c>
      <c r="G66" t="inlineStr">
        <is>
          <t>returns_matrix.csv (corrected 2026-08-12)</t>
        </is>
      </c>
      <c r="H66" t="inlineStr">
        <is>
          <t>NO</t>
        </is>
      </c>
      <c r="I66" t="inlineStr"/>
    </row>
    <row r="67">
      <c r="A67" t="inlineStr">
        <is>
          <t>DELL_FQ3_2025</t>
        </is>
      </c>
      <c r="B67" t="inlineStr">
        <is>
          <t>DELL</t>
        </is>
      </c>
      <c r="C67" t="inlineStr">
        <is>
          <t>2025-11-25</t>
        </is>
      </c>
      <c r="D67" t="inlineStr">
        <is>
          <t>2025-11-25</t>
        </is>
      </c>
      <c r="E67" t="inlineStr">
        <is>
          <t>after_hours</t>
        </is>
      </c>
      <c r="F67" t="inlineStr">
        <is>
          <t>NO</t>
        </is>
      </c>
      <c r="G67" t="inlineStr">
        <is>
          <t>returns_matrix.csv (corrected 2026-08-12)</t>
        </is>
      </c>
      <c r="H67" t="inlineStr">
        <is>
          <t>NO</t>
        </is>
      </c>
      <c r="I67" t="inlineStr"/>
    </row>
    <row r="68">
      <c r="A68" t="inlineStr">
        <is>
          <t>DELL_FQ4_2025</t>
        </is>
      </c>
      <c r="B68" t="inlineStr">
        <is>
          <t>DELL</t>
        </is>
      </c>
      <c r="C68" t="inlineStr">
        <is>
          <t>2026-02-26</t>
        </is>
      </c>
      <c r="D68" t="inlineStr">
        <is>
          <t>2026-02-26</t>
        </is>
      </c>
      <c r="E68" t="inlineStr">
        <is>
          <t>after_hours</t>
        </is>
      </c>
      <c r="F68" t="inlineStr">
        <is>
          <t>NO</t>
        </is>
      </c>
      <c r="G68" t="inlineStr">
        <is>
          <t>returns_matrix.csv (corrected 2026-08-12)</t>
        </is>
      </c>
      <c r="H68" t="inlineStr">
        <is>
          <t>NO</t>
        </is>
      </c>
      <c r="I68" t="inlineStr"/>
    </row>
    <row r="69">
      <c r="A69" t="inlineStr">
        <is>
          <t>DIS_FQ1_2025</t>
        </is>
      </c>
      <c r="B69" t="inlineStr">
        <is>
          <t>DIS</t>
        </is>
      </c>
      <c r="C69" t="inlineStr">
        <is>
          <t>2025-02-05</t>
        </is>
      </c>
      <c r="D69" t="inlineStr">
        <is>
          <t>2025-02-04</t>
        </is>
      </c>
      <c r="E69" t="inlineStr">
        <is>
          <t>pre_market</t>
        </is>
      </c>
      <c r="F69" t="inlineStr">
        <is>
          <t>YES</t>
        </is>
      </c>
      <c r="G69" t="inlineStr">
        <is>
          <t>returns_matrix.csv (corrected 2026-08-12)</t>
        </is>
      </c>
      <c r="H69" t="inlineStr">
        <is>
          <t>NO</t>
        </is>
      </c>
      <c r="I69" t="inlineStr"/>
    </row>
    <row r="70">
      <c r="A70" t="inlineStr">
        <is>
          <t>DIS_FQ3_2025</t>
        </is>
      </c>
      <c r="B70" t="inlineStr">
        <is>
          <t>DIS</t>
        </is>
      </c>
      <c r="C70" t="inlineStr">
        <is>
          <t>2025-08-06</t>
        </is>
      </c>
      <c r="D70" t="inlineStr">
        <is>
          <t>2025-08-05</t>
        </is>
      </c>
      <c r="E70" t="inlineStr">
        <is>
          <t>pre_market</t>
        </is>
      </c>
      <c r="F70" t="inlineStr">
        <is>
          <t>YES</t>
        </is>
      </c>
      <c r="G70" t="inlineStr">
        <is>
          <t>returns_matrix.csv (corrected 2026-08-12)</t>
        </is>
      </c>
      <c r="H70" t="inlineStr">
        <is>
          <t>NO</t>
        </is>
      </c>
      <c r="I70" t="inlineStr"/>
    </row>
    <row r="71">
      <c r="A71" t="inlineStr">
        <is>
          <t>DIS_FQ4_2025</t>
        </is>
      </c>
      <c r="B71" t="inlineStr">
        <is>
          <t>DIS</t>
        </is>
      </c>
      <c r="C71" t="inlineStr">
        <is>
          <t>2025-11-13</t>
        </is>
      </c>
      <c r="D71" t="inlineStr">
        <is>
          <t>2025-11-12</t>
        </is>
      </c>
      <c r="E71" t="inlineStr">
        <is>
          <t>pre_market</t>
        </is>
      </c>
      <c r="F71" t="inlineStr">
        <is>
          <t>YES</t>
        </is>
      </c>
      <c r="G71" t="inlineStr">
        <is>
          <t>returns_matrix.csv (corrected 2026-08-12)</t>
        </is>
      </c>
      <c r="H71" t="inlineStr">
        <is>
          <t>NO</t>
        </is>
      </c>
      <c r="I71" t="inlineStr"/>
    </row>
    <row r="72">
      <c r="A72" t="inlineStr">
        <is>
          <t>EXPE_FQ1_2025</t>
        </is>
      </c>
      <c r="B72" t="inlineStr">
        <is>
          <t>EXPE</t>
        </is>
      </c>
      <c r="C72" t="inlineStr">
        <is>
          <t>2025-05-08</t>
        </is>
      </c>
      <c r="D72" t="inlineStr">
        <is>
          <t>2025-05-08</t>
        </is>
      </c>
      <c r="E72" t="inlineStr">
        <is>
          <t>after_hours</t>
        </is>
      </c>
      <c r="F72" t="inlineStr">
        <is>
          <t>NO</t>
        </is>
      </c>
      <c r="G72" t="inlineStr">
        <is>
          <t>returns_matrix.csv (corrected 2026-08-12)</t>
        </is>
      </c>
      <c r="H72" t="inlineStr">
        <is>
          <t>NO</t>
        </is>
      </c>
      <c r="I72" t="inlineStr"/>
    </row>
    <row r="73">
      <c r="A73" t="inlineStr">
        <is>
          <t>EXPE_FQ1_2026</t>
        </is>
      </c>
      <c r="B73" t="inlineStr">
        <is>
          <t>EXPE</t>
        </is>
      </c>
      <c r="C73" t="inlineStr">
        <is>
          <t>2026-05-07</t>
        </is>
      </c>
      <c r="D73" t="inlineStr">
        <is>
          <t>2026-05-07</t>
        </is>
      </c>
      <c r="E73" t="inlineStr">
        <is>
          <t>after_hours</t>
        </is>
      </c>
      <c r="F73" t="inlineStr">
        <is>
          <t>NO</t>
        </is>
      </c>
      <c r="G73" t="inlineStr">
        <is>
          <t>returns_matrix.csv (corrected 2026-08-12)</t>
        </is>
      </c>
      <c r="H73" t="inlineStr">
        <is>
          <t>NO</t>
        </is>
      </c>
      <c r="I73" t="inlineStr"/>
    </row>
    <row r="74">
      <c r="A74" t="inlineStr">
        <is>
          <t>EXPE_FQ2_2025</t>
        </is>
      </c>
      <c r="B74" t="inlineStr">
        <is>
          <t>EXPE</t>
        </is>
      </c>
      <c r="C74" t="inlineStr">
        <is>
          <t>2025-08-07</t>
        </is>
      </c>
      <c r="D74" t="inlineStr">
        <is>
          <t>2025-08-07</t>
        </is>
      </c>
      <c r="E74" t="inlineStr">
        <is>
          <t>after_hours</t>
        </is>
      </c>
      <c r="F74" t="inlineStr">
        <is>
          <t>NO</t>
        </is>
      </c>
      <c r="G74" t="inlineStr">
        <is>
          <t>returns_matrix.csv (corrected 2026-08-12)</t>
        </is>
      </c>
      <c r="H74" t="inlineStr">
        <is>
          <t>NO</t>
        </is>
      </c>
      <c r="I74" t="inlineStr"/>
    </row>
    <row r="75">
      <c r="A75" t="inlineStr">
        <is>
          <t>EXPE_FQ4_2025</t>
        </is>
      </c>
      <c r="B75" t="inlineStr">
        <is>
          <t>EXPE</t>
        </is>
      </c>
      <c r="C75" t="inlineStr">
        <is>
          <t>2026-02-12</t>
        </is>
      </c>
      <c r="D75" t="inlineStr">
        <is>
          <t>2026-02-12</t>
        </is>
      </c>
      <c r="E75" t="inlineStr">
        <is>
          <t>after_hours</t>
        </is>
      </c>
      <c r="F75" t="inlineStr">
        <is>
          <t>NO</t>
        </is>
      </c>
      <c r="G75" t="inlineStr">
        <is>
          <t>returns_matrix.csv (corrected 2026-08-12)</t>
        </is>
      </c>
      <c r="H75" t="inlineStr">
        <is>
          <t>NO</t>
        </is>
      </c>
      <c r="I75" t="inlineStr"/>
    </row>
    <row r="76">
      <c r="A76" t="inlineStr">
        <is>
          <t>FDX_FQ1_2026</t>
        </is>
      </c>
      <c r="B76" t="inlineStr">
        <is>
          <t>FDX</t>
        </is>
      </c>
      <c r="C76" t="inlineStr">
        <is>
          <t>2025-09-18</t>
        </is>
      </c>
      <c r="D76" t="inlineStr">
        <is>
          <t>2025-09-18</t>
        </is>
      </c>
      <c r="E76" t="inlineStr">
        <is>
          <t>after_hours</t>
        </is>
      </c>
      <c r="F76" t="inlineStr">
        <is>
          <t>NO</t>
        </is>
      </c>
      <c r="G76" t="inlineStr">
        <is>
          <t>returns_matrix.csv (corrected 2026-08-12)</t>
        </is>
      </c>
      <c r="H76" t="inlineStr">
        <is>
          <t>NO</t>
        </is>
      </c>
      <c r="I76" t="inlineStr"/>
    </row>
    <row r="77">
      <c r="A77" t="inlineStr">
        <is>
          <t>FDX_FQ2_2026</t>
        </is>
      </c>
      <c r="B77" t="inlineStr">
        <is>
          <t>FDX</t>
        </is>
      </c>
      <c r="C77" t="inlineStr">
        <is>
          <t>2025-12-18</t>
        </is>
      </c>
      <c r="D77" t="inlineStr">
        <is>
          <t>2025-12-18</t>
        </is>
      </c>
      <c r="E77" t="inlineStr">
        <is>
          <t>after_hours</t>
        </is>
      </c>
      <c r="F77" t="inlineStr">
        <is>
          <t>NO</t>
        </is>
      </c>
      <c r="G77" t="inlineStr">
        <is>
          <t>returns_matrix.csv (corrected 2026-08-12)</t>
        </is>
      </c>
      <c r="H77" t="inlineStr">
        <is>
          <t>NO</t>
        </is>
      </c>
      <c r="I77" t="inlineStr"/>
    </row>
    <row r="78">
      <c r="A78" t="inlineStr">
        <is>
          <t>FDX_FQ3_2026</t>
        </is>
      </c>
      <c r="B78" t="inlineStr">
        <is>
          <t>FDX</t>
        </is>
      </c>
      <c r="C78" t="inlineStr">
        <is>
          <t>2026-03-19</t>
        </is>
      </c>
      <c r="D78" t="inlineStr">
        <is>
          <t>2026-03-19</t>
        </is>
      </c>
      <c r="E78" t="inlineStr">
        <is>
          <t>after_hours</t>
        </is>
      </c>
      <c r="F78" t="inlineStr">
        <is>
          <t>NO</t>
        </is>
      </c>
      <c r="G78" t="inlineStr">
        <is>
          <t>returns_matrix.csv (corrected 2026-08-12)</t>
        </is>
      </c>
      <c r="H78" t="inlineStr">
        <is>
          <t>NO</t>
        </is>
      </c>
      <c r="I78" t="inlineStr"/>
    </row>
    <row r="79">
      <c r="A79" t="inlineStr">
        <is>
          <t>FDX_FQ4_2026</t>
        </is>
      </c>
      <c r="B79" t="inlineStr">
        <is>
          <t>FDX</t>
        </is>
      </c>
      <c r="C79" t="inlineStr">
        <is>
          <t>2026-06-23</t>
        </is>
      </c>
      <c r="D79" t="inlineStr">
        <is>
          <t>2026-06-23</t>
        </is>
      </c>
      <c r="E79" t="inlineStr">
        <is>
          <t>after_hours</t>
        </is>
      </c>
      <c r="F79" t="inlineStr">
        <is>
          <t>NO</t>
        </is>
      </c>
      <c r="G79" t="inlineStr">
        <is>
          <t>returns_matrix.csv (corrected 2026-08-12)</t>
        </is>
      </c>
      <c r="H79" t="inlineStr">
        <is>
          <t>NO</t>
        </is>
      </c>
      <c r="I79" t="inlineStr"/>
    </row>
    <row r="80">
      <c r="A80" t="inlineStr">
        <is>
          <t>F_FQ1_2026</t>
        </is>
      </c>
      <c r="B80" t="inlineStr">
        <is>
          <t>F</t>
        </is>
      </c>
      <c r="C80" t="inlineStr">
        <is>
          <t>2026-04-29</t>
        </is>
      </c>
      <c r="D80" t="inlineStr">
        <is>
          <t>2026-04-29</t>
        </is>
      </c>
      <c r="E80" t="inlineStr">
        <is>
          <t>after_hours</t>
        </is>
      </c>
      <c r="F80" t="inlineStr">
        <is>
          <t>NO</t>
        </is>
      </c>
      <c r="G80" t="inlineStr">
        <is>
          <t>returns_matrix.csv (corrected 2026-08-12)</t>
        </is>
      </c>
      <c r="H80" t="inlineStr">
        <is>
          <t>NO</t>
        </is>
      </c>
      <c r="I80" t="inlineStr"/>
    </row>
    <row r="81">
      <c r="A81" t="inlineStr">
        <is>
          <t>F_FQ2_2025</t>
        </is>
      </c>
      <c r="B81" t="inlineStr">
        <is>
          <t>F</t>
        </is>
      </c>
      <c r="C81" t="inlineStr">
        <is>
          <t>2025-07-30</t>
        </is>
      </c>
      <c r="D81" t="inlineStr">
        <is>
          <t>2025-07-30</t>
        </is>
      </c>
      <c r="E81" t="inlineStr">
        <is>
          <t>after_hours</t>
        </is>
      </c>
      <c r="F81" t="inlineStr">
        <is>
          <t>NO</t>
        </is>
      </c>
      <c r="G81" t="inlineStr">
        <is>
          <t>returns_matrix.csv (corrected 2026-08-12)</t>
        </is>
      </c>
      <c r="H81" t="inlineStr">
        <is>
          <t>NO</t>
        </is>
      </c>
      <c r="I81" t="inlineStr"/>
    </row>
    <row r="82">
      <c r="A82" t="inlineStr">
        <is>
          <t>F_FQ4_2025</t>
        </is>
      </c>
      <c r="B82" t="inlineStr">
        <is>
          <t>F</t>
        </is>
      </c>
      <c r="C82" t="inlineStr">
        <is>
          <t>2026-02-10</t>
        </is>
      </c>
      <c r="D82" t="inlineStr">
        <is>
          <t>2026-02-10</t>
        </is>
      </c>
      <c r="E82" t="inlineStr">
        <is>
          <t>after_hours</t>
        </is>
      </c>
      <c r="F82" t="inlineStr">
        <is>
          <t>NO</t>
        </is>
      </c>
      <c r="G82" t="inlineStr">
        <is>
          <t>returns_matrix.csv (corrected 2026-08-12)</t>
        </is>
      </c>
      <c r="H82" t="inlineStr">
        <is>
          <t>NO</t>
        </is>
      </c>
      <c r="I82" t="inlineStr"/>
    </row>
    <row r="83">
      <c r="A83" t="inlineStr">
        <is>
          <t>GIS_FQ2_2026</t>
        </is>
      </c>
      <c r="B83" t="inlineStr">
        <is>
          <t>GIS</t>
        </is>
      </c>
      <c r="C83" t="inlineStr">
        <is>
          <t>2025-12-17</t>
        </is>
      </c>
      <c r="D83" t="inlineStr">
        <is>
          <t>2025-12-16</t>
        </is>
      </c>
      <c r="E83" t="inlineStr">
        <is>
          <t>pre_market</t>
        </is>
      </c>
      <c r="F83" t="inlineStr">
        <is>
          <t>YES</t>
        </is>
      </c>
      <c r="G83" t="inlineStr">
        <is>
          <t>returns_matrix.csv (corrected 2026-08-12)</t>
        </is>
      </c>
      <c r="H83" t="inlineStr">
        <is>
          <t>NO</t>
        </is>
      </c>
      <c r="I83" t="inlineStr"/>
    </row>
    <row r="84">
      <c r="A84" t="inlineStr">
        <is>
          <t>GIS_FQ3_2026</t>
        </is>
      </c>
      <c r="B84" t="inlineStr">
        <is>
          <t>GIS</t>
        </is>
      </c>
      <c r="C84" t="inlineStr">
        <is>
          <t>2026-03-18</t>
        </is>
      </c>
      <c r="D84" t="inlineStr">
        <is>
          <t>2026-03-17</t>
        </is>
      </c>
      <c r="E84" t="inlineStr">
        <is>
          <t>pre_market</t>
        </is>
      </c>
      <c r="F84" t="inlineStr">
        <is>
          <t>YES</t>
        </is>
      </c>
      <c r="G84" t="inlineStr">
        <is>
          <t>returns_matrix.csv (corrected 2026-08-12)</t>
        </is>
      </c>
      <c r="H84" t="inlineStr">
        <is>
          <t>NO</t>
        </is>
      </c>
      <c r="I84" t="inlineStr"/>
    </row>
    <row r="85">
      <c r="A85" t="inlineStr">
        <is>
          <t>GIS_FQ4_2026</t>
        </is>
      </c>
      <c r="B85" t="inlineStr">
        <is>
          <t>GIS</t>
        </is>
      </c>
      <c r="C85" t="inlineStr">
        <is>
          <t>2026-07-01</t>
        </is>
      </c>
      <c r="D85" t="inlineStr">
        <is>
          <t>2026-06-30</t>
        </is>
      </c>
      <c r="E85" t="inlineStr">
        <is>
          <t>pre_market</t>
        </is>
      </c>
      <c r="F85" t="inlineStr">
        <is>
          <t>YES</t>
        </is>
      </c>
      <c r="G85" t="inlineStr">
        <is>
          <t>returns_matrix.csv (corrected 2026-08-12)</t>
        </is>
      </c>
      <c r="H85" t="inlineStr">
        <is>
          <t>NO</t>
        </is>
      </c>
      <c r="I85" t="inlineStr"/>
    </row>
    <row r="86">
      <c r="A86" t="inlineStr">
        <is>
          <t>GOOGL_FQ1_2026</t>
        </is>
      </c>
      <c r="B86" t="inlineStr">
        <is>
          <t>GOOGL</t>
        </is>
      </c>
      <c r="C86" t="inlineStr">
        <is>
          <t>2026-04-29</t>
        </is>
      </c>
      <c r="D86" t="inlineStr">
        <is>
          <t>2026-04-29</t>
        </is>
      </c>
      <c r="E86" t="inlineStr">
        <is>
          <t>after_hours</t>
        </is>
      </c>
      <c r="F86" t="inlineStr">
        <is>
          <t>NO</t>
        </is>
      </c>
      <c r="G86" t="inlineStr">
        <is>
          <t>returns_matrix.csv (corrected 2026-08-12)</t>
        </is>
      </c>
      <c r="H86" t="inlineStr">
        <is>
          <t>NO</t>
        </is>
      </c>
      <c r="I86" t="inlineStr"/>
    </row>
    <row r="87">
      <c r="A87" t="inlineStr">
        <is>
          <t>GOOGL_FQ3_2025</t>
        </is>
      </c>
      <c r="B87" t="inlineStr">
        <is>
          <t>GOOGL</t>
        </is>
      </c>
      <c r="C87" t="inlineStr">
        <is>
          <t>2025-10-29</t>
        </is>
      </c>
      <c r="D87" t="inlineStr">
        <is>
          <t>2025-10-29</t>
        </is>
      </c>
      <c r="E87" t="inlineStr">
        <is>
          <t>after_hours</t>
        </is>
      </c>
      <c r="F87" t="inlineStr">
        <is>
          <t>NO</t>
        </is>
      </c>
      <c r="G87" t="inlineStr">
        <is>
          <t>returns_matrix.csv (corrected 2026-08-12)</t>
        </is>
      </c>
      <c r="H87" t="inlineStr">
        <is>
          <t>NO</t>
        </is>
      </c>
      <c r="I87" t="inlineStr"/>
    </row>
    <row r="88">
      <c r="A88" t="inlineStr">
        <is>
          <t>GOOGL_FQ4_2025</t>
        </is>
      </c>
      <c r="B88" t="inlineStr">
        <is>
          <t>GOOGL</t>
        </is>
      </c>
      <c r="C88" t="inlineStr">
        <is>
          <t>2026-02-04</t>
        </is>
      </c>
      <c r="D88" t="inlineStr">
        <is>
          <t>2026-02-04</t>
        </is>
      </c>
      <c r="E88" t="inlineStr">
        <is>
          <t>after_hours</t>
        </is>
      </c>
      <c r="F88" t="inlineStr">
        <is>
          <t>NO</t>
        </is>
      </c>
      <c r="G88" t="inlineStr">
        <is>
          <t>returns_matrix.csv (corrected 2026-08-12)</t>
        </is>
      </c>
      <c r="H88" t="inlineStr">
        <is>
          <t>NO</t>
        </is>
      </c>
      <c r="I88" t="inlineStr"/>
    </row>
    <row r="89">
      <c r="A89" t="inlineStr">
        <is>
          <t>GS_FQ1_2025</t>
        </is>
      </c>
      <c r="B89" t="inlineStr">
        <is>
          <t>GS</t>
        </is>
      </c>
      <c r="C89" t="inlineStr">
        <is>
          <t>2025-04-14</t>
        </is>
      </c>
      <c r="D89" t="inlineStr">
        <is>
          <t>2025-04-11</t>
        </is>
      </c>
      <c r="E89" t="inlineStr">
        <is>
          <t>pre_market</t>
        </is>
      </c>
      <c r="F89" t="inlineStr">
        <is>
          <t>YES</t>
        </is>
      </c>
      <c r="G89" t="inlineStr">
        <is>
          <t>returns_matrix.csv (corrected 2026-08-12)</t>
        </is>
      </c>
      <c r="H89" t="inlineStr">
        <is>
          <t>NO</t>
        </is>
      </c>
      <c r="I89" t="inlineStr"/>
    </row>
    <row r="90">
      <c r="A90" t="inlineStr">
        <is>
          <t>GS_FQ1_2026</t>
        </is>
      </c>
      <c r="B90" t="inlineStr">
        <is>
          <t>GS</t>
        </is>
      </c>
      <c r="C90" t="inlineStr">
        <is>
          <t>2026-04-13</t>
        </is>
      </c>
      <c r="D90" t="inlineStr">
        <is>
          <t>2026-04-10</t>
        </is>
      </c>
      <c r="E90" t="inlineStr">
        <is>
          <t>pre_market</t>
        </is>
      </c>
      <c r="F90" t="inlineStr">
        <is>
          <t>YES</t>
        </is>
      </c>
      <c r="G90" t="inlineStr">
        <is>
          <t>returns_matrix.csv (corrected 2026-08-12)</t>
        </is>
      </c>
      <c r="H90" t="inlineStr">
        <is>
          <t>NO</t>
        </is>
      </c>
      <c r="I90" t="inlineStr"/>
    </row>
    <row r="91">
      <c r="A91" t="inlineStr">
        <is>
          <t>GS_FQ2_2025</t>
        </is>
      </c>
      <c r="B91" t="inlineStr">
        <is>
          <t>GS</t>
        </is>
      </c>
      <c r="C91" t="inlineStr">
        <is>
          <t>2025-07-16</t>
        </is>
      </c>
      <c r="D91" t="inlineStr">
        <is>
          <t>2025-07-15</t>
        </is>
      </c>
      <c r="E91" t="inlineStr">
        <is>
          <t>pre_market</t>
        </is>
      </c>
      <c r="F91" t="inlineStr">
        <is>
          <t>YES</t>
        </is>
      </c>
      <c r="G91" t="inlineStr">
        <is>
          <t>returns_matrix.csv (corrected 2026-08-12)</t>
        </is>
      </c>
      <c r="H91" t="inlineStr">
        <is>
          <t>NO</t>
        </is>
      </c>
      <c r="I91" t="inlineStr"/>
    </row>
    <row r="92">
      <c r="A92" t="inlineStr">
        <is>
          <t>GS_FQ2_2026</t>
        </is>
      </c>
      <c r="B92" t="inlineStr">
        <is>
          <t>GS</t>
        </is>
      </c>
      <c r="C92" t="inlineStr">
        <is>
          <t>2026-07-14</t>
        </is>
      </c>
      <c r="D92" t="inlineStr">
        <is>
          <t>2026-07-13</t>
        </is>
      </c>
      <c r="E92" t="inlineStr">
        <is>
          <t>pre_market</t>
        </is>
      </c>
      <c r="F92" t="inlineStr">
        <is>
          <t>YES</t>
        </is>
      </c>
      <c r="G92" t="inlineStr">
        <is>
          <t>returns_matrix.csv (corrected 2026-08-12)</t>
        </is>
      </c>
      <c r="H92" t="inlineStr">
        <is>
          <t>NO</t>
        </is>
      </c>
      <c r="I92" t="inlineStr"/>
    </row>
    <row r="93">
      <c r="A93" t="inlineStr">
        <is>
          <t>GS_FQ3_2025</t>
        </is>
      </c>
      <c r="B93" t="inlineStr">
        <is>
          <t>GS</t>
        </is>
      </c>
      <c r="C93" t="inlineStr">
        <is>
          <t>2025-10-14</t>
        </is>
      </c>
      <c r="D93" t="inlineStr">
        <is>
          <t>2025-10-13</t>
        </is>
      </c>
      <c r="E93" t="inlineStr">
        <is>
          <t>pre_market</t>
        </is>
      </c>
      <c r="F93" t="inlineStr">
        <is>
          <t>YES</t>
        </is>
      </c>
      <c r="G93" t="inlineStr">
        <is>
          <t>returns_matrix.csv (corrected 2026-08-12)</t>
        </is>
      </c>
      <c r="H93" t="inlineStr">
        <is>
          <t>NO</t>
        </is>
      </c>
      <c r="I93" t="inlineStr"/>
    </row>
    <row r="94">
      <c r="A94" t="inlineStr">
        <is>
          <t>GS_FQ4_2025</t>
        </is>
      </c>
      <c r="B94" t="inlineStr">
        <is>
          <t>GS</t>
        </is>
      </c>
      <c r="C94" t="inlineStr">
        <is>
          <t>2026-01-15</t>
        </is>
      </c>
      <c r="D94" t="inlineStr">
        <is>
          <t>2026-01-14</t>
        </is>
      </c>
      <c r="E94" t="inlineStr">
        <is>
          <t>pre_market</t>
        </is>
      </c>
      <c r="F94" t="inlineStr">
        <is>
          <t>YES</t>
        </is>
      </c>
      <c r="G94" t="inlineStr">
        <is>
          <t>returns_matrix.csv (corrected 2026-08-12)</t>
        </is>
      </c>
      <c r="H94" t="inlineStr">
        <is>
          <t>NO</t>
        </is>
      </c>
      <c r="I94" t="inlineStr"/>
    </row>
    <row r="95">
      <c r="A95" t="inlineStr">
        <is>
          <t>HLT_FQ1_2025</t>
        </is>
      </c>
      <c r="B95" t="inlineStr">
        <is>
          <t>HLT</t>
        </is>
      </c>
      <c r="C95" t="inlineStr">
        <is>
          <t>2025-04-29</t>
        </is>
      </c>
      <c r="D95" t="inlineStr">
        <is>
          <t>2025-04-28</t>
        </is>
      </c>
      <c r="E95" t="inlineStr">
        <is>
          <t>pre_market</t>
        </is>
      </c>
      <c r="F95" t="inlineStr">
        <is>
          <t>YES</t>
        </is>
      </c>
      <c r="G95" t="inlineStr">
        <is>
          <t>returns_matrix.csv (corrected 2026-08-12)</t>
        </is>
      </c>
      <c r="H95" t="inlineStr">
        <is>
          <t>NO</t>
        </is>
      </c>
      <c r="I95" t="inlineStr"/>
    </row>
    <row r="96">
      <c r="A96" t="inlineStr">
        <is>
          <t>HLT_FQ1_2026</t>
        </is>
      </c>
      <c r="B96" t="inlineStr">
        <is>
          <t>HLT</t>
        </is>
      </c>
      <c r="C96" t="inlineStr">
        <is>
          <t>2026-04-28</t>
        </is>
      </c>
      <c r="D96" t="inlineStr">
        <is>
          <t>2026-04-27</t>
        </is>
      </c>
      <c r="E96" t="inlineStr">
        <is>
          <t>pre_market</t>
        </is>
      </c>
      <c r="F96" t="inlineStr">
        <is>
          <t>YES</t>
        </is>
      </c>
      <c r="G96" t="inlineStr">
        <is>
          <t>returns_matrix.csv (corrected 2026-08-12)</t>
        </is>
      </c>
      <c r="H96" t="inlineStr">
        <is>
          <t>NO</t>
        </is>
      </c>
      <c r="I96" t="inlineStr"/>
    </row>
    <row r="97">
      <c r="A97" t="inlineStr">
        <is>
          <t>HLT_FQ2_2025</t>
        </is>
      </c>
      <c r="B97" t="inlineStr">
        <is>
          <t>HLT</t>
        </is>
      </c>
      <c r="C97" t="inlineStr">
        <is>
          <t>2025-07-23</t>
        </is>
      </c>
      <c r="D97" t="inlineStr">
        <is>
          <t>2025-07-22</t>
        </is>
      </c>
      <c r="E97" t="inlineStr">
        <is>
          <t>pre_market</t>
        </is>
      </c>
      <c r="F97" t="inlineStr">
        <is>
          <t>YES</t>
        </is>
      </c>
      <c r="G97" t="inlineStr">
        <is>
          <t>returns_matrix.csv (corrected 2026-08-12)</t>
        </is>
      </c>
      <c r="H97" t="inlineStr">
        <is>
          <t>NO</t>
        </is>
      </c>
      <c r="I97" t="inlineStr"/>
    </row>
    <row r="98">
      <c r="A98" t="inlineStr">
        <is>
          <t>HLT_FQ3_2024</t>
        </is>
      </c>
      <c r="B98" t="inlineStr">
        <is>
          <t>HLT</t>
        </is>
      </c>
      <c r="C98" t="inlineStr">
        <is>
          <t>2024-10-23</t>
        </is>
      </c>
      <c r="D98" t="inlineStr">
        <is>
          <t>2024-10-22</t>
        </is>
      </c>
      <c r="E98" t="inlineStr">
        <is>
          <t>pre_market</t>
        </is>
      </c>
      <c r="F98" t="inlineStr">
        <is>
          <t>YES</t>
        </is>
      </c>
      <c r="G98" t="inlineStr">
        <is>
          <t>returns_matrix.csv (corrected 2026-08-12)</t>
        </is>
      </c>
      <c r="H98" t="inlineStr">
        <is>
          <t>NO</t>
        </is>
      </c>
      <c r="I98" t="inlineStr"/>
    </row>
    <row r="99">
      <c r="A99" t="inlineStr">
        <is>
          <t>HLT_FQ4_2025</t>
        </is>
      </c>
      <c r="B99" t="inlineStr">
        <is>
          <t>HLT</t>
        </is>
      </c>
      <c r="C99" t="inlineStr">
        <is>
          <t>2026-02-11</t>
        </is>
      </c>
      <c r="D99" t="inlineStr">
        <is>
          <t>2026-02-10</t>
        </is>
      </c>
      <c r="E99" t="inlineStr">
        <is>
          <t>pre_market</t>
        </is>
      </c>
      <c r="F99" t="inlineStr">
        <is>
          <t>YES</t>
        </is>
      </c>
      <c r="G99" t="inlineStr">
        <is>
          <t>returns_matrix.csv (corrected 2026-08-12)</t>
        </is>
      </c>
      <c r="H99" t="inlineStr">
        <is>
          <t>NO</t>
        </is>
      </c>
      <c r="I99" t="inlineStr"/>
    </row>
    <row r="100">
      <c r="A100" t="inlineStr">
        <is>
          <t>HOOD_FQ1_2025</t>
        </is>
      </c>
      <c r="B100" t="inlineStr">
        <is>
          <t>HOOD</t>
        </is>
      </c>
      <c r="C100" t="inlineStr">
        <is>
          <t>2025-04-30</t>
        </is>
      </c>
      <c r="D100" t="inlineStr">
        <is>
          <t>2025-04-30</t>
        </is>
      </c>
      <c r="E100" t="inlineStr">
        <is>
          <t>after_hours</t>
        </is>
      </c>
      <c r="F100" t="inlineStr">
        <is>
          <t>NO</t>
        </is>
      </c>
      <c r="G100" t="inlineStr">
        <is>
          <t>returns_matrix.csv (corrected 2026-08-12)</t>
        </is>
      </c>
      <c r="H100" t="inlineStr">
        <is>
          <t>NO</t>
        </is>
      </c>
      <c r="I100" t="inlineStr"/>
    </row>
    <row r="101">
      <c r="A101" t="inlineStr">
        <is>
          <t>HOOD_FQ1_2026</t>
        </is>
      </c>
      <c r="B101" t="inlineStr">
        <is>
          <t>HOOD</t>
        </is>
      </c>
      <c r="C101" t="inlineStr">
        <is>
          <t>2026-04-28</t>
        </is>
      </c>
      <c r="D101" t="inlineStr">
        <is>
          <t>2026-04-28</t>
        </is>
      </c>
      <c r="E101" t="inlineStr">
        <is>
          <t>after_hours</t>
        </is>
      </c>
      <c r="F101" t="inlineStr">
        <is>
          <t>NO</t>
        </is>
      </c>
      <c r="G101" t="inlineStr">
        <is>
          <t>returns_matrix.csv (corrected 2026-08-12)</t>
        </is>
      </c>
      <c r="H101" t="inlineStr">
        <is>
          <t>NO</t>
        </is>
      </c>
      <c r="I101" t="inlineStr"/>
    </row>
    <row r="102">
      <c r="A102" t="inlineStr">
        <is>
          <t>HOOD_FQ2_2025</t>
        </is>
      </c>
      <c r="B102" t="inlineStr">
        <is>
          <t>HOOD</t>
        </is>
      </c>
      <c r="C102" t="inlineStr">
        <is>
          <t>2025-07-30</t>
        </is>
      </c>
      <c r="D102" t="inlineStr">
        <is>
          <t>2025-07-30</t>
        </is>
      </c>
      <c r="E102" t="inlineStr">
        <is>
          <t>after_hours</t>
        </is>
      </c>
      <c r="F102" t="inlineStr">
        <is>
          <t>NO</t>
        </is>
      </c>
      <c r="G102" t="inlineStr">
        <is>
          <t>returns_matrix.csv (corrected 2026-08-12)</t>
        </is>
      </c>
      <c r="H102" t="inlineStr">
        <is>
          <t>NO</t>
        </is>
      </c>
      <c r="I102" t="inlineStr"/>
    </row>
    <row r="103">
      <c r="A103" t="inlineStr">
        <is>
          <t>HOOD_FQ3_2025</t>
        </is>
      </c>
      <c r="B103" t="inlineStr">
        <is>
          <t>HOOD</t>
        </is>
      </c>
      <c r="C103" t="inlineStr">
        <is>
          <t>2025-11-05</t>
        </is>
      </c>
      <c r="D103" t="inlineStr">
        <is>
          <t>2025-11-05</t>
        </is>
      </c>
      <c r="E103" t="inlineStr">
        <is>
          <t>after_hours</t>
        </is>
      </c>
      <c r="F103" t="inlineStr">
        <is>
          <t>NO</t>
        </is>
      </c>
      <c r="G103" t="inlineStr">
        <is>
          <t>returns_matrix.csv (corrected 2026-08-12)</t>
        </is>
      </c>
      <c r="H103" t="inlineStr">
        <is>
          <t>NO</t>
        </is>
      </c>
      <c r="I103" t="inlineStr"/>
    </row>
    <row r="104">
      <c r="A104" t="inlineStr">
        <is>
          <t>IBM_FQ1_2026</t>
        </is>
      </c>
      <c r="B104" t="inlineStr">
        <is>
          <t>IBM</t>
        </is>
      </c>
      <c r="C104" t="inlineStr">
        <is>
          <t>2026-04-22</t>
        </is>
      </c>
      <c r="D104" t="inlineStr">
        <is>
          <t>2026-04-22</t>
        </is>
      </c>
      <c r="E104" t="inlineStr">
        <is>
          <t>after_hours</t>
        </is>
      </c>
      <c r="F104" t="inlineStr">
        <is>
          <t>NO</t>
        </is>
      </c>
      <c r="G104" t="inlineStr">
        <is>
          <t>returns_matrix.csv (corrected 2026-08-12)</t>
        </is>
      </c>
      <c r="H104" t="inlineStr">
        <is>
          <t>NO</t>
        </is>
      </c>
      <c r="I104" t="inlineStr"/>
    </row>
    <row r="105">
      <c r="A105" t="inlineStr">
        <is>
          <t>IBM_FQ2_2025</t>
        </is>
      </c>
      <c r="B105" t="inlineStr">
        <is>
          <t>IBM</t>
        </is>
      </c>
      <c r="C105" t="inlineStr">
        <is>
          <t>2025-07-23</t>
        </is>
      </c>
      <c r="D105" t="inlineStr">
        <is>
          <t>2025-07-23</t>
        </is>
      </c>
      <c r="E105" t="inlineStr">
        <is>
          <t>after_hours</t>
        </is>
      </c>
      <c r="F105" t="inlineStr">
        <is>
          <t>NO</t>
        </is>
      </c>
      <c r="G105" t="inlineStr">
        <is>
          <t>returns_matrix.csv (corrected 2026-08-12)</t>
        </is>
      </c>
      <c r="H105" t="inlineStr">
        <is>
          <t>NO</t>
        </is>
      </c>
      <c r="I105" t="inlineStr"/>
    </row>
    <row r="106">
      <c r="A106" t="inlineStr">
        <is>
          <t>IBM_FQ4_2025</t>
        </is>
      </c>
      <c r="B106" t="inlineStr">
        <is>
          <t>IBM</t>
        </is>
      </c>
      <c r="C106" t="inlineStr">
        <is>
          <t>2026-01-28</t>
        </is>
      </c>
      <c r="D106" t="inlineStr">
        <is>
          <t>2026-01-28</t>
        </is>
      </c>
      <c r="E106" t="inlineStr">
        <is>
          <t>after_hours</t>
        </is>
      </c>
      <c r="F106" t="inlineStr">
        <is>
          <t>NO</t>
        </is>
      </c>
      <c r="G106" t="inlineStr">
        <is>
          <t>returns_matrix.csv (corrected 2026-08-12)</t>
        </is>
      </c>
      <c r="H106" t="inlineStr">
        <is>
          <t>NO</t>
        </is>
      </c>
      <c r="I106" t="inlineStr"/>
    </row>
    <row r="107">
      <c r="A107" t="inlineStr">
        <is>
          <t>JNJ_FQ1_2025</t>
        </is>
      </c>
      <c r="B107" t="inlineStr">
        <is>
          <t>JNJ</t>
        </is>
      </c>
      <c r="C107" t="inlineStr">
        <is>
          <t>2025-04-15</t>
        </is>
      </c>
      <c r="D107" t="inlineStr">
        <is>
          <t>2025-04-14</t>
        </is>
      </c>
      <c r="E107" t="inlineStr">
        <is>
          <t>pre_market</t>
        </is>
      </c>
      <c r="F107" t="inlineStr">
        <is>
          <t>YES</t>
        </is>
      </c>
      <c r="G107" t="inlineStr">
        <is>
          <t>returns_matrix.csv (corrected 2026-08-12)</t>
        </is>
      </c>
      <c r="H107" t="inlineStr">
        <is>
          <t>NO</t>
        </is>
      </c>
      <c r="I107" t="inlineStr"/>
    </row>
    <row r="108">
      <c r="A108" t="inlineStr">
        <is>
          <t>JNJ_FQ2_2025</t>
        </is>
      </c>
      <c r="B108" t="inlineStr">
        <is>
          <t>JNJ</t>
        </is>
      </c>
      <c r="C108" t="inlineStr">
        <is>
          <t>2025-07-16</t>
        </is>
      </c>
      <c r="D108" t="inlineStr">
        <is>
          <t>2025-07-15</t>
        </is>
      </c>
      <c r="E108" t="inlineStr">
        <is>
          <t>pre_market</t>
        </is>
      </c>
      <c r="F108" t="inlineStr">
        <is>
          <t>YES</t>
        </is>
      </c>
      <c r="G108" t="inlineStr">
        <is>
          <t>returns_matrix.csv (corrected 2026-08-12)</t>
        </is>
      </c>
      <c r="H108" t="inlineStr">
        <is>
          <t>NO</t>
        </is>
      </c>
      <c r="I108" t="inlineStr"/>
    </row>
    <row r="109">
      <c r="A109" t="inlineStr">
        <is>
          <t>JNJ_FQ3_2025</t>
        </is>
      </c>
      <c r="B109" t="inlineStr">
        <is>
          <t>JNJ</t>
        </is>
      </c>
      <c r="C109" t="inlineStr">
        <is>
          <t>2025-10-14</t>
        </is>
      </c>
      <c r="D109" t="inlineStr">
        <is>
          <t>2025-10-13</t>
        </is>
      </c>
      <c r="E109" t="inlineStr">
        <is>
          <t>pre_market</t>
        </is>
      </c>
      <c r="F109" t="inlineStr">
        <is>
          <t>YES</t>
        </is>
      </c>
      <c r="G109" t="inlineStr">
        <is>
          <t>returns_matrix.csv (corrected 2026-08-12)</t>
        </is>
      </c>
      <c r="H109" t="inlineStr">
        <is>
          <t>NO</t>
        </is>
      </c>
      <c r="I109" t="inlineStr"/>
    </row>
    <row r="110">
      <c r="A110" t="inlineStr">
        <is>
          <t>JPM_FQ1_2025</t>
        </is>
      </c>
      <c r="B110" t="inlineStr">
        <is>
          <t>JPM</t>
        </is>
      </c>
      <c r="C110" t="inlineStr">
        <is>
          <t>2025-04-11</t>
        </is>
      </c>
      <c r="D110" t="inlineStr">
        <is>
          <t>2025-04-10</t>
        </is>
      </c>
      <c r="E110" t="inlineStr">
        <is>
          <t>pre_market</t>
        </is>
      </c>
      <c r="F110" t="inlineStr">
        <is>
          <t>YES</t>
        </is>
      </c>
      <c r="G110" t="inlineStr">
        <is>
          <t>returns_matrix.csv (corrected 2026-08-12)</t>
        </is>
      </c>
      <c r="H110" t="inlineStr">
        <is>
          <t>NO</t>
        </is>
      </c>
      <c r="I110" t="inlineStr"/>
    </row>
    <row r="111">
      <c r="A111" t="inlineStr">
        <is>
          <t>JPM_FQ1_2026</t>
        </is>
      </c>
      <c r="B111" t="inlineStr">
        <is>
          <t>JPM</t>
        </is>
      </c>
      <c r="C111" t="inlineStr">
        <is>
          <t>2026-04-14</t>
        </is>
      </c>
      <c r="D111" t="inlineStr">
        <is>
          <t>2026-04-13</t>
        </is>
      </c>
      <c r="E111" t="inlineStr">
        <is>
          <t>pre_market</t>
        </is>
      </c>
      <c r="F111" t="inlineStr">
        <is>
          <t>YES</t>
        </is>
      </c>
      <c r="G111" t="inlineStr">
        <is>
          <t>returns_matrix.csv (corrected 2026-08-12)</t>
        </is>
      </c>
      <c r="H111" t="inlineStr">
        <is>
          <t>NO</t>
        </is>
      </c>
      <c r="I111" t="inlineStr"/>
    </row>
    <row r="112">
      <c r="A112" t="inlineStr">
        <is>
          <t>JPM_FQ2_2025</t>
        </is>
      </c>
      <c r="B112" t="inlineStr">
        <is>
          <t>JPM</t>
        </is>
      </c>
      <c r="C112" t="inlineStr">
        <is>
          <t>2025-07-15</t>
        </is>
      </c>
      <c r="D112" t="inlineStr">
        <is>
          <t>2025-07-14</t>
        </is>
      </c>
      <c r="E112" t="inlineStr">
        <is>
          <t>pre_market</t>
        </is>
      </c>
      <c r="F112" t="inlineStr">
        <is>
          <t>YES</t>
        </is>
      </c>
      <c r="G112" t="inlineStr">
        <is>
          <t>returns_matrix.csv (corrected 2026-08-12)</t>
        </is>
      </c>
      <c r="H112" t="inlineStr">
        <is>
          <t>NO</t>
        </is>
      </c>
      <c r="I112" t="inlineStr"/>
    </row>
    <row r="113">
      <c r="A113" t="inlineStr">
        <is>
          <t>JPM_FQ3_2025</t>
        </is>
      </c>
      <c r="B113" t="inlineStr">
        <is>
          <t>JPM</t>
        </is>
      </c>
      <c r="C113" t="inlineStr">
        <is>
          <t>2025-10-14</t>
        </is>
      </c>
      <c r="D113" t="inlineStr">
        <is>
          <t>2025-10-13</t>
        </is>
      </c>
      <c r="E113" t="inlineStr">
        <is>
          <t>pre_market</t>
        </is>
      </c>
      <c r="F113" t="inlineStr">
        <is>
          <t>YES</t>
        </is>
      </c>
      <c r="G113" t="inlineStr">
        <is>
          <t>returns_matrix.csv (corrected 2026-08-12)</t>
        </is>
      </c>
      <c r="H113" t="inlineStr">
        <is>
          <t>NO</t>
        </is>
      </c>
      <c r="I113" t="inlineStr"/>
    </row>
    <row r="114">
      <c r="A114" t="inlineStr">
        <is>
          <t>JPM_FQ4_2025</t>
        </is>
      </c>
      <c r="B114" t="inlineStr">
        <is>
          <t>JPM</t>
        </is>
      </c>
      <c r="C114" t="inlineStr">
        <is>
          <t>2026-01-13</t>
        </is>
      </c>
      <c r="D114" t="inlineStr">
        <is>
          <t>2026-01-12</t>
        </is>
      </c>
      <c r="E114" t="inlineStr">
        <is>
          <t>pre_market</t>
        </is>
      </c>
      <c r="F114" t="inlineStr">
        <is>
          <t>YES</t>
        </is>
      </c>
      <c r="G114" t="inlineStr">
        <is>
          <t>returns_matrix.csv (corrected 2026-08-12)</t>
        </is>
      </c>
      <c r="H114" t="inlineStr">
        <is>
          <t>NO</t>
        </is>
      </c>
      <c r="I114" t="inlineStr"/>
    </row>
    <row r="115">
      <c r="A115" t="inlineStr">
        <is>
          <t>KHC_FQ1_2025</t>
        </is>
      </c>
      <c r="B115" t="inlineStr">
        <is>
          <t>KHC</t>
        </is>
      </c>
      <c r="C115" t="inlineStr">
        <is>
          <t>2026-02-11</t>
        </is>
      </c>
      <c r="D115" t="inlineStr">
        <is>
          <t>2026-02-10</t>
        </is>
      </c>
      <c r="E115" t="inlineStr">
        <is>
          <t>pre_market</t>
        </is>
      </c>
      <c r="F115" t="inlineStr">
        <is>
          <t>YES</t>
        </is>
      </c>
      <c r="G115" t="inlineStr">
        <is>
          <t>returns_matrix.csv (corrected 2026-08-12)</t>
        </is>
      </c>
      <c r="H115" t="inlineStr">
        <is>
          <t>NO</t>
        </is>
      </c>
      <c r="I115" t="inlineStr"/>
    </row>
    <row r="116">
      <c r="A116" t="inlineStr">
        <is>
          <t>KHC_FQ1_2026</t>
        </is>
      </c>
      <c r="B116" t="inlineStr">
        <is>
          <t>KHC</t>
        </is>
      </c>
      <c r="C116" t="inlineStr">
        <is>
          <t>2026-05-06</t>
        </is>
      </c>
      <c r="D116" t="inlineStr">
        <is>
          <t>2026-05-05</t>
        </is>
      </c>
      <c r="E116" t="inlineStr">
        <is>
          <t>pre_market</t>
        </is>
      </c>
      <c r="F116" t="inlineStr">
        <is>
          <t>YES</t>
        </is>
      </c>
      <c r="G116" t="inlineStr">
        <is>
          <t>returns_matrix.csv (corrected 2026-08-12)</t>
        </is>
      </c>
      <c r="H116" t="inlineStr">
        <is>
          <t>NO</t>
        </is>
      </c>
      <c r="I116" t="inlineStr"/>
    </row>
    <row r="117">
      <c r="A117" t="inlineStr">
        <is>
          <t>KHC_FQ4_2024</t>
        </is>
      </c>
      <c r="B117" t="inlineStr">
        <is>
          <t>KHC</t>
        </is>
      </c>
      <c r="C117" t="inlineStr">
        <is>
          <t>2025-02-12</t>
        </is>
      </c>
      <c r="D117" t="inlineStr">
        <is>
          <t>2025-02-11</t>
        </is>
      </c>
      <c r="E117" t="inlineStr">
        <is>
          <t>pre_market</t>
        </is>
      </c>
      <c r="F117" t="inlineStr">
        <is>
          <t>YES</t>
        </is>
      </c>
      <c r="G117" t="inlineStr">
        <is>
          <t>returns_matrix.csv (corrected 2026-08-12)</t>
        </is>
      </c>
      <c r="H117" t="inlineStr">
        <is>
          <t>NO</t>
        </is>
      </c>
      <c r="I117" t="inlineStr"/>
    </row>
    <row r="118">
      <c r="A118" t="inlineStr">
        <is>
          <t>KO_FQ1_2026</t>
        </is>
      </c>
      <c r="B118" t="inlineStr">
        <is>
          <t>KO</t>
        </is>
      </c>
      <c r="C118" t="inlineStr">
        <is>
          <t>2026-04-28</t>
        </is>
      </c>
      <c r="D118" t="inlineStr">
        <is>
          <t>2026-04-27</t>
        </is>
      </c>
      <c r="E118" t="inlineStr">
        <is>
          <t>pre_market</t>
        </is>
      </c>
      <c r="F118" t="inlineStr">
        <is>
          <t>YES</t>
        </is>
      </c>
      <c r="G118" t="inlineStr">
        <is>
          <t>returns_matrix.csv (corrected 2026-08-12)</t>
        </is>
      </c>
      <c r="H118" t="inlineStr">
        <is>
          <t>NO</t>
        </is>
      </c>
      <c r="I118" t="inlineStr"/>
    </row>
    <row r="119">
      <c r="A119" t="inlineStr">
        <is>
          <t>KO_FQ2_2025</t>
        </is>
      </c>
      <c r="B119" t="inlineStr">
        <is>
          <t>KO</t>
        </is>
      </c>
      <c r="C119" t="inlineStr">
        <is>
          <t>2025-07-22</t>
        </is>
      </c>
      <c r="D119" t="inlineStr">
        <is>
          <t>2025-07-21</t>
        </is>
      </c>
      <c r="E119" t="inlineStr">
        <is>
          <t>pre_market</t>
        </is>
      </c>
      <c r="F119" t="inlineStr">
        <is>
          <t>YES</t>
        </is>
      </c>
      <c r="G119" t="inlineStr">
        <is>
          <t>returns_matrix.csv (corrected 2026-08-12)</t>
        </is>
      </c>
      <c r="H119" t="inlineStr">
        <is>
          <t>NO</t>
        </is>
      </c>
      <c r="I119" t="inlineStr"/>
    </row>
    <row r="120">
      <c r="A120" t="inlineStr">
        <is>
          <t>KO_FQ4_2025</t>
        </is>
      </c>
      <c r="B120" t="inlineStr">
        <is>
          <t>KO</t>
        </is>
      </c>
      <c r="C120" t="inlineStr">
        <is>
          <t>2026-02-10</t>
        </is>
      </c>
      <c r="D120" t="inlineStr">
        <is>
          <t>2026-02-09</t>
        </is>
      </c>
      <c r="E120" t="inlineStr">
        <is>
          <t>pre_market</t>
        </is>
      </c>
      <c r="F120" t="inlineStr">
        <is>
          <t>YES</t>
        </is>
      </c>
      <c r="G120" t="inlineStr">
        <is>
          <t>returns_matrix.csv (corrected 2026-08-12)</t>
        </is>
      </c>
      <c r="H120" t="inlineStr">
        <is>
          <t>NO</t>
        </is>
      </c>
      <c r="I120" t="inlineStr"/>
    </row>
    <row r="121">
      <c r="A121" t="inlineStr">
        <is>
          <t>LIN_FQ1_2026</t>
        </is>
      </c>
      <c r="B121" t="inlineStr">
        <is>
          <t>LIN</t>
        </is>
      </c>
      <c r="C121" t="inlineStr">
        <is>
          <t>2026-05-01</t>
        </is>
      </c>
      <c r="D121" t="inlineStr">
        <is>
          <t>2026-04-30</t>
        </is>
      </c>
      <c r="E121" t="inlineStr">
        <is>
          <t>pre_market</t>
        </is>
      </c>
      <c r="F121" t="inlineStr">
        <is>
          <t>YES</t>
        </is>
      </c>
      <c r="G121" t="inlineStr">
        <is>
          <t>returns_matrix.csv (corrected 2026-08-12)</t>
        </is>
      </c>
      <c r="H121" t="inlineStr">
        <is>
          <t>NO</t>
        </is>
      </c>
      <c r="I121" t="inlineStr"/>
    </row>
    <row r="122">
      <c r="A122" t="inlineStr">
        <is>
          <t>LIN_FQ2_2025</t>
        </is>
      </c>
      <c r="B122" t="inlineStr">
        <is>
          <t>LIN</t>
        </is>
      </c>
      <c r="C122" t="inlineStr">
        <is>
          <t>2025-08-01</t>
        </is>
      </c>
      <c r="D122" t="inlineStr">
        <is>
          <t>2025-07-31</t>
        </is>
      </c>
      <c r="E122" t="inlineStr">
        <is>
          <t>pre_market</t>
        </is>
      </c>
      <c r="F122" t="inlineStr">
        <is>
          <t>YES</t>
        </is>
      </c>
      <c r="G122" t="inlineStr">
        <is>
          <t>returns_matrix.csv (corrected 2026-08-12)</t>
        </is>
      </c>
      <c r="H122" t="inlineStr">
        <is>
          <t>NO</t>
        </is>
      </c>
      <c r="I122" t="inlineStr"/>
    </row>
    <row r="123">
      <c r="A123" t="inlineStr">
        <is>
          <t>LIN_FQ3_2025</t>
        </is>
      </c>
      <c r="B123" t="inlineStr">
        <is>
          <t>LIN</t>
        </is>
      </c>
      <c r="C123" t="inlineStr">
        <is>
          <t>2025-10-31</t>
        </is>
      </c>
      <c r="D123" t="inlineStr">
        <is>
          <t>2025-10-30</t>
        </is>
      </c>
      <c r="E123" t="inlineStr">
        <is>
          <t>pre_market</t>
        </is>
      </c>
      <c r="F123" t="inlineStr">
        <is>
          <t>YES</t>
        </is>
      </c>
      <c r="G123" t="inlineStr">
        <is>
          <t>returns_matrix.csv (corrected 2026-08-12)</t>
        </is>
      </c>
      <c r="H123" t="inlineStr">
        <is>
          <t>NO</t>
        </is>
      </c>
      <c r="I123" t="inlineStr"/>
    </row>
    <row r="124">
      <c r="A124" t="inlineStr">
        <is>
          <t>LLY_FQ1_2026</t>
        </is>
      </c>
      <c r="B124" t="inlineStr">
        <is>
          <t>LLY</t>
        </is>
      </c>
      <c r="C124" t="inlineStr">
        <is>
          <t>2026-04-30</t>
        </is>
      </c>
      <c r="D124" t="inlineStr">
        <is>
          <t>2026-04-29</t>
        </is>
      </c>
      <c r="E124" t="inlineStr">
        <is>
          <t>pre_market</t>
        </is>
      </c>
      <c r="F124" t="inlineStr">
        <is>
          <t>YES</t>
        </is>
      </c>
      <c r="G124" t="inlineStr">
        <is>
          <t>returns_matrix.csv (corrected 2026-08-12)</t>
        </is>
      </c>
      <c r="H124" t="inlineStr">
        <is>
          <t>NO</t>
        </is>
      </c>
      <c r="I124" t="inlineStr"/>
    </row>
    <row r="125">
      <c r="A125" t="inlineStr">
        <is>
          <t>LLY_FQ3_2025</t>
        </is>
      </c>
      <c r="B125" t="inlineStr">
        <is>
          <t>LLY</t>
        </is>
      </c>
      <c r="C125" t="inlineStr">
        <is>
          <t>2025-10-30</t>
        </is>
      </c>
      <c r="D125" t="inlineStr">
        <is>
          <t>2025-10-29</t>
        </is>
      </c>
      <c r="E125" t="inlineStr">
        <is>
          <t>pre_market</t>
        </is>
      </c>
      <c r="F125" t="inlineStr">
        <is>
          <t>YES</t>
        </is>
      </c>
      <c r="G125" t="inlineStr">
        <is>
          <t>returns_matrix.csv (corrected 2026-08-12)</t>
        </is>
      </c>
      <c r="H125" t="inlineStr">
        <is>
          <t>NO</t>
        </is>
      </c>
      <c r="I125" t="inlineStr"/>
    </row>
    <row r="126">
      <c r="A126" t="inlineStr">
        <is>
          <t>LLY_FQ4_2025</t>
        </is>
      </c>
      <c r="B126" t="inlineStr">
        <is>
          <t>LLY</t>
        </is>
      </c>
      <c r="C126" t="inlineStr">
        <is>
          <t>2026-02-04</t>
        </is>
      </c>
      <c r="D126" t="inlineStr">
        <is>
          <t>2026-02-03</t>
        </is>
      </c>
      <c r="E126" t="inlineStr">
        <is>
          <t>pre_market</t>
        </is>
      </c>
      <c r="F126" t="inlineStr">
        <is>
          <t>YES</t>
        </is>
      </c>
      <c r="G126" t="inlineStr">
        <is>
          <t>returns_matrix.csv (corrected 2026-08-12)</t>
        </is>
      </c>
      <c r="H126" t="inlineStr">
        <is>
          <t>NO</t>
        </is>
      </c>
      <c r="I126" t="inlineStr"/>
    </row>
    <row r="127">
      <c r="A127" t="inlineStr">
        <is>
          <t>LMT_FQ1_2025</t>
        </is>
      </c>
      <c r="B127" t="inlineStr">
        <is>
          <t>LMT</t>
        </is>
      </c>
      <c r="C127" t="inlineStr">
        <is>
          <t>2025-04-22</t>
        </is>
      </c>
      <c r="D127" t="inlineStr">
        <is>
          <t>2025-04-21</t>
        </is>
      </c>
      <c r="E127" t="inlineStr">
        <is>
          <t>pre_market</t>
        </is>
      </c>
      <c r="F127" t="inlineStr">
        <is>
          <t>YES</t>
        </is>
      </c>
      <c r="G127" t="inlineStr">
        <is>
          <t>returns_matrix.csv (corrected 2026-08-12)</t>
        </is>
      </c>
      <c r="H127" t="inlineStr">
        <is>
          <t>NO</t>
        </is>
      </c>
      <c r="I127" t="inlineStr"/>
    </row>
    <row r="128">
      <c r="A128" t="inlineStr">
        <is>
          <t>LMT_FQ2_2025</t>
        </is>
      </c>
      <c r="B128" t="inlineStr">
        <is>
          <t>LMT</t>
        </is>
      </c>
      <c r="C128" t="inlineStr">
        <is>
          <t>2025-07-22</t>
        </is>
      </c>
      <c r="D128" t="inlineStr">
        <is>
          <t>2025-07-21</t>
        </is>
      </c>
      <c r="E128" t="inlineStr">
        <is>
          <t>pre_market</t>
        </is>
      </c>
      <c r="F128" t="inlineStr">
        <is>
          <t>YES</t>
        </is>
      </c>
      <c r="G128" t="inlineStr">
        <is>
          <t>returns_matrix.csv (corrected 2026-08-12)</t>
        </is>
      </c>
      <c r="H128" t="inlineStr">
        <is>
          <t>NO</t>
        </is>
      </c>
      <c r="I128" t="inlineStr"/>
    </row>
    <row r="129">
      <c r="A129" t="inlineStr">
        <is>
          <t>LMT_FQ3_2025</t>
        </is>
      </c>
      <c r="B129" t="inlineStr">
        <is>
          <t>LMT</t>
        </is>
      </c>
      <c r="C129" t="inlineStr">
        <is>
          <t>2025-10-21</t>
        </is>
      </c>
      <c r="D129" t="inlineStr">
        <is>
          <t>2025-10-20</t>
        </is>
      </c>
      <c r="E129" t="inlineStr">
        <is>
          <t>pre_market</t>
        </is>
      </c>
      <c r="F129" t="inlineStr">
        <is>
          <t>YES</t>
        </is>
      </c>
      <c r="G129" t="inlineStr">
        <is>
          <t>returns_matrix.csv (corrected 2026-08-12)</t>
        </is>
      </c>
      <c r="H129" t="inlineStr">
        <is>
          <t>NO</t>
        </is>
      </c>
      <c r="I129" t="inlineStr"/>
    </row>
    <row r="130">
      <c r="A130" t="inlineStr">
        <is>
          <t>LMT_FQ4_2025</t>
        </is>
      </c>
      <c r="B130" t="inlineStr">
        <is>
          <t>LMT</t>
        </is>
      </c>
      <c r="C130" t="inlineStr">
        <is>
          <t>2026-01-29</t>
        </is>
      </c>
      <c r="D130" t="inlineStr">
        <is>
          <t>2026-01-28</t>
        </is>
      </c>
      <c r="E130" t="inlineStr">
        <is>
          <t>pre_market</t>
        </is>
      </c>
      <c r="F130" t="inlineStr">
        <is>
          <t>YES</t>
        </is>
      </c>
      <c r="G130" t="inlineStr">
        <is>
          <t>returns_matrix.csv (corrected 2026-08-12)</t>
        </is>
      </c>
      <c r="H130" t="inlineStr">
        <is>
          <t>NO</t>
        </is>
      </c>
      <c r="I130" t="inlineStr"/>
    </row>
    <row r="131">
      <c r="A131" t="inlineStr">
        <is>
          <t>LNVGY_FQ1_2026</t>
        </is>
      </c>
      <c r="B131" t="inlineStr">
        <is>
          <t>LNVGY</t>
        </is>
      </c>
      <c r="C131" t="inlineStr">
        <is>
          <t>2025-08-14</t>
        </is>
      </c>
      <c r="D131" t="inlineStr">
        <is>
          <t>2025-08-14</t>
        </is>
      </c>
      <c r="E131" t="inlineStr">
        <is>
          <t>after_hours</t>
        </is>
      </c>
      <c r="F131" t="inlineStr">
        <is>
          <t>NO</t>
        </is>
      </c>
      <c r="G131" t="inlineStr">
        <is>
          <t>returns_matrix.csv (corrected 2026-08-12)</t>
        </is>
      </c>
      <c r="H131" t="inlineStr">
        <is>
          <t>YES</t>
        </is>
      </c>
      <c r="I131" t="inlineStr"/>
    </row>
    <row r="132">
      <c r="A132" t="inlineStr">
        <is>
          <t>LNVGY_FQ2_2026</t>
        </is>
      </c>
      <c r="B132" t="inlineStr">
        <is>
          <t>LNVGY</t>
        </is>
      </c>
      <c r="C132" t="inlineStr">
        <is>
          <t>2026-01-30</t>
        </is>
      </c>
      <c r="D132" t="inlineStr">
        <is>
          <t>2026-01-30</t>
        </is>
      </c>
      <c r="E132" t="inlineStr">
        <is>
          <t>after_hours</t>
        </is>
      </c>
      <c r="F132" t="inlineStr">
        <is>
          <t>NO</t>
        </is>
      </c>
      <c r="G132" t="inlineStr">
        <is>
          <t>returns_matrix.csv (corrected 2026-08-12)</t>
        </is>
      </c>
      <c r="H132" t="inlineStr">
        <is>
          <t>YES</t>
        </is>
      </c>
      <c r="I132" t="inlineStr"/>
    </row>
    <row r="133">
      <c r="A133" t="inlineStr">
        <is>
          <t>LNVGY_FQ3_2026</t>
        </is>
      </c>
      <c r="B133" t="inlineStr">
        <is>
          <t>LNVGY</t>
        </is>
      </c>
      <c r="C133" t="inlineStr">
        <is>
          <t>2026-02-12</t>
        </is>
      </c>
      <c r="D133" t="inlineStr">
        <is>
          <t>2026-02-12</t>
        </is>
      </c>
      <c r="E133" t="inlineStr">
        <is>
          <t>after_hours</t>
        </is>
      </c>
      <c r="F133" t="inlineStr">
        <is>
          <t>NO</t>
        </is>
      </c>
      <c r="G133" t="inlineStr">
        <is>
          <t>returns_matrix.csv (corrected 2026-08-12)</t>
        </is>
      </c>
      <c r="H133" t="inlineStr">
        <is>
          <t>YES</t>
        </is>
      </c>
      <c r="I133" t="inlineStr"/>
    </row>
    <row r="134">
      <c r="A134" t="inlineStr">
        <is>
          <t>LNVGY_FQ4_2026</t>
        </is>
      </c>
      <c r="B134" t="inlineStr">
        <is>
          <t>LNVGY</t>
        </is>
      </c>
      <c r="C134" t="inlineStr">
        <is>
          <t>2026-05-22</t>
        </is>
      </c>
      <c r="D134" t="inlineStr">
        <is>
          <t>2026-05-22</t>
        </is>
      </c>
      <c r="E134" t="inlineStr">
        <is>
          <t>after_hours</t>
        </is>
      </c>
      <c r="F134" t="inlineStr">
        <is>
          <t>NO</t>
        </is>
      </c>
      <c r="G134" t="inlineStr">
        <is>
          <t>returns_matrix.csv (corrected 2026-08-12)</t>
        </is>
      </c>
      <c r="H134" t="inlineStr">
        <is>
          <t>YES</t>
        </is>
      </c>
      <c r="I134" t="inlineStr"/>
    </row>
    <row r="135">
      <c r="A135" t="inlineStr">
        <is>
          <t>LOW_FQ1_2025</t>
        </is>
      </c>
      <c r="B135" t="inlineStr">
        <is>
          <t>LOW</t>
        </is>
      </c>
      <c r="C135" t="inlineStr">
        <is>
          <t>2026-05-20</t>
        </is>
      </c>
      <c r="D135" t="inlineStr">
        <is>
          <t>2026-05-19</t>
        </is>
      </c>
      <c r="E135" t="inlineStr">
        <is>
          <t>pre_market</t>
        </is>
      </c>
      <c r="F135" t="inlineStr">
        <is>
          <t>YES</t>
        </is>
      </c>
      <c r="G135" t="inlineStr">
        <is>
          <t>returns_matrix.csv (corrected 2026-08-12)</t>
        </is>
      </c>
      <c r="H135" t="inlineStr">
        <is>
          <t>NO</t>
        </is>
      </c>
      <c r="I135" t="inlineStr"/>
    </row>
    <row r="136">
      <c r="A136" t="inlineStr">
        <is>
          <t>LOW_FQ1_2026</t>
        </is>
      </c>
      <c r="B136" t="inlineStr">
        <is>
          <t>LOW</t>
        </is>
      </c>
      <c r="C136" t="inlineStr">
        <is>
          <t>2026-05-20</t>
        </is>
      </c>
      <c r="D136" t="inlineStr">
        <is>
          <t>2026-05-19</t>
        </is>
      </c>
      <c r="E136" t="inlineStr">
        <is>
          <t>pre_market</t>
        </is>
      </c>
      <c r="F136" t="inlineStr">
        <is>
          <t>YES</t>
        </is>
      </c>
      <c r="G136" t="inlineStr">
        <is>
          <t>returns_matrix.csv (corrected 2026-08-12)</t>
        </is>
      </c>
      <c r="H136" t="inlineStr">
        <is>
          <t>NO</t>
        </is>
      </c>
      <c r="I136" t="inlineStr"/>
    </row>
    <row r="137">
      <c r="A137" t="inlineStr">
        <is>
          <t>LOW_FQ2_2025</t>
        </is>
      </c>
      <c r="B137" t="inlineStr">
        <is>
          <t>LOW</t>
        </is>
      </c>
      <c r="C137" t="inlineStr">
        <is>
          <t>2025-08-20</t>
        </is>
      </c>
      <c r="D137" t="inlineStr">
        <is>
          <t>2025-08-19</t>
        </is>
      </c>
      <c r="E137" t="inlineStr">
        <is>
          <t>pre_market</t>
        </is>
      </c>
      <c r="F137" t="inlineStr">
        <is>
          <t>YES</t>
        </is>
      </c>
      <c r="G137" t="inlineStr">
        <is>
          <t>returns_matrix.csv (corrected 2026-08-12)</t>
        </is>
      </c>
      <c r="H137" t="inlineStr">
        <is>
          <t>NO</t>
        </is>
      </c>
      <c r="I137" t="inlineStr"/>
    </row>
    <row r="138">
      <c r="A138" t="inlineStr">
        <is>
          <t>LOW_FQ3_2025</t>
        </is>
      </c>
      <c r="B138" t="inlineStr">
        <is>
          <t>LOW</t>
        </is>
      </c>
      <c r="C138" t="inlineStr">
        <is>
          <t>2025-11-19</t>
        </is>
      </c>
      <c r="D138" t="inlineStr">
        <is>
          <t>2025-11-18</t>
        </is>
      </c>
      <c r="E138" t="inlineStr">
        <is>
          <t>pre_market</t>
        </is>
      </c>
      <c r="F138" t="inlineStr">
        <is>
          <t>YES</t>
        </is>
      </c>
      <c r="G138" t="inlineStr">
        <is>
          <t>returns_matrix.csv (corrected 2026-08-12)</t>
        </is>
      </c>
      <c r="H138" t="inlineStr">
        <is>
          <t>NO</t>
        </is>
      </c>
      <c r="I138" t="inlineStr"/>
    </row>
    <row r="139">
      <c r="A139" t="inlineStr">
        <is>
          <t>LOW_FQ4_2025</t>
        </is>
      </c>
      <c r="B139" t="inlineStr">
        <is>
          <t>LOW</t>
        </is>
      </c>
      <c r="C139" t="inlineStr">
        <is>
          <t>2026-02-25</t>
        </is>
      </c>
      <c r="D139" t="inlineStr">
        <is>
          <t>2026-02-24</t>
        </is>
      </c>
      <c r="E139" t="inlineStr">
        <is>
          <t>pre_market</t>
        </is>
      </c>
      <c r="F139" t="inlineStr">
        <is>
          <t>YES</t>
        </is>
      </c>
      <c r="G139" t="inlineStr">
        <is>
          <t>returns_matrix.csv (corrected 2026-08-12)</t>
        </is>
      </c>
      <c r="H139" t="inlineStr">
        <is>
          <t>NO</t>
        </is>
      </c>
      <c r="I139" t="inlineStr"/>
    </row>
    <row r="140">
      <c r="A140" t="inlineStr">
        <is>
          <t>LULU_FQ1_2026</t>
        </is>
      </c>
      <c r="B140" t="inlineStr">
        <is>
          <t>LULU</t>
        </is>
      </c>
      <c r="C140" t="inlineStr">
        <is>
          <t>2026-06-04</t>
        </is>
      </c>
      <c r="D140" t="inlineStr">
        <is>
          <t>2026-06-04</t>
        </is>
      </c>
      <c r="E140" t="inlineStr">
        <is>
          <t>after_hours</t>
        </is>
      </c>
      <c r="F140" t="inlineStr">
        <is>
          <t>NO</t>
        </is>
      </c>
      <c r="G140" t="inlineStr">
        <is>
          <t>returns_matrix.csv (corrected 2026-08-12)</t>
        </is>
      </c>
      <c r="H140" t="inlineStr">
        <is>
          <t>NO</t>
        </is>
      </c>
      <c r="I140" t="inlineStr"/>
    </row>
    <row r="141">
      <c r="A141" t="inlineStr">
        <is>
          <t>LULU_FQ3_2025</t>
        </is>
      </c>
      <c r="B141" t="inlineStr">
        <is>
          <t>LULU</t>
        </is>
      </c>
      <c r="C141" t="inlineStr">
        <is>
          <t>2025-12-11</t>
        </is>
      </c>
      <c r="D141" t="inlineStr">
        <is>
          <t>2025-12-11</t>
        </is>
      </c>
      <c r="E141" t="inlineStr">
        <is>
          <t>after_hours</t>
        </is>
      </c>
      <c r="F141" t="inlineStr">
        <is>
          <t>NO</t>
        </is>
      </c>
      <c r="G141" t="inlineStr">
        <is>
          <t>returns_matrix.csv (corrected 2026-08-12)</t>
        </is>
      </c>
      <c r="H141" t="inlineStr">
        <is>
          <t>NO</t>
        </is>
      </c>
      <c r="I141" t="inlineStr"/>
    </row>
    <row r="142">
      <c r="A142" t="inlineStr">
        <is>
          <t>LULU_FQ4_2025</t>
        </is>
      </c>
      <c r="B142" t="inlineStr">
        <is>
          <t>LULU</t>
        </is>
      </c>
      <c r="C142" t="inlineStr">
        <is>
          <t>2026-03-17</t>
        </is>
      </c>
      <c r="D142" t="inlineStr">
        <is>
          <t>2026-03-17</t>
        </is>
      </c>
      <c r="E142" t="inlineStr">
        <is>
          <t>after_hours</t>
        </is>
      </c>
      <c r="F142" t="inlineStr">
        <is>
          <t>NO</t>
        </is>
      </c>
      <c r="G142" t="inlineStr">
        <is>
          <t>returns_matrix.csv (corrected 2026-08-12)</t>
        </is>
      </c>
      <c r="H142" t="inlineStr">
        <is>
          <t>NO</t>
        </is>
      </c>
      <c r="I142" t="inlineStr"/>
    </row>
    <row r="143">
      <c r="A143" t="inlineStr">
        <is>
          <t>MAR_FQ1_2026</t>
        </is>
      </c>
      <c r="B143" t="inlineStr">
        <is>
          <t>MAR</t>
        </is>
      </c>
      <c r="C143" t="inlineStr">
        <is>
          <t>2026-05-06</t>
        </is>
      </c>
      <c r="D143" t="inlineStr">
        <is>
          <t>2026-05-05</t>
        </is>
      </c>
      <c r="E143" t="inlineStr">
        <is>
          <t>pre_market</t>
        </is>
      </c>
      <c r="F143" t="inlineStr">
        <is>
          <t>YES</t>
        </is>
      </c>
      <c r="G143" t="inlineStr">
        <is>
          <t>returns_matrix.csv (corrected 2026-08-12)</t>
        </is>
      </c>
      <c r="H143" t="inlineStr">
        <is>
          <t>NO</t>
        </is>
      </c>
      <c r="I143" t="inlineStr"/>
    </row>
    <row r="144">
      <c r="A144" t="inlineStr">
        <is>
          <t>MAR_FQ2_2025</t>
        </is>
      </c>
      <c r="B144" t="inlineStr">
        <is>
          <t>MAR</t>
        </is>
      </c>
      <c r="C144" t="inlineStr">
        <is>
          <t>2025-08-05</t>
        </is>
      </c>
      <c r="D144" t="inlineStr">
        <is>
          <t>2025-08-04</t>
        </is>
      </c>
      <c r="E144" t="inlineStr">
        <is>
          <t>pre_market</t>
        </is>
      </c>
      <c r="F144" t="inlineStr">
        <is>
          <t>YES</t>
        </is>
      </c>
      <c r="G144" t="inlineStr">
        <is>
          <t>returns_matrix.csv (corrected 2026-08-12)</t>
        </is>
      </c>
      <c r="H144" t="inlineStr">
        <is>
          <t>NO</t>
        </is>
      </c>
      <c r="I144" t="inlineStr"/>
    </row>
    <row r="145">
      <c r="A145" t="inlineStr">
        <is>
          <t>MAR_FQ3_2025</t>
        </is>
      </c>
      <c r="B145" t="inlineStr">
        <is>
          <t>MAR</t>
        </is>
      </c>
      <c r="C145" t="inlineStr">
        <is>
          <t>2025-11-04</t>
        </is>
      </c>
      <c r="D145" t="inlineStr">
        <is>
          <t>2025-11-03</t>
        </is>
      </c>
      <c r="E145" t="inlineStr">
        <is>
          <t>pre_market</t>
        </is>
      </c>
      <c r="F145" t="inlineStr">
        <is>
          <t>YES</t>
        </is>
      </c>
      <c r="G145" t="inlineStr">
        <is>
          <t>returns_matrix.csv (corrected 2026-08-12)</t>
        </is>
      </c>
      <c r="H145" t="inlineStr">
        <is>
          <t>NO</t>
        </is>
      </c>
      <c r="I145" t="inlineStr"/>
    </row>
    <row r="146">
      <c r="A146" t="inlineStr">
        <is>
          <t>MAR_FQ4_2025</t>
        </is>
      </c>
      <c r="B146" t="inlineStr">
        <is>
          <t>MAR</t>
        </is>
      </c>
      <c r="C146" t="inlineStr">
        <is>
          <t>2026-02-10</t>
        </is>
      </c>
      <c r="D146" t="inlineStr">
        <is>
          <t>2026-02-09</t>
        </is>
      </c>
      <c r="E146" t="inlineStr">
        <is>
          <t>pre_market</t>
        </is>
      </c>
      <c r="F146" t="inlineStr">
        <is>
          <t>YES</t>
        </is>
      </c>
      <c r="G146" t="inlineStr">
        <is>
          <t>returns_matrix.csv (corrected 2026-08-12)</t>
        </is>
      </c>
      <c r="H146" t="inlineStr">
        <is>
          <t>NO</t>
        </is>
      </c>
      <c r="I146" t="inlineStr"/>
    </row>
    <row r="147">
      <c r="A147" t="inlineStr">
        <is>
          <t>MC.PA_FQ2_2025</t>
        </is>
      </c>
      <c r="B147" t="inlineStr">
        <is>
          <t>MC.PA</t>
        </is>
      </c>
      <c r="C147" t="inlineStr">
        <is>
          <t>2025-07-24</t>
        </is>
      </c>
      <c r="D147" t="inlineStr">
        <is>
          <t>2025-07-24</t>
        </is>
      </c>
      <c r="E147" t="inlineStr">
        <is>
          <t>after_hours</t>
        </is>
      </c>
      <c r="F147" t="inlineStr">
        <is>
          <t>NO</t>
        </is>
      </c>
      <c r="G147" t="inlineStr">
        <is>
          <t>returns_matrix.csv (corrected 2026-08-12)</t>
        </is>
      </c>
      <c r="H147" t="inlineStr">
        <is>
          <t>NO</t>
        </is>
      </c>
      <c r="I147" t="inlineStr"/>
    </row>
    <row r="148">
      <c r="A148" t="inlineStr">
        <is>
          <t>MC.PA_FQ4_2025</t>
        </is>
      </c>
      <c r="B148" t="inlineStr">
        <is>
          <t>MC.PA</t>
        </is>
      </c>
      <c r="C148" t="inlineStr">
        <is>
          <t>2026-01-27</t>
        </is>
      </c>
      <c r="D148" t="inlineStr">
        <is>
          <t>2026-01-27</t>
        </is>
      </c>
      <c r="E148" t="inlineStr">
        <is>
          <t>after_hours</t>
        </is>
      </c>
      <c r="F148" t="inlineStr">
        <is>
          <t>NO</t>
        </is>
      </c>
      <c r="G148" t="inlineStr">
        <is>
          <t>returns_matrix.csv (corrected 2026-08-12)</t>
        </is>
      </c>
      <c r="H148" t="inlineStr">
        <is>
          <t>NO</t>
        </is>
      </c>
      <c r="I148" t="inlineStr"/>
    </row>
    <row r="149">
      <c r="A149" t="inlineStr">
        <is>
          <t>MCD_FQ1_2026</t>
        </is>
      </c>
      <c r="B149" t="inlineStr">
        <is>
          <t>MCD</t>
        </is>
      </c>
      <c r="C149" t="inlineStr">
        <is>
          <t>2026-05-07</t>
        </is>
      </c>
      <c r="D149" t="inlineStr">
        <is>
          <t>2026-05-06</t>
        </is>
      </c>
      <c r="E149" t="inlineStr">
        <is>
          <t>pre_market</t>
        </is>
      </c>
      <c r="F149" t="inlineStr">
        <is>
          <t>YES</t>
        </is>
      </c>
      <c r="G149" t="inlineStr">
        <is>
          <t>returns_matrix.csv (corrected 2026-08-12)</t>
        </is>
      </c>
      <c r="H149" t="inlineStr">
        <is>
          <t>NO</t>
        </is>
      </c>
      <c r="I149" t="inlineStr"/>
    </row>
    <row r="150">
      <c r="A150" t="inlineStr">
        <is>
          <t>MCD_FQ4_2024</t>
        </is>
      </c>
      <c r="B150" t="inlineStr">
        <is>
          <t>MCD</t>
        </is>
      </c>
      <c r="C150" t="inlineStr">
        <is>
          <t>2025-02-10</t>
        </is>
      </c>
      <c r="D150" t="inlineStr">
        <is>
          <t>2025-02-07</t>
        </is>
      </c>
      <c r="E150" t="inlineStr">
        <is>
          <t>pre_market</t>
        </is>
      </c>
      <c r="F150" t="inlineStr">
        <is>
          <t>YES</t>
        </is>
      </c>
      <c r="G150" t="inlineStr">
        <is>
          <t>returns_matrix.csv (corrected 2026-08-12)</t>
        </is>
      </c>
      <c r="H150" t="inlineStr">
        <is>
          <t>NO</t>
        </is>
      </c>
      <c r="I150" t="inlineStr"/>
    </row>
    <row r="151">
      <c r="A151" t="inlineStr">
        <is>
          <t>MCD_FQ4_2025</t>
        </is>
      </c>
      <c r="B151" t="inlineStr">
        <is>
          <t>MCD</t>
        </is>
      </c>
      <c r="C151" t="inlineStr">
        <is>
          <t>2026-02-11</t>
        </is>
      </c>
      <c r="D151" t="inlineStr">
        <is>
          <t>2026-02-10</t>
        </is>
      </c>
      <c r="E151" t="inlineStr">
        <is>
          <t>pre_market</t>
        </is>
      </c>
      <c r="F151" t="inlineStr">
        <is>
          <t>YES</t>
        </is>
      </c>
      <c r="G151" t="inlineStr">
        <is>
          <t>returns_matrix.csv (corrected 2026-08-12)</t>
        </is>
      </c>
      <c r="H151" t="inlineStr">
        <is>
          <t>NO</t>
        </is>
      </c>
      <c r="I151" t="inlineStr"/>
    </row>
    <row r="152">
      <c r="A152" t="inlineStr">
        <is>
          <t>META_FQ1_2026</t>
        </is>
      </c>
      <c r="B152" t="inlineStr">
        <is>
          <t>META</t>
        </is>
      </c>
      <c r="C152" t="inlineStr">
        <is>
          <t>2026-04-29</t>
        </is>
      </c>
      <c r="D152" t="inlineStr">
        <is>
          <t>2026-04-29</t>
        </is>
      </c>
      <c r="E152" t="inlineStr">
        <is>
          <t>after_hours</t>
        </is>
      </c>
      <c r="F152" t="inlineStr">
        <is>
          <t>NO</t>
        </is>
      </c>
      <c r="G152" t="inlineStr">
        <is>
          <t>returns_matrix.csv (corrected 2026-08-12)</t>
        </is>
      </c>
      <c r="H152" t="inlineStr">
        <is>
          <t>NO</t>
        </is>
      </c>
      <c r="I152" t="inlineStr"/>
    </row>
    <row r="153">
      <c r="A153" t="inlineStr">
        <is>
          <t>META_FQ3_2025</t>
        </is>
      </c>
      <c r="B153" t="inlineStr">
        <is>
          <t>META</t>
        </is>
      </c>
      <c r="C153" t="inlineStr">
        <is>
          <t>2025-10-29</t>
        </is>
      </c>
      <c r="D153" t="inlineStr">
        <is>
          <t>2025-10-29</t>
        </is>
      </c>
      <c r="E153" t="inlineStr">
        <is>
          <t>after_hours</t>
        </is>
      </c>
      <c r="F153" t="inlineStr">
        <is>
          <t>NO</t>
        </is>
      </c>
      <c r="G153" t="inlineStr">
        <is>
          <t>returns_matrix.csv (corrected 2026-08-12)</t>
        </is>
      </c>
      <c r="H153" t="inlineStr">
        <is>
          <t>NO</t>
        </is>
      </c>
      <c r="I153" t="inlineStr"/>
    </row>
    <row r="154">
      <c r="A154" t="inlineStr">
        <is>
          <t>META_FQ4_2025</t>
        </is>
      </c>
      <c r="B154" t="inlineStr">
        <is>
          <t>META</t>
        </is>
      </c>
      <c r="C154" t="inlineStr">
        <is>
          <t>2026-01-28</t>
        </is>
      </c>
      <c r="D154" t="inlineStr">
        <is>
          <t>2026-01-28</t>
        </is>
      </c>
      <c r="E154" t="inlineStr">
        <is>
          <t>after_hours</t>
        </is>
      </c>
      <c r="F154" t="inlineStr">
        <is>
          <t>NO</t>
        </is>
      </c>
      <c r="G154" t="inlineStr">
        <is>
          <t>returns_matrix.csv (corrected 2026-08-12)</t>
        </is>
      </c>
      <c r="H154" t="inlineStr">
        <is>
          <t>NO</t>
        </is>
      </c>
      <c r="I154" t="inlineStr"/>
    </row>
    <row r="155">
      <c r="A155" t="inlineStr">
        <is>
          <t>MET_FQ1_2026</t>
        </is>
      </c>
      <c r="B155" t="inlineStr">
        <is>
          <t>MET</t>
        </is>
      </c>
      <c r="C155" t="inlineStr">
        <is>
          <t>2026-05-06</t>
        </is>
      </c>
      <c r="D155" t="inlineStr">
        <is>
          <t>2026-05-06</t>
        </is>
      </c>
      <c r="E155" t="inlineStr">
        <is>
          <t>after_hours</t>
        </is>
      </c>
      <c r="F155" t="inlineStr">
        <is>
          <t>NO</t>
        </is>
      </c>
      <c r="G155" t="inlineStr">
        <is>
          <t>returns_matrix.csv (corrected 2026-08-12)</t>
        </is>
      </c>
      <c r="H155" t="inlineStr">
        <is>
          <t>NO</t>
        </is>
      </c>
      <c r="I155" t="inlineStr"/>
    </row>
    <row r="156">
      <c r="A156" t="inlineStr">
        <is>
          <t>MET_FQ2_2024</t>
        </is>
      </c>
      <c r="B156" t="inlineStr">
        <is>
          <t>MET</t>
        </is>
      </c>
      <c r="C156" t="inlineStr">
        <is>
          <t>2024-07-31</t>
        </is>
      </c>
      <c r="D156" t="inlineStr">
        <is>
          <t>2024-07-31</t>
        </is>
      </c>
      <c r="E156" t="inlineStr">
        <is>
          <t>after_hours</t>
        </is>
      </c>
      <c r="F156" t="inlineStr">
        <is>
          <t>NO</t>
        </is>
      </c>
      <c r="G156" t="inlineStr">
        <is>
          <t>returns_matrix.csv (corrected 2026-08-12)</t>
        </is>
      </c>
      <c r="H156" t="inlineStr">
        <is>
          <t>NO</t>
        </is>
      </c>
      <c r="I156" t="inlineStr"/>
    </row>
    <row r="157">
      <c r="A157" t="inlineStr">
        <is>
          <t>MET_FQ2_2025</t>
        </is>
      </c>
      <c r="B157" t="inlineStr">
        <is>
          <t>MET</t>
        </is>
      </c>
      <c r="C157" t="inlineStr">
        <is>
          <t>2025-08-06</t>
        </is>
      </c>
      <c r="D157" t="inlineStr">
        <is>
          <t>2025-08-06</t>
        </is>
      </c>
      <c r="E157" t="inlineStr">
        <is>
          <t>after_hours</t>
        </is>
      </c>
      <c r="F157" t="inlineStr">
        <is>
          <t>NO</t>
        </is>
      </c>
      <c r="G157" t="inlineStr">
        <is>
          <t>returns_matrix.csv (corrected 2026-08-12)</t>
        </is>
      </c>
      <c r="H157" t="inlineStr">
        <is>
          <t>NO</t>
        </is>
      </c>
      <c r="I157" t="inlineStr"/>
    </row>
    <row r="158">
      <c r="A158" t="inlineStr">
        <is>
          <t>MET_FQ3_2024</t>
        </is>
      </c>
      <c r="B158" t="inlineStr">
        <is>
          <t>MET</t>
        </is>
      </c>
      <c r="C158" t="inlineStr">
        <is>
          <t>2024-10-30</t>
        </is>
      </c>
      <c r="D158" t="inlineStr">
        <is>
          <t>2024-10-30</t>
        </is>
      </c>
      <c r="E158" t="inlineStr">
        <is>
          <t>after_hours</t>
        </is>
      </c>
      <c r="F158" t="inlineStr">
        <is>
          <t>NO</t>
        </is>
      </c>
      <c r="G158" t="inlineStr">
        <is>
          <t>returns_matrix.csv (corrected 2026-08-12)</t>
        </is>
      </c>
      <c r="H158" t="inlineStr">
        <is>
          <t>NO</t>
        </is>
      </c>
      <c r="I158" t="inlineStr"/>
    </row>
    <row r="159">
      <c r="A159" t="inlineStr">
        <is>
          <t>MET_FQ3_2025</t>
        </is>
      </c>
      <c r="B159" t="inlineStr">
        <is>
          <t>MET</t>
        </is>
      </c>
      <c r="C159" t="inlineStr">
        <is>
          <t>2025-11-05</t>
        </is>
      </c>
      <c r="D159" t="inlineStr">
        <is>
          <t>2025-11-05</t>
        </is>
      </c>
      <c r="E159" t="inlineStr">
        <is>
          <t>after_hours</t>
        </is>
      </c>
      <c r="F159" t="inlineStr">
        <is>
          <t>NO</t>
        </is>
      </c>
      <c r="G159" t="inlineStr">
        <is>
          <t>returns_matrix.csv (corrected 2026-08-12)</t>
        </is>
      </c>
      <c r="H159" t="inlineStr">
        <is>
          <t>NO</t>
        </is>
      </c>
      <c r="I159" t="inlineStr"/>
    </row>
    <row r="160">
      <c r="A160" t="inlineStr">
        <is>
          <t>MET_FQ4_2025</t>
        </is>
      </c>
      <c r="B160" t="inlineStr">
        <is>
          <t>MET</t>
        </is>
      </c>
      <c r="C160" t="inlineStr">
        <is>
          <t>2026-02-04</t>
        </is>
      </c>
      <c r="D160" t="inlineStr">
        <is>
          <t>2026-02-04</t>
        </is>
      </c>
      <c r="E160" t="inlineStr">
        <is>
          <t>after_hours</t>
        </is>
      </c>
      <c r="F160" t="inlineStr">
        <is>
          <t>NO</t>
        </is>
      </c>
      <c r="G160" t="inlineStr">
        <is>
          <t>returns_matrix.csv (corrected 2026-08-12)</t>
        </is>
      </c>
      <c r="H160" t="inlineStr">
        <is>
          <t>NO</t>
        </is>
      </c>
      <c r="I160" t="inlineStr"/>
    </row>
    <row r="161">
      <c r="A161" t="inlineStr">
        <is>
          <t>MSFT_FQ1_2025</t>
        </is>
      </c>
      <c r="B161" t="inlineStr">
        <is>
          <t>MSFT</t>
        </is>
      </c>
      <c r="C161" t="inlineStr">
        <is>
          <t>2024-10-30</t>
        </is>
      </c>
      <c r="D161" t="inlineStr">
        <is>
          <t>2024-10-30</t>
        </is>
      </c>
      <c r="E161" t="inlineStr">
        <is>
          <t>after_hours</t>
        </is>
      </c>
      <c r="F161" t="inlineStr">
        <is>
          <t>NO</t>
        </is>
      </c>
      <c r="G161" t="inlineStr">
        <is>
          <t>returns_matrix.csv (corrected 2026-08-12)</t>
        </is>
      </c>
      <c r="H161" t="inlineStr">
        <is>
          <t>NO</t>
        </is>
      </c>
      <c r="I161" t="inlineStr"/>
    </row>
    <row r="162">
      <c r="A162" t="inlineStr">
        <is>
          <t>MSFT_FQ1_2026</t>
        </is>
      </c>
      <c r="B162" t="inlineStr">
        <is>
          <t>MSFT</t>
        </is>
      </c>
      <c r="C162" t="inlineStr">
        <is>
          <t>2025-10-29</t>
        </is>
      </c>
      <c r="D162" t="inlineStr">
        <is>
          <t>2025-10-29</t>
        </is>
      </c>
      <c r="E162" t="inlineStr">
        <is>
          <t>after_hours</t>
        </is>
      </c>
      <c r="F162" t="inlineStr">
        <is>
          <t>NO</t>
        </is>
      </c>
      <c r="G162" t="inlineStr">
        <is>
          <t>returns_matrix.csv (corrected 2026-08-12)</t>
        </is>
      </c>
      <c r="H162" t="inlineStr">
        <is>
          <t>NO</t>
        </is>
      </c>
      <c r="I162" t="inlineStr"/>
    </row>
    <row r="163">
      <c r="A163" t="inlineStr">
        <is>
          <t>MSFT_FQ2_2025</t>
        </is>
      </c>
      <c r="B163" t="inlineStr">
        <is>
          <t>MSFT</t>
        </is>
      </c>
      <c r="C163" t="inlineStr">
        <is>
          <t>2025-01-29</t>
        </is>
      </c>
      <c r="D163" t="inlineStr">
        <is>
          <t>2025-01-29</t>
        </is>
      </c>
      <c r="E163" t="inlineStr">
        <is>
          <t>after_hours</t>
        </is>
      </c>
      <c r="F163" t="inlineStr">
        <is>
          <t>NO</t>
        </is>
      </c>
      <c r="G163" t="inlineStr">
        <is>
          <t>returns_matrix.csv (corrected 2026-08-12)</t>
        </is>
      </c>
      <c r="H163" t="inlineStr">
        <is>
          <t>NO</t>
        </is>
      </c>
      <c r="I163" t="inlineStr"/>
    </row>
    <row r="164">
      <c r="A164" t="inlineStr">
        <is>
          <t>MU_FQ1_2026</t>
        </is>
      </c>
      <c r="B164" t="inlineStr">
        <is>
          <t>MU</t>
        </is>
      </c>
      <c r="C164" t="inlineStr">
        <is>
          <t>2025-12-17</t>
        </is>
      </c>
      <c r="D164" t="inlineStr">
        <is>
          <t>2025-12-17</t>
        </is>
      </c>
      <c r="E164" t="inlineStr">
        <is>
          <t>after_hours</t>
        </is>
      </c>
      <c r="F164" t="inlineStr">
        <is>
          <t>NO</t>
        </is>
      </c>
      <c r="G164" t="inlineStr">
        <is>
          <t>returns_matrix.csv (corrected 2026-08-12)</t>
        </is>
      </c>
      <c r="H164" t="inlineStr">
        <is>
          <t>NO</t>
        </is>
      </c>
      <c r="I164" t="inlineStr"/>
    </row>
    <row r="165">
      <c r="A165" t="inlineStr">
        <is>
          <t>MU_FQ2_2026</t>
        </is>
      </c>
      <c r="B165" t="inlineStr">
        <is>
          <t>MU</t>
        </is>
      </c>
      <c r="C165" t="inlineStr">
        <is>
          <t>2026-03-18</t>
        </is>
      </c>
      <c r="D165" t="inlineStr">
        <is>
          <t>2026-03-18</t>
        </is>
      </c>
      <c r="E165" t="inlineStr">
        <is>
          <t>after_hours</t>
        </is>
      </c>
      <c r="F165" t="inlineStr">
        <is>
          <t>NO</t>
        </is>
      </c>
      <c r="G165" t="inlineStr">
        <is>
          <t>returns_matrix.csv (corrected 2026-08-12)</t>
        </is>
      </c>
      <c r="H165" t="inlineStr">
        <is>
          <t>NO</t>
        </is>
      </c>
      <c r="I165" t="inlineStr"/>
    </row>
    <row r="166">
      <c r="A166" t="inlineStr">
        <is>
          <t>MU_FQ4_2025</t>
        </is>
      </c>
      <c r="B166" t="inlineStr">
        <is>
          <t>MU</t>
        </is>
      </c>
      <c r="C166" t="inlineStr">
        <is>
          <t>2025-09-23</t>
        </is>
      </c>
      <c r="D166" t="inlineStr">
        <is>
          <t>2025-09-23</t>
        </is>
      </c>
      <c r="E166" t="inlineStr">
        <is>
          <t>after_hours</t>
        </is>
      </c>
      <c r="F166" t="inlineStr">
        <is>
          <t>NO</t>
        </is>
      </c>
      <c r="G166" t="inlineStr">
        <is>
          <t>returns_matrix.csv (corrected 2026-08-12)</t>
        </is>
      </c>
      <c r="H166" t="inlineStr">
        <is>
          <t>NO</t>
        </is>
      </c>
      <c r="I166" t="inlineStr"/>
    </row>
    <row r="167">
      <c r="A167" t="inlineStr">
        <is>
          <t>NFLX_FQ1_2025</t>
        </is>
      </c>
      <c r="B167" t="inlineStr">
        <is>
          <t>NFLX</t>
        </is>
      </c>
      <c r="C167" t="inlineStr">
        <is>
          <t>2025-04-17</t>
        </is>
      </c>
      <c r="D167" t="inlineStr">
        <is>
          <t>2025-04-17</t>
        </is>
      </c>
      <c r="E167" t="inlineStr">
        <is>
          <t>after_hours</t>
        </is>
      </c>
      <c r="F167" t="inlineStr">
        <is>
          <t>NO</t>
        </is>
      </c>
      <c r="G167" t="inlineStr">
        <is>
          <t>returns_matrix.csv (corrected 2026-08-12)</t>
        </is>
      </c>
      <c r="H167" t="inlineStr">
        <is>
          <t>NO</t>
        </is>
      </c>
      <c r="I167" t="inlineStr"/>
    </row>
    <row r="168">
      <c r="A168" t="inlineStr">
        <is>
          <t>NFLX_FQ1_2026</t>
        </is>
      </c>
      <c r="B168" t="inlineStr">
        <is>
          <t>NFLX</t>
        </is>
      </c>
      <c r="C168" t="inlineStr">
        <is>
          <t>2026-04-16</t>
        </is>
      </c>
      <c r="D168" t="inlineStr">
        <is>
          <t>2026-04-16</t>
        </is>
      </c>
      <c r="E168" t="inlineStr">
        <is>
          <t>after_hours</t>
        </is>
      </c>
      <c r="F168" t="inlineStr">
        <is>
          <t>NO</t>
        </is>
      </c>
      <c r="G168" t="inlineStr">
        <is>
          <t>returns_matrix.csv (corrected 2026-08-12)</t>
        </is>
      </c>
      <c r="H168" t="inlineStr">
        <is>
          <t>NO</t>
        </is>
      </c>
      <c r="I168" t="inlineStr"/>
    </row>
    <row r="169">
      <c r="A169" t="inlineStr">
        <is>
          <t>NFLX_FQ2_2025</t>
        </is>
      </c>
      <c r="B169" t="inlineStr">
        <is>
          <t>NFLX</t>
        </is>
      </c>
      <c r="C169" t="inlineStr">
        <is>
          <t>2025-07-17</t>
        </is>
      </c>
      <c r="D169" t="inlineStr">
        <is>
          <t>2025-07-17</t>
        </is>
      </c>
      <c r="E169" t="inlineStr">
        <is>
          <t>after_hours</t>
        </is>
      </c>
      <c r="F169" t="inlineStr">
        <is>
          <t>NO</t>
        </is>
      </c>
      <c r="G169" t="inlineStr">
        <is>
          <t>returns_matrix.csv (corrected 2026-08-12)</t>
        </is>
      </c>
      <c r="H169" t="inlineStr">
        <is>
          <t>NO</t>
        </is>
      </c>
      <c r="I169" t="inlineStr"/>
    </row>
    <row r="170">
      <c r="A170" t="inlineStr">
        <is>
          <t>NFLX_FQ3_2025</t>
        </is>
      </c>
      <c r="B170" t="inlineStr">
        <is>
          <t>NFLX</t>
        </is>
      </c>
      <c r="C170" t="inlineStr">
        <is>
          <t>2025-10-21</t>
        </is>
      </c>
      <c r="D170" t="inlineStr">
        <is>
          <t>2025-10-21</t>
        </is>
      </c>
      <c r="E170" t="inlineStr">
        <is>
          <t>after_hours</t>
        </is>
      </c>
      <c r="F170" t="inlineStr">
        <is>
          <t>NO</t>
        </is>
      </c>
      <c r="G170" t="inlineStr">
        <is>
          <t>returns_matrix.csv (corrected 2026-08-12)</t>
        </is>
      </c>
      <c r="H170" t="inlineStr">
        <is>
          <t>NO</t>
        </is>
      </c>
      <c r="I170" t="inlineStr"/>
    </row>
    <row r="171">
      <c r="A171" t="inlineStr">
        <is>
          <t>NFLX_FQ4_2024</t>
        </is>
      </c>
      <c r="B171" t="inlineStr">
        <is>
          <t>NFLX</t>
        </is>
      </c>
      <c r="C171" t="inlineStr">
        <is>
          <t>2025-01-21</t>
        </is>
      </c>
      <c r="D171" t="inlineStr">
        <is>
          <t>2025-01-21</t>
        </is>
      </c>
      <c r="E171" t="inlineStr">
        <is>
          <t>after_hours</t>
        </is>
      </c>
      <c r="F171" t="inlineStr">
        <is>
          <t>NO</t>
        </is>
      </c>
      <c r="G171" t="inlineStr">
        <is>
          <t>returns_matrix.csv (corrected 2026-08-12)</t>
        </is>
      </c>
      <c r="H171" t="inlineStr">
        <is>
          <t>NO</t>
        </is>
      </c>
      <c r="I171" t="inlineStr"/>
    </row>
    <row r="172">
      <c r="A172" t="inlineStr">
        <is>
          <t>NFLX_FQ4_2025</t>
        </is>
      </c>
      <c r="B172" t="inlineStr">
        <is>
          <t>NFLX</t>
        </is>
      </c>
      <c r="C172" t="inlineStr">
        <is>
          <t>2026-01-20</t>
        </is>
      </c>
      <c r="D172" t="inlineStr">
        <is>
          <t>2026-01-20</t>
        </is>
      </c>
      <c r="E172" t="inlineStr">
        <is>
          <t>after_hours</t>
        </is>
      </c>
      <c r="F172" t="inlineStr">
        <is>
          <t>NO</t>
        </is>
      </c>
      <c r="G172" t="inlineStr">
        <is>
          <t>returns_matrix.csv (corrected 2026-08-12)</t>
        </is>
      </c>
      <c r="H172" t="inlineStr">
        <is>
          <t>NO</t>
        </is>
      </c>
      <c r="I172" t="inlineStr"/>
    </row>
    <row r="173">
      <c r="A173" t="inlineStr">
        <is>
          <t>NKE_FQ1_2025</t>
        </is>
      </c>
      <c r="B173" t="inlineStr">
        <is>
          <t>NKE</t>
        </is>
      </c>
      <c r="C173" t="inlineStr">
        <is>
          <t>2024-10-01</t>
        </is>
      </c>
      <c r="D173" t="inlineStr">
        <is>
          <t>2024-10-01</t>
        </is>
      </c>
      <c r="E173" t="inlineStr">
        <is>
          <t>after_hours</t>
        </is>
      </c>
      <c r="F173" t="inlineStr">
        <is>
          <t>NO</t>
        </is>
      </c>
      <c r="G173" t="inlineStr">
        <is>
          <t>returns_matrix.csv (corrected 2026-08-12)</t>
        </is>
      </c>
      <c r="H173" t="inlineStr">
        <is>
          <t>NO</t>
        </is>
      </c>
      <c r="I173" t="inlineStr"/>
    </row>
    <row r="174">
      <c r="A174" t="inlineStr">
        <is>
          <t>NKE_FQ2_2025</t>
        </is>
      </c>
      <c r="B174" t="inlineStr">
        <is>
          <t>NKE</t>
        </is>
      </c>
      <c r="C174" t="inlineStr">
        <is>
          <t>2024-12-19</t>
        </is>
      </c>
      <c r="D174" t="inlineStr">
        <is>
          <t>2024-12-19</t>
        </is>
      </c>
      <c r="E174" t="inlineStr">
        <is>
          <t>after_hours</t>
        </is>
      </c>
      <c r="F174" t="inlineStr">
        <is>
          <t>NO</t>
        </is>
      </c>
      <c r="G174" t="inlineStr">
        <is>
          <t>returns_matrix.csv (corrected 2026-08-12)</t>
        </is>
      </c>
      <c r="H174" t="inlineStr">
        <is>
          <t>NO</t>
        </is>
      </c>
      <c r="I174" t="inlineStr"/>
    </row>
    <row r="175">
      <c r="A175" t="inlineStr">
        <is>
          <t>NKE_FQ3_2025</t>
        </is>
      </c>
      <c r="B175" t="inlineStr">
        <is>
          <t>NKE</t>
        </is>
      </c>
      <c r="C175" t="inlineStr">
        <is>
          <t>2025-03-20</t>
        </is>
      </c>
      <c r="D175" t="inlineStr">
        <is>
          <t>2025-03-20</t>
        </is>
      </c>
      <c r="E175" t="inlineStr">
        <is>
          <t>after_hours</t>
        </is>
      </c>
      <c r="F175" t="inlineStr">
        <is>
          <t>NO</t>
        </is>
      </c>
      <c r="G175" t="inlineStr">
        <is>
          <t>returns_matrix.csv (corrected 2026-08-12)</t>
        </is>
      </c>
      <c r="H175" t="inlineStr">
        <is>
          <t>NO</t>
        </is>
      </c>
      <c r="I175" t="inlineStr"/>
    </row>
    <row r="176">
      <c r="A176" t="inlineStr">
        <is>
          <t>NVDA_FQ1_2025</t>
        </is>
      </c>
      <c r="B176" t="inlineStr">
        <is>
          <t>NVDA</t>
        </is>
      </c>
      <c r="C176" t="inlineStr">
        <is>
          <t>2025-02-26</t>
        </is>
      </c>
      <c r="D176" t="inlineStr">
        <is>
          <t>2025-02-26</t>
        </is>
      </c>
      <c r="E176" t="inlineStr">
        <is>
          <t>after_hours</t>
        </is>
      </c>
      <c r="F176" t="inlineStr">
        <is>
          <t>NO</t>
        </is>
      </c>
      <c r="G176" t="inlineStr">
        <is>
          <t>returns_matrix.csv (corrected 2026-08-12)</t>
        </is>
      </c>
      <c r="H176" t="inlineStr">
        <is>
          <t>NO</t>
        </is>
      </c>
      <c r="I176" t="inlineStr"/>
    </row>
    <row r="177">
      <c r="A177" t="inlineStr">
        <is>
          <t>NVDA_FQ2_2025</t>
        </is>
      </c>
      <c r="B177" t="inlineStr">
        <is>
          <t>NVDA</t>
        </is>
      </c>
      <c r="C177" t="inlineStr">
        <is>
          <t>2025-05-28</t>
        </is>
      </c>
      <c r="D177" t="inlineStr">
        <is>
          <t>2025-05-28</t>
        </is>
      </c>
      <c r="E177" t="inlineStr">
        <is>
          <t>after_hours</t>
        </is>
      </c>
      <c r="F177" t="inlineStr">
        <is>
          <t>NO</t>
        </is>
      </c>
      <c r="G177" t="inlineStr">
        <is>
          <t>returns_matrix.csv (corrected 2026-08-12)</t>
        </is>
      </c>
      <c r="H177" t="inlineStr">
        <is>
          <t>NO</t>
        </is>
      </c>
      <c r="I177" t="inlineStr"/>
    </row>
    <row r="178">
      <c r="A178" t="inlineStr">
        <is>
          <t>NVDA_FQ3_2025</t>
        </is>
      </c>
      <c r="B178" t="inlineStr">
        <is>
          <t>NVDA</t>
        </is>
      </c>
      <c r="C178" t="inlineStr">
        <is>
          <t>2025-08-27</t>
        </is>
      </c>
      <c r="D178" t="inlineStr">
        <is>
          <t>2025-08-27</t>
        </is>
      </c>
      <c r="E178" t="inlineStr">
        <is>
          <t>after_hours</t>
        </is>
      </c>
      <c r="F178" t="inlineStr">
        <is>
          <t>NO</t>
        </is>
      </c>
      <c r="G178" t="inlineStr">
        <is>
          <t>returns_matrix.csv (corrected 2026-08-12)</t>
        </is>
      </c>
      <c r="H178" t="inlineStr">
        <is>
          <t>NO</t>
        </is>
      </c>
      <c r="I178" t="inlineStr"/>
    </row>
    <row r="179">
      <c r="A179" t="inlineStr">
        <is>
          <t>NVDA_FQ4_2025</t>
        </is>
      </c>
      <c r="B179" t="inlineStr">
        <is>
          <t>NVDA</t>
        </is>
      </c>
      <c r="C179" t="inlineStr">
        <is>
          <t>2025-11-19</t>
        </is>
      </c>
      <c r="D179" t="inlineStr">
        <is>
          <t>2025-11-19</t>
        </is>
      </c>
      <c r="E179" t="inlineStr">
        <is>
          <t>after_hours</t>
        </is>
      </c>
      <c r="F179" t="inlineStr">
        <is>
          <t>NO</t>
        </is>
      </c>
      <c r="G179" t="inlineStr">
        <is>
          <t>returns_matrix.csv (corrected 2026-08-12)</t>
        </is>
      </c>
      <c r="H179" t="inlineStr">
        <is>
          <t>NO</t>
        </is>
      </c>
      <c r="I179" t="inlineStr"/>
    </row>
    <row r="180">
      <c r="A180" t="inlineStr">
        <is>
          <t>NVO_FQ1_2025</t>
        </is>
      </c>
      <c r="B180" t="inlineStr">
        <is>
          <t>NVO</t>
        </is>
      </c>
      <c r="C180" t="inlineStr">
        <is>
          <t>2025-05-07</t>
        </is>
      </c>
      <c r="D180" t="inlineStr">
        <is>
          <t>2025-05-06</t>
        </is>
      </c>
      <c r="E180" t="inlineStr">
        <is>
          <t>pre_market</t>
        </is>
      </c>
      <c r="F180" t="inlineStr">
        <is>
          <t>YES</t>
        </is>
      </c>
      <c r="G180" t="inlineStr">
        <is>
          <t>returns_matrix.csv (corrected 2026-08-12)</t>
        </is>
      </c>
      <c r="H180" t="inlineStr">
        <is>
          <t>NO</t>
        </is>
      </c>
      <c r="I180" t="inlineStr"/>
    </row>
    <row r="181">
      <c r="A181" t="inlineStr">
        <is>
          <t>NVO_FQ2_2025</t>
        </is>
      </c>
      <c r="B181" t="inlineStr">
        <is>
          <t>NVO</t>
        </is>
      </c>
      <c r="C181" t="inlineStr">
        <is>
          <t>2025-08-06</t>
        </is>
      </c>
      <c r="D181" t="inlineStr">
        <is>
          <t>2025-08-05</t>
        </is>
      </c>
      <c r="E181" t="inlineStr">
        <is>
          <t>pre_market</t>
        </is>
      </c>
      <c r="F181" t="inlineStr">
        <is>
          <t>YES</t>
        </is>
      </c>
      <c r="G181" t="inlineStr">
        <is>
          <t>returns_matrix.csv (corrected 2026-08-12)</t>
        </is>
      </c>
      <c r="H181" t="inlineStr">
        <is>
          <t>NO</t>
        </is>
      </c>
      <c r="I181" t="inlineStr"/>
    </row>
    <row r="182">
      <c r="A182" t="inlineStr">
        <is>
          <t>NVO_FQ3_2025</t>
        </is>
      </c>
      <c r="B182" t="inlineStr">
        <is>
          <t>NVO</t>
        </is>
      </c>
      <c r="C182" t="inlineStr">
        <is>
          <t>2025-11-05</t>
        </is>
      </c>
      <c r="D182" t="inlineStr">
        <is>
          <t>2025-11-04</t>
        </is>
      </c>
      <c r="E182" t="inlineStr">
        <is>
          <t>pre_market</t>
        </is>
      </c>
      <c r="F182" t="inlineStr">
        <is>
          <t>YES</t>
        </is>
      </c>
      <c r="G182" t="inlineStr">
        <is>
          <t>returns_matrix.csv (corrected 2026-08-12)</t>
        </is>
      </c>
      <c r="H182" t="inlineStr">
        <is>
          <t>NO</t>
        </is>
      </c>
      <c r="I182" t="inlineStr"/>
    </row>
    <row r="183">
      <c r="A183" t="inlineStr">
        <is>
          <t>NVO_FQ4_2025</t>
        </is>
      </c>
      <c r="B183" t="inlineStr">
        <is>
          <t>NVO</t>
        </is>
      </c>
      <c r="C183" t="inlineStr">
        <is>
          <t>2026-02-03</t>
        </is>
      </c>
      <c r="D183" t="inlineStr">
        <is>
          <t>2026-02-02</t>
        </is>
      </c>
      <c r="E183" t="inlineStr">
        <is>
          <t>pre_market</t>
        </is>
      </c>
      <c r="F183" t="inlineStr">
        <is>
          <t>YES</t>
        </is>
      </c>
      <c r="G183" t="inlineStr">
        <is>
          <t>returns_matrix.csv (corrected 2026-08-12)</t>
        </is>
      </c>
      <c r="H183" t="inlineStr">
        <is>
          <t>NO</t>
        </is>
      </c>
      <c r="I183" t="inlineStr"/>
    </row>
    <row r="184">
      <c r="A184" t="inlineStr">
        <is>
          <t>ORCL_FQ1_2026</t>
        </is>
      </c>
      <c r="B184" t="inlineStr">
        <is>
          <t>ORCL</t>
        </is>
      </c>
      <c r="C184" t="inlineStr">
        <is>
          <t>2025-09-09</t>
        </is>
      </c>
      <c r="D184" t="inlineStr">
        <is>
          <t>2025-09-09</t>
        </is>
      </c>
      <c r="E184" t="inlineStr">
        <is>
          <t>after_hours</t>
        </is>
      </c>
      <c r="F184" t="inlineStr">
        <is>
          <t>NO</t>
        </is>
      </c>
      <c r="G184" t="inlineStr">
        <is>
          <t>returns_matrix.csv (corrected 2026-08-12)</t>
        </is>
      </c>
      <c r="H184" t="inlineStr">
        <is>
          <t>NO</t>
        </is>
      </c>
      <c r="I184" t="inlineStr"/>
    </row>
    <row r="185">
      <c r="A185" t="inlineStr">
        <is>
          <t>ORCL_FQ2_2026</t>
        </is>
      </c>
      <c r="B185" t="inlineStr">
        <is>
          <t>ORCL</t>
        </is>
      </c>
      <c r="C185" t="inlineStr">
        <is>
          <t>2025-12-10</t>
        </is>
      </c>
      <c r="D185" t="inlineStr">
        <is>
          <t>2025-12-10</t>
        </is>
      </c>
      <c r="E185" t="inlineStr">
        <is>
          <t>after_hours</t>
        </is>
      </c>
      <c r="F185" t="inlineStr">
        <is>
          <t>NO</t>
        </is>
      </c>
      <c r="G185" t="inlineStr">
        <is>
          <t>returns_matrix.csv (corrected 2026-08-12)</t>
        </is>
      </c>
      <c r="H185" t="inlineStr">
        <is>
          <t>NO</t>
        </is>
      </c>
      <c r="I185" t="inlineStr"/>
    </row>
    <row r="186">
      <c r="A186" t="inlineStr">
        <is>
          <t>ORCL_FQ3_2026</t>
        </is>
      </c>
      <c r="B186" t="inlineStr">
        <is>
          <t>ORCL</t>
        </is>
      </c>
      <c r="C186" t="inlineStr">
        <is>
          <t>2026-03-10</t>
        </is>
      </c>
      <c r="D186" t="inlineStr">
        <is>
          <t>2026-03-10</t>
        </is>
      </c>
      <c r="E186" t="inlineStr">
        <is>
          <t>after_hours</t>
        </is>
      </c>
      <c r="F186" t="inlineStr">
        <is>
          <t>NO</t>
        </is>
      </c>
      <c r="G186" t="inlineStr">
        <is>
          <t>returns_matrix.csv (corrected 2026-08-12)</t>
        </is>
      </c>
      <c r="H186" t="inlineStr">
        <is>
          <t>NO</t>
        </is>
      </c>
      <c r="I186" t="inlineStr"/>
    </row>
    <row r="187">
      <c r="A187" t="inlineStr">
        <is>
          <t>PEP_FQ1_2023</t>
        </is>
      </c>
      <c r="B187" t="inlineStr">
        <is>
          <t>PEP</t>
        </is>
      </c>
      <c r="C187" t="inlineStr">
        <is>
          <t>2023-04-25</t>
        </is>
      </c>
      <c r="D187" t="inlineStr">
        <is>
          <t>2023-04-24</t>
        </is>
      </c>
      <c r="E187" t="inlineStr">
        <is>
          <t>pre_market</t>
        </is>
      </c>
      <c r="F187" t="inlineStr">
        <is>
          <t>YES</t>
        </is>
      </c>
      <c r="G187" t="inlineStr">
        <is>
          <t>returns_matrix.csv (corrected 2026-08-12)</t>
        </is>
      </c>
      <c r="H187" t="inlineStr">
        <is>
          <t>NO</t>
        </is>
      </c>
      <c r="I187" t="inlineStr"/>
    </row>
    <row r="188">
      <c r="A188" t="inlineStr">
        <is>
          <t>PEP_FQ1_2024</t>
        </is>
      </c>
      <c r="B188" t="inlineStr">
        <is>
          <t>PEP</t>
        </is>
      </c>
      <c r="C188" t="inlineStr">
        <is>
          <t>2024-04-23</t>
        </is>
      </c>
      <c r="D188" t="inlineStr">
        <is>
          <t>2024-04-22</t>
        </is>
      </c>
      <c r="E188" t="inlineStr">
        <is>
          <t>pre_market</t>
        </is>
      </c>
      <c r="F188" t="inlineStr">
        <is>
          <t>YES</t>
        </is>
      </c>
      <c r="G188" t="inlineStr">
        <is>
          <t>returns_matrix.csv (corrected 2026-08-12)</t>
        </is>
      </c>
      <c r="H188" t="inlineStr">
        <is>
          <t>NO</t>
        </is>
      </c>
      <c r="I188" t="inlineStr"/>
    </row>
    <row r="189">
      <c r="A189" t="inlineStr">
        <is>
          <t>PEP_FQ1_2025</t>
        </is>
      </c>
      <c r="B189" t="inlineStr">
        <is>
          <t>PEP</t>
        </is>
      </c>
      <c r="C189" t="inlineStr">
        <is>
          <t>2025-04-24</t>
        </is>
      </c>
      <c r="D189" t="inlineStr">
        <is>
          <t>2025-04-23</t>
        </is>
      </c>
      <c r="E189" t="inlineStr">
        <is>
          <t>pre_market</t>
        </is>
      </c>
      <c r="F189" t="inlineStr">
        <is>
          <t>YES</t>
        </is>
      </c>
      <c r="G189" t="inlineStr">
        <is>
          <t>returns_matrix.csv (corrected 2026-08-12)</t>
        </is>
      </c>
      <c r="H189" t="inlineStr">
        <is>
          <t>NO</t>
        </is>
      </c>
      <c r="I189" t="inlineStr"/>
    </row>
    <row r="190">
      <c r="A190" t="inlineStr">
        <is>
          <t>PEP_FQ1_2026</t>
        </is>
      </c>
      <c r="B190" t="inlineStr">
        <is>
          <t>PEP</t>
        </is>
      </c>
      <c r="C190" t="inlineStr">
        <is>
          <t>2026-04-16</t>
        </is>
      </c>
      <c r="D190" t="inlineStr">
        <is>
          <t>2026-04-15</t>
        </is>
      </c>
      <c r="E190" t="inlineStr">
        <is>
          <t>pre_market</t>
        </is>
      </c>
      <c r="F190" t="inlineStr">
        <is>
          <t>YES</t>
        </is>
      </c>
      <c r="G190" t="inlineStr">
        <is>
          <t>returns_matrix.csv (corrected 2026-08-12)</t>
        </is>
      </c>
      <c r="H190" t="inlineStr">
        <is>
          <t>NO</t>
        </is>
      </c>
      <c r="I190" t="inlineStr"/>
    </row>
    <row r="191">
      <c r="A191" t="inlineStr">
        <is>
          <t>PEP_FQ2_2023</t>
        </is>
      </c>
      <c r="B191" t="inlineStr">
        <is>
          <t>PEP</t>
        </is>
      </c>
      <c r="C191" t="inlineStr">
        <is>
          <t>2023-07-13</t>
        </is>
      </c>
      <c r="D191" t="inlineStr">
        <is>
          <t>2023-07-12</t>
        </is>
      </c>
      <c r="E191" t="inlineStr">
        <is>
          <t>pre_market</t>
        </is>
      </c>
      <c r="F191" t="inlineStr">
        <is>
          <t>YES</t>
        </is>
      </c>
      <c r="G191" t="inlineStr">
        <is>
          <t>returns_matrix.csv (corrected 2026-08-12)</t>
        </is>
      </c>
      <c r="H191" t="inlineStr">
        <is>
          <t>NO</t>
        </is>
      </c>
      <c r="I191" t="inlineStr"/>
    </row>
    <row r="192">
      <c r="A192" t="inlineStr">
        <is>
          <t>PEP_FQ2_2024</t>
        </is>
      </c>
      <c r="B192" t="inlineStr">
        <is>
          <t>PEP</t>
        </is>
      </c>
      <c r="C192" t="inlineStr">
        <is>
          <t>2024-07-11</t>
        </is>
      </c>
      <c r="D192" t="inlineStr">
        <is>
          <t>2024-07-10</t>
        </is>
      </c>
      <c r="E192" t="inlineStr">
        <is>
          <t>pre_market</t>
        </is>
      </c>
      <c r="F192" t="inlineStr">
        <is>
          <t>YES</t>
        </is>
      </c>
      <c r="G192" t="inlineStr">
        <is>
          <t>returns_matrix.csv (corrected 2026-08-12)</t>
        </is>
      </c>
      <c r="H192" t="inlineStr">
        <is>
          <t>NO</t>
        </is>
      </c>
      <c r="I192" t="inlineStr"/>
    </row>
    <row r="193">
      <c r="A193" t="inlineStr">
        <is>
          <t>PEP_FQ2_2025</t>
        </is>
      </c>
      <c r="B193" t="inlineStr">
        <is>
          <t>PEP</t>
        </is>
      </c>
      <c r="C193" t="inlineStr">
        <is>
          <t>2025-07-17</t>
        </is>
      </c>
      <c r="D193" t="inlineStr">
        <is>
          <t>2025-07-16</t>
        </is>
      </c>
      <c r="E193" t="inlineStr">
        <is>
          <t>pre_market</t>
        </is>
      </c>
      <c r="F193" t="inlineStr">
        <is>
          <t>YES</t>
        </is>
      </c>
      <c r="G193" t="inlineStr">
        <is>
          <t>returns_matrix.csv (corrected 2026-08-12)</t>
        </is>
      </c>
      <c r="H193" t="inlineStr">
        <is>
          <t>NO</t>
        </is>
      </c>
      <c r="I193" t="inlineStr"/>
    </row>
    <row r="194">
      <c r="A194" t="inlineStr">
        <is>
          <t>PEP_FQ2_2026</t>
        </is>
      </c>
      <c r="B194" t="inlineStr">
        <is>
          <t>PEP</t>
        </is>
      </c>
      <c r="C194" t="inlineStr">
        <is>
          <t>2026-07-09</t>
        </is>
      </c>
      <c r="D194" t="inlineStr">
        <is>
          <t>2026-07-08</t>
        </is>
      </c>
      <c r="E194" t="inlineStr">
        <is>
          <t>pre_market</t>
        </is>
      </c>
      <c r="F194" t="inlineStr">
        <is>
          <t>YES</t>
        </is>
      </c>
      <c r="G194" t="inlineStr">
        <is>
          <t>returns_matrix.csv (corrected 2026-08-12)</t>
        </is>
      </c>
      <c r="H194" t="inlineStr">
        <is>
          <t>NO</t>
        </is>
      </c>
      <c r="I194" t="inlineStr"/>
    </row>
    <row r="195">
      <c r="A195" t="inlineStr">
        <is>
          <t>PEP_FQ3_2023</t>
        </is>
      </c>
      <c r="B195" t="inlineStr">
        <is>
          <t>PEP</t>
        </is>
      </c>
      <c r="C195" t="inlineStr">
        <is>
          <t>2023-10-10</t>
        </is>
      </c>
      <c r="D195" t="inlineStr">
        <is>
          <t>2023-10-09</t>
        </is>
      </c>
      <c r="E195" t="inlineStr">
        <is>
          <t>pre_market</t>
        </is>
      </c>
      <c r="F195" t="inlineStr">
        <is>
          <t>YES</t>
        </is>
      </c>
      <c r="G195" t="inlineStr">
        <is>
          <t>returns_matrix.csv (corrected 2026-08-12)</t>
        </is>
      </c>
      <c r="H195" t="inlineStr">
        <is>
          <t>NO</t>
        </is>
      </c>
      <c r="I195" t="inlineStr"/>
    </row>
    <row r="196">
      <c r="A196" t="inlineStr">
        <is>
          <t>PEP_FQ3_2024</t>
        </is>
      </c>
      <c r="B196" t="inlineStr">
        <is>
          <t>PEP</t>
        </is>
      </c>
      <c r="C196" t="inlineStr">
        <is>
          <t>2024-10-08</t>
        </is>
      </c>
      <c r="D196" t="inlineStr">
        <is>
          <t>2024-10-07</t>
        </is>
      </c>
      <c r="E196" t="inlineStr">
        <is>
          <t>pre_market</t>
        </is>
      </c>
      <c r="F196" t="inlineStr">
        <is>
          <t>YES</t>
        </is>
      </c>
      <c r="G196" t="inlineStr">
        <is>
          <t>returns_matrix.csv (corrected 2026-08-12)</t>
        </is>
      </c>
      <c r="H196" t="inlineStr">
        <is>
          <t>NO</t>
        </is>
      </c>
      <c r="I196" t="inlineStr"/>
    </row>
    <row r="197">
      <c r="A197" t="inlineStr">
        <is>
          <t>PEP_FQ3_2025</t>
        </is>
      </c>
      <c r="B197" t="inlineStr">
        <is>
          <t>PEP</t>
        </is>
      </c>
      <c r="C197" t="inlineStr">
        <is>
          <t>2025-10-09</t>
        </is>
      </c>
      <c r="D197" t="inlineStr">
        <is>
          <t>2025-10-08</t>
        </is>
      </c>
      <c r="E197" t="inlineStr">
        <is>
          <t>pre_market</t>
        </is>
      </c>
      <c r="F197" t="inlineStr">
        <is>
          <t>YES</t>
        </is>
      </c>
      <c r="G197" t="inlineStr">
        <is>
          <t>returns_matrix.csv (corrected 2026-08-12)</t>
        </is>
      </c>
      <c r="H197" t="inlineStr">
        <is>
          <t>NO</t>
        </is>
      </c>
      <c r="I197" t="inlineStr"/>
    </row>
    <row r="198">
      <c r="A198" t="inlineStr">
        <is>
          <t>PEP_FQ4_2023</t>
        </is>
      </c>
      <c r="B198" t="inlineStr">
        <is>
          <t>PEP</t>
        </is>
      </c>
      <c r="C198" t="inlineStr">
        <is>
          <t>2024-02-09</t>
        </is>
      </c>
      <c r="D198" t="inlineStr">
        <is>
          <t>2024-02-08</t>
        </is>
      </c>
      <c r="E198" t="inlineStr">
        <is>
          <t>pre_market</t>
        </is>
      </c>
      <c r="F198" t="inlineStr">
        <is>
          <t>YES</t>
        </is>
      </c>
      <c r="G198" t="inlineStr">
        <is>
          <t>returns_matrix.csv (corrected 2026-08-12)</t>
        </is>
      </c>
      <c r="H198" t="inlineStr">
        <is>
          <t>NO</t>
        </is>
      </c>
      <c r="I198" t="inlineStr"/>
    </row>
    <row r="199">
      <c r="A199" t="inlineStr">
        <is>
          <t>PEP_FQ4_2024</t>
        </is>
      </c>
      <c r="B199" t="inlineStr">
        <is>
          <t>PEP</t>
        </is>
      </c>
      <c r="C199" t="inlineStr">
        <is>
          <t>2025-02-04</t>
        </is>
      </c>
      <c r="D199" t="inlineStr">
        <is>
          <t>2025-02-03</t>
        </is>
      </c>
      <c r="E199" t="inlineStr">
        <is>
          <t>pre_market</t>
        </is>
      </c>
      <c r="F199" t="inlineStr">
        <is>
          <t>YES</t>
        </is>
      </c>
      <c r="G199" t="inlineStr">
        <is>
          <t>returns_matrix.csv (corrected 2026-08-12)</t>
        </is>
      </c>
      <c r="H199" t="inlineStr">
        <is>
          <t>NO</t>
        </is>
      </c>
      <c r="I199" t="inlineStr"/>
    </row>
    <row r="200">
      <c r="A200" t="inlineStr">
        <is>
          <t>PEP_FQ4_2025</t>
        </is>
      </c>
      <c r="B200" t="inlineStr">
        <is>
          <t>PEP</t>
        </is>
      </c>
      <c r="C200" t="inlineStr">
        <is>
          <t>2026-02-03</t>
        </is>
      </c>
      <c r="D200" t="inlineStr">
        <is>
          <t>2026-02-02</t>
        </is>
      </c>
      <c r="E200" t="inlineStr">
        <is>
          <t>pre_market</t>
        </is>
      </c>
      <c r="F200" t="inlineStr">
        <is>
          <t>YES</t>
        </is>
      </c>
      <c r="G200" t="inlineStr">
        <is>
          <t>returns_matrix.csv (corrected 2026-08-12)</t>
        </is>
      </c>
      <c r="H200" t="inlineStr">
        <is>
          <t>NO</t>
        </is>
      </c>
      <c r="I200" t="inlineStr"/>
    </row>
    <row r="201">
      <c r="A201" t="inlineStr">
        <is>
          <t>PFE_FQ1_2025</t>
        </is>
      </c>
      <c r="B201" t="inlineStr">
        <is>
          <t>PFE</t>
        </is>
      </c>
      <c r="C201" t="inlineStr">
        <is>
          <t>2025-04-29</t>
        </is>
      </c>
      <c r="D201" t="inlineStr">
        <is>
          <t>2025-04-28</t>
        </is>
      </c>
      <c r="E201" t="inlineStr">
        <is>
          <t>pre_market</t>
        </is>
      </c>
      <c r="F201" t="inlineStr">
        <is>
          <t>YES</t>
        </is>
      </c>
      <c r="G201" t="inlineStr">
        <is>
          <t>returns_matrix.csv (corrected 2026-08-12)</t>
        </is>
      </c>
      <c r="H201" t="inlineStr">
        <is>
          <t>NO</t>
        </is>
      </c>
      <c r="I201" t="inlineStr"/>
    </row>
    <row r="202">
      <c r="A202" t="inlineStr">
        <is>
          <t>PFE_FQ1_2026</t>
        </is>
      </c>
      <c r="B202" t="inlineStr">
        <is>
          <t>PFE</t>
        </is>
      </c>
      <c r="C202" t="inlineStr">
        <is>
          <t>2026-05-05</t>
        </is>
      </c>
      <c r="D202" t="inlineStr">
        <is>
          <t>2026-05-04</t>
        </is>
      </c>
      <c r="E202" t="inlineStr">
        <is>
          <t>pre_market</t>
        </is>
      </c>
      <c r="F202" t="inlineStr">
        <is>
          <t>YES</t>
        </is>
      </c>
      <c r="G202" t="inlineStr">
        <is>
          <t>returns_matrix.csv (corrected 2026-08-12)</t>
        </is>
      </c>
      <c r="H202" t="inlineStr">
        <is>
          <t>NO</t>
        </is>
      </c>
      <c r="I202" t="inlineStr"/>
    </row>
    <row r="203">
      <c r="A203" t="inlineStr">
        <is>
          <t>PFE_FQ2_2025</t>
        </is>
      </c>
      <c r="B203" t="inlineStr">
        <is>
          <t>PFE</t>
        </is>
      </c>
      <c r="C203" t="inlineStr">
        <is>
          <t>2025-08-05</t>
        </is>
      </c>
      <c r="D203" t="inlineStr">
        <is>
          <t>2025-08-04</t>
        </is>
      </c>
      <c r="E203" t="inlineStr">
        <is>
          <t>pre_market</t>
        </is>
      </c>
      <c r="F203" t="inlineStr">
        <is>
          <t>YES</t>
        </is>
      </c>
      <c r="G203" t="inlineStr">
        <is>
          <t>returns_matrix.csv (corrected 2026-08-12)</t>
        </is>
      </c>
      <c r="H203" t="inlineStr">
        <is>
          <t>NO</t>
        </is>
      </c>
      <c r="I203" t="inlineStr"/>
    </row>
    <row r="204">
      <c r="A204" t="inlineStr">
        <is>
          <t>PFE_FQ4_2025</t>
        </is>
      </c>
      <c r="B204" t="inlineStr">
        <is>
          <t>PFE</t>
        </is>
      </c>
      <c r="C204" t="inlineStr">
        <is>
          <t>2026-02-03</t>
        </is>
      </c>
      <c r="D204" t="inlineStr">
        <is>
          <t>2026-02-02</t>
        </is>
      </c>
      <c r="E204" t="inlineStr">
        <is>
          <t>pre_market</t>
        </is>
      </c>
      <c r="F204" t="inlineStr">
        <is>
          <t>YES</t>
        </is>
      </c>
      <c r="G204" t="inlineStr">
        <is>
          <t>returns_matrix.csv (corrected 2026-08-12)</t>
        </is>
      </c>
      <c r="H204" t="inlineStr">
        <is>
          <t>NO</t>
        </is>
      </c>
      <c r="I204" t="inlineStr"/>
    </row>
    <row r="205">
      <c r="A205" t="inlineStr">
        <is>
          <t>PINS_FQ1_2026</t>
        </is>
      </c>
      <c r="B205" t="inlineStr">
        <is>
          <t>PINS</t>
        </is>
      </c>
      <c r="C205" t="inlineStr">
        <is>
          <t>2026-05-04</t>
        </is>
      </c>
      <c r="D205" t="inlineStr">
        <is>
          <t>2026-05-04</t>
        </is>
      </c>
      <c r="E205" t="inlineStr">
        <is>
          <t>after_hours</t>
        </is>
      </c>
      <c r="F205" t="inlineStr">
        <is>
          <t>NO</t>
        </is>
      </c>
      <c r="G205" t="inlineStr">
        <is>
          <t>returns_matrix.csv (corrected 2026-08-12)</t>
        </is>
      </c>
      <c r="H205" t="inlineStr">
        <is>
          <t>NO</t>
        </is>
      </c>
      <c r="I205" t="inlineStr"/>
    </row>
    <row r="206">
      <c r="A206" t="inlineStr">
        <is>
          <t>PINS_FQ4_2024</t>
        </is>
      </c>
      <c r="B206" t="inlineStr">
        <is>
          <t>PINS</t>
        </is>
      </c>
      <c r="C206" t="inlineStr">
        <is>
          <t>2025-02-06</t>
        </is>
      </c>
      <c r="D206" t="inlineStr">
        <is>
          <t>2025-02-06</t>
        </is>
      </c>
      <c r="E206" t="inlineStr">
        <is>
          <t>after_hours</t>
        </is>
      </c>
      <c r="F206" t="inlineStr">
        <is>
          <t>NO</t>
        </is>
      </c>
      <c r="G206" t="inlineStr">
        <is>
          <t>returns_matrix.csv (corrected 2026-08-12)</t>
        </is>
      </c>
      <c r="H206" t="inlineStr">
        <is>
          <t>NO</t>
        </is>
      </c>
      <c r="I206" t="inlineStr"/>
    </row>
    <row r="207">
      <c r="A207" t="inlineStr">
        <is>
          <t>PINS_FQ4_2025</t>
        </is>
      </c>
      <c r="B207" t="inlineStr">
        <is>
          <t>PINS</t>
        </is>
      </c>
      <c r="C207" t="inlineStr">
        <is>
          <t>2026-02-12</t>
        </is>
      </c>
      <c r="D207" t="inlineStr">
        <is>
          <t>2026-02-12</t>
        </is>
      </c>
      <c r="E207" t="inlineStr">
        <is>
          <t>after_hours</t>
        </is>
      </c>
      <c r="F207" t="inlineStr">
        <is>
          <t>NO</t>
        </is>
      </c>
      <c r="G207" t="inlineStr">
        <is>
          <t>returns_matrix.csv (corrected 2026-08-12)</t>
        </is>
      </c>
      <c r="H207" t="inlineStr">
        <is>
          <t>NO</t>
        </is>
      </c>
      <c r="I207" t="inlineStr"/>
    </row>
    <row r="208">
      <c r="A208" t="inlineStr">
        <is>
          <t>PLTR_FQ1_2025</t>
        </is>
      </c>
      <c r="B208" t="inlineStr">
        <is>
          <t>PLTR</t>
        </is>
      </c>
      <c r="C208" t="inlineStr">
        <is>
          <t>2025-05-05</t>
        </is>
      </c>
      <c r="D208" t="inlineStr">
        <is>
          <t>2025-05-05</t>
        </is>
      </c>
      <c r="E208" t="inlineStr">
        <is>
          <t>after_hours</t>
        </is>
      </c>
      <c r="F208" t="inlineStr">
        <is>
          <t>NO</t>
        </is>
      </c>
      <c r="G208" t="inlineStr">
        <is>
          <t>returns_matrix.csv (corrected 2026-08-12)</t>
        </is>
      </c>
      <c r="H208" t="inlineStr">
        <is>
          <t>NO</t>
        </is>
      </c>
      <c r="I208" t="inlineStr"/>
    </row>
    <row r="209">
      <c r="A209" t="inlineStr">
        <is>
          <t>PLTR_FQ2_2025</t>
        </is>
      </c>
      <c r="B209" t="inlineStr">
        <is>
          <t>PLTR</t>
        </is>
      </c>
      <c r="C209" t="inlineStr">
        <is>
          <t>2025-08-04</t>
        </is>
      </c>
      <c r="D209" t="inlineStr">
        <is>
          <t>2025-08-04</t>
        </is>
      </c>
      <c r="E209" t="inlineStr">
        <is>
          <t>after_hours</t>
        </is>
      </c>
      <c r="F209" t="inlineStr">
        <is>
          <t>NO</t>
        </is>
      </c>
      <c r="G209" t="inlineStr">
        <is>
          <t>returns_matrix.csv (corrected 2026-08-12)</t>
        </is>
      </c>
      <c r="H209" t="inlineStr">
        <is>
          <t>NO</t>
        </is>
      </c>
      <c r="I209" t="inlineStr"/>
    </row>
    <row r="210">
      <c r="A210" t="inlineStr">
        <is>
          <t>PLTR_FQ3_2025</t>
        </is>
      </c>
      <c r="B210" t="inlineStr">
        <is>
          <t>PLTR</t>
        </is>
      </c>
      <c r="C210" t="inlineStr">
        <is>
          <t>2025-11-03</t>
        </is>
      </c>
      <c r="D210" t="inlineStr">
        <is>
          <t>2025-11-03</t>
        </is>
      </c>
      <c r="E210" t="inlineStr">
        <is>
          <t>after_hours</t>
        </is>
      </c>
      <c r="F210" t="inlineStr">
        <is>
          <t>NO</t>
        </is>
      </c>
      <c r="G210" t="inlineStr">
        <is>
          <t>returns_matrix.csv (corrected 2026-08-12)</t>
        </is>
      </c>
      <c r="H210" t="inlineStr">
        <is>
          <t>NO</t>
        </is>
      </c>
      <c r="I210" t="inlineStr"/>
    </row>
    <row r="211">
      <c r="A211" t="inlineStr">
        <is>
          <t>PLTR_FQ4_2025</t>
        </is>
      </c>
      <c r="B211" t="inlineStr">
        <is>
          <t>PLTR</t>
        </is>
      </c>
      <c r="C211" t="inlineStr">
        <is>
          <t>2026-02-02</t>
        </is>
      </c>
      <c r="D211" t="inlineStr">
        <is>
          <t>2026-02-02</t>
        </is>
      </c>
      <c r="E211" t="inlineStr">
        <is>
          <t>after_hours</t>
        </is>
      </c>
      <c r="F211" t="inlineStr">
        <is>
          <t>NO</t>
        </is>
      </c>
      <c r="G211" t="inlineStr">
        <is>
          <t>returns_matrix.csv (corrected 2026-08-12)</t>
        </is>
      </c>
      <c r="H211" t="inlineStr">
        <is>
          <t>NO</t>
        </is>
      </c>
      <c r="I211" t="inlineStr"/>
    </row>
    <row r="212">
      <c r="A212" t="inlineStr">
        <is>
          <t>PUM.DE_FQ1_2025</t>
        </is>
      </c>
      <c r="B212" t="inlineStr">
        <is>
          <t>PUM.DE</t>
        </is>
      </c>
      <c r="C212" t="inlineStr">
        <is>
          <t>2025-05-07</t>
        </is>
      </c>
      <c r="D212" t="inlineStr">
        <is>
          <t>2025-05-06</t>
        </is>
      </c>
      <c r="E212" t="inlineStr">
        <is>
          <t>pre_market</t>
        </is>
      </c>
      <c r="F212" t="inlineStr">
        <is>
          <t>YES</t>
        </is>
      </c>
      <c r="G212" t="inlineStr">
        <is>
          <t>returns_matrix.csv (corrected 2026-08-12)</t>
        </is>
      </c>
      <c r="H212" t="inlineStr">
        <is>
          <t>NO</t>
        </is>
      </c>
      <c r="I212" t="inlineStr"/>
    </row>
    <row r="213">
      <c r="A213" t="inlineStr">
        <is>
          <t>PUM.DE_FQ1_2026</t>
        </is>
      </c>
      <c r="B213" t="inlineStr">
        <is>
          <t>PUM.DE</t>
        </is>
      </c>
      <c r="C213" t="inlineStr">
        <is>
          <t>2026-04-30</t>
        </is>
      </c>
      <c r="D213" t="inlineStr">
        <is>
          <t>2026-04-29</t>
        </is>
      </c>
      <c r="E213" t="inlineStr">
        <is>
          <t>pre_market</t>
        </is>
      </c>
      <c r="F213" t="inlineStr">
        <is>
          <t>YES</t>
        </is>
      </c>
      <c r="G213" t="inlineStr">
        <is>
          <t>returns_matrix.csv (corrected 2026-08-12)</t>
        </is>
      </c>
      <c r="H213" t="inlineStr">
        <is>
          <t>NO</t>
        </is>
      </c>
      <c r="I213" t="inlineStr"/>
    </row>
    <row r="214">
      <c r="A214" t="inlineStr">
        <is>
          <t>PUM.DE_FQ3_2025</t>
        </is>
      </c>
      <c r="B214" t="inlineStr">
        <is>
          <t>PUM.DE</t>
        </is>
      </c>
      <c r="C214" t="inlineStr">
        <is>
          <t>2025-10-30</t>
        </is>
      </c>
      <c r="D214" t="inlineStr">
        <is>
          <t>2025-10-29</t>
        </is>
      </c>
      <c r="E214" t="inlineStr">
        <is>
          <t>pre_market</t>
        </is>
      </c>
      <c r="F214" t="inlineStr">
        <is>
          <t>YES</t>
        </is>
      </c>
      <c r="G214" t="inlineStr">
        <is>
          <t>returns_matrix.csv (corrected 2026-08-12)</t>
        </is>
      </c>
      <c r="H214" t="inlineStr">
        <is>
          <t>NO</t>
        </is>
      </c>
      <c r="I214" t="inlineStr"/>
    </row>
    <row r="215">
      <c r="A215" t="inlineStr">
        <is>
          <t>PUM.DE_FQ4_2025</t>
        </is>
      </c>
      <c r="B215" t="inlineStr">
        <is>
          <t>PUM.DE</t>
        </is>
      </c>
      <c r="C215" t="inlineStr">
        <is>
          <t>2026-02-26</t>
        </is>
      </c>
      <c r="D215" t="inlineStr">
        <is>
          <t>2026-02-25</t>
        </is>
      </c>
      <c r="E215" t="inlineStr">
        <is>
          <t>pre_market</t>
        </is>
      </c>
      <c r="F215" t="inlineStr">
        <is>
          <t>YES</t>
        </is>
      </c>
      <c r="G215" t="inlineStr">
        <is>
          <t>returns_matrix.csv (corrected 2026-08-12)</t>
        </is>
      </c>
      <c r="H215" t="inlineStr">
        <is>
          <t>NO</t>
        </is>
      </c>
      <c r="I215" t="inlineStr"/>
    </row>
    <row r="216">
      <c r="A216" t="inlineStr">
        <is>
          <t>PYPL_FQ1_2025</t>
        </is>
      </c>
      <c r="B216" t="inlineStr">
        <is>
          <t>PYPL</t>
        </is>
      </c>
      <c r="C216" t="inlineStr">
        <is>
          <t>2025-04-29</t>
        </is>
      </c>
      <c r="D216" t="inlineStr">
        <is>
          <t>2025-04-28</t>
        </is>
      </c>
      <c r="E216" t="inlineStr">
        <is>
          <t>pre_market</t>
        </is>
      </c>
      <c r="F216" t="inlineStr">
        <is>
          <t>YES</t>
        </is>
      </c>
      <c r="G216" t="inlineStr">
        <is>
          <t>returns_matrix.csv (corrected 2026-08-12)</t>
        </is>
      </c>
      <c r="H216" t="inlineStr">
        <is>
          <t>NO</t>
        </is>
      </c>
      <c r="I216" t="inlineStr"/>
    </row>
    <row r="217">
      <c r="A217" t="inlineStr">
        <is>
          <t>PYPL_FQ1_2026</t>
        </is>
      </c>
      <c r="B217" t="inlineStr">
        <is>
          <t>PYPL</t>
        </is>
      </c>
      <c r="C217" t="inlineStr">
        <is>
          <t>2026-05-05</t>
        </is>
      </c>
      <c r="D217" t="inlineStr">
        <is>
          <t>2026-05-04</t>
        </is>
      </c>
      <c r="E217" t="inlineStr">
        <is>
          <t>pre_market</t>
        </is>
      </c>
      <c r="F217" t="inlineStr">
        <is>
          <t>YES</t>
        </is>
      </c>
      <c r="G217" t="inlineStr">
        <is>
          <t>returns_matrix.csv (corrected 2026-08-12)</t>
        </is>
      </c>
      <c r="H217" t="inlineStr">
        <is>
          <t>NO</t>
        </is>
      </c>
      <c r="I217" t="inlineStr"/>
    </row>
    <row r="218">
      <c r="A218" t="inlineStr">
        <is>
          <t>PYPL_FQ2_2025</t>
        </is>
      </c>
      <c r="B218" t="inlineStr">
        <is>
          <t>PYPL</t>
        </is>
      </c>
      <c r="C218" t="inlineStr">
        <is>
          <t>2025-07-29</t>
        </is>
      </c>
      <c r="D218" t="inlineStr">
        <is>
          <t>2025-07-28</t>
        </is>
      </c>
      <c r="E218" t="inlineStr">
        <is>
          <t>pre_market</t>
        </is>
      </c>
      <c r="F218" t="inlineStr">
        <is>
          <t>YES</t>
        </is>
      </c>
      <c r="G218" t="inlineStr">
        <is>
          <t>returns_matrix.csv (corrected 2026-08-12)</t>
        </is>
      </c>
      <c r="H218" t="inlineStr">
        <is>
          <t>NO</t>
        </is>
      </c>
      <c r="I218" t="inlineStr"/>
    </row>
    <row r="219">
      <c r="A219" t="inlineStr">
        <is>
          <t>PYPL_FQ3_2025</t>
        </is>
      </c>
      <c r="B219" t="inlineStr">
        <is>
          <t>PYPL</t>
        </is>
      </c>
      <c r="C219" t="inlineStr">
        <is>
          <t>2025-10-28</t>
        </is>
      </c>
      <c r="D219" t="inlineStr">
        <is>
          <t>2025-10-27</t>
        </is>
      </c>
      <c r="E219" t="inlineStr">
        <is>
          <t>pre_market</t>
        </is>
      </c>
      <c r="F219" t="inlineStr">
        <is>
          <t>YES</t>
        </is>
      </c>
      <c r="G219" t="inlineStr">
        <is>
          <t>returns_matrix.csv (corrected 2026-08-12)</t>
        </is>
      </c>
      <c r="H219" t="inlineStr">
        <is>
          <t>NO</t>
        </is>
      </c>
      <c r="I219" t="inlineStr"/>
    </row>
    <row r="220">
      <c r="A220" t="inlineStr">
        <is>
          <t>SBUX_FQ1_2026</t>
        </is>
      </c>
      <c r="B220" t="inlineStr">
        <is>
          <t>SBUX</t>
        </is>
      </c>
      <c r="C220" t="inlineStr">
        <is>
          <t>2026-01-28</t>
        </is>
      </c>
      <c r="D220" t="inlineStr">
        <is>
          <t>2026-01-28</t>
        </is>
      </c>
      <c r="E220" t="inlineStr">
        <is>
          <t>after_hours</t>
        </is>
      </c>
      <c r="F220" t="inlineStr">
        <is>
          <t>NO</t>
        </is>
      </c>
      <c r="G220" t="inlineStr">
        <is>
          <t>returns_matrix.csv (corrected 2026-08-12)</t>
        </is>
      </c>
      <c r="H220" t="inlineStr">
        <is>
          <t>NO</t>
        </is>
      </c>
      <c r="I220" t="inlineStr"/>
    </row>
    <row r="221">
      <c r="A221" t="inlineStr">
        <is>
          <t>SBUX_FQ3_2025</t>
        </is>
      </c>
      <c r="B221" t="inlineStr">
        <is>
          <t>SBUX</t>
        </is>
      </c>
      <c r="C221" t="inlineStr">
        <is>
          <t>2025-07-29</t>
        </is>
      </c>
      <c r="D221" t="inlineStr">
        <is>
          <t>2025-07-29</t>
        </is>
      </c>
      <c r="E221" t="inlineStr">
        <is>
          <t>after_hours</t>
        </is>
      </c>
      <c r="F221" t="inlineStr">
        <is>
          <t>NO</t>
        </is>
      </c>
      <c r="G221" t="inlineStr">
        <is>
          <t>returns_matrix.csv (corrected 2026-08-12)</t>
        </is>
      </c>
      <c r="H221" t="inlineStr">
        <is>
          <t>NO</t>
        </is>
      </c>
      <c r="I221" t="inlineStr"/>
    </row>
    <row r="222">
      <c r="A222" t="inlineStr">
        <is>
          <t>SBUX_FQ4_2025</t>
        </is>
      </c>
      <c r="B222" t="inlineStr">
        <is>
          <t>SBUX</t>
        </is>
      </c>
      <c r="C222" t="inlineStr">
        <is>
          <t>2025-10-29</t>
        </is>
      </c>
      <c r="D222" t="inlineStr">
        <is>
          <t>2025-10-29</t>
        </is>
      </c>
      <c r="E222" t="inlineStr">
        <is>
          <t>after_hours</t>
        </is>
      </c>
      <c r="F222" t="inlineStr">
        <is>
          <t>NO</t>
        </is>
      </c>
      <c r="G222" t="inlineStr">
        <is>
          <t>returns_matrix.csv (corrected 2026-08-12)</t>
        </is>
      </c>
      <c r="H222" t="inlineStr">
        <is>
          <t>NO</t>
        </is>
      </c>
      <c r="I222" t="inlineStr"/>
    </row>
    <row r="223">
      <c r="A223" t="inlineStr">
        <is>
          <t>SCHW_FQ1_2025</t>
        </is>
      </c>
      <c r="B223" t="inlineStr">
        <is>
          <t>SCHW</t>
        </is>
      </c>
      <c r="C223" t="inlineStr">
        <is>
          <t>2025-04-17</t>
        </is>
      </c>
      <c r="D223" t="inlineStr">
        <is>
          <t>2025-04-17</t>
        </is>
      </c>
      <c r="E223" t="inlineStr">
        <is>
          <t>after_hours</t>
        </is>
      </c>
      <c r="F223" t="inlineStr">
        <is>
          <t>NO</t>
        </is>
      </c>
      <c r="G223" t="inlineStr">
        <is>
          <t>returns_matrix.csv (corrected 2026-08-12)</t>
        </is>
      </c>
      <c r="H223" t="inlineStr">
        <is>
          <t>NO</t>
        </is>
      </c>
      <c r="I223" t="inlineStr"/>
    </row>
    <row r="224">
      <c r="A224" t="inlineStr">
        <is>
          <t>SCHW_FQ1_2026</t>
        </is>
      </c>
      <c r="B224" t="inlineStr">
        <is>
          <t>SCHW</t>
        </is>
      </c>
      <c r="C224" t="inlineStr">
        <is>
          <t>2026-04-16</t>
        </is>
      </c>
      <c r="D224" t="inlineStr">
        <is>
          <t>2026-04-16</t>
        </is>
      </c>
      <c r="E224" t="inlineStr">
        <is>
          <t>after_hours</t>
        </is>
      </c>
      <c r="F224" t="inlineStr">
        <is>
          <t>NO</t>
        </is>
      </c>
      <c r="G224" t="inlineStr">
        <is>
          <t>returns_matrix.csv (corrected 2026-08-12)</t>
        </is>
      </c>
      <c r="H224" t="inlineStr">
        <is>
          <t>NO</t>
        </is>
      </c>
      <c r="I224" t="inlineStr"/>
    </row>
    <row r="225">
      <c r="A225" t="inlineStr">
        <is>
          <t>SCHW_FQ2_2025</t>
        </is>
      </c>
      <c r="B225" t="inlineStr">
        <is>
          <t>SCHW</t>
        </is>
      </c>
      <c r="C225" t="inlineStr">
        <is>
          <t>2025-07-18</t>
        </is>
      </c>
      <c r="D225" t="inlineStr">
        <is>
          <t>2025-07-18</t>
        </is>
      </c>
      <c r="E225" t="inlineStr">
        <is>
          <t>after_hours</t>
        </is>
      </c>
      <c r="F225" t="inlineStr">
        <is>
          <t>NO</t>
        </is>
      </c>
      <c r="G225" t="inlineStr">
        <is>
          <t>returns_matrix.csv (corrected 2026-08-12)</t>
        </is>
      </c>
      <c r="H225" t="inlineStr">
        <is>
          <t>NO</t>
        </is>
      </c>
      <c r="I225" t="inlineStr"/>
    </row>
    <row r="226">
      <c r="A226" t="inlineStr">
        <is>
          <t>SCHW_FQ3_2025</t>
        </is>
      </c>
      <c r="B226" t="inlineStr">
        <is>
          <t>SCHW</t>
        </is>
      </c>
      <c r="C226" t="inlineStr">
        <is>
          <t>2025-10-16</t>
        </is>
      </c>
      <c r="D226" t="inlineStr">
        <is>
          <t>2025-10-16</t>
        </is>
      </c>
      <c r="E226" t="inlineStr">
        <is>
          <t>after_hours</t>
        </is>
      </c>
      <c r="F226" t="inlineStr">
        <is>
          <t>NO</t>
        </is>
      </c>
      <c r="G226" t="inlineStr">
        <is>
          <t>returns_matrix.csv (corrected 2026-08-12)</t>
        </is>
      </c>
      <c r="H226" t="inlineStr">
        <is>
          <t>NO</t>
        </is>
      </c>
      <c r="I226" t="inlineStr"/>
    </row>
    <row r="227">
      <c r="A227" t="inlineStr">
        <is>
          <t>SCHW_FQ4_2025</t>
        </is>
      </c>
      <c r="B227" t="inlineStr">
        <is>
          <t>SCHW</t>
        </is>
      </c>
      <c r="C227" t="inlineStr">
        <is>
          <t>2026-01-21</t>
        </is>
      </c>
      <c r="D227" t="inlineStr">
        <is>
          <t>2026-01-21</t>
        </is>
      </c>
      <c r="E227" t="inlineStr">
        <is>
          <t>after_hours</t>
        </is>
      </c>
      <c r="F227" t="inlineStr">
        <is>
          <t>NO</t>
        </is>
      </c>
      <c r="G227" t="inlineStr">
        <is>
          <t>returns_matrix.csv (corrected 2026-08-12)</t>
        </is>
      </c>
      <c r="H227" t="inlineStr">
        <is>
          <t>NO</t>
        </is>
      </c>
      <c r="I227" t="inlineStr"/>
    </row>
    <row r="228">
      <c r="A228" t="inlineStr">
        <is>
          <t>SIE.DE_FQ1_2026</t>
        </is>
      </c>
      <c r="B228" t="inlineStr">
        <is>
          <t>SIE.DE</t>
        </is>
      </c>
      <c r="C228" t="inlineStr">
        <is>
          <t>2026-02-12</t>
        </is>
      </c>
      <c r="D228" t="inlineStr">
        <is>
          <t>2026-02-11</t>
        </is>
      </c>
      <c r="E228" t="inlineStr">
        <is>
          <t>pre_market</t>
        </is>
      </c>
      <c r="F228" t="inlineStr">
        <is>
          <t>YES</t>
        </is>
      </c>
      <c r="G228" t="inlineStr">
        <is>
          <t>returns_matrix.csv (corrected 2026-08-12)</t>
        </is>
      </c>
      <c r="H228" t="inlineStr">
        <is>
          <t>NO</t>
        </is>
      </c>
      <c r="I228" t="inlineStr"/>
    </row>
    <row r="229">
      <c r="A229" t="inlineStr">
        <is>
          <t>SIE.DE_FQ2_2026</t>
        </is>
      </c>
      <c r="B229" t="inlineStr">
        <is>
          <t>SIE.DE</t>
        </is>
      </c>
      <c r="C229" t="inlineStr">
        <is>
          <t>2026-05-13</t>
        </is>
      </c>
      <c r="D229" t="inlineStr">
        <is>
          <t>2026-05-12</t>
        </is>
      </c>
      <c r="E229" t="inlineStr">
        <is>
          <t>pre_market</t>
        </is>
      </c>
      <c r="F229" t="inlineStr">
        <is>
          <t>YES</t>
        </is>
      </c>
      <c r="G229" t="inlineStr">
        <is>
          <t>returns_matrix.csv (corrected 2026-08-12)</t>
        </is>
      </c>
      <c r="H229" t="inlineStr">
        <is>
          <t>NO</t>
        </is>
      </c>
      <c r="I229" t="inlineStr"/>
    </row>
    <row r="230">
      <c r="A230" t="inlineStr">
        <is>
          <t>SIE.DE_FQ4_2025</t>
        </is>
      </c>
      <c r="B230" t="inlineStr">
        <is>
          <t>SIE.DE</t>
        </is>
      </c>
      <c r="C230" t="inlineStr">
        <is>
          <t>2025-11-13</t>
        </is>
      </c>
      <c r="D230" t="inlineStr">
        <is>
          <t>2025-11-12</t>
        </is>
      </c>
      <c r="E230" t="inlineStr">
        <is>
          <t>pre_market</t>
        </is>
      </c>
      <c r="F230" t="inlineStr">
        <is>
          <t>YES</t>
        </is>
      </c>
      <c r="G230" t="inlineStr">
        <is>
          <t>returns_matrix.csv (corrected 2026-08-12)</t>
        </is>
      </c>
      <c r="H230" t="inlineStr">
        <is>
          <t>NO</t>
        </is>
      </c>
      <c r="I230" t="inlineStr"/>
    </row>
    <row r="231">
      <c r="A231" t="inlineStr">
        <is>
          <t>SPOT_FQ1_2026</t>
        </is>
      </c>
      <c r="B231" t="inlineStr">
        <is>
          <t>SPOT</t>
        </is>
      </c>
      <c r="C231" t="inlineStr">
        <is>
          <t>2026-04-28</t>
        </is>
      </c>
      <c r="D231" t="inlineStr">
        <is>
          <t>2026-04-27</t>
        </is>
      </c>
      <c r="E231" t="inlineStr">
        <is>
          <t>pre_market</t>
        </is>
      </c>
      <c r="F231" t="inlineStr">
        <is>
          <t>YES</t>
        </is>
      </c>
      <c r="G231" t="inlineStr">
        <is>
          <t>returns_matrix.csv (corrected 2026-08-12)</t>
        </is>
      </c>
      <c r="H231" t="inlineStr">
        <is>
          <t>NO</t>
        </is>
      </c>
      <c r="I231" t="inlineStr"/>
    </row>
    <row r="232">
      <c r="A232" t="inlineStr">
        <is>
          <t>SPOT_FQ2_2025</t>
        </is>
      </c>
      <c r="B232" t="inlineStr">
        <is>
          <t>SPOT</t>
        </is>
      </c>
      <c r="C232" t="inlineStr">
        <is>
          <t>2025-07-29</t>
        </is>
      </c>
      <c r="D232" t="inlineStr">
        <is>
          <t>2025-07-28</t>
        </is>
      </c>
      <c r="E232" t="inlineStr">
        <is>
          <t>pre_market</t>
        </is>
      </c>
      <c r="F232" t="inlineStr">
        <is>
          <t>YES</t>
        </is>
      </c>
      <c r="G232" t="inlineStr">
        <is>
          <t>returns_matrix.csv (corrected 2026-08-12)</t>
        </is>
      </c>
      <c r="H232" t="inlineStr">
        <is>
          <t>NO</t>
        </is>
      </c>
      <c r="I232" t="inlineStr"/>
    </row>
    <row r="233">
      <c r="A233" t="inlineStr">
        <is>
          <t>SPOT_FQ3_2025</t>
        </is>
      </c>
      <c r="B233" t="inlineStr">
        <is>
          <t>SPOT</t>
        </is>
      </c>
      <c r="C233" t="inlineStr">
        <is>
          <t>2025-11-04</t>
        </is>
      </c>
      <c r="D233" t="inlineStr">
        <is>
          <t>2025-11-03</t>
        </is>
      </c>
      <c r="E233" t="inlineStr">
        <is>
          <t>pre_market</t>
        </is>
      </c>
      <c r="F233" t="inlineStr">
        <is>
          <t>YES</t>
        </is>
      </c>
      <c r="G233" t="inlineStr">
        <is>
          <t>returns_matrix.csv (corrected 2026-08-12)</t>
        </is>
      </c>
      <c r="H233" t="inlineStr">
        <is>
          <t>NO</t>
        </is>
      </c>
      <c r="I233" t="inlineStr"/>
    </row>
    <row r="234">
      <c r="A234" t="inlineStr">
        <is>
          <t>SPOT_FQ4_2025</t>
        </is>
      </c>
      <c r="B234" t="inlineStr">
        <is>
          <t>SPOT</t>
        </is>
      </c>
      <c r="C234" t="inlineStr">
        <is>
          <t>2026-02-10</t>
        </is>
      </c>
      <c r="D234" t="inlineStr">
        <is>
          <t>2026-02-09</t>
        </is>
      </c>
      <c r="E234" t="inlineStr">
        <is>
          <t>pre_market</t>
        </is>
      </c>
      <c r="F234" t="inlineStr">
        <is>
          <t>YES</t>
        </is>
      </c>
      <c r="G234" t="inlineStr">
        <is>
          <t>returns_matrix.csv (corrected 2026-08-12)</t>
        </is>
      </c>
      <c r="H234" t="inlineStr">
        <is>
          <t>NO</t>
        </is>
      </c>
      <c r="I234" t="inlineStr"/>
    </row>
    <row r="235">
      <c r="A235" t="inlineStr">
        <is>
          <t>STAN.L_FQ1_2025</t>
        </is>
      </c>
      <c r="B235" t="inlineStr">
        <is>
          <t>STAN.L</t>
        </is>
      </c>
      <c r="C235" t="inlineStr">
        <is>
          <t>2025-05-02</t>
        </is>
      </c>
      <c r="D235" t="inlineStr">
        <is>
          <t>2025-05-01</t>
        </is>
      </c>
      <c r="E235" t="inlineStr">
        <is>
          <t>pre_market</t>
        </is>
      </c>
      <c r="F235" t="inlineStr">
        <is>
          <t>YES</t>
        </is>
      </c>
      <c r="G235" t="inlineStr">
        <is>
          <t>returns_matrix.csv (corrected 2026-08-12)</t>
        </is>
      </c>
      <c r="H235" t="inlineStr">
        <is>
          <t>NO</t>
        </is>
      </c>
      <c r="I235" t="inlineStr"/>
    </row>
    <row r="236">
      <c r="A236" t="inlineStr">
        <is>
          <t>STAN.L_FQ2_2025</t>
        </is>
      </c>
      <c r="B236" t="inlineStr">
        <is>
          <t>STAN.L</t>
        </is>
      </c>
      <c r="C236" t="inlineStr">
        <is>
          <t>2025-07-31</t>
        </is>
      </c>
      <c r="D236" t="inlineStr">
        <is>
          <t>2025-07-30</t>
        </is>
      </c>
      <c r="E236" t="inlineStr">
        <is>
          <t>pre_market</t>
        </is>
      </c>
      <c r="F236" t="inlineStr">
        <is>
          <t>YES</t>
        </is>
      </c>
      <c r="G236" t="inlineStr">
        <is>
          <t>returns_matrix.csv (corrected 2026-08-12)</t>
        </is>
      </c>
      <c r="H236" t="inlineStr">
        <is>
          <t>NO</t>
        </is>
      </c>
      <c r="I236" t="inlineStr"/>
    </row>
    <row r="237">
      <c r="A237" t="inlineStr">
        <is>
          <t>STAN.L_FQ3_2025</t>
        </is>
      </c>
      <c r="B237" t="inlineStr">
        <is>
          <t>STAN.L</t>
        </is>
      </c>
      <c r="C237" t="inlineStr">
        <is>
          <t>2025-10-30</t>
        </is>
      </c>
      <c r="D237" t="inlineStr">
        <is>
          <t>2025-10-29</t>
        </is>
      </c>
      <c r="E237" t="inlineStr">
        <is>
          <t>pre_market</t>
        </is>
      </c>
      <c r="F237" t="inlineStr">
        <is>
          <t>YES</t>
        </is>
      </c>
      <c r="G237" t="inlineStr">
        <is>
          <t>returns_matrix.csv (corrected 2026-08-12)</t>
        </is>
      </c>
      <c r="H237" t="inlineStr">
        <is>
          <t>NO</t>
        </is>
      </c>
      <c r="I237" t="inlineStr"/>
    </row>
    <row r="238">
      <c r="A238" t="inlineStr">
        <is>
          <t>STAN.L_FQ4_2025</t>
        </is>
      </c>
      <c r="B238" t="inlineStr">
        <is>
          <t>STAN.L</t>
        </is>
      </c>
      <c r="C238" t="inlineStr">
        <is>
          <t>2026-02-23</t>
        </is>
      </c>
      <c r="D238" t="inlineStr">
        <is>
          <t>2026-02-20</t>
        </is>
      </c>
      <c r="E238" t="inlineStr">
        <is>
          <t>pre_market</t>
        </is>
      </c>
      <c r="F238" t="inlineStr">
        <is>
          <t>YES</t>
        </is>
      </c>
      <c r="G238" t="inlineStr">
        <is>
          <t>returns_matrix.csv (corrected 2026-08-12)</t>
        </is>
      </c>
      <c r="H238" t="inlineStr">
        <is>
          <t>NO</t>
        </is>
      </c>
      <c r="I238" t="inlineStr"/>
    </row>
    <row r="239">
      <c r="A239" t="inlineStr">
        <is>
          <t>TGT_FQ1_2025</t>
        </is>
      </c>
      <c r="B239" t="inlineStr">
        <is>
          <t>TGT</t>
        </is>
      </c>
      <c r="C239" t="inlineStr">
        <is>
          <t>2025-05-21</t>
        </is>
      </c>
      <c r="D239" t="inlineStr">
        <is>
          <t>2025-05-20</t>
        </is>
      </c>
      <c r="E239" t="inlineStr">
        <is>
          <t>pre_market</t>
        </is>
      </c>
      <c r="F239" t="inlineStr">
        <is>
          <t>YES</t>
        </is>
      </c>
      <c r="G239" t="inlineStr">
        <is>
          <t>returns_matrix.csv (corrected 2026-08-12)</t>
        </is>
      </c>
      <c r="H239" t="inlineStr">
        <is>
          <t>NO</t>
        </is>
      </c>
      <c r="I239" t="inlineStr"/>
    </row>
    <row r="240">
      <c r="A240" t="inlineStr">
        <is>
          <t>TGT_FQ1_2026</t>
        </is>
      </c>
      <c r="B240" t="inlineStr">
        <is>
          <t>TGT</t>
        </is>
      </c>
      <c r="C240" t="inlineStr">
        <is>
          <t>2026-05-20</t>
        </is>
      </c>
      <c r="D240" t="inlineStr">
        <is>
          <t>2026-05-19</t>
        </is>
      </c>
      <c r="E240" t="inlineStr">
        <is>
          <t>pre_market</t>
        </is>
      </c>
      <c r="F240" t="inlineStr">
        <is>
          <t>YES</t>
        </is>
      </c>
      <c r="G240" t="inlineStr">
        <is>
          <t>returns_matrix.csv (corrected 2026-08-12)</t>
        </is>
      </c>
      <c r="H240" t="inlineStr">
        <is>
          <t>NO</t>
        </is>
      </c>
      <c r="I240" t="inlineStr"/>
    </row>
    <row r="241">
      <c r="A241" t="inlineStr">
        <is>
          <t>TGT_FQ2_2025</t>
        </is>
      </c>
      <c r="B241" t="inlineStr">
        <is>
          <t>TGT</t>
        </is>
      </c>
      <c r="C241" t="inlineStr">
        <is>
          <t>2025-08-20</t>
        </is>
      </c>
      <c r="D241" t="inlineStr">
        <is>
          <t>2025-08-19</t>
        </is>
      </c>
      <c r="E241" t="inlineStr">
        <is>
          <t>pre_market</t>
        </is>
      </c>
      <c r="F241" t="inlineStr">
        <is>
          <t>YES</t>
        </is>
      </c>
      <c r="G241" t="inlineStr">
        <is>
          <t>returns_matrix.csv (corrected 2026-08-12)</t>
        </is>
      </c>
      <c r="H241" t="inlineStr">
        <is>
          <t>NO</t>
        </is>
      </c>
      <c r="I241" t="inlineStr"/>
    </row>
    <row r="242">
      <c r="A242" t="inlineStr">
        <is>
          <t>TGT_FQ3_2025</t>
        </is>
      </c>
      <c r="B242" t="inlineStr">
        <is>
          <t>TGT</t>
        </is>
      </c>
      <c r="C242" t="inlineStr">
        <is>
          <t>2025-11-19</t>
        </is>
      </c>
      <c r="D242" t="inlineStr">
        <is>
          <t>2025-11-18</t>
        </is>
      </c>
      <c r="E242" t="inlineStr">
        <is>
          <t>pre_market</t>
        </is>
      </c>
      <c r="F242" t="inlineStr">
        <is>
          <t>YES</t>
        </is>
      </c>
      <c r="G242" t="inlineStr">
        <is>
          <t>returns_matrix.csv (corrected 2026-08-12)</t>
        </is>
      </c>
      <c r="H242" t="inlineStr">
        <is>
          <t>NO</t>
        </is>
      </c>
      <c r="I242" t="inlineStr"/>
    </row>
    <row r="243">
      <c r="A243" t="inlineStr">
        <is>
          <t>TSLA_FQ1_2026</t>
        </is>
      </c>
      <c r="B243" t="inlineStr">
        <is>
          <t>TSLA</t>
        </is>
      </c>
      <c r="C243" t="inlineStr">
        <is>
          <t>2026-04-22</t>
        </is>
      </c>
      <c r="D243" t="inlineStr">
        <is>
          <t>2026-04-22</t>
        </is>
      </c>
      <c r="E243" t="inlineStr">
        <is>
          <t>after_hours</t>
        </is>
      </c>
      <c r="F243" t="inlineStr">
        <is>
          <t>NO</t>
        </is>
      </c>
      <c r="G243" t="inlineStr">
        <is>
          <t>returns_matrix.csv (corrected 2026-08-12)</t>
        </is>
      </c>
      <c r="H243" t="inlineStr">
        <is>
          <t>NO</t>
        </is>
      </c>
      <c r="I243" t="inlineStr"/>
    </row>
    <row r="244">
      <c r="A244" t="inlineStr">
        <is>
          <t>TSLA_FQ3_2025</t>
        </is>
      </c>
      <c r="B244" t="inlineStr">
        <is>
          <t>TSLA</t>
        </is>
      </c>
      <c r="C244" t="inlineStr">
        <is>
          <t>2025-10-22</t>
        </is>
      </c>
      <c r="D244" t="inlineStr">
        <is>
          <t>2025-10-22</t>
        </is>
      </c>
      <c r="E244" t="inlineStr">
        <is>
          <t>after_hours</t>
        </is>
      </c>
      <c r="F244" t="inlineStr">
        <is>
          <t>NO</t>
        </is>
      </c>
      <c r="G244" t="inlineStr">
        <is>
          <t>returns_matrix.csv (corrected 2026-08-12)</t>
        </is>
      </c>
      <c r="H244" t="inlineStr">
        <is>
          <t>NO</t>
        </is>
      </c>
      <c r="I244" t="inlineStr"/>
    </row>
    <row r="245">
      <c r="A245" t="inlineStr">
        <is>
          <t>TSLA_FQ4_2025</t>
        </is>
      </c>
      <c r="B245" t="inlineStr">
        <is>
          <t>TSLA</t>
        </is>
      </c>
      <c r="C245" t="inlineStr">
        <is>
          <t>2026-01-28</t>
        </is>
      </c>
      <c r="D245" t="inlineStr">
        <is>
          <t>2026-01-28</t>
        </is>
      </c>
      <c r="E245" t="inlineStr">
        <is>
          <t>after_hours</t>
        </is>
      </c>
      <c r="F245" t="inlineStr">
        <is>
          <t>NO</t>
        </is>
      </c>
      <c r="G245" t="inlineStr">
        <is>
          <t>returns_matrix.csv (corrected 2026-08-12)</t>
        </is>
      </c>
      <c r="H245" t="inlineStr">
        <is>
          <t>NO</t>
        </is>
      </c>
      <c r="I245" t="inlineStr"/>
    </row>
    <row r="246">
      <c r="A246" t="inlineStr">
        <is>
          <t>UAL_FQ1_2025</t>
        </is>
      </c>
      <c r="B246" t="inlineStr">
        <is>
          <t>UAL</t>
        </is>
      </c>
      <c r="C246" t="inlineStr">
        <is>
          <t>2025-04-15</t>
        </is>
      </c>
      <c r="D246" t="inlineStr">
        <is>
          <t>2025-04-15</t>
        </is>
      </c>
      <c r="E246" t="inlineStr">
        <is>
          <t>after_hours</t>
        </is>
      </c>
      <c r="F246" t="inlineStr">
        <is>
          <t>NO</t>
        </is>
      </c>
      <c r="G246" t="inlineStr">
        <is>
          <t>returns_matrix.csv (corrected 2026-08-12)</t>
        </is>
      </c>
      <c r="H246" t="inlineStr">
        <is>
          <t>NO</t>
        </is>
      </c>
      <c r="I246" t="inlineStr"/>
    </row>
    <row r="247">
      <c r="A247" t="inlineStr">
        <is>
          <t>UAL_FQ2_2025</t>
        </is>
      </c>
      <c r="B247" t="inlineStr">
        <is>
          <t>UAL</t>
        </is>
      </c>
      <c r="C247" t="inlineStr">
        <is>
          <t>2025-07-16</t>
        </is>
      </c>
      <c r="D247" t="inlineStr">
        <is>
          <t>2025-07-16</t>
        </is>
      </c>
      <c r="E247" t="inlineStr">
        <is>
          <t>after_hours</t>
        </is>
      </c>
      <c r="F247" t="inlineStr">
        <is>
          <t>NO</t>
        </is>
      </c>
      <c r="G247" t="inlineStr">
        <is>
          <t>returns_matrix.csv (corrected 2026-08-12)</t>
        </is>
      </c>
      <c r="H247" t="inlineStr">
        <is>
          <t>NO</t>
        </is>
      </c>
      <c r="I247" t="inlineStr"/>
    </row>
    <row r="248">
      <c r="A248" t="inlineStr">
        <is>
          <t>UAL_FQ3_2025</t>
        </is>
      </c>
      <c r="B248" t="inlineStr">
        <is>
          <t>UAL</t>
        </is>
      </c>
      <c r="C248" t="inlineStr">
        <is>
          <t>2025-10-15</t>
        </is>
      </c>
      <c r="D248" t="inlineStr">
        <is>
          <t>2025-10-15</t>
        </is>
      </c>
      <c r="E248" t="inlineStr">
        <is>
          <t>after_hours</t>
        </is>
      </c>
      <c r="F248" t="inlineStr">
        <is>
          <t>NO</t>
        </is>
      </c>
      <c r="G248" t="inlineStr">
        <is>
          <t>returns_matrix.csv (corrected 2026-08-12)</t>
        </is>
      </c>
      <c r="H248" t="inlineStr">
        <is>
          <t>NO</t>
        </is>
      </c>
      <c r="I248" t="inlineStr"/>
    </row>
    <row r="249">
      <c r="A249" t="inlineStr">
        <is>
          <t>UAL_FQ4_2025</t>
        </is>
      </c>
      <c r="B249" t="inlineStr">
        <is>
          <t>UAL</t>
        </is>
      </c>
      <c r="C249" t="inlineStr">
        <is>
          <t>2026-01-20</t>
        </is>
      </c>
      <c r="D249" t="inlineStr">
        <is>
          <t>2026-01-20</t>
        </is>
      </c>
      <c r="E249" t="inlineStr">
        <is>
          <t>after_hours</t>
        </is>
      </c>
      <c r="F249" t="inlineStr">
        <is>
          <t>NO</t>
        </is>
      </c>
      <c r="G249" t="inlineStr">
        <is>
          <t>returns_matrix.csv (corrected 2026-08-12)</t>
        </is>
      </c>
      <c r="H249" t="inlineStr">
        <is>
          <t>NO</t>
        </is>
      </c>
      <c r="I249" t="inlineStr"/>
    </row>
    <row r="250">
      <c r="A250" t="inlineStr">
        <is>
          <t>UBER_FQ1_2025</t>
        </is>
      </c>
      <c r="B250" t="inlineStr">
        <is>
          <t>UBER</t>
        </is>
      </c>
      <c r="C250" t="inlineStr">
        <is>
          <t>2025-05-07</t>
        </is>
      </c>
      <c r="D250" t="inlineStr">
        <is>
          <t>2025-05-06</t>
        </is>
      </c>
      <c r="E250" t="inlineStr">
        <is>
          <t>pre_market</t>
        </is>
      </c>
      <c r="F250" t="inlineStr">
        <is>
          <t>YES</t>
        </is>
      </c>
      <c r="G250" t="inlineStr">
        <is>
          <t>returns_matrix.csv (corrected 2026-08-12)</t>
        </is>
      </c>
      <c r="H250" t="inlineStr">
        <is>
          <t>NO</t>
        </is>
      </c>
      <c r="I250" t="inlineStr"/>
    </row>
    <row r="251">
      <c r="A251" t="inlineStr">
        <is>
          <t>UBER_FQ1_2026</t>
        </is>
      </c>
      <c r="B251" t="inlineStr">
        <is>
          <t>UBER</t>
        </is>
      </c>
      <c r="C251" t="inlineStr">
        <is>
          <t>2026-05-06</t>
        </is>
      </c>
      <c r="D251" t="inlineStr">
        <is>
          <t>2026-05-05</t>
        </is>
      </c>
      <c r="E251" t="inlineStr">
        <is>
          <t>pre_market</t>
        </is>
      </c>
      <c r="F251" t="inlineStr">
        <is>
          <t>YES</t>
        </is>
      </c>
      <c r="G251" t="inlineStr">
        <is>
          <t>returns_matrix.csv (corrected 2026-08-12)</t>
        </is>
      </c>
      <c r="H251" t="inlineStr">
        <is>
          <t>NO</t>
        </is>
      </c>
      <c r="I251" t="inlineStr"/>
    </row>
    <row r="252">
      <c r="A252" t="inlineStr">
        <is>
          <t>UBER_FQ2_2025</t>
        </is>
      </c>
      <c r="B252" t="inlineStr">
        <is>
          <t>UBER</t>
        </is>
      </c>
      <c r="C252" t="inlineStr">
        <is>
          <t>2025-08-06</t>
        </is>
      </c>
      <c r="D252" t="inlineStr">
        <is>
          <t>2025-08-05</t>
        </is>
      </c>
      <c r="E252" t="inlineStr">
        <is>
          <t>pre_market</t>
        </is>
      </c>
      <c r="F252" t="inlineStr">
        <is>
          <t>YES</t>
        </is>
      </c>
      <c r="G252" t="inlineStr">
        <is>
          <t>returns_matrix.csv (corrected 2026-08-12)</t>
        </is>
      </c>
      <c r="H252" t="inlineStr">
        <is>
          <t>NO</t>
        </is>
      </c>
      <c r="I252" t="inlineStr"/>
    </row>
    <row r="253">
      <c r="A253" t="inlineStr">
        <is>
          <t>UBER_FQ4_2025</t>
        </is>
      </c>
      <c r="B253" t="inlineStr">
        <is>
          <t>UBER</t>
        </is>
      </c>
      <c r="C253" t="inlineStr">
        <is>
          <t>2026-02-04</t>
        </is>
      </c>
      <c r="D253" t="inlineStr">
        <is>
          <t>2026-02-03</t>
        </is>
      </c>
      <c r="E253" t="inlineStr">
        <is>
          <t>pre_market</t>
        </is>
      </c>
      <c r="F253" t="inlineStr">
        <is>
          <t>YES</t>
        </is>
      </c>
      <c r="G253" t="inlineStr">
        <is>
          <t>returns_matrix.csv (corrected 2026-08-12)</t>
        </is>
      </c>
      <c r="H253" t="inlineStr">
        <is>
          <t>NO</t>
        </is>
      </c>
      <c r="I253" t="inlineStr"/>
    </row>
    <row r="254">
      <c r="A254" t="inlineStr">
        <is>
          <t>UNH_FQ2_2025</t>
        </is>
      </c>
      <c r="B254" t="inlineStr">
        <is>
          <t>UNH</t>
        </is>
      </c>
      <c r="C254" t="inlineStr">
        <is>
          <t>2025-07-29</t>
        </is>
      </c>
      <c r="D254" t="inlineStr">
        <is>
          <t>2025-07-28</t>
        </is>
      </c>
      <c r="E254" t="inlineStr">
        <is>
          <t>pre_market</t>
        </is>
      </c>
      <c r="F254" t="inlineStr">
        <is>
          <t>YES</t>
        </is>
      </c>
      <c r="G254" t="inlineStr">
        <is>
          <t>returns_matrix.csv (corrected 2026-08-12)</t>
        </is>
      </c>
      <c r="H254" t="inlineStr">
        <is>
          <t>NO</t>
        </is>
      </c>
      <c r="I254" t="inlineStr"/>
    </row>
    <row r="255">
      <c r="A255" t="inlineStr">
        <is>
          <t>UNH_FQ3_2025</t>
        </is>
      </c>
      <c r="B255" t="inlineStr">
        <is>
          <t>UNH</t>
        </is>
      </c>
      <c r="C255" t="inlineStr">
        <is>
          <t>2025-10-28</t>
        </is>
      </c>
      <c r="D255" t="inlineStr">
        <is>
          <t>2025-10-27</t>
        </is>
      </c>
      <c r="E255" t="inlineStr">
        <is>
          <t>pre_market</t>
        </is>
      </c>
      <c r="F255" t="inlineStr">
        <is>
          <t>YES</t>
        </is>
      </c>
      <c r="G255" t="inlineStr">
        <is>
          <t>returns_matrix.csv (corrected 2026-08-12)</t>
        </is>
      </c>
      <c r="H255" t="inlineStr">
        <is>
          <t>NO</t>
        </is>
      </c>
      <c r="I255" t="inlineStr"/>
    </row>
    <row r="256">
      <c r="A256" t="inlineStr">
        <is>
          <t>UNH_FQ4_2025</t>
        </is>
      </c>
      <c r="B256" t="inlineStr">
        <is>
          <t>UNH</t>
        </is>
      </c>
      <c r="C256" t="inlineStr">
        <is>
          <t>2026-01-27</t>
        </is>
      </c>
      <c r="D256" t="inlineStr">
        <is>
          <t>2026-01-26</t>
        </is>
      </c>
      <c r="E256" t="inlineStr">
        <is>
          <t>pre_market</t>
        </is>
      </c>
      <c r="F256" t="inlineStr">
        <is>
          <t>YES</t>
        </is>
      </c>
      <c r="G256" t="inlineStr">
        <is>
          <t>returns_matrix.csv (corrected 2026-08-12)</t>
        </is>
      </c>
      <c r="H256" t="inlineStr">
        <is>
          <t>NO</t>
        </is>
      </c>
      <c r="I256" t="inlineStr"/>
    </row>
    <row r="257">
      <c r="A257" t="inlineStr">
        <is>
          <t>V_FQ1_2025</t>
        </is>
      </c>
      <c r="B257" t="inlineStr">
        <is>
          <t>V</t>
        </is>
      </c>
      <c r="C257" t="inlineStr">
        <is>
          <t>2025-04-29</t>
        </is>
      </c>
      <c r="D257" t="inlineStr">
        <is>
          <t>2025-04-29</t>
        </is>
      </c>
      <c r="E257" t="inlineStr">
        <is>
          <t>after_hours</t>
        </is>
      </c>
      <c r="F257" t="inlineStr">
        <is>
          <t>NO</t>
        </is>
      </c>
      <c r="G257" t="inlineStr">
        <is>
          <t>returns_matrix.csv (corrected 2026-08-12)</t>
        </is>
      </c>
      <c r="H257" t="inlineStr">
        <is>
          <t>NO</t>
        </is>
      </c>
      <c r="I257" t="inlineStr"/>
    </row>
    <row r="258">
      <c r="A258" t="inlineStr">
        <is>
          <t>V_FQ1_2026</t>
        </is>
      </c>
      <c r="B258" t="inlineStr">
        <is>
          <t>V</t>
        </is>
      </c>
      <c r="C258" t="inlineStr">
        <is>
          <t>2026-04-28</t>
        </is>
      </c>
      <c r="D258" t="inlineStr">
        <is>
          <t>2026-04-28</t>
        </is>
      </c>
      <c r="E258" t="inlineStr">
        <is>
          <t>after_hours</t>
        </is>
      </c>
      <c r="F258" t="inlineStr">
        <is>
          <t>NO</t>
        </is>
      </c>
      <c r="G258" t="inlineStr">
        <is>
          <t>returns_matrix.csv (corrected 2026-08-12)</t>
        </is>
      </c>
      <c r="H258" t="inlineStr">
        <is>
          <t>NO</t>
        </is>
      </c>
      <c r="I258" t="inlineStr"/>
    </row>
    <row r="259">
      <c r="A259" t="inlineStr">
        <is>
          <t>V_FQ2_2025</t>
        </is>
      </c>
      <c r="B259" t="inlineStr">
        <is>
          <t>V</t>
        </is>
      </c>
      <c r="C259" t="inlineStr">
        <is>
          <t>2025-07-29</t>
        </is>
      </c>
      <c r="D259" t="inlineStr">
        <is>
          <t>2025-07-29</t>
        </is>
      </c>
      <c r="E259" t="inlineStr">
        <is>
          <t>after_hours</t>
        </is>
      </c>
      <c r="F259" t="inlineStr">
        <is>
          <t>NO</t>
        </is>
      </c>
      <c r="G259" t="inlineStr">
        <is>
          <t>returns_matrix.csv (corrected 2026-08-12)</t>
        </is>
      </c>
      <c r="H259" t="inlineStr">
        <is>
          <t>NO</t>
        </is>
      </c>
      <c r="I259" t="inlineStr"/>
    </row>
    <row r="260">
      <c r="A260" t="inlineStr">
        <is>
          <t>V_FQ3_2025</t>
        </is>
      </c>
      <c r="B260" t="inlineStr">
        <is>
          <t>V</t>
        </is>
      </c>
      <c r="C260" t="inlineStr">
        <is>
          <t>2025-10-28</t>
        </is>
      </c>
      <c r="D260" t="inlineStr">
        <is>
          <t>2025-10-28</t>
        </is>
      </c>
      <c r="E260" t="inlineStr">
        <is>
          <t>after_hours</t>
        </is>
      </c>
      <c r="F260" t="inlineStr">
        <is>
          <t>NO</t>
        </is>
      </c>
      <c r="G260" t="inlineStr">
        <is>
          <t>returns_matrix.csv (corrected 2026-08-12)</t>
        </is>
      </c>
      <c r="H260" t="inlineStr">
        <is>
          <t>NO</t>
        </is>
      </c>
      <c r="I260" t="inlineStr"/>
    </row>
    <row r="261">
      <c r="A261" t="inlineStr">
        <is>
          <t>WDAY_FQ1_2025</t>
        </is>
      </c>
      <c r="B261" t="inlineStr">
        <is>
          <t>WDAY</t>
        </is>
      </c>
      <c r="C261" t="inlineStr">
        <is>
          <t>2025-05-22</t>
        </is>
      </c>
      <c r="D261" t="inlineStr">
        <is>
          <t>2025-05-22</t>
        </is>
      </c>
      <c r="E261" t="inlineStr">
        <is>
          <t>after_hours</t>
        </is>
      </c>
      <c r="F261" t="inlineStr">
        <is>
          <t>NO</t>
        </is>
      </c>
      <c r="G261" t="inlineStr">
        <is>
          <t>returns_matrix.csv (corrected 2026-08-12)</t>
        </is>
      </c>
      <c r="H261" t="inlineStr">
        <is>
          <t>NO</t>
        </is>
      </c>
      <c r="I261" t="inlineStr"/>
    </row>
    <row r="262">
      <c r="A262" t="inlineStr">
        <is>
          <t>WDAY_FQ2_2025</t>
        </is>
      </c>
      <c r="B262" t="inlineStr">
        <is>
          <t>WDAY</t>
        </is>
      </c>
      <c r="C262" t="inlineStr">
        <is>
          <t>2025-08-21</t>
        </is>
      </c>
      <c r="D262" t="inlineStr">
        <is>
          <t>2025-08-21</t>
        </is>
      </c>
      <c r="E262" t="inlineStr">
        <is>
          <t>after_hours</t>
        </is>
      </c>
      <c r="F262" t="inlineStr">
        <is>
          <t>NO</t>
        </is>
      </c>
      <c r="G262" t="inlineStr">
        <is>
          <t>returns_matrix.csv (corrected 2026-08-12)</t>
        </is>
      </c>
      <c r="H262" t="inlineStr">
        <is>
          <t>NO</t>
        </is>
      </c>
      <c r="I262" t="inlineStr"/>
    </row>
    <row r="263">
      <c r="A263" t="inlineStr">
        <is>
          <t>WDAY_FQ3_2025</t>
        </is>
      </c>
      <c r="B263" t="inlineStr">
        <is>
          <t>WDAY</t>
        </is>
      </c>
      <c r="C263" t="inlineStr">
        <is>
          <t>2025-11-25</t>
        </is>
      </c>
      <c r="D263" t="inlineStr">
        <is>
          <t>2025-11-25</t>
        </is>
      </c>
      <c r="E263" t="inlineStr">
        <is>
          <t>after_hours</t>
        </is>
      </c>
      <c r="F263" t="inlineStr">
        <is>
          <t>NO</t>
        </is>
      </c>
      <c r="G263" t="inlineStr">
        <is>
          <t>returns_matrix.csv (corrected 2026-08-12)</t>
        </is>
      </c>
      <c r="H263" t="inlineStr">
        <is>
          <t>NO</t>
        </is>
      </c>
      <c r="I263" t="inlineStr"/>
    </row>
    <row r="264">
      <c r="A264" t="inlineStr">
        <is>
          <t>WDAY_FQ4_2025</t>
        </is>
      </c>
      <c r="B264" t="inlineStr">
        <is>
          <t>WDAY</t>
        </is>
      </c>
      <c r="C264" t="inlineStr">
        <is>
          <t>2026-02-24</t>
        </is>
      </c>
      <c r="D264" t="inlineStr">
        <is>
          <t>2026-02-24</t>
        </is>
      </c>
      <c r="E264" t="inlineStr">
        <is>
          <t>after_hours</t>
        </is>
      </c>
      <c r="F264" t="inlineStr">
        <is>
          <t>NO</t>
        </is>
      </c>
      <c r="G264" t="inlineStr">
        <is>
          <t>returns_matrix.csv (corrected 2026-08-12)</t>
        </is>
      </c>
      <c r="H264" t="inlineStr">
        <is>
          <t>NO</t>
        </is>
      </c>
      <c r="I264" t="inlineStr"/>
    </row>
    <row r="265">
      <c r="A265" t="inlineStr">
        <is>
          <t>WMT_FQ1_2025</t>
        </is>
      </c>
      <c r="B265" t="inlineStr">
        <is>
          <t>WMT</t>
        </is>
      </c>
      <c r="C265" t="inlineStr">
        <is>
          <t>2025-05-15</t>
        </is>
      </c>
      <c r="D265" t="inlineStr">
        <is>
          <t>2025-05-14</t>
        </is>
      </c>
      <c r="E265" t="inlineStr">
        <is>
          <t>pre_market</t>
        </is>
      </c>
      <c r="F265" t="inlineStr">
        <is>
          <t>YES</t>
        </is>
      </c>
      <c r="G265" t="inlineStr">
        <is>
          <t>returns_matrix.csv (corrected 2026-08-12)</t>
        </is>
      </c>
      <c r="H265" t="inlineStr">
        <is>
          <t>NO</t>
        </is>
      </c>
      <c r="I265" t="inlineStr"/>
    </row>
    <row r="266">
      <c r="A266" t="inlineStr">
        <is>
          <t>WMT_FQ1_2026</t>
        </is>
      </c>
      <c r="B266" t="inlineStr">
        <is>
          <t>WMT</t>
        </is>
      </c>
      <c r="C266" t="inlineStr">
        <is>
          <t>2026-05-21</t>
        </is>
      </c>
      <c r="D266" t="inlineStr">
        <is>
          <t>2026-05-20</t>
        </is>
      </c>
      <c r="E266" t="inlineStr">
        <is>
          <t>pre_market</t>
        </is>
      </c>
      <c r="F266" t="inlineStr">
        <is>
          <t>YES</t>
        </is>
      </c>
      <c r="G266" t="inlineStr">
        <is>
          <t>returns_matrix.csv (corrected 2026-08-12)</t>
        </is>
      </c>
      <c r="H266" t="inlineStr">
        <is>
          <t>NO</t>
        </is>
      </c>
      <c r="I266" t="inlineStr"/>
    </row>
    <row r="267">
      <c r="A267" t="inlineStr">
        <is>
          <t>WMT_FQ2_2025</t>
        </is>
      </c>
      <c r="B267" t="inlineStr">
        <is>
          <t>WMT</t>
        </is>
      </c>
      <c r="C267" t="inlineStr">
        <is>
          <t>2025-08-21</t>
        </is>
      </c>
      <c r="D267" t="inlineStr">
        <is>
          <t>2025-08-20</t>
        </is>
      </c>
      <c r="E267" t="inlineStr">
        <is>
          <t>pre_market</t>
        </is>
      </c>
      <c r="F267" t="inlineStr">
        <is>
          <t>YES</t>
        </is>
      </c>
      <c r="G267" t="inlineStr">
        <is>
          <t>returns_matrix.csv (corrected 2026-08-12)</t>
        </is>
      </c>
      <c r="H267" t="inlineStr">
        <is>
          <t>NO</t>
        </is>
      </c>
      <c r="I267" t="inlineStr"/>
    </row>
    <row r="268">
      <c r="A268" t="inlineStr">
        <is>
          <t>WMT_FQ3_2025</t>
        </is>
      </c>
      <c r="B268" t="inlineStr">
        <is>
          <t>WMT</t>
        </is>
      </c>
      <c r="C268" t="inlineStr">
        <is>
          <t>2025-11-20</t>
        </is>
      </c>
      <c r="D268" t="inlineStr">
        <is>
          <t>2025-11-19</t>
        </is>
      </c>
      <c r="E268" t="inlineStr">
        <is>
          <t>pre_market</t>
        </is>
      </c>
      <c r="F268" t="inlineStr">
        <is>
          <t>YES</t>
        </is>
      </c>
      <c r="G268" t="inlineStr">
        <is>
          <t>returns_matrix.csv (corrected 2026-08-12)</t>
        </is>
      </c>
      <c r="H268" t="inlineStr">
        <is>
          <t>NO</t>
        </is>
      </c>
      <c r="I268" t="inlineStr"/>
    </row>
    <row r="269">
      <c r="A269" t="inlineStr">
        <is>
          <t>WMT_FQ4_2025</t>
        </is>
      </c>
      <c r="B269" t="inlineStr">
        <is>
          <t>WMT</t>
        </is>
      </c>
      <c r="C269" t="inlineStr">
        <is>
          <t>2026-02-19</t>
        </is>
      </c>
      <c r="D269" t="inlineStr">
        <is>
          <t>2026-02-18</t>
        </is>
      </c>
      <c r="E269" t="inlineStr">
        <is>
          <t>pre_market</t>
        </is>
      </c>
      <c r="F269" t="inlineStr">
        <is>
          <t>YES</t>
        </is>
      </c>
      <c r="G269" t="inlineStr">
        <is>
          <t>returns_matrix.csv (corrected 2026-08-12)</t>
        </is>
      </c>
      <c r="H269" t="inlineStr">
        <is>
          <t>NO</t>
        </is>
      </c>
      <c r="I26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64" t="inlineStr">
        <is>
          <t>PER-ARM ACCURACY AND COST</t>
        </is>
      </c>
    </row>
    <row r="2">
      <c r="A2" s="164" t="inlineStr">
        <is>
          <t>event_set</t>
        </is>
      </c>
      <c r="B2" s="164" t="inlineStr">
        <is>
          <t>arm</t>
        </is>
      </c>
      <c r="C2" s="164" t="inlineStr">
        <is>
          <t>n_calls</t>
        </is>
      </c>
      <c r="D2" s="164" t="inlineStr">
        <is>
          <t>n_graded</t>
        </is>
      </c>
      <c r="E2" s="164" t="inlineStr">
        <is>
          <t>n_correct</t>
        </is>
      </c>
      <c r="F2" s="164" t="inlineStr">
        <is>
          <t>accuracy_hold_excluded</t>
        </is>
      </c>
      <c r="G2" s="164" t="inlineStr">
        <is>
          <t>mean_tokens_per_call</t>
        </is>
      </c>
      <c r="H2" s="164" t="inlineStr">
        <is>
          <t>total_cost_usd</t>
        </is>
      </c>
      <c r="I2" s="164" t="inlineStr">
        <is>
          <t>cost_per_call_usd</t>
        </is>
      </c>
      <c r="J2" s="164" t="inlineStr">
        <is>
          <t>cost_per_correct_usd</t>
        </is>
      </c>
    </row>
    <row r="3">
      <c r="A3" t="inlineStr">
        <is>
          <t>four_arm_n119</t>
        </is>
      </c>
      <c r="B3" t="inlineStr">
        <is>
          <t>full_bundle</t>
        </is>
      </c>
      <c r="C3" t="inlineStr">
        <is>
          <t>119</t>
        </is>
      </c>
      <c r="D3" t="inlineStr">
        <is>
          <t>47</t>
        </is>
      </c>
      <c r="E3" t="inlineStr">
        <is>
          <t>32</t>
        </is>
      </c>
      <c r="F3" t="inlineStr">
        <is>
          <t>0.6809</t>
        </is>
      </c>
      <c r="G3" t="inlineStr">
        <is>
          <t>30096</t>
        </is>
      </c>
      <c r="H3" t="inlineStr">
        <is>
          <t>1.1441</t>
        </is>
      </c>
      <c r="I3" t="inlineStr">
        <is>
          <t>0.0096</t>
        </is>
      </c>
      <c r="J3" t="inlineStr">
        <is>
          <t>0.0358</t>
        </is>
      </c>
    </row>
    <row r="4">
      <c r="A4" t="inlineStr">
        <is>
          <t>four_arm_n119</t>
        </is>
      </c>
      <c r="B4" t="inlineStr">
        <is>
          <t>press_release</t>
        </is>
      </c>
      <c r="C4" t="inlineStr">
        <is>
          <t>119</t>
        </is>
      </c>
      <c r="D4" t="inlineStr">
        <is>
          <t>37</t>
        </is>
      </c>
      <c r="E4" t="inlineStr">
        <is>
          <t>24</t>
        </is>
      </c>
      <c r="F4" t="inlineStr">
        <is>
          <t>0.6486</t>
        </is>
      </c>
      <c r="G4" t="inlineStr">
        <is>
          <t>13030</t>
        </is>
      </c>
      <c r="H4" t="inlineStr">
        <is>
          <t>0.5394</t>
        </is>
      </c>
      <c r="I4" t="inlineStr">
        <is>
          <t>0.0045</t>
        </is>
      </c>
      <c r="J4" t="inlineStr">
        <is>
          <t>0.0225</t>
        </is>
      </c>
    </row>
    <row r="5">
      <c r="A5" t="inlineStr">
        <is>
          <t>four_arm_n119</t>
        </is>
      </c>
      <c r="B5" t="inlineStr">
        <is>
          <t>prepared_remarks</t>
        </is>
      </c>
      <c r="C5" t="inlineStr">
        <is>
          <t>119</t>
        </is>
      </c>
      <c r="D5" t="inlineStr">
        <is>
          <t>41</t>
        </is>
      </c>
      <c r="E5" t="inlineStr">
        <is>
          <t>26</t>
        </is>
      </c>
      <c r="F5" t="inlineStr">
        <is>
          <t>0.6341</t>
        </is>
      </c>
      <c r="G5" t="inlineStr">
        <is>
          <t>10287</t>
        </is>
      </c>
      <c r="H5" t="inlineStr">
        <is>
          <t>0.5412</t>
        </is>
      </c>
      <c r="I5" t="inlineStr">
        <is>
          <t>0.0045</t>
        </is>
      </c>
      <c r="J5" t="inlineStr">
        <is>
          <t>0.0208</t>
        </is>
      </c>
    </row>
    <row r="6">
      <c r="A6" t="inlineStr">
        <is>
          <t>four_arm_n119</t>
        </is>
      </c>
      <c r="B6" t="inlineStr">
        <is>
          <t>qa_only</t>
        </is>
      </c>
      <c r="C6" t="inlineStr">
        <is>
          <t>119</t>
        </is>
      </c>
      <c r="D6" t="inlineStr">
        <is>
          <t>38</t>
        </is>
      </c>
      <c r="E6" t="inlineStr">
        <is>
          <t>26</t>
        </is>
      </c>
      <c r="F6" t="inlineStr">
        <is>
          <t>0.6842</t>
        </is>
      </c>
      <c r="G6" t="inlineStr">
        <is>
          <t>13163</t>
        </is>
      </c>
      <c r="H6" t="inlineStr">
        <is>
          <t>0.5952</t>
        </is>
      </c>
      <c r="I6" t="inlineStr">
        <is>
          <t>0.005</t>
        </is>
      </c>
      <c r="J6" t="inlineStr">
        <is>
          <t>0.0229</t>
        </is>
      </c>
    </row>
    <row r="7">
      <c r="A7" t="inlineStr">
        <is>
          <t>all_n200</t>
        </is>
      </c>
      <c r="B7" t="inlineStr">
        <is>
          <t>full_bundle</t>
        </is>
      </c>
      <c r="C7" t="inlineStr">
        <is>
          <t>200</t>
        </is>
      </c>
      <c r="D7" t="inlineStr">
        <is>
          <t>70</t>
        </is>
      </c>
      <c r="E7" t="inlineStr">
        <is>
          <t>46</t>
        </is>
      </c>
      <c r="F7" t="inlineStr">
        <is>
          <t>0.6571</t>
        </is>
      </c>
      <c r="G7" t="inlineStr">
        <is>
          <t>33130</t>
        </is>
      </c>
      <c r="H7" t="inlineStr">
        <is>
          <t>2.1166</t>
        </is>
      </c>
      <c r="I7" t="inlineStr">
        <is>
          <t>0.0106</t>
        </is>
      </c>
      <c r="J7" t="inlineStr">
        <is>
          <t>0.046</t>
        </is>
      </c>
    </row>
    <row r="8">
      <c r="A8" t="inlineStr">
        <is>
          <t>all_n200</t>
        </is>
      </c>
      <c r="B8" t="inlineStr">
        <is>
          <t>press_release</t>
        </is>
      </c>
      <c r="C8" t="inlineStr">
        <is>
          <t>200</t>
        </is>
      </c>
      <c r="D8" t="inlineStr">
        <is>
          <t>56</t>
        </is>
      </c>
      <c r="E8" t="inlineStr">
        <is>
          <t>35</t>
        </is>
      </c>
      <c r="F8" t="inlineStr">
        <is>
          <t>0.625</t>
        </is>
      </c>
      <c r="G8" t="inlineStr">
        <is>
          <t>15298</t>
        </is>
      </c>
      <c r="H8" t="inlineStr">
        <is>
          <t>1.0149</t>
        </is>
      </c>
      <c r="I8" t="inlineStr">
        <is>
          <t>0.0051</t>
        </is>
      </c>
      <c r="J8" t="inlineStr">
        <is>
          <t>0.029</t>
        </is>
      </c>
    </row>
    <row r="9">
      <c r="A9" t="inlineStr">
        <is>
          <t>all_n200</t>
        </is>
      </c>
      <c r="B9" t="inlineStr">
        <is>
          <t>prepared_remarks</t>
        </is>
      </c>
      <c r="C9" t="inlineStr">
        <is>
          <t>119</t>
        </is>
      </c>
      <c r="D9" t="inlineStr">
        <is>
          <t>41</t>
        </is>
      </c>
      <c r="E9" t="inlineStr">
        <is>
          <t>26</t>
        </is>
      </c>
      <c r="F9" t="inlineStr">
        <is>
          <t>0.6341</t>
        </is>
      </c>
      <c r="G9" t="inlineStr">
        <is>
          <t>10287</t>
        </is>
      </c>
      <c r="H9" t="inlineStr">
        <is>
          <t>0.5412</t>
        </is>
      </c>
      <c r="I9" t="inlineStr">
        <is>
          <t>0.0045</t>
        </is>
      </c>
      <c r="J9" t="inlineStr">
        <is>
          <t>0.0208</t>
        </is>
      </c>
    </row>
    <row r="10">
      <c r="A10" t="inlineStr">
        <is>
          <t>all_n200</t>
        </is>
      </c>
      <c r="B10" t="inlineStr">
        <is>
          <t>qa_only</t>
        </is>
      </c>
      <c r="C10" t="inlineStr">
        <is>
          <t>119</t>
        </is>
      </c>
      <c r="D10" t="inlineStr">
        <is>
          <t>38</t>
        </is>
      </c>
      <c r="E10" t="inlineStr">
        <is>
          <t>26</t>
        </is>
      </c>
      <c r="F10" t="inlineStr">
        <is>
          <t>0.6842</t>
        </is>
      </c>
      <c r="G10" t="inlineStr">
        <is>
          <t>13163</t>
        </is>
      </c>
      <c r="H10" t="inlineStr">
        <is>
          <t>0.5952</t>
        </is>
      </c>
      <c r="I10" t="inlineStr">
        <is>
          <t>0.005</t>
        </is>
      </c>
      <c r="J10" t="inlineStr">
        <is>
          <t>0.0229</t>
        </is>
      </c>
    </row>
    <row r="12">
      <c r="A12" t="inlineStr">
        <is>
          <t>Note: figures from section_ablation_cost_per_correct.csv DATA ROWS ONLY. four_arm_n119 = events where all 4 arms scored. all_n200 = full scored set for full_bundle and press_release.</t>
        </is>
      </c>
    </row>
    <row r="14">
      <c r="A14" s="164" t="inlineStr">
        <is>
          <t>PAIRED DIFFERENCES VS FULL BUNDLE</t>
        </is>
      </c>
    </row>
    <row r="15">
      <c r="A15" s="164" t="inlineStr">
        <is>
          <t>comparison</t>
        </is>
      </c>
      <c r="B15" s="164" t="inlineStr">
        <is>
          <t>set</t>
        </is>
      </c>
      <c r="C15" s="164" t="inlineStr">
        <is>
          <t>method</t>
        </is>
      </c>
      <c r="D15" s="164" t="inlineStr">
        <is>
          <t>n_paired</t>
        </is>
      </c>
      <c r="E15" s="164" t="inlineStr">
        <is>
          <t>point_diff</t>
        </is>
      </c>
      <c r="F15" s="164" t="inlineStr">
        <is>
          <t>ci_low</t>
        </is>
      </c>
      <c r="G15" s="164" t="inlineStr">
        <is>
          <t>ci_high</t>
        </is>
      </c>
      <c r="H15" s="164" t="inlineStr">
        <is>
          <t>p_value</t>
        </is>
      </c>
      <c r="I15" s="164" t="inlineStr">
        <is>
          <t>metric</t>
        </is>
      </c>
      <c r="J15" s="164" t="inlineStr">
        <is>
          <t>note</t>
        </is>
      </c>
    </row>
    <row r="16">
      <c r="A16" t="inlineStr">
        <is>
          <t>press_release vs full_bundle</t>
        </is>
      </c>
      <c r="B16" t="inlineStr">
        <is>
          <t>four_arm</t>
        </is>
      </c>
      <c r="C16" t="inlineStr">
        <is>
          <t>strict (both graded)</t>
        </is>
      </c>
      <c r="D16" t="inlineStr">
        <is>
          <t>45</t>
        </is>
      </c>
      <c r="E16" t="inlineStr">
        <is>
          <t>0.0</t>
        </is>
      </c>
      <c r="F16" t="inlineStr">
        <is>
          <t>0.0</t>
        </is>
      </c>
      <c r="G16" t="inlineStr">
        <is>
          <t>0.0</t>
        </is>
      </c>
      <c r="H16" t="inlineStr">
        <is>
          <t>1.0</t>
        </is>
      </c>
      <c r="I16" t="inlineStr">
        <is>
          <t>accuracy_overnight</t>
        </is>
      </c>
      <c r="J16" t="inlineStr">
        <is>
          <t>All 45 events where both arms breach ±2% have identical signals — zero information</t>
        </is>
      </c>
    </row>
    <row r="17">
      <c r="A17" t="inlineStr">
        <is>
          <t>press_release vs full_bundle</t>
        </is>
      </c>
      <c r="B17" t="inlineStr">
        <is>
          <t>four_arm</t>
        </is>
      </c>
      <c r="C17" t="inlineStr">
        <is>
          <t>inclusive (either graded, ungraded=0.5)</t>
        </is>
      </c>
      <c r="D17" t="inlineStr">
        <is>
          <t>66</t>
        </is>
      </c>
      <c r="E17" t="inlineStr">
        <is>
          <t>-0.0682</t>
        </is>
      </c>
      <c r="F17" t="inlineStr">
        <is>
          <t>-0.1212</t>
        </is>
      </c>
      <c r="G17" t="inlineStr">
        <is>
          <t>-0.0152</t>
        </is>
      </c>
      <c r="H17" t="inlineStr">
        <is>
          <t>0.0548</t>
        </is>
      </c>
      <c r="I17" t="inlineStr">
        <is>
          <t>accuracy_overnight</t>
        </is>
      </c>
      <c r="J17" t="inlineStr">
        <is>
          <t>Full bundle outperforms by 6.8pp when ungraded events scored at 0.5</t>
        </is>
      </c>
    </row>
    <row r="18">
      <c r="A18" t="inlineStr">
        <is>
          <t>prepared_remarks vs full_bundle</t>
        </is>
      </c>
      <c r="B18" t="inlineStr">
        <is>
          <t>four_arm</t>
        </is>
      </c>
      <c r="C18" t="inlineStr">
        <is>
          <t>strict (both graded)</t>
        </is>
      </c>
      <c r="D18" t="inlineStr">
        <is>
          <t>53</t>
        </is>
      </c>
      <c r="E18" t="inlineStr">
        <is>
          <t>-0.0189</t>
        </is>
      </c>
      <c r="F18" t="inlineStr">
        <is>
          <t>-0.0566</t>
        </is>
      </c>
      <c r="G18" t="inlineStr">
        <is>
          <t>0.0</t>
        </is>
      </c>
      <c r="H18" t="inlineStr">
        <is>
          <t>0.7284</t>
        </is>
      </c>
      <c r="I18" t="inlineStr">
        <is>
          <t>accuracy_overnight</t>
        </is>
      </c>
      <c r="J18" t="inlineStr"/>
    </row>
    <row r="19">
      <c r="A19" t="inlineStr">
        <is>
          <t>prepared_remarks vs full_bundle</t>
        </is>
      </c>
      <c r="B19" t="inlineStr">
        <is>
          <t>four_arm</t>
        </is>
      </c>
      <c r="C19" t="inlineStr">
        <is>
          <t>inclusive (either graded, ungraded=0.5)</t>
        </is>
      </c>
      <c r="D19" t="inlineStr">
        <is>
          <t>62</t>
        </is>
      </c>
      <c r="E19" t="inlineStr">
        <is>
          <t>-0.0403</t>
        </is>
      </c>
      <c r="F19" t="inlineStr">
        <is>
          <t>-0.0887</t>
        </is>
      </c>
      <c r="G19" t="inlineStr">
        <is>
          <t>0.0081</t>
        </is>
      </c>
      <c r="H19" t="inlineStr">
        <is>
          <t>0.201</t>
        </is>
      </c>
      <c r="I19" t="inlineStr">
        <is>
          <t>accuracy_overnight</t>
        </is>
      </c>
      <c r="J19" t="inlineStr"/>
    </row>
    <row r="20">
      <c r="A20" t="inlineStr">
        <is>
          <t>qa_only vs full_bundle</t>
        </is>
      </c>
      <c r="B20" t="inlineStr">
        <is>
          <t>four_arm</t>
        </is>
      </c>
      <c r="C20" t="inlineStr">
        <is>
          <t>strict (both graded)</t>
        </is>
      </c>
      <c r="D20" t="inlineStr">
        <is>
          <t>43</t>
        </is>
      </c>
      <c r="E20" t="inlineStr">
        <is>
          <t>-0.0233</t>
        </is>
      </c>
      <c r="F20" t="inlineStr">
        <is>
          <t>-0.093</t>
        </is>
      </c>
      <c r="G20" t="inlineStr">
        <is>
          <t>0.0465</t>
        </is>
      </c>
      <c r="H20" t="inlineStr">
        <is>
          <t>0.7934</t>
        </is>
      </c>
      <c r="I20" t="inlineStr">
        <is>
          <t>accuracy_overnight</t>
        </is>
      </c>
      <c r="J20" t="inlineStr"/>
    </row>
    <row r="21">
      <c r="A21" t="inlineStr">
        <is>
          <t>qa_only vs full_bundle</t>
        </is>
      </c>
      <c r="B21" t="inlineStr">
        <is>
          <t>four_arm</t>
        </is>
      </c>
      <c r="C21" t="inlineStr">
        <is>
          <t>inclusive (either graded, ungraded=0.5)</t>
        </is>
      </c>
      <c r="D21" t="inlineStr">
        <is>
          <t>66</t>
        </is>
      </c>
      <c r="E21" t="inlineStr">
        <is>
          <t>-0.053</t>
        </is>
      </c>
      <c r="F21" t="inlineStr">
        <is>
          <t>-0.1288</t>
        </is>
      </c>
      <c r="G21" t="inlineStr">
        <is>
          <t>0.0227</t>
        </is>
      </c>
      <c r="H21" t="inlineStr">
        <is>
          <t>0.2686</t>
        </is>
      </c>
      <c r="I21" t="inlineStr">
        <is>
          <t>accuracy_overnight</t>
        </is>
      </c>
      <c r="J21" t="inlineStr"/>
    </row>
    <row r="23">
      <c r="A23" t="inlineStr">
        <is>
          <t>Paired MDE ~±12pp. 6.8pp gap at p=0.055 on inclusive test (press_release vs full_bundle). Strict test (both graded, n=45): exactly 0.0 — when both arms commit, they commit identically.</t>
        </is>
      </c>
    </row>
    <row r="24">
      <c r="A24" t="inlineStr">
        <is>
          <t>Prepared remarks agrees with full bundle on 85.7% of signals at ~10k tokens.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K40"/>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2">
      <c r="A2" s="164" t="inlineStr">
        <is>
          <t>DEGENERACY FINDING</t>
        </is>
      </c>
    </row>
    <row r="4">
      <c r="A4" t="inlineStr">
        <is>
          <t>n_windows</t>
        </is>
      </c>
      <c r="B4" t="n">
        <v>4</v>
      </c>
    </row>
    <row r="5">
      <c r="A5" t="inlineStr">
        <is>
          <t>min_trades_floor</t>
        </is>
      </c>
      <c r="B5" t="n">
        <v>5</v>
      </c>
    </row>
    <row r="6">
      <c r="A6" t="inlineStr">
        <is>
          <t>objectives_tried</t>
        </is>
      </c>
      <c r="B6" t="inlineStr">
        <is>
          <t>['mean_net_per_trade', 'directional_accuracy']</t>
        </is>
      </c>
    </row>
    <row r="7">
      <c r="A7" t="inlineStr">
        <is>
          <t>degeneracy_finding</t>
        </is>
      </c>
      <c r="B7" t="inlineStr">
        <is>
          <t>{'mean_net_degenerate': 3, 'accuracy_degenerate': 2, 'total_windows': 4, 'both_degenerate': True}</t>
        </is>
      </c>
    </row>
    <row r="8">
      <c r="A8" t="inlineStr">
        <is>
          <t>mean_net_objective_n_degenerate</t>
        </is>
      </c>
      <c r="B8" t="inlineStr"/>
      <c r="C8" t="inlineStr"/>
    </row>
    <row r="9">
      <c r="A9" t="inlineStr">
        <is>
          <t>accuracy_objective_n_degenerate</t>
        </is>
      </c>
      <c r="B9" t="inlineStr"/>
      <c r="C9" t="inlineStr"/>
    </row>
    <row r="11">
      <c r="A11" s="164" t="inlineStr">
        <is>
          <t>IN-SAMPLE DEPLOYED THRESHOLDS</t>
        </is>
      </c>
    </row>
    <row r="13">
      <c r="A13" t="inlineStr">
        <is>
          <t>hold_upper</t>
        </is>
      </c>
      <c r="B13" t="n">
        <v>0.25</v>
      </c>
    </row>
    <row r="14">
      <c r="A14" t="inlineStr">
        <is>
          <t>hold_lower</t>
        </is>
      </c>
      <c r="B14" t="n">
        <v>-0.05</v>
      </c>
    </row>
    <row r="15">
      <c r="A15" t="inlineStr">
        <is>
          <t>n_trades</t>
        </is>
      </c>
      <c r="B15" t="n">
        <v>146</v>
      </c>
    </row>
    <row r="16">
      <c r="A16" t="inlineStr">
        <is>
          <t>n_graded</t>
        </is>
      </c>
      <c r="B16" t="n">
        <v>95</v>
      </c>
    </row>
    <row r="17">
      <c r="A17" t="inlineStr">
        <is>
          <t>n_correct</t>
        </is>
      </c>
      <c r="B17" t="n">
        <v>62</v>
      </c>
    </row>
    <row r="18">
      <c r="A18" t="inlineStr">
        <is>
          <t>accuracy</t>
        </is>
      </c>
      <c r="B18" t="n">
        <v>0.6526</v>
      </c>
    </row>
    <row r="19">
      <c r="A19" t="inlineStr">
        <is>
          <t>mean_net_pct</t>
        </is>
      </c>
      <c r="B19" t="n">
        <v>1.8617</v>
      </c>
    </row>
    <row r="21">
      <c r="A21" s="164" t="inlineStr">
        <is>
          <t>DEV / EVAL SPLIT</t>
        </is>
      </c>
    </row>
    <row r="23">
      <c r="A23" t="inlineStr">
        <is>
          <t>Split rule</t>
        </is>
      </c>
      <c r="B23" t="inlineStr">
        <is>
          <t>Sort 233 clean events by release_date (returns_matrix.csv), earliest 20% (47) = dev, remaining 80% (186) = eval.</t>
        </is>
      </c>
    </row>
    <row r="24">
      <c r="A24" t="inlineStr">
        <is>
          <t>Eval: accuracy</t>
        </is>
      </c>
      <c r="B24" t="inlineStr">
        <is>
          <t>68.0% (51/75)</t>
        </is>
      </c>
      <c r="C24" t="inlineStr">
        <is>
          <t>floor=54.6% (65/119 graded)</t>
        </is>
      </c>
      <c r="D24" t="inlineStr">
        <is>
          <t>margin +13.4pp</t>
        </is>
      </c>
      <c r="E24" t="inlineStr">
        <is>
          <t>p=0.013</t>
        </is>
      </c>
      <c r="F24" t="inlineStr">
        <is>
          <t>MDE ±14.4pp</t>
        </is>
      </c>
    </row>
    <row r="25">
      <c r="A25" t="inlineStr">
        <is>
          <t>Dev:  accuracy</t>
        </is>
      </c>
      <c r="B25" t="inlineStr">
        <is>
          <t>55.0% (11/20)</t>
        </is>
      </c>
      <c r="C25" t="inlineStr">
        <is>
          <t>floor=53.6%</t>
        </is>
      </c>
      <c r="D25" t="inlineStr">
        <is>
          <t>margin +1.4pp</t>
        </is>
      </c>
      <c r="E25" t="inlineStr">
        <is>
          <t>NOT significant</t>
        </is>
      </c>
      <c r="F25" t="inlineStr">
        <is>
          <t>MDE ±27.8pp — underpowered</t>
        </is>
      </c>
    </row>
    <row r="26">
      <c r="A26" t="inlineStr">
        <is>
          <t>Source</t>
        </is>
      </c>
      <c r="B26" t="inlineStr">
        <is>
          <t>frontier_table.csv, surviving_findings.md</t>
        </is>
      </c>
    </row>
    <row r="27">
      <c r="A27" t="inlineStr">
        <is>
          <t>NOT out-of-sample</t>
        </is>
      </c>
      <c r="B27" t="inlineStr">
        <is>
          <t>Dev/eval split applied post hoc to data thresholds were fitted on. Eval 68.0% is in-sample on a subset.</t>
        </is>
      </c>
    </row>
    <row r="29">
      <c r="A29" s="164" t="inlineStr">
        <is>
          <t>CROSS-ISSUER GENERALISATION (RECONSTRUCTED)</t>
        </is>
      </c>
    </row>
    <row r="31">
      <c r="A31" t="inlineStr">
        <is>
          <t>note</t>
        </is>
      </c>
      <c r="B31" t="inlineStr">
        <is>
          <t>Cross-issuer generalisation test: 29 issuers (with clean events in N=233)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is>
      </c>
    </row>
    <row r="33">
      <c r="A33" t="inlineStr">
        <is>
          <t>subset</t>
        </is>
      </c>
      <c r="B33" t="inlineStr">
        <is>
          <t>n_events</t>
        </is>
      </c>
      <c r="C33" t="inlineStr">
        <is>
          <t>n_trades</t>
        </is>
      </c>
      <c r="D33" t="inlineStr">
        <is>
          <t>n_graded</t>
        </is>
      </c>
      <c r="E33" t="inlineStr">
        <is>
          <t>n_correct</t>
        </is>
      </c>
      <c r="F33" t="inlineStr">
        <is>
          <t>accuracy</t>
        </is>
      </c>
      <c r="G33" t="inlineStr">
        <is>
          <t>mean_net_pct</t>
        </is>
      </c>
      <c r="H33" t="inlineStr">
        <is>
          <t>floor</t>
        </is>
      </c>
      <c r="I33" t="inlineStr">
        <is>
          <t>margin</t>
        </is>
      </c>
      <c r="J33" t="inlineStr">
        <is>
          <t>p</t>
        </is>
      </c>
      <c r="K33" t="inlineStr">
        <is>
          <t>mde</t>
        </is>
      </c>
    </row>
    <row r="34">
      <c r="A34" t="inlineStr">
        <is>
          <t>in_sweep</t>
        </is>
      </c>
      <c r="B34" t="n">
        <v>132</v>
      </c>
      <c r="C34" t="n">
        <v>76</v>
      </c>
      <c r="D34" t="n">
        <v>43</v>
      </c>
      <c r="E34" t="n">
        <v>29</v>
      </c>
      <c r="F34" t="n">
        <v>0.6744</v>
      </c>
      <c r="G34" t="n">
        <v>1.0116</v>
      </c>
      <c r="H34" t="inlineStr"/>
      <c r="I34" t="inlineStr"/>
      <c r="J34" t="inlineStr"/>
      <c r="K34" t="inlineStr"/>
    </row>
    <row r="35">
      <c r="A35" t="inlineStr">
        <is>
          <t>post_sweep</t>
        </is>
      </c>
      <c r="B35" t="n">
        <v>101</v>
      </c>
      <c r="C35" t="n">
        <v>70</v>
      </c>
      <c r="D35" t="n">
        <v>52</v>
      </c>
      <c r="E35" t="n">
        <v>33</v>
      </c>
      <c r="F35" t="n">
        <v>0.6346000000000001</v>
      </c>
      <c r="G35" t="n">
        <v>2.7847</v>
      </c>
      <c r="H35" t="n">
        <v>0.5192</v>
      </c>
      <c r="I35" t="n">
        <v>11.5</v>
      </c>
      <c r="J35" t="n">
        <v>0.06270000000000001</v>
      </c>
      <c r="K35" t="n">
        <v>20.8</v>
      </c>
    </row>
    <row r="37">
      <c r="A37" t="inlineStr">
        <is>
          <t>CAVEATS (three)</t>
        </is>
      </c>
    </row>
    <row r="38">
      <c r="A38" t="inlineStr">
        <is>
          <t>1. RECONSTRUCTED</t>
        </is>
      </c>
      <c r="B38" t="inlineStr">
        <is>
          <t>Sweep membership inferred from issuer ordering and count match (n=161). 453 single-swap alternatives also give n=161.</t>
        </is>
      </c>
    </row>
    <row r="39">
      <c r="A39" t="inlineStr">
        <is>
          <t>2. ISSUER TRANSFER ONLY</t>
        </is>
      </c>
      <c r="B39" t="inlineStr">
        <is>
          <t>Both subsets overlap in time. Tests whether thresholds transfer to new companies, not new time periods. Does NOT corroborate temporal generalisation.</t>
        </is>
      </c>
    </row>
    <row r="40">
      <c r="A40" t="inlineStr">
        <is>
          <t>3. NOT SIGNIFICANT</t>
        </is>
      </c>
      <c r="B40" t="inlineStr">
        <is>
          <t>p=0.0627 does not clear 0.05. MDE=±20.8pp — subset underpowered. Report as directionally consistent, not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2026-07-06T09:42:38Z</dcterms:created>
  <dcterms:modified xmlns:dcterms="http://purl.org/dc/terms/" xmlns:xsi="http://www.w3.org/2001/XMLSchema-instance" xsi:type="dcterms:W3CDTF">2026-08-13T09:13:36Z</dcterms:modified>
  <cp:lastModifiedBy>PG-Semar, Meriem</cp:lastModifiedBy>
  <cp:revision>0</cp:revision>
</cp:coreProperties>
</file>